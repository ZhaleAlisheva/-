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Дипломен проект\"/>
    </mc:Choice>
  </mc:AlternateContent>
  <xr:revisionPtr revIDLastSave="0" documentId="13_ncr:1_{7A393BA8-7EB0-429D-91D1-A28153AA3F39}" xr6:coauthVersionLast="46" xr6:coauthVersionMax="46" xr10:uidLastSave="{00000000-0000-0000-0000-000000000000}"/>
  <bookViews>
    <workbookView xWindow="-120" yWindow="-120" windowWidth="20730" windowHeight="11760" tabRatio="684" firstSheet="3" activeTab="8" xr2:uid="{00000000-000D-0000-FFFF-FFFF00000000}"/>
  </bookViews>
  <sheets>
    <sheet name="Reg_forma" sheetId="5" r:id="rId1"/>
    <sheet name="Karta" sheetId="8" r:id="rId2"/>
    <sheet name="Spravka" sheetId="18" r:id="rId3"/>
    <sheet name="Zaetost_smeni" sheetId="20" r:id="rId4"/>
    <sheet name="Registyr" sheetId="17" r:id="rId5"/>
    <sheet name="Лист1" sheetId="21" r:id="rId6"/>
    <sheet name="Kasov_order" sheetId="7" r:id="rId7"/>
    <sheet name="Bungala" sheetId="2" r:id="rId8"/>
    <sheet name="Cenorazpis" sheetId="4" r:id="rId9"/>
    <sheet name="DATA" sheetId="3" r:id="rId10"/>
  </sheets>
  <functionGroups builtInGroupCount="19"/>
  <definedNames>
    <definedName name="_xlnm._FilterDatabase" localSheetId="1" hidden="1">Karta!$B$4:$O$44</definedName>
    <definedName name="_xlnm._FilterDatabase" localSheetId="0" hidden="1">Reg_forma!$B$3:$P$28</definedName>
    <definedName name="_xlnm._FilterDatabase" localSheetId="4" hidden="1">Registyr!$B$4:$R$333</definedName>
    <definedName name="_xlnm._FilterDatabase" localSheetId="2" hidden="1">Spravka!$B$12:$Y$2974</definedName>
    <definedName name="br_dni">Reg_forma!$F$14</definedName>
    <definedName name="Bungalo">Reg_forma!$F$13</definedName>
    <definedName name="Cena_hladilnik">Cenorazpis!$E$16</definedName>
    <definedName name="Data_begin">Reg_forma!$P$11</definedName>
    <definedName name="Data_end">Reg_forma!$T$11</definedName>
    <definedName name="Data_Plashtane">Reg_forma!$AE$15</definedName>
    <definedName name="hladilnik">Reg_forma!$M$14</definedName>
    <definedName name="List_br_dni">DATA!$J$4:$J$13</definedName>
    <definedName name="List_bungala">Bungala!$D$5:$D$51</definedName>
    <definedName name="List_legla">DATA!$C$4:$C$6</definedName>
    <definedName name="List_Smiana">DATA!$F$4:$F$11</definedName>
    <definedName name="List_vid_leglo">DATA!$C$4:$C$6</definedName>
    <definedName name="Mejdinen_kod">DATA!$D$8</definedName>
    <definedName name="Obsht_priveden_broi">Reg_forma!$T$14</definedName>
    <definedName name="Obshta_suma">Reg_forma!$Y$14</definedName>
    <definedName name="Plateno">Reg_forma!$AE$14</definedName>
    <definedName name="Priveden_br_legla">Reg_forma!$T$14</definedName>
    <definedName name="Priveden_broi">Reg_forma!$T$15</definedName>
    <definedName name="Range_legla">Reg_forma!$S$19:$U$26</definedName>
    <definedName name="Range_legla_razmer">Reg_forma!$V$19:$W$26</definedName>
    <definedName name="Registyr_Smiana">Registyr!$D$5</definedName>
    <definedName name="Smiana">Reg_forma!$L$11</definedName>
    <definedName name="SpravkaBeginData">Spravka!$F$4</definedName>
    <definedName name="SpravkaEndData">Spravka!$G$4</definedName>
    <definedName name="SV">Reg_forma!$M$13</definedName>
    <definedName name="Tabl_bungala">Bungala!$D$5:$I$51</definedName>
    <definedName name="Tabl_cenorazpis">Cenorazpis!$C$10:$M$16</definedName>
    <definedName name="Tabl_kategoria">Cenorazpis!$C$10:$D$16</definedName>
    <definedName name="Tabl_Names_Cut">Spravka!$W$2979:$W$5939</definedName>
    <definedName name="Tabl_Names_Period">Spravka!$W$13:$W$2973</definedName>
    <definedName name="Tabl_Reg_Autofilter" localSheetId="4">Registyr!$B$4:$S$333</definedName>
    <definedName name="Tabl_Reg_forma">Reg_forma!$C$19:$AJ$26</definedName>
    <definedName name="Tabl_registyr" localSheetId="4">Registyr!$B$5:$S$333</definedName>
    <definedName name="Tabl_Smeni">DATA!$F$4:$G$12</definedName>
    <definedName name="Tabl_SprReg1">Spravka!$B$13:$S$341</definedName>
    <definedName name="Tabl_SprReg2">Spravka!$B$342:$S$670</definedName>
    <definedName name="Tabl_SprReg3">Spravka!$B$671:$S$999</definedName>
    <definedName name="Tabl_SprReg4">Spravka!$B$1000:$S$1328</definedName>
    <definedName name="Tabl_SprReg5">Spravka!$B$1329:$S$1657</definedName>
    <definedName name="Tabl_SprReg6">Spravka!$B$1658:$S$1986</definedName>
    <definedName name="Tabl_SprReg7">Spravka!$B$1987:$S$2315</definedName>
    <definedName name="Tabl_SprReg8">Spravka!$B$2316:$S$2644</definedName>
    <definedName name="Tabl_SprReg9">Spravka!$B$2645:$S$2973</definedName>
    <definedName name="Tabl_SprRegAll_Autofilter">Spravka!$B$12:$Y$2973</definedName>
    <definedName name="Tabl_vid_leglo">DATA!$C$4:$D$6</definedName>
    <definedName name="TagReg1">Spravka!$B$13</definedName>
    <definedName name="TagReg2">Spravka!$B$342</definedName>
    <definedName name="TagReg3">Spravka!$B$671</definedName>
    <definedName name="TagReg4">Spravka!$B$1000</definedName>
    <definedName name="TagReg5">Spravka!$B$1329</definedName>
    <definedName name="TagReg6">Spravka!$B$1658</definedName>
    <definedName name="TagReg7">Spravka!$B$1987</definedName>
    <definedName name="TagReg8">Spravka!$B$2316</definedName>
    <definedName name="TagReg9">Spravka!$D$2645</definedName>
    <definedName name="_xlnm.Print_Area" localSheetId="4">Registyr!$B$2:$R$332</definedName>
    <definedName name="_xlnm.Print_Area" localSheetId="2">Spravka!$B$10:$S$2973</definedName>
    <definedName name="_xlnm.Print_Titles" localSheetId="4">Registyr!$2:$4</definedName>
    <definedName name="_xlnm.Print_Titles" localSheetId="2">Spravka!$10:$12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7" l="1"/>
  <c r="B12" i="17" s="1"/>
  <c r="B9" i="17"/>
  <c r="B10" i="17" s="1"/>
  <c r="B8" i="17"/>
  <c r="B7" i="17"/>
  <c r="D6" i="17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D251" i="17" s="1"/>
  <c r="D252" i="17" s="1"/>
  <c r="D253" i="17" s="1"/>
  <c r="D254" i="17" s="1"/>
  <c r="D255" i="17" s="1"/>
  <c r="D256" i="17" s="1"/>
  <c r="D257" i="17" s="1"/>
  <c r="D258" i="17" s="1"/>
  <c r="D259" i="17" s="1"/>
  <c r="D260" i="17" s="1"/>
  <c r="D261" i="17" s="1"/>
  <c r="D262" i="17" s="1"/>
  <c r="D263" i="17" s="1"/>
  <c r="D264" i="17" s="1"/>
  <c r="D265" i="17" s="1"/>
  <c r="D266" i="17" s="1"/>
  <c r="D267" i="17" s="1"/>
  <c r="D268" i="17" s="1"/>
  <c r="D269" i="17" s="1"/>
  <c r="D270" i="17" s="1"/>
  <c r="D271" i="17" s="1"/>
  <c r="D272" i="17" s="1"/>
  <c r="D273" i="17" s="1"/>
  <c r="D274" i="17" s="1"/>
  <c r="D275" i="17" s="1"/>
  <c r="D276" i="17" s="1"/>
  <c r="D277" i="17" s="1"/>
  <c r="D278" i="17" s="1"/>
  <c r="D279" i="17" s="1"/>
  <c r="D280" i="17" s="1"/>
  <c r="D281" i="17" s="1"/>
  <c r="D282" i="17" s="1"/>
  <c r="D283" i="17" s="1"/>
  <c r="D284" i="17" s="1"/>
  <c r="D285" i="17" s="1"/>
  <c r="D286" i="17" s="1"/>
  <c r="D287" i="17" s="1"/>
  <c r="D288" i="17" s="1"/>
  <c r="D289" i="17" s="1"/>
  <c r="D290" i="17" s="1"/>
  <c r="D291" i="17" s="1"/>
  <c r="D292" i="17" s="1"/>
  <c r="D293" i="17" s="1"/>
  <c r="D294" i="17" s="1"/>
  <c r="D295" i="17" s="1"/>
  <c r="D296" i="17" s="1"/>
  <c r="D297" i="17" s="1"/>
  <c r="D298" i="17" s="1"/>
  <c r="D299" i="17" s="1"/>
  <c r="D300" i="17" s="1"/>
  <c r="D301" i="17" s="1"/>
  <c r="D302" i="17" s="1"/>
  <c r="D303" i="17" s="1"/>
  <c r="D304" i="17" s="1"/>
  <c r="D305" i="17" s="1"/>
  <c r="D306" i="17" s="1"/>
  <c r="D307" i="17" s="1"/>
  <c r="D308" i="17" s="1"/>
  <c r="D309" i="17" s="1"/>
  <c r="D310" i="17" s="1"/>
  <c r="D311" i="17" s="1"/>
  <c r="D312" i="17" s="1"/>
  <c r="D313" i="17" s="1"/>
  <c r="D314" i="17" s="1"/>
  <c r="D315" i="17" s="1"/>
  <c r="D316" i="17" s="1"/>
  <c r="D317" i="17" s="1"/>
  <c r="D318" i="17" s="1"/>
  <c r="D319" i="17" s="1"/>
  <c r="D320" i="17" s="1"/>
  <c r="D321" i="17" s="1"/>
  <c r="D322" i="17" s="1"/>
  <c r="D323" i="17" s="1"/>
  <c r="D324" i="17" s="1"/>
  <c r="D325" i="17" s="1"/>
  <c r="D326" i="17" s="1"/>
  <c r="D327" i="17" s="1"/>
  <c r="D328" i="17" s="1"/>
  <c r="D329" i="17" s="1"/>
  <c r="D330" i="17" s="1"/>
  <c r="D331" i="17" s="1"/>
  <c r="D332" i="17" s="1"/>
  <c r="D333" i="17" s="1"/>
  <c r="B6" i="17"/>
  <c r="B18" i="17" l="1"/>
  <c r="B16" i="17"/>
  <c r="B14" i="17"/>
  <c r="B17" i="17"/>
  <c r="B19" i="17" s="1"/>
  <c r="B15" i="17"/>
  <c r="B13" i="17"/>
  <c r="B24" i="17" l="1"/>
  <c r="B26" i="17" s="1"/>
  <c r="B22" i="17"/>
  <c r="B20" i="17"/>
  <c r="B25" i="17"/>
  <c r="B23" i="17"/>
  <c r="B21" i="17"/>
  <c r="B32" i="17" l="1"/>
  <c r="B30" i="17"/>
  <c r="B28" i="17"/>
  <c r="B31" i="17"/>
  <c r="B33" i="17" s="1"/>
  <c r="B29" i="17"/>
  <c r="B27" i="17"/>
  <c r="B39" i="17" l="1"/>
  <c r="B36" i="17"/>
  <c r="B34" i="17"/>
  <c r="B37" i="17"/>
  <c r="B38" i="17"/>
  <c r="B40" i="17" s="1"/>
  <c r="B35" i="17"/>
  <c r="B46" i="17" l="1"/>
  <c r="B44" i="17"/>
  <c r="B42" i="17"/>
  <c r="B41" i="17"/>
  <c r="B43" i="17"/>
  <c r="B45" i="17"/>
  <c r="B47" i="17" s="1"/>
  <c r="B52" i="17" l="1"/>
  <c r="B54" i="17" s="1"/>
  <c r="B50" i="17"/>
  <c r="B48" i="17"/>
  <c r="B49" i="17"/>
  <c r="B51" i="17"/>
  <c r="B53" i="17"/>
  <c r="B60" i="17" l="1"/>
  <c r="B58" i="17"/>
  <c r="B56" i="17"/>
  <c r="B57" i="17"/>
  <c r="B55" i="17"/>
  <c r="B59" i="17"/>
  <c r="B61" i="17" s="1"/>
  <c r="B66" i="17" l="1"/>
  <c r="B68" i="17" s="1"/>
  <c r="B64" i="17"/>
  <c r="B62" i="17"/>
  <c r="B65" i="17"/>
  <c r="B63" i="17"/>
  <c r="B67" i="17"/>
  <c r="B74" i="17" l="1"/>
  <c r="B72" i="17"/>
  <c r="B70" i="17"/>
  <c r="B73" i="17"/>
  <c r="B75" i="17" s="1"/>
  <c r="B71" i="17"/>
  <c r="B69" i="17"/>
  <c r="B80" i="17" l="1"/>
  <c r="B82" i="17" s="1"/>
  <c r="B78" i="17"/>
  <c r="B76" i="17"/>
  <c r="B81" i="17"/>
  <c r="B79" i="17"/>
  <c r="B77" i="17"/>
  <c r="B88" i="17" l="1"/>
  <c r="B86" i="17"/>
  <c r="B84" i="17"/>
  <c r="B87" i="17"/>
  <c r="B89" i="17" s="1"/>
  <c r="B85" i="17"/>
  <c r="B83" i="17"/>
  <c r="B94" i="17" l="1"/>
  <c r="B96" i="17" s="1"/>
  <c r="B92" i="17"/>
  <c r="B90" i="17"/>
  <c r="B95" i="17"/>
  <c r="B91" i="17"/>
  <c r="B93" i="17"/>
  <c r="B102" i="17" l="1"/>
  <c r="B100" i="17"/>
  <c r="B98" i="17"/>
  <c r="B97" i="17"/>
  <c r="B99" i="17"/>
  <c r="B101" i="17"/>
  <c r="B103" i="17" s="1"/>
  <c r="B108" i="17" l="1"/>
  <c r="B110" i="17" s="1"/>
  <c r="B106" i="17"/>
  <c r="B104" i="17"/>
  <c r="B105" i="17"/>
  <c r="B109" i="17"/>
  <c r="B107" i="17"/>
  <c r="B116" i="17" l="1"/>
  <c r="B114" i="17"/>
  <c r="B112" i="17"/>
  <c r="B113" i="17"/>
  <c r="B115" i="17"/>
  <c r="B117" i="17" s="1"/>
  <c r="B111" i="17"/>
  <c r="B122" i="17" l="1"/>
  <c r="B124" i="17" s="1"/>
  <c r="B120" i="17"/>
  <c r="B118" i="17"/>
  <c r="B121" i="17"/>
  <c r="B119" i="17"/>
  <c r="B123" i="17"/>
  <c r="B130" i="17" l="1"/>
  <c r="B128" i="17"/>
  <c r="B126" i="17"/>
  <c r="B129" i="17"/>
  <c r="B131" i="17" s="1"/>
  <c r="B127" i="17"/>
  <c r="B125" i="17"/>
  <c r="B136" i="17" l="1"/>
  <c r="B138" i="17" s="1"/>
  <c r="B134" i="17"/>
  <c r="B132" i="17"/>
  <c r="B137" i="17"/>
  <c r="B135" i="17"/>
  <c r="B133" i="17"/>
  <c r="B144" i="17" l="1"/>
  <c r="B142" i="17"/>
  <c r="B140" i="17"/>
  <c r="B139" i="17"/>
  <c r="B143" i="17"/>
  <c r="B145" i="17" s="1"/>
  <c r="B141" i="17"/>
  <c r="B150" i="17" l="1"/>
  <c r="B152" i="17" s="1"/>
  <c r="B148" i="17"/>
  <c r="B146" i="17"/>
  <c r="B151" i="17"/>
  <c r="B149" i="17"/>
  <c r="B147" i="17"/>
  <c r="B158" i="17" l="1"/>
  <c r="B156" i="17"/>
  <c r="B154" i="17"/>
  <c r="B153" i="17"/>
  <c r="B157" i="17"/>
  <c r="B159" i="17" s="1"/>
  <c r="B155" i="17"/>
  <c r="B165" i="17" l="1"/>
  <c r="B164" i="17"/>
  <c r="B166" i="17" s="1"/>
  <c r="B162" i="17"/>
  <c r="B160" i="17"/>
  <c r="B161" i="17"/>
  <c r="B163" i="17"/>
  <c r="B169" i="17" l="1"/>
  <c r="B172" i="17"/>
  <c r="B168" i="17"/>
  <c r="B171" i="17"/>
  <c r="B173" i="17" s="1"/>
  <c r="B167" i="17"/>
  <c r="B170" i="17"/>
  <c r="B177" i="17" l="1"/>
  <c r="B176" i="17"/>
  <c r="B179" i="17"/>
  <c r="B175" i="17"/>
  <c r="B174" i="17"/>
  <c r="B178" i="17"/>
  <c r="B180" i="17" s="1"/>
  <c r="B185" i="17" l="1"/>
  <c r="B187" i="17" s="1"/>
  <c r="B183" i="17"/>
  <c r="B181" i="17"/>
  <c r="B186" i="17"/>
  <c r="B184" i="17"/>
  <c r="B182" i="17"/>
  <c r="B193" i="17" l="1"/>
  <c r="B191" i="17"/>
  <c r="B189" i="17"/>
  <c r="B188" i="17"/>
  <c r="B192" i="17"/>
  <c r="B194" i="17" s="1"/>
  <c r="B190" i="17"/>
  <c r="B199" i="17" l="1"/>
  <c r="B201" i="17" s="1"/>
  <c r="B197" i="17"/>
  <c r="B195" i="17"/>
  <c r="B196" i="17"/>
  <c r="B200" i="17"/>
  <c r="B198" i="17"/>
  <c r="B207" i="17" l="1"/>
  <c r="B205" i="17"/>
  <c r="B203" i="17"/>
  <c r="B204" i="17"/>
  <c r="B202" i="17"/>
  <c r="B206" i="17"/>
  <c r="B208" i="17" s="1"/>
  <c r="B213" i="17" l="1"/>
  <c r="B215" i="17" s="1"/>
  <c r="B211" i="17"/>
  <c r="B209" i="17"/>
  <c r="B212" i="17"/>
  <c r="B210" i="17"/>
  <c r="B214" i="17"/>
  <c r="B221" i="17" l="1"/>
  <c r="B219" i="17"/>
  <c r="B217" i="17"/>
  <c r="B220" i="17"/>
  <c r="B222" i="17" s="1"/>
  <c r="B218" i="17"/>
  <c r="B216" i="17"/>
  <c r="B227" i="17" l="1"/>
  <c r="B229" i="17" s="1"/>
  <c r="B225" i="17"/>
  <c r="B223" i="17"/>
  <c r="B228" i="17"/>
  <c r="B226" i="17"/>
  <c r="B224" i="17"/>
  <c r="B235" i="17" l="1"/>
  <c r="B233" i="17"/>
  <c r="B231" i="17"/>
  <c r="B234" i="17"/>
  <c r="B236" i="17" s="1"/>
  <c r="B232" i="17"/>
  <c r="B230" i="17"/>
  <c r="B241" i="17" l="1"/>
  <c r="B243" i="17" s="1"/>
  <c r="B239" i="17"/>
  <c r="B237" i="17"/>
  <c r="B242" i="17"/>
  <c r="B240" i="17"/>
  <c r="B238" i="17"/>
  <c r="B249" i="17" l="1"/>
  <c r="B247" i="17"/>
  <c r="B245" i="17"/>
  <c r="B244" i="17"/>
  <c r="B248" i="17"/>
  <c r="B250" i="17" s="1"/>
  <c r="B246" i="17"/>
  <c r="B255" i="17" l="1"/>
  <c r="B257" i="17" s="1"/>
  <c r="B253" i="17"/>
  <c r="B251" i="17"/>
  <c r="B252" i="17"/>
  <c r="B256" i="17"/>
  <c r="B254" i="17"/>
  <c r="B263" i="17" l="1"/>
  <c r="B261" i="17"/>
  <c r="B259" i="17"/>
  <c r="B260" i="17"/>
  <c r="B258" i="17"/>
  <c r="B262" i="17"/>
  <c r="B264" i="17" s="1"/>
  <c r="B269" i="17" l="1"/>
  <c r="B271" i="17" s="1"/>
  <c r="B267" i="17"/>
  <c r="B265" i="17"/>
  <c r="B268" i="17"/>
  <c r="B266" i="17"/>
  <c r="B270" i="17"/>
  <c r="B277" i="17" l="1"/>
  <c r="B275" i="17"/>
  <c r="B273" i="17"/>
  <c r="B276" i="17"/>
  <c r="B278" i="17" s="1"/>
  <c r="B274" i="17"/>
  <c r="B272" i="17"/>
  <c r="B283" i="17" l="1"/>
  <c r="B285" i="17" s="1"/>
  <c r="B281" i="17"/>
  <c r="B279" i="17"/>
  <c r="B284" i="17"/>
  <c r="B282" i="17"/>
  <c r="B280" i="17"/>
  <c r="B291" i="17" l="1"/>
  <c r="B289" i="17"/>
  <c r="B287" i="17"/>
  <c r="B290" i="17"/>
  <c r="B292" i="17" s="1"/>
  <c r="B288" i="17"/>
  <c r="B286" i="17"/>
  <c r="B297" i="17" l="1"/>
  <c r="B299" i="17" s="1"/>
  <c r="B295" i="17"/>
  <c r="B293" i="17"/>
  <c r="B298" i="17"/>
  <c r="B296" i="17"/>
  <c r="B294" i="17"/>
  <c r="B305" i="17" l="1"/>
  <c r="B303" i="17"/>
  <c r="B301" i="17"/>
  <c r="B300" i="17"/>
  <c r="B304" i="17"/>
  <c r="B306" i="17" s="1"/>
  <c r="B302" i="17"/>
  <c r="B311" i="17" l="1"/>
  <c r="B313" i="17" s="1"/>
  <c r="B309" i="17"/>
  <c r="B307" i="17"/>
  <c r="B308" i="17"/>
  <c r="B312" i="17"/>
  <c r="B310" i="17"/>
  <c r="B319" i="17" l="1"/>
  <c r="B317" i="17"/>
  <c r="B315" i="17"/>
  <c r="B316" i="17"/>
  <c r="B314" i="17"/>
  <c r="B318" i="17"/>
  <c r="B320" i="17" s="1"/>
  <c r="B325" i="17" l="1"/>
  <c r="B327" i="17" s="1"/>
  <c r="B323" i="17"/>
  <c r="B321" i="17"/>
  <c r="B324" i="17"/>
  <c r="B322" i="17"/>
  <c r="B326" i="17"/>
  <c r="B333" i="17" l="1"/>
  <c r="B331" i="17"/>
  <c r="B329" i="17"/>
  <c r="B332" i="17"/>
  <c r="B330" i="17"/>
  <c r="B328" i="17"/>
  <c r="B2651" i="18" l="1"/>
  <c r="B2652" i="18" s="1"/>
  <c r="B2657" i="18" s="1"/>
  <c r="B2659" i="18" s="1"/>
  <c r="B2649" i="18"/>
  <c r="B2650" i="18" s="1"/>
  <c r="B2648" i="18"/>
  <c r="B2647" i="18"/>
  <c r="D2646" i="18"/>
  <c r="D2647" i="18" s="1"/>
  <c r="D2648" i="18" s="1"/>
  <c r="D2649" i="18" s="1"/>
  <c r="D2650" i="18" s="1"/>
  <c r="D2651" i="18" s="1"/>
  <c r="D2652" i="18" s="1"/>
  <c r="D2653" i="18" s="1"/>
  <c r="D2654" i="18" s="1"/>
  <c r="D2655" i="18" s="1"/>
  <c r="D2656" i="18" s="1"/>
  <c r="D2657" i="18" s="1"/>
  <c r="D2658" i="18" s="1"/>
  <c r="D2659" i="18" s="1"/>
  <c r="D2660" i="18" s="1"/>
  <c r="D2661" i="18" s="1"/>
  <c r="D2662" i="18" s="1"/>
  <c r="D2663" i="18" s="1"/>
  <c r="D2664" i="18" s="1"/>
  <c r="D2665" i="18" s="1"/>
  <c r="D2666" i="18" s="1"/>
  <c r="D2667" i="18" s="1"/>
  <c r="D2668" i="18" s="1"/>
  <c r="D2669" i="18" s="1"/>
  <c r="D2670" i="18" s="1"/>
  <c r="D2671" i="18" s="1"/>
  <c r="D2672" i="18" s="1"/>
  <c r="D2673" i="18" s="1"/>
  <c r="D2674" i="18" s="1"/>
  <c r="D2675" i="18" s="1"/>
  <c r="D2676" i="18" s="1"/>
  <c r="D2677" i="18" s="1"/>
  <c r="D2678" i="18" s="1"/>
  <c r="D2679" i="18" s="1"/>
  <c r="D2680" i="18" s="1"/>
  <c r="D2681" i="18" s="1"/>
  <c r="D2682" i="18" s="1"/>
  <c r="D2683" i="18" s="1"/>
  <c r="D2684" i="18" s="1"/>
  <c r="D2685" i="18" s="1"/>
  <c r="D2686" i="18" s="1"/>
  <c r="D2687" i="18" s="1"/>
  <c r="D2688" i="18" s="1"/>
  <c r="D2689" i="18" s="1"/>
  <c r="D2690" i="18" s="1"/>
  <c r="D2691" i="18" s="1"/>
  <c r="D2692" i="18" s="1"/>
  <c r="D2693" i="18" s="1"/>
  <c r="D2694" i="18" s="1"/>
  <c r="D2695" i="18" s="1"/>
  <c r="D2696" i="18" s="1"/>
  <c r="D2697" i="18" s="1"/>
  <c r="D2698" i="18" s="1"/>
  <c r="D2699" i="18" s="1"/>
  <c r="D2700" i="18" s="1"/>
  <c r="D2701" i="18" s="1"/>
  <c r="D2702" i="18" s="1"/>
  <c r="D2703" i="18" s="1"/>
  <c r="D2704" i="18" s="1"/>
  <c r="D2705" i="18" s="1"/>
  <c r="D2706" i="18" s="1"/>
  <c r="D2707" i="18" s="1"/>
  <c r="D2708" i="18" s="1"/>
  <c r="D2709" i="18" s="1"/>
  <c r="D2710" i="18" s="1"/>
  <c r="D2711" i="18" s="1"/>
  <c r="D2712" i="18" s="1"/>
  <c r="D2713" i="18" s="1"/>
  <c r="D2714" i="18" s="1"/>
  <c r="D2715" i="18" s="1"/>
  <c r="D2716" i="18" s="1"/>
  <c r="D2717" i="18" s="1"/>
  <c r="D2718" i="18" s="1"/>
  <c r="D2719" i="18" s="1"/>
  <c r="D2720" i="18" s="1"/>
  <c r="D2721" i="18" s="1"/>
  <c r="D2722" i="18" s="1"/>
  <c r="D2723" i="18" s="1"/>
  <c r="D2724" i="18" s="1"/>
  <c r="D2725" i="18" s="1"/>
  <c r="D2726" i="18" s="1"/>
  <c r="D2727" i="18" s="1"/>
  <c r="D2728" i="18" s="1"/>
  <c r="D2729" i="18" s="1"/>
  <c r="D2730" i="18" s="1"/>
  <c r="D2731" i="18" s="1"/>
  <c r="D2732" i="18" s="1"/>
  <c r="D2733" i="18" s="1"/>
  <c r="D2734" i="18" s="1"/>
  <c r="D2735" i="18" s="1"/>
  <c r="D2736" i="18" s="1"/>
  <c r="D2737" i="18" s="1"/>
  <c r="D2738" i="18" s="1"/>
  <c r="D2739" i="18" s="1"/>
  <c r="D2740" i="18" s="1"/>
  <c r="D2741" i="18" s="1"/>
  <c r="D2742" i="18" s="1"/>
  <c r="D2743" i="18" s="1"/>
  <c r="D2744" i="18" s="1"/>
  <c r="D2745" i="18" s="1"/>
  <c r="D2746" i="18" s="1"/>
  <c r="D2747" i="18" s="1"/>
  <c r="D2748" i="18" s="1"/>
  <c r="D2749" i="18" s="1"/>
  <c r="D2750" i="18" s="1"/>
  <c r="D2751" i="18" s="1"/>
  <c r="D2752" i="18" s="1"/>
  <c r="D2753" i="18" s="1"/>
  <c r="D2754" i="18" s="1"/>
  <c r="D2755" i="18" s="1"/>
  <c r="D2756" i="18" s="1"/>
  <c r="D2757" i="18" s="1"/>
  <c r="D2758" i="18" s="1"/>
  <c r="D2759" i="18" s="1"/>
  <c r="D2760" i="18" s="1"/>
  <c r="D2761" i="18" s="1"/>
  <c r="D2762" i="18" s="1"/>
  <c r="D2763" i="18" s="1"/>
  <c r="D2764" i="18" s="1"/>
  <c r="D2765" i="18" s="1"/>
  <c r="D2766" i="18" s="1"/>
  <c r="D2767" i="18" s="1"/>
  <c r="D2768" i="18" s="1"/>
  <c r="D2769" i="18" s="1"/>
  <c r="D2770" i="18" s="1"/>
  <c r="D2771" i="18" s="1"/>
  <c r="D2772" i="18" s="1"/>
  <c r="D2773" i="18" s="1"/>
  <c r="D2774" i="18" s="1"/>
  <c r="D2775" i="18" s="1"/>
  <c r="D2776" i="18" s="1"/>
  <c r="D2777" i="18" s="1"/>
  <c r="D2778" i="18" s="1"/>
  <c r="D2779" i="18" s="1"/>
  <c r="D2780" i="18" s="1"/>
  <c r="D2781" i="18" s="1"/>
  <c r="D2782" i="18" s="1"/>
  <c r="D2783" i="18" s="1"/>
  <c r="D2784" i="18" s="1"/>
  <c r="D2785" i="18" s="1"/>
  <c r="D2786" i="18" s="1"/>
  <c r="D2787" i="18" s="1"/>
  <c r="D2788" i="18" s="1"/>
  <c r="D2789" i="18" s="1"/>
  <c r="D2790" i="18" s="1"/>
  <c r="D2791" i="18" s="1"/>
  <c r="D2792" i="18" s="1"/>
  <c r="D2793" i="18" s="1"/>
  <c r="D2794" i="18" s="1"/>
  <c r="D2795" i="18" s="1"/>
  <c r="D2796" i="18" s="1"/>
  <c r="D2797" i="18" s="1"/>
  <c r="D2798" i="18" s="1"/>
  <c r="D2799" i="18" s="1"/>
  <c r="D2800" i="18" s="1"/>
  <c r="D2801" i="18" s="1"/>
  <c r="D2802" i="18" s="1"/>
  <c r="D2803" i="18" s="1"/>
  <c r="D2804" i="18" s="1"/>
  <c r="D2805" i="18" s="1"/>
  <c r="D2806" i="18" s="1"/>
  <c r="D2807" i="18" s="1"/>
  <c r="D2808" i="18" s="1"/>
  <c r="D2809" i="18" s="1"/>
  <c r="D2810" i="18" s="1"/>
  <c r="D2811" i="18" s="1"/>
  <c r="D2812" i="18" s="1"/>
  <c r="D2813" i="18" s="1"/>
  <c r="D2814" i="18" s="1"/>
  <c r="D2815" i="18" s="1"/>
  <c r="D2816" i="18" s="1"/>
  <c r="D2817" i="18" s="1"/>
  <c r="D2818" i="18" s="1"/>
  <c r="D2819" i="18" s="1"/>
  <c r="D2820" i="18" s="1"/>
  <c r="D2821" i="18" s="1"/>
  <c r="D2822" i="18" s="1"/>
  <c r="D2823" i="18" s="1"/>
  <c r="D2824" i="18" s="1"/>
  <c r="D2825" i="18" s="1"/>
  <c r="D2826" i="18" s="1"/>
  <c r="D2827" i="18" s="1"/>
  <c r="D2828" i="18" s="1"/>
  <c r="D2829" i="18" s="1"/>
  <c r="D2830" i="18" s="1"/>
  <c r="D2831" i="18" s="1"/>
  <c r="D2832" i="18" s="1"/>
  <c r="D2833" i="18" s="1"/>
  <c r="D2834" i="18" s="1"/>
  <c r="D2835" i="18" s="1"/>
  <c r="D2836" i="18" s="1"/>
  <c r="D2837" i="18" s="1"/>
  <c r="D2838" i="18" s="1"/>
  <c r="D2839" i="18" s="1"/>
  <c r="D2840" i="18" s="1"/>
  <c r="D2841" i="18" s="1"/>
  <c r="D2842" i="18" s="1"/>
  <c r="D2843" i="18" s="1"/>
  <c r="D2844" i="18" s="1"/>
  <c r="D2845" i="18" s="1"/>
  <c r="D2846" i="18" s="1"/>
  <c r="D2847" i="18" s="1"/>
  <c r="D2848" i="18" s="1"/>
  <c r="D2849" i="18" s="1"/>
  <c r="D2850" i="18" s="1"/>
  <c r="D2851" i="18" s="1"/>
  <c r="D2852" i="18" s="1"/>
  <c r="D2853" i="18" s="1"/>
  <c r="D2854" i="18" s="1"/>
  <c r="D2855" i="18" s="1"/>
  <c r="D2856" i="18" s="1"/>
  <c r="D2857" i="18" s="1"/>
  <c r="D2858" i="18" s="1"/>
  <c r="D2859" i="18" s="1"/>
  <c r="D2860" i="18" s="1"/>
  <c r="D2861" i="18" s="1"/>
  <c r="D2862" i="18" s="1"/>
  <c r="D2863" i="18" s="1"/>
  <c r="D2864" i="18" s="1"/>
  <c r="D2865" i="18" s="1"/>
  <c r="D2866" i="18" s="1"/>
  <c r="D2867" i="18" s="1"/>
  <c r="D2868" i="18" s="1"/>
  <c r="D2869" i="18" s="1"/>
  <c r="D2870" i="18" s="1"/>
  <c r="D2871" i="18" s="1"/>
  <c r="D2872" i="18" s="1"/>
  <c r="D2873" i="18" s="1"/>
  <c r="D2874" i="18" s="1"/>
  <c r="D2875" i="18" s="1"/>
  <c r="D2876" i="18" s="1"/>
  <c r="D2877" i="18" s="1"/>
  <c r="D2878" i="18" s="1"/>
  <c r="D2879" i="18" s="1"/>
  <c r="D2880" i="18" s="1"/>
  <c r="D2881" i="18" s="1"/>
  <c r="D2882" i="18" s="1"/>
  <c r="D2883" i="18" s="1"/>
  <c r="D2884" i="18" s="1"/>
  <c r="D2885" i="18" s="1"/>
  <c r="D2886" i="18" s="1"/>
  <c r="D2887" i="18" s="1"/>
  <c r="D2888" i="18" s="1"/>
  <c r="D2889" i="18" s="1"/>
  <c r="D2890" i="18" s="1"/>
  <c r="D2891" i="18" s="1"/>
  <c r="D2892" i="18" s="1"/>
  <c r="D2893" i="18" s="1"/>
  <c r="D2894" i="18" s="1"/>
  <c r="D2895" i="18" s="1"/>
  <c r="D2896" i="18" s="1"/>
  <c r="D2897" i="18" s="1"/>
  <c r="D2898" i="18" s="1"/>
  <c r="D2899" i="18" s="1"/>
  <c r="D2900" i="18" s="1"/>
  <c r="D2901" i="18" s="1"/>
  <c r="D2902" i="18" s="1"/>
  <c r="D2903" i="18" s="1"/>
  <c r="D2904" i="18" s="1"/>
  <c r="D2905" i="18" s="1"/>
  <c r="D2906" i="18" s="1"/>
  <c r="D2907" i="18" s="1"/>
  <c r="D2908" i="18" s="1"/>
  <c r="D2909" i="18" s="1"/>
  <c r="D2910" i="18" s="1"/>
  <c r="D2911" i="18" s="1"/>
  <c r="D2912" i="18" s="1"/>
  <c r="D2913" i="18" s="1"/>
  <c r="D2914" i="18" s="1"/>
  <c r="D2915" i="18" s="1"/>
  <c r="D2916" i="18" s="1"/>
  <c r="D2917" i="18" s="1"/>
  <c r="D2918" i="18" s="1"/>
  <c r="D2919" i="18" s="1"/>
  <c r="D2920" i="18" s="1"/>
  <c r="D2921" i="18" s="1"/>
  <c r="D2922" i="18" s="1"/>
  <c r="D2923" i="18" s="1"/>
  <c r="D2924" i="18" s="1"/>
  <c r="D2925" i="18" s="1"/>
  <c r="D2926" i="18" s="1"/>
  <c r="D2927" i="18" s="1"/>
  <c r="D2928" i="18" s="1"/>
  <c r="D2929" i="18" s="1"/>
  <c r="D2930" i="18" s="1"/>
  <c r="D2931" i="18" s="1"/>
  <c r="D2932" i="18" s="1"/>
  <c r="D2933" i="18" s="1"/>
  <c r="D2934" i="18" s="1"/>
  <c r="D2935" i="18" s="1"/>
  <c r="D2936" i="18" s="1"/>
  <c r="D2937" i="18" s="1"/>
  <c r="D2938" i="18" s="1"/>
  <c r="D2939" i="18" s="1"/>
  <c r="D2940" i="18" s="1"/>
  <c r="D2941" i="18" s="1"/>
  <c r="D2942" i="18" s="1"/>
  <c r="D2943" i="18" s="1"/>
  <c r="D2944" i="18" s="1"/>
  <c r="D2945" i="18" s="1"/>
  <c r="D2946" i="18" s="1"/>
  <c r="D2947" i="18" s="1"/>
  <c r="D2948" i="18" s="1"/>
  <c r="D2949" i="18" s="1"/>
  <c r="D2950" i="18" s="1"/>
  <c r="D2951" i="18" s="1"/>
  <c r="D2952" i="18" s="1"/>
  <c r="D2953" i="18" s="1"/>
  <c r="D2954" i="18" s="1"/>
  <c r="D2955" i="18" s="1"/>
  <c r="D2956" i="18" s="1"/>
  <c r="D2957" i="18" s="1"/>
  <c r="D2958" i="18" s="1"/>
  <c r="D2959" i="18" s="1"/>
  <c r="D2960" i="18" s="1"/>
  <c r="D2961" i="18" s="1"/>
  <c r="D2962" i="18" s="1"/>
  <c r="D2963" i="18" s="1"/>
  <c r="D2964" i="18" s="1"/>
  <c r="D2965" i="18" s="1"/>
  <c r="D2966" i="18" s="1"/>
  <c r="D2967" i="18" s="1"/>
  <c r="D2968" i="18" s="1"/>
  <c r="D2969" i="18" s="1"/>
  <c r="D2970" i="18" s="1"/>
  <c r="D2971" i="18" s="1"/>
  <c r="D2972" i="18" s="1"/>
  <c r="D2973" i="18" s="1"/>
  <c r="B2646" i="18"/>
  <c r="B2322" i="18"/>
  <c r="B2323" i="18" s="1"/>
  <c r="B2320" i="18"/>
  <c r="B2321" i="18" s="1"/>
  <c r="B2319" i="18"/>
  <c r="B2318" i="18"/>
  <c r="D2317" i="18"/>
  <c r="D2318" i="18" s="1"/>
  <c r="D2319" i="18" s="1"/>
  <c r="D2320" i="18" s="1"/>
  <c r="D2321" i="18" s="1"/>
  <c r="D2322" i="18" s="1"/>
  <c r="D2323" i="18" s="1"/>
  <c r="D2324" i="18" s="1"/>
  <c r="D2325" i="18" s="1"/>
  <c r="D2326" i="18" s="1"/>
  <c r="D2327" i="18" s="1"/>
  <c r="D2328" i="18" s="1"/>
  <c r="D2329" i="18" s="1"/>
  <c r="D2330" i="18" s="1"/>
  <c r="D2331" i="18" s="1"/>
  <c r="D2332" i="18" s="1"/>
  <c r="D2333" i="18" s="1"/>
  <c r="D2334" i="18" s="1"/>
  <c r="D2335" i="18" s="1"/>
  <c r="D2336" i="18" s="1"/>
  <c r="D2337" i="18" s="1"/>
  <c r="D2338" i="18" s="1"/>
  <c r="D2339" i="18" s="1"/>
  <c r="D2340" i="18" s="1"/>
  <c r="D2341" i="18" s="1"/>
  <c r="D2342" i="18" s="1"/>
  <c r="D2343" i="18" s="1"/>
  <c r="D2344" i="18" s="1"/>
  <c r="D2345" i="18" s="1"/>
  <c r="D2346" i="18" s="1"/>
  <c r="D2347" i="18" s="1"/>
  <c r="D2348" i="18" s="1"/>
  <c r="D2349" i="18" s="1"/>
  <c r="D2350" i="18" s="1"/>
  <c r="D2351" i="18" s="1"/>
  <c r="D2352" i="18" s="1"/>
  <c r="D2353" i="18" s="1"/>
  <c r="D2354" i="18" s="1"/>
  <c r="D2355" i="18" s="1"/>
  <c r="D2356" i="18" s="1"/>
  <c r="D2357" i="18" s="1"/>
  <c r="D2358" i="18" s="1"/>
  <c r="D2359" i="18" s="1"/>
  <c r="D2360" i="18" s="1"/>
  <c r="D2361" i="18" s="1"/>
  <c r="D2362" i="18" s="1"/>
  <c r="D2363" i="18" s="1"/>
  <c r="D2364" i="18" s="1"/>
  <c r="D2365" i="18" s="1"/>
  <c r="D2366" i="18" s="1"/>
  <c r="D2367" i="18" s="1"/>
  <c r="D2368" i="18" s="1"/>
  <c r="D2369" i="18" s="1"/>
  <c r="D2370" i="18" s="1"/>
  <c r="D2371" i="18" s="1"/>
  <c r="D2372" i="18" s="1"/>
  <c r="D2373" i="18" s="1"/>
  <c r="D2374" i="18" s="1"/>
  <c r="D2375" i="18" s="1"/>
  <c r="D2376" i="18" s="1"/>
  <c r="D2377" i="18" s="1"/>
  <c r="D2378" i="18" s="1"/>
  <c r="D2379" i="18" s="1"/>
  <c r="D2380" i="18" s="1"/>
  <c r="D2381" i="18" s="1"/>
  <c r="D2382" i="18" s="1"/>
  <c r="D2383" i="18" s="1"/>
  <c r="D2384" i="18" s="1"/>
  <c r="D2385" i="18" s="1"/>
  <c r="D2386" i="18" s="1"/>
  <c r="D2387" i="18" s="1"/>
  <c r="D2388" i="18" s="1"/>
  <c r="D2389" i="18" s="1"/>
  <c r="D2390" i="18" s="1"/>
  <c r="D2391" i="18" s="1"/>
  <c r="D2392" i="18" s="1"/>
  <c r="D2393" i="18" s="1"/>
  <c r="D2394" i="18" s="1"/>
  <c r="D2395" i="18" s="1"/>
  <c r="D2396" i="18" s="1"/>
  <c r="D2397" i="18" s="1"/>
  <c r="D2398" i="18" s="1"/>
  <c r="D2399" i="18" s="1"/>
  <c r="D2400" i="18" s="1"/>
  <c r="D2401" i="18" s="1"/>
  <c r="D2402" i="18" s="1"/>
  <c r="D2403" i="18" s="1"/>
  <c r="D2404" i="18" s="1"/>
  <c r="D2405" i="18" s="1"/>
  <c r="D2406" i="18" s="1"/>
  <c r="D2407" i="18" s="1"/>
  <c r="D2408" i="18" s="1"/>
  <c r="D2409" i="18" s="1"/>
  <c r="D2410" i="18" s="1"/>
  <c r="D2411" i="18" s="1"/>
  <c r="D2412" i="18" s="1"/>
  <c r="D2413" i="18" s="1"/>
  <c r="D2414" i="18" s="1"/>
  <c r="D2415" i="18" s="1"/>
  <c r="D2416" i="18" s="1"/>
  <c r="D2417" i="18" s="1"/>
  <c r="D2418" i="18" s="1"/>
  <c r="D2419" i="18" s="1"/>
  <c r="D2420" i="18" s="1"/>
  <c r="D2421" i="18" s="1"/>
  <c r="D2422" i="18" s="1"/>
  <c r="D2423" i="18" s="1"/>
  <c r="D2424" i="18" s="1"/>
  <c r="D2425" i="18" s="1"/>
  <c r="D2426" i="18" s="1"/>
  <c r="D2427" i="18" s="1"/>
  <c r="D2428" i="18" s="1"/>
  <c r="D2429" i="18" s="1"/>
  <c r="D2430" i="18" s="1"/>
  <c r="D2431" i="18" s="1"/>
  <c r="D2432" i="18" s="1"/>
  <c r="D2433" i="18" s="1"/>
  <c r="D2434" i="18" s="1"/>
  <c r="D2435" i="18" s="1"/>
  <c r="D2436" i="18" s="1"/>
  <c r="D2437" i="18" s="1"/>
  <c r="D2438" i="18" s="1"/>
  <c r="D2439" i="18" s="1"/>
  <c r="D2440" i="18" s="1"/>
  <c r="D2441" i="18" s="1"/>
  <c r="D2442" i="18" s="1"/>
  <c r="D2443" i="18" s="1"/>
  <c r="D2444" i="18" s="1"/>
  <c r="D2445" i="18" s="1"/>
  <c r="D2446" i="18" s="1"/>
  <c r="D2447" i="18" s="1"/>
  <c r="D2448" i="18" s="1"/>
  <c r="D2449" i="18" s="1"/>
  <c r="D2450" i="18" s="1"/>
  <c r="D2451" i="18" s="1"/>
  <c r="D2452" i="18" s="1"/>
  <c r="D2453" i="18" s="1"/>
  <c r="D2454" i="18" s="1"/>
  <c r="D2455" i="18" s="1"/>
  <c r="D2456" i="18" s="1"/>
  <c r="D2457" i="18" s="1"/>
  <c r="D2458" i="18" s="1"/>
  <c r="D2459" i="18" s="1"/>
  <c r="D2460" i="18" s="1"/>
  <c r="D2461" i="18" s="1"/>
  <c r="D2462" i="18" s="1"/>
  <c r="D2463" i="18" s="1"/>
  <c r="D2464" i="18" s="1"/>
  <c r="D2465" i="18" s="1"/>
  <c r="D2466" i="18" s="1"/>
  <c r="D2467" i="18" s="1"/>
  <c r="D2468" i="18" s="1"/>
  <c r="D2469" i="18" s="1"/>
  <c r="D2470" i="18" s="1"/>
  <c r="D2471" i="18" s="1"/>
  <c r="D2472" i="18" s="1"/>
  <c r="D2473" i="18" s="1"/>
  <c r="D2474" i="18" s="1"/>
  <c r="D2475" i="18" s="1"/>
  <c r="D2476" i="18" s="1"/>
  <c r="D2477" i="18" s="1"/>
  <c r="D2478" i="18" s="1"/>
  <c r="D2479" i="18" s="1"/>
  <c r="D2480" i="18" s="1"/>
  <c r="D2481" i="18" s="1"/>
  <c r="D2482" i="18" s="1"/>
  <c r="D2483" i="18" s="1"/>
  <c r="D2484" i="18" s="1"/>
  <c r="D2485" i="18" s="1"/>
  <c r="D2486" i="18" s="1"/>
  <c r="D2487" i="18" s="1"/>
  <c r="D2488" i="18" s="1"/>
  <c r="D2489" i="18" s="1"/>
  <c r="D2490" i="18" s="1"/>
  <c r="D2491" i="18" s="1"/>
  <c r="D2492" i="18" s="1"/>
  <c r="D2493" i="18" s="1"/>
  <c r="D2494" i="18" s="1"/>
  <c r="D2495" i="18" s="1"/>
  <c r="D2496" i="18" s="1"/>
  <c r="D2497" i="18" s="1"/>
  <c r="D2498" i="18" s="1"/>
  <c r="D2499" i="18" s="1"/>
  <c r="D2500" i="18" s="1"/>
  <c r="D2501" i="18" s="1"/>
  <c r="D2502" i="18" s="1"/>
  <c r="D2503" i="18" s="1"/>
  <c r="D2504" i="18" s="1"/>
  <c r="D2505" i="18" s="1"/>
  <c r="D2506" i="18" s="1"/>
  <c r="D2507" i="18" s="1"/>
  <c r="D2508" i="18" s="1"/>
  <c r="D2509" i="18" s="1"/>
  <c r="D2510" i="18" s="1"/>
  <c r="D2511" i="18" s="1"/>
  <c r="D2512" i="18" s="1"/>
  <c r="D2513" i="18" s="1"/>
  <c r="D2514" i="18" s="1"/>
  <c r="D2515" i="18" s="1"/>
  <c r="D2516" i="18" s="1"/>
  <c r="D2517" i="18" s="1"/>
  <c r="D2518" i="18" s="1"/>
  <c r="D2519" i="18" s="1"/>
  <c r="D2520" i="18" s="1"/>
  <c r="D2521" i="18" s="1"/>
  <c r="D2522" i="18" s="1"/>
  <c r="D2523" i="18" s="1"/>
  <c r="D2524" i="18" s="1"/>
  <c r="D2525" i="18" s="1"/>
  <c r="D2526" i="18" s="1"/>
  <c r="D2527" i="18" s="1"/>
  <c r="D2528" i="18" s="1"/>
  <c r="D2529" i="18" s="1"/>
  <c r="D2530" i="18" s="1"/>
  <c r="D2531" i="18" s="1"/>
  <c r="D2532" i="18" s="1"/>
  <c r="D2533" i="18" s="1"/>
  <c r="D2534" i="18" s="1"/>
  <c r="D2535" i="18" s="1"/>
  <c r="D2536" i="18" s="1"/>
  <c r="D2537" i="18" s="1"/>
  <c r="D2538" i="18" s="1"/>
  <c r="D2539" i="18" s="1"/>
  <c r="D2540" i="18" s="1"/>
  <c r="D2541" i="18" s="1"/>
  <c r="D2542" i="18" s="1"/>
  <c r="D2543" i="18" s="1"/>
  <c r="D2544" i="18" s="1"/>
  <c r="D2545" i="18" s="1"/>
  <c r="D2546" i="18" s="1"/>
  <c r="D2547" i="18" s="1"/>
  <c r="D2548" i="18" s="1"/>
  <c r="D2549" i="18" s="1"/>
  <c r="D2550" i="18" s="1"/>
  <c r="D2551" i="18" s="1"/>
  <c r="D2552" i="18" s="1"/>
  <c r="D2553" i="18" s="1"/>
  <c r="D2554" i="18" s="1"/>
  <c r="D2555" i="18" s="1"/>
  <c r="D2556" i="18" s="1"/>
  <c r="D2557" i="18" s="1"/>
  <c r="D2558" i="18" s="1"/>
  <c r="D2559" i="18" s="1"/>
  <c r="D2560" i="18" s="1"/>
  <c r="D2561" i="18" s="1"/>
  <c r="D2562" i="18" s="1"/>
  <c r="D2563" i="18" s="1"/>
  <c r="D2564" i="18" s="1"/>
  <c r="D2565" i="18" s="1"/>
  <c r="D2566" i="18" s="1"/>
  <c r="D2567" i="18" s="1"/>
  <c r="D2568" i="18" s="1"/>
  <c r="D2569" i="18" s="1"/>
  <c r="D2570" i="18" s="1"/>
  <c r="D2571" i="18" s="1"/>
  <c r="D2572" i="18" s="1"/>
  <c r="D2573" i="18" s="1"/>
  <c r="D2574" i="18" s="1"/>
  <c r="D2575" i="18" s="1"/>
  <c r="D2576" i="18" s="1"/>
  <c r="D2577" i="18" s="1"/>
  <c r="D2578" i="18" s="1"/>
  <c r="D2579" i="18" s="1"/>
  <c r="D2580" i="18" s="1"/>
  <c r="D2581" i="18" s="1"/>
  <c r="D2582" i="18" s="1"/>
  <c r="D2583" i="18" s="1"/>
  <c r="D2584" i="18" s="1"/>
  <c r="D2585" i="18" s="1"/>
  <c r="D2586" i="18" s="1"/>
  <c r="D2587" i="18" s="1"/>
  <c r="D2588" i="18" s="1"/>
  <c r="D2589" i="18" s="1"/>
  <c r="D2590" i="18" s="1"/>
  <c r="D2591" i="18" s="1"/>
  <c r="D2592" i="18" s="1"/>
  <c r="D2593" i="18" s="1"/>
  <c r="D2594" i="18" s="1"/>
  <c r="D2595" i="18" s="1"/>
  <c r="D2596" i="18" s="1"/>
  <c r="D2597" i="18" s="1"/>
  <c r="D2598" i="18" s="1"/>
  <c r="D2599" i="18" s="1"/>
  <c r="D2600" i="18" s="1"/>
  <c r="D2601" i="18" s="1"/>
  <c r="D2602" i="18" s="1"/>
  <c r="D2603" i="18" s="1"/>
  <c r="D2604" i="18" s="1"/>
  <c r="D2605" i="18" s="1"/>
  <c r="D2606" i="18" s="1"/>
  <c r="D2607" i="18" s="1"/>
  <c r="D2608" i="18" s="1"/>
  <c r="D2609" i="18" s="1"/>
  <c r="D2610" i="18" s="1"/>
  <c r="D2611" i="18" s="1"/>
  <c r="D2612" i="18" s="1"/>
  <c r="D2613" i="18" s="1"/>
  <c r="D2614" i="18" s="1"/>
  <c r="D2615" i="18" s="1"/>
  <c r="D2616" i="18" s="1"/>
  <c r="D2617" i="18" s="1"/>
  <c r="D2618" i="18" s="1"/>
  <c r="D2619" i="18" s="1"/>
  <c r="D2620" i="18" s="1"/>
  <c r="D2621" i="18" s="1"/>
  <c r="D2622" i="18" s="1"/>
  <c r="D2623" i="18" s="1"/>
  <c r="D2624" i="18" s="1"/>
  <c r="D2625" i="18" s="1"/>
  <c r="D2626" i="18" s="1"/>
  <c r="D2627" i="18" s="1"/>
  <c r="D2628" i="18" s="1"/>
  <c r="D2629" i="18" s="1"/>
  <c r="D2630" i="18" s="1"/>
  <c r="D2631" i="18" s="1"/>
  <c r="D2632" i="18" s="1"/>
  <c r="D2633" i="18" s="1"/>
  <c r="D2634" i="18" s="1"/>
  <c r="D2635" i="18" s="1"/>
  <c r="D2636" i="18" s="1"/>
  <c r="D2637" i="18" s="1"/>
  <c r="D2638" i="18" s="1"/>
  <c r="D2639" i="18" s="1"/>
  <c r="D2640" i="18" s="1"/>
  <c r="D2641" i="18" s="1"/>
  <c r="D2642" i="18" s="1"/>
  <c r="D2643" i="18" s="1"/>
  <c r="D2644" i="18" s="1"/>
  <c r="B2317" i="18"/>
  <c r="B1993" i="18"/>
  <c r="B1994" i="18" s="1"/>
  <c r="B1991" i="18"/>
  <c r="B1992" i="18" s="1"/>
  <c r="B1990" i="18"/>
  <c r="B1989" i="18"/>
  <c r="D1988" i="18"/>
  <c r="D1989" i="18" s="1"/>
  <c r="D1990" i="18" s="1"/>
  <c r="D1991" i="18" s="1"/>
  <c r="D1992" i="18" s="1"/>
  <c r="D1993" i="18" s="1"/>
  <c r="D1994" i="18" s="1"/>
  <c r="D1995" i="18" s="1"/>
  <c r="D1996" i="18" s="1"/>
  <c r="D1997" i="18" s="1"/>
  <c r="D1998" i="18" s="1"/>
  <c r="D1999" i="18" s="1"/>
  <c r="D2000" i="18" s="1"/>
  <c r="D2001" i="18" s="1"/>
  <c r="D2002" i="18" s="1"/>
  <c r="D2003" i="18" s="1"/>
  <c r="D2004" i="18" s="1"/>
  <c r="D2005" i="18" s="1"/>
  <c r="D2006" i="18" s="1"/>
  <c r="D2007" i="18" s="1"/>
  <c r="D2008" i="18" s="1"/>
  <c r="D2009" i="18" s="1"/>
  <c r="D2010" i="18" s="1"/>
  <c r="D2011" i="18" s="1"/>
  <c r="D2012" i="18" s="1"/>
  <c r="D2013" i="18" s="1"/>
  <c r="D2014" i="18" s="1"/>
  <c r="D2015" i="18" s="1"/>
  <c r="D2016" i="18" s="1"/>
  <c r="D2017" i="18" s="1"/>
  <c r="D2018" i="18" s="1"/>
  <c r="D2019" i="18" s="1"/>
  <c r="D2020" i="18" s="1"/>
  <c r="D2021" i="18" s="1"/>
  <c r="D2022" i="18" s="1"/>
  <c r="D2023" i="18" s="1"/>
  <c r="D2024" i="18" s="1"/>
  <c r="D2025" i="18" s="1"/>
  <c r="D2026" i="18" s="1"/>
  <c r="D2027" i="18" s="1"/>
  <c r="D2028" i="18" s="1"/>
  <c r="D2029" i="18" s="1"/>
  <c r="D2030" i="18" s="1"/>
  <c r="D2031" i="18" s="1"/>
  <c r="D2032" i="18" s="1"/>
  <c r="D2033" i="18" s="1"/>
  <c r="D2034" i="18" s="1"/>
  <c r="D2035" i="18" s="1"/>
  <c r="D2036" i="18" s="1"/>
  <c r="D2037" i="18" s="1"/>
  <c r="D2038" i="18" s="1"/>
  <c r="D2039" i="18" s="1"/>
  <c r="D2040" i="18" s="1"/>
  <c r="D2041" i="18" s="1"/>
  <c r="D2042" i="18" s="1"/>
  <c r="D2043" i="18" s="1"/>
  <c r="D2044" i="18" s="1"/>
  <c r="D2045" i="18" s="1"/>
  <c r="D2046" i="18" s="1"/>
  <c r="D2047" i="18" s="1"/>
  <c r="D2048" i="18" s="1"/>
  <c r="D2049" i="18" s="1"/>
  <c r="D2050" i="18" s="1"/>
  <c r="D2051" i="18" s="1"/>
  <c r="D2052" i="18" s="1"/>
  <c r="D2053" i="18" s="1"/>
  <c r="D2054" i="18" s="1"/>
  <c r="D2055" i="18" s="1"/>
  <c r="D2056" i="18" s="1"/>
  <c r="D2057" i="18" s="1"/>
  <c r="D2058" i="18" s="1"/>
  <c r="D2059" i="18" s="1"/>
  <c r="D2060" i="18" s="1"/>
  <c r="D2061" i="18" s="1"/>
  <c r="D2062" i="18" s="1"/>
  <c r="D2063" i="18" s="1"/>
  <c r="D2064" i="18" s="1"/>
  <c r="D2065" i="18" s="1"/>
  <c r="D2066" i="18" s="1"/>
  <c r="D2067" i="18" s="1"/>
  <c r="D2068" i="18" s="1"/>
  <c r="D2069" i="18" s="1"/>
  <c r="D2070" i="18" s="1"/>
  <c r="D2071" i="18" s="1"/>
  <c r="D2072" i="18" s="1"/>
  <c r="D2073" i="18" s="1"/>
  <c r="D2074" i="18" s="1"/>
  <c r="D2075" i="18" s="1"/>
  <c r="D2076" i="18" s="1"/>
  <c r="D2077" i="18" s="1"/>
  <c r="D2078" i="18" s="1"/>
  <c r="D2079" i="18" s="1"/>
  <c r="D2080" i="18" s="1"/>
  <c r="D2081" i="18" s="1"/>
  <c r="D2082" i="18" s="1"/>
  <c r="D2083" i="18" s="1"/>
  <c r="D2084" i="18" s="1"/>
  <c r="D2085" i="18" s="1"/>
  <c r="D2086" i="18" s="1"/>
  <c r="D2087" i="18" s="1"/>
  <c r="D2088" i="18" s="1"/>
  <c r="D2089" i="18" s="1"/>
  <c r="D2090" i="18" s="1"/>
  <c r="D2091" i="18" s="1"/>
  <c r="D2092" i="18" s="1"/>
  <c r="D2093" i="18" s="1"/>
  <c r="D2094" i="18" s="1"/>
  <c r="D2095" i="18" s="1"/>
  <c r="D2096" i="18" s="1"/>
  <c r="D2097" i="18" s="1"/>
  <c r="D2098" i="18" s="1"/>
  <c r="D2099" i="18" s="1"/>
  <c r="D2100" i="18" s="1"/>
  <c r="D2101" i="18" s="1"/>
  <c r="D2102" i="18" s="1"/>
  <c r="D2103" i="18" s="1"/>
  <c r="D2104" i="18" s="1"/>
  <c r="D2105" i="18" s="1"/>
  <c r="D2106" i="18" s="1"/>
  <c r="D2107" i="18" s="1"/>
  <c r="D2108" i="18" s="1"/>
  <c r="D2109" i="18" s="1"/>
  <c r="D2110" i="18" s="1"/>
  <c r="D2111" i="18" s="1"/>
  <c r="D2112" i="18" s="1"/>
  <c r="D2113" i="18" s="1"/>
  <c r="D2114" i="18" s="1"/>
  <c r="D2115" i="18" s="1"/>
  <c r="D2116" i="18" s="1"/>
  <c r="D2117" i="18" s="1"/>
  <c r="D2118" i="18" s="1"/>
  <c r="D2119" i="18" s="1"/>
  <c r="D2120" i="18" s="1"/>
  <c r="D2121" i="18" s="1"/>
  <c r="D2122" i="18" s="1"/>
  <c r="D2123" i="18" s="1"/>
  <c r="D2124" i="18" s="1"/>
  <c r="D2125" i="18" s="1"/>
  <c r="D2126" i="18" s="1"/>
  <c r="D2127" i="18" s="1"/>
  <c r="D2128" i="18" s="1"/>
  <c r="D2129" i="18" s="1"/>
  <c r="D2130" i="18" s="1"/>
  <c r="D2131" i="18" s="1"/>
  <c r="D2132" i="18" s="1"/>
  <c r="D2133" i="18" s="1"/>
  <c r="D2134" i="18" s="1"/>
  <c r="D2135" i="18" s="1"/>
  <c r="D2136" i="18" s="1"/>
  <c r="D2137" i="18" s="1"/>
  <c r="D2138" i="18" s="1"/>
  <c r="D2139" i="18" s="1"/>
  <c r="D2140" i="18" s="1"/>
  <c r="D2141" i="18" s="1"/>
  <c r="D2142" i="18" s="1"/>
  <c r="D2143" i="18" s="1"/>
  <c r="D2144" i="18" s="1"/>
  <c r="D2145" i="18" s="1"/>
  <c r="D2146" i="18" s="1"/>
  <c r="D2147" i="18" s="1"/>
  <c r="D2148" i="18" s="1"/>
  <c r="D2149" i="18" s="1"/>
  <c r="D2150" i="18" s="1"/>
  <c r="D2151" i="18" s="1"/>
  <c r="D2152" i="18" s="1"/>
  <c r="D2153" i="18" s="1"/>
  <c r="D2154" i="18" s="1"/>
  <c r="D2155" i="18" s="1"/>
  <c r="D2156" i="18" s="1"/>
  <c r="D2157" i="18" s="1"/>
  <c r="D2158" i="18" s="1"/>
  <c r="D2159" i="18" s="1"/>
  <c r="D2160" i="18" s="1"/>
  <c r="D2161" i="18" s="1"/>
  <c r="D2162" i="18" s="1"/>
  <c r="D2163" i="18" s="1"/>
  <c r="D2164" i="18" s="1"/>
  <c r="D2165" i="18" s="1"/>
  <c r="D2166" i="18" s="1"/>
  <c r="D2167" i="18" s="1"/>
  <c r="D2168" i="18" s="1"/>
  <c r="D2169" i="18" s="1"/>
  <c r="D2170" i="18" s="1"/>
  <c r="D2171" i="18" s="1"/>
  <c r="D2172" i="18" s="1"/>
  <c r="D2173" i="18" s="1"/>
  <c r="D2174" i="18" s="1"/>
  <c r="D2175" i="18" s="1"/>
  <c r="D2176" i="18" s="1"/>
  <c r="D2177" i="18" s="1"/>
  <c r="D2178" i="18" s="1"/>
  <c r="D2179" i="18" s="1"/>
  <c r="D2180" i="18" s="1"/>
  <c r="D2181" i="18" s="1"/>
  <c r="D2182" i="18" s="1"/>
  <c r="D2183" i="18" s="1"/>
  <c r="D2184" i="18" s="1"/>
  <c r="D2185" i="18" s="1"/>
  <c r="D2186" i="18" s="1"/>
  <c r="D2187" i="18" s="1"/>
  <c r="D2188" i="18" s="1"/>
  <c r="D2189" i="18" s="1"/>
  <c r="D2190" i="18" s="1"/>
  <c r="D2191" i="18" s="1"/>
  <c r="D2192" i="18" s="1"/>
  <c r="D2193" i="18" s="1"/>
  <c r="D2194" i="18" s="1"/>
  <c r="D2195" i="18" s="1"/>
  <c r="D2196" i="18" s="1"/>
  <c r="D2197" i="18" s="1"/>
  <c r="D2198" i="18" s="1"/>
  <c r="D2199" i="18" s="1"/>
  <c r="D2200" i="18" s="1"/>
  <c r="D2201" i="18" s="1"/>
  <c r="D2202" i="18" s="1"/>
  <c r="D2203" i="18" s="1"/>
  <c r="D2204" i="18" s="1"/>
  <c r="D2205" i="18" s="1"/>
  <c r="D2206" i="18" s="1"/>
  <c r="D2207" i="18" s="1"/>
  <c r="D2208" i="18" s="1"/>
  <c r="D2209" i="18" s="1"/>
  <c r="D2210" i="18" s="1"/>
  <c r="D2211" i="18" s="1"/>
  <c r="D2212" i="18" s="1"/>
  <c r="D2213" i="18" s="1"/>
  <c r="D2214" i="18" s="1"/>
  <c r="D2215" i="18" s="1"/>
  <c r="D2216" i="18" s="1"/>
  <c r="D2217" i="18" s="1"/>
  <c r="D2218" i="18" s="1"/>
  <c r="D2219" i="18" s="1"/>
  <c r="D2220" i="18" s="1"/>
  <c r="D2221" i="18" s="1"/>
  <c r="D2222" i="18" s="1"/>
  <c r="D2223" i="18" s="1"/>
  <c r="D2224" i="18" s="1"/>
  <c r="D2225" i="18" s="1"/>
  <c r="D2226" i="18" s="1"/>
  <c r="D2227" i="18" s="1"/>
  <c r="D2228" i="18" s="1"/>
  <c r="D2229" i="18" s="1"/>
  <c r="D2230" i="18" s="1"/>
  <c r="D2231" i="18" s="1"/>
  <c r="D2232" i="18" s="1"/>
  <c r="D2233" i="18" s="1"/>
  <c r="D2234" i="18" s="1"/>
  <c r="D2235" i="18" s="1"/>
  <c r="D2236" i="18" s="1"/>
  <c r="D2237" i="18" s="1"/>
  <c r="D2238" i="18" s="1"/>
  <c r="D2239" i="18" s="1"/>
  <c r="D2240" i="18" s="1"/>
  <c r="D2241" i="18" s="1"/>
  <c r="D2242" i="18" s="1"/>
  <c r="D2243" i="18" s="1"/>
  <c r="D2244" i="18" s="1"/>
  <c r="D2245" i="18" s="1"/>
  <c r="D2246" i="18" s="1"/>
  <c r="D2247" i="18" s="1"/>
  <c r="D2248" i="18" s="1"/>
  <c r="D2249" i="18" s="1"/>
  <c r="D2250" i="18" s="1"/>
  <c r="D2251" i="18" s="1"/>
  <c r="D2252" i="18" s="1"/>
  <c r="D2253" i="18" s="1"/>
  <c r="D2254" i="18" s="1"/>
  <c r="D2255" i="18" s="1"/>
  <c r="D2256" i="18" s="1"/>
  <c r="D2257" i="18" s="1"/>
  <c r="D2258" i="18" s="1"/>
  <c r="D2259" i="18" s="1"/>
  <c r="D2260" i="18" s="1"/>
  <c r="D2261" i="18" s="1"/>
  <c r="D2262" i="18" s="1"/>
  <c r="D2263" i="18" s="1"/>
  <c r="D2264" i="18" s="1"/>
  <c r="D2265" i="18" s="1"/>
  <c r="D2266" i="18" s="1"/>
  <c r="D2267" i="18" s="1"/>
  <c r="D2268" i="18" s="1"/>
  <c r="D2269" i="18" s="1"/>
  <c r="D2270" i="18" s="1"/>
  <c r="D2271" i="18" s="1"/>
  <c r="D2272" i="18" s="1"/>
  <c r="D2273" i="18" s="1"/>
  <c r="D2274" i="18" s="1"/>
  <c r="D2275" i="18" s="1"/>
  <c r="D2276" i="18" s="1"/>
  <c r="D2277" i="18" s="1"/>
  <c r="D2278" i="18" s="1"/>
  <c r="D2279" i="18" s="1"/>
  <c r="D2280" i="18" s="1"/>
  <c r="D2281" i="18" s="1"/>
  <c r="D2282" i="18" s="1"/>
  <c r="D2283" i="18" s="1"/>
  <c r="D2284" i="18" s="1"/>
  <c r="D2285" i="18" s="1"/>
  <c r="D2286" i="18" s="1"/>
  <c r="D2287" i="18" s="1"/>
  <c r="D2288" i="18" s="1"/>
  <c r="D2289" i="18" s="1"/>
  <c r="D2290" i="18" s="1"/>
  <c r="D2291" i="18" s="1"/>
  <c r="D2292" i="18" s="1"/>
  <c r="D2293" i="18" s="1"/>
  <c r="D2294" i="18" s="1"/>
  <c r="D2295" i="18" s="1"/>
  <c r="D2296" i="18" s="1"/>
  <c r="D2297" i="18" s="1"/>
  <c r="D2298" i="18" s="1"/>
  <c r="D2299" i="18" s="1"/>
  <c r="D2300" i="18" s="1"/>
  <c r="D2301" i="18" s="1"/>
  <c r="D2302" i="18" s="1"/>
  <c r="D2303" i="18" s="1"/>
  <c r="D2304" i="18" s="1"/>
  <c r="D2305" i="18" s="1"/>
  <c r="D2306" i="18" s="1"/>
  <c r="D2307" i="18" s="1"/>
  <c r="D2308" i="18" s="1"/>
  <c r="D2309" i="18" s="1"/>
  <c r="D2310" i="18" s="1"/>
  <c r="D2311" i="18" s="1"/>
  <c r="D2312" i="18" s="1"/>
  <c r="D2313" i="18" s="1"/>
  <c r="D2314" i="18" s="1"/>
  <c r="D2315" i="18" s="1"/>
  <c r="B1988" i="18"/>
  <c r="B1832" i="18"/>
  <c r="B1831" i="18"/>
  <c r="B1833" i="18" s="1"/>
  <c r="B1830" i="18"/>
  <c r="B1829" i="18"/>
  <c r="B1828" i="18"/>
  <c r="B1827" i="18"/>
  <c r="B1825" i="18"/>
  <c r="B1824" i="18"/>
  <c r="B1823" i="18"/>
  <c r="B1822" i="18"/>
  <c r="B1821" i="18"/>
  <c r="B1820" i="18"/>
  <c r="B1664" i="18"/>
  <c r="B1665" i="18" s="1"/>
  <c r="B1662" i="18"/>
  <c r="B1663" i="18" s="1"/>
  <c r="B1661" i="18"/>
  <c r="B1660" i="18"/>
  <c r="D1659" i="18"/>
  <c r="D1660" i="18" s="1"/>
  <c r="D1661" i="18" s="1"/>
  <c r="D1662" i="18" s="1"/>
  <c r="D1663" i="18" s="1"/>
  <c r="D1664" i="18" s="1"/>
  <c r="D1665" i="18" s="1"/>
  <c r="D1666" i="18" s="1"/>
  <c r="D1667" i="18" s="1"/>
  <c r="D1668" i="18" s="1"/>
  <c r="D1669" i="18" s="1"/>
  <c r="D1670" i="18" s="1"/>
  <c r="D1671" i="18" s="1"/>
  <c r="D1672" i="18" s="1"/>
  <c r="D1673" i="18" s="1"/>
  <c r="D1674" i="18" s="1"/>
  <c r="D1675" i="18" s="1"/>
  <c r="D1676" i="18" s="1"/>
  <c r="D1677" i="18" s="1"/>
  <c r="D1678" i="18" s="1"/>
  <c r="D1679" i="18" s="1"/>
  <c r="D1680" i="18" s="1"/>
  <c r="D1681" i="18" s="1"/>
  <c r="D1682" i="18" s="1"/>
  <c r="D1683" i="18" s="1"/>
  <c r="D1684" i="18" s="1"/>
  <c r="D1685" i="18" s="1"/>
  <c r="D1686" i="18" s="1"/>
  <c r="D1687" i="18" s="1"/>
  <c r="D1688" i="18" s="1"/>
  <c r="D1689" i="18" s="1"/>
  <c r="D1690" i="18" s="1"/>
  <c r="D1691" i="18" s="1"/>
  <c r="D1692" i="18" s="1"/>
  <c r="D1693" i="18" s="1"/>
  <c r="D1694" i="18" s="1"/>
  <c r="D1695" i="18" s="1"/>
  <c r="D1696" i="18" s="1"/>
  <c r="D1697" i="18" s="1"/>
  <c r="D1698" i="18" s="1"/>
  <c r="D1699" i="18" s="1"/>
  <c r="D1700" i="18" s="1"/>
  <c r="D1701" i="18" s="1"/>
  <c r="D1702" i="18" s="1"/>
  <c r="D1703" i="18" s="1"/>
  <c r="D1704" i="18" s="1"/>
  <c r="D1705" i="18" s="1"/>
  <c r="D1706" i="18" s="1"/>
  <c r="D1707" i="18" s="1"/>
  <c r="D1708" i="18" s="1"/>
  <c r="D1709" i="18" s="1"/>
  <c r="D1710" i="18" s="1"/>
  <c r="D1711" i="18" s="1"/>
  <c r="D1712" i="18" s="1"/>
  <c r="D1713" i="18" s="1"/>
  <c r="D1714" i="18" s="1"/>
  <c r="D1715" i="18" s="1"/>
  <c r="D1716" i="18" s="1"/>
  <c r="D1717" i="18" s="1"/>
  <c r="D1718" i="18" s="1"/>
  <c r="D1719" i="18" s="1"/>
  <c r="D1720" i="18" s="1"/>
  <c r="D1721" i="18" s="1"/>
  <c r="D1722" i="18" s="1"/>
  <c r="D1723" i="18" s="1"/>
  <c r="D1724" i="18" s="1"/>
  <c r="D1725" i="18" s="1"/>
  <c r="D1726" i="18" s="1"/>
  <c r="D1727" i="18" s="1"/>
  <c r="D1728" i="18" s="1"/>
  <c r="D1729" i="18" s="1"/>
  <c r="D1730" i="18" s="1"/>
  <c r="D1731" i="18" s="1"/>
  <c r="D1732" i="18" s="1"/>
  <c r="D1733" i="18" s="1"/>
  <c r="D1734" i="18" s="1"/>
  <c r="D1735" i="18" s="1"/>
  <c r="D1736" i="18" s="1"/>
  <c r="D1737" i="18" s="1"/>
  <c r="D1738" i="18" s="1"/>
  <c r="D1739" i="18" s="1"/>
  <c r="D1740" i="18" s="1"/>
  <c r="D1741" i="18" s="1"/>
  <c r="D1742" i="18" s="1"/>
  <c r="D1743" i="18" s="1"/>
  <c r="D1744" i="18" s="1"/>
  <c r="D1745" i="18" s="1"/>
  <c r="D1746" i="18" s="1"/>
  <c r="D1747" i="18" s="1"/>
  <c r="D1748" i="18" s="1"/>
  <c r="D1749" i="18" s="1"/>
  <c r="D1750" i="18" s="1"/>
  <c r="D1751" i="18" s="1"/>
  <c r="D1752" i="18" s="1"/>
  <c r="D1753" i="18" s="1"/>
  <c r="D1754" i="18" s="1"/>
  <c r="D1755" i="18" s="1"/>
  <c r="D1756" i="18" s="1"/>
  <c r="D1757" i="18" s="1"/>
  <c r="D1758" i="18" s="1"/>
  <c r="D1759" i="18" s="1"/>
  <c r="D1760" i="18" s="1"/>
  <c r="D1761" i="18" s="1"/>
  <c r="D1762" i="18" s="1"/>
  <c r="D1763" i="18" s="1"/>
  <c r="D1764" i="18" s="1"/>
  <c r="D1765" i="18" s="1"/>
  <c r="D1766" i="18" s="1"/>
  <c r="D1767" i="18" s="1"/>
  <c r="D1768" i="18" s="1"/>
  <c r="D1769" i="18" s="1"/>
  <c r="D1770" i="18" s="1"/>
  <c r="D1771" i="18" s="1"/>
  <c r="D1772" i="18" s="1"/>
  <c r="D1773" i="18" s="1"/>
  <c r="D1774" i="18" s="1"/>
  <c r="D1775" i="18" s="1"/>
  <c r="D1776" i="18" s="1"/>
  <c r="D1777" i="18" s="1"/>
  <c r="D1778" i="18" s="1"/>
  <c r="D1779" i="18" s="1"/>
  <c r="D1780" i="18" s="1"/>
  <c r="D1781" i="18" s="1"/>
  <c r="D1782" i="18" s="1"/>
  <c r="D1783" i="18" s="1"/>
  <c r="D1784" i="18" s="1"/>
  <c r="D1785" i="18" s="1"/>
  <c r="D1786" i="18" s="1"/>
  <c r="D1787" i="18" s="1"/>
  <c r="D1788" i="18" s="1"/>
  <c r="D1789" i="18" s="1"/>
  <c r="D1790" i="18" s="1"/>
  <c r="D1791" i="18" s="1"/>
  <c r="D1792" i="18" s="1"/>
  <c r="D1793" i="18" s="1"/>
  <c r="D1794" i="18" s="1"/>
  <c r="D1795" i="18" s="1"/>
  <c r="D1796" i="18" s="1"/>
  <c r="D1797" i="18" s="1"/>
  <c r="D1798" i="18" s="1"/>
  <c r="D1799" i="18" s="1"/>
  <c r="D1800" i="18" s="1"/>
  <c r="D1801" i="18" s="1"/>
  <c r="D1802" i="18" s="1"/>
  <c r="D1803" i="18" s="1"/>
  <c r="D1804" i="18" s="1"/>
  <c r="D1805" i="18" s="1"/>
  <c r="D1806" i="18" s="1"/>
  <c r="D1807" i="18" s="1"/>
  <c r="D1808" i="18" s="1"/>
  <c r="D1809" i="18" s="1"/>
  <c r="D1810" i="18" s="1"/>
  <c r="D1811" i="18" s="1"/>
  <c r="D1812" i="18" s="1"/>
  <c r="D1813" i="18" s="1"/>
  <c r="D1814" i="18" s="1"/>
  <c r="D1815" i="18" s="1"/>
  <c r="D1816" i="18" s="1"/>
  <c r="D1817" i="18" s="1"/>
  <c r="D1818" i="18" s="1"/>
  <c r="D1819" i="18" s="1"/>
  <c r="D1820" i="18" s="1"/>
  <c r="D1821" i="18" s="1"/>
  <c r="D1822" i="18" s="1"/>
  <c r="D1823" i="18" s="1"/>
  <c r="D1824" i="18" s="1"/>
  <c r="D1825" i="18" s="1"/>
  <c r="D1826" i="18" s="1"/>
  <c r="D1827" i="18" s="1"/>
  <c r="D1828" i="18" s="1"/>
  <c r="D1829" i="18" s="1"/>
  <c r="D1830" i="18" s="1"/>
  <c r="D1831" i="18" s="1"/>
  <c r="D1832" i="18" s="1"/>
  <c r="D1833" i="18" s="1"/>
  <c r="D1834" i="18" s="1"/>
  <c r="D1835" i="18" s="1"/>
  <c r="D1836" i="18" s="1"/>
  <c r="D1837" i="18" s="1"/>
  <c r="D1838" i="18" s="1"/>
  <c r="D1839" i="18" s="1"/>
  <c r="D1840" i="18" s="1"/>
  <c r="D1841" i="18" s="1"/>
  <c r="D1842" i="18" s="1"/>
  <c r="D1843" i="18" s="1"/>
  <c r="D1844" i="18" s="1"/>
  <c r="D1845" i="18" s="1"/>
  <c r="D1846" i="18" s="1"/>
  <c r="D1847" i="18" s="1"/>
  <c r="D1848" i="18" s="1"/>
  <c r="D1849" i="18" s="1"/>
  <c r="D1850" i="18" s="1"/>
  <c r="D1851" i="18" s="1"/>
  <c r="D1852" i="18" s="1"/>
  <c r="D1853" i="18" s="1"/>
  <c r="D1854" i="18" s="1"/>
  <c r="D1855" i="18" s="1"/>
  <c r="D1856" i="18" s="1"/>
  <c r="D1857" i="18" s="1"/>
  <c r="D1858" i="18" s="1"/>
  <c r="D1859" i="18" s="1"/>
  <c r="D1860" i="18" s="1"/>
  <c r="D1861" i="18" s="1"/>
  <c r="D1862" i="18" s="1"/>
  <c r="D1863" i="18" s="1"/>
  <c r="D1864" i="18" s="1"/>
  <c r="D1865" i="18" s="1"/>
  <c r="D1866" i="18" s="1"/>
  <c r="D1867" i="18" s="1"/>
  <c r="D1868" i="18" s="1"/>
  <c r="D1869" i="18" s="1"/>
  <c r="D1870" i="18" s="1"/>
  <c r="D1871" i="18" s="1"/>
  <c r="D1872" i="18" s="1"/>
  <c r="D1873" i="18" s="1"/>
  <c r="D1874" i="18" s="1"/>
  <c r="D1875" i="18" s="1"/>
  <c r="D1876" i="18" s="1"/>
  <c r="D1877" i="18" s="1"/>
  <c r="D1878" i="18" s="1"/>
  <c r="D1879" i="18" s="1"/>
  <c r="D1880" i="18" s="1"/>
  <c r="D1881" i="18" s="1"/>
  <c r="D1882" i="18" s="1"/>
  <c r="D1883" i="18" s="1"/>
  <c r="D1884" i="18" s="1"/>
  <c r="D1885" i="18" s="1"/>
  <c r="D1886" i="18" s="1"/>
  <c r="D1887" i="18" s="1"/>
  <c r="D1888" i="18" s="1"/>
  <c r="D1889" i="18" s="1"/>
  <c r="D1890" i="18" s="1"/>
  <c r="D1891" i="18" s="1"/>
  <c r="D1892" i="18" s="1"/>
  <c r="D1893" i="18" s="1"/>
  <c r="D1894" i="18" s="1"/>
  <c r="D1895" i="18" s="1"/>
  <c r="D1896" i="18" s="1"/>
  <c r="D1897" i="18" s="1"/>
  <c r="D1898" i="18" s="1"/>
  <c r="D1899" i="18" s="1"/>
  <c r="D1900" i="18" s="1"/>
  <c r="D1901" i="18" s="1"/>
  <c r="D1902" i="18" s="1"/>
  <c r="D1903" i="18" s="1"/>
  <c r="D1904" i="18" s="1"/>
  <c r="D1905" i="18" s="1"/>
  <c r="D1906" i="18" s="1"/>
  <c r="D1907" i="18" s="1"/>
  <c r="D1908" i="18" s="1"/>
  <c r="D1909" i="18" s="1"/>
  <c r="D1910" i="18" s="1"/>
  <c r="D1911" i="18" s="1"/>
  <c r="D1912" i="18" s="1"/>
  <c r="D1913" i="18" s="1"/>
  <c r="D1914" i="18" s="1"/>
  <c r="D1915" i="18" s="1"/>
  <c r="D1916" i="18" s="1"/>
  <c r="D1917" i="18" s="1"/>
  <c r="D1918" i="18" s="1"/>
  <c r="D1919" i="18" s="1"/>
  <c r="D1920" i="18" s="1"/>
  <c r="D1921" i="18" s="1"/>
  <c r="D1922" i="18" s="1"/>
  <c r="D1923" i="18" s="1"/>
  <c r="D1924" i="18" s="1"/>
  <c r="D1925" i="18" s="1"/>
  <c r="D1926" i="18" s="1"/>
  <c r="D1927" i="18" s="1"/>
  <c r="D1928" i="18" s="1"/>
  <c r="D1929" i="18" s="1"/>
  <c r="D1930" i="18" s="1"/>
  <c r="D1931" i="18" s="1"/>
  <c r="D1932" i="18" s="1"/>
  <c r="D1933" i="18" s="1"/>
  <c r="D1934" i="18" s="1"/>
  <c r="D1935" i="18" s="1"/>
  <c r="D1936" i="18" s="1"/>
  <c r="D1937" i="18" s="1"/>
  <c r="D1938" i="18" s="1"/>
  <c r="D1939" i="18" s="1"/>
  <c r="D1940" i="18" s="1"/>
  <c r="D1941" i="18" s="1"/>
  <c r="D1942" i="18" s="1"/>
  <c r="D1943" i="18" s="1"/>
  <c r="D1944" i="18" s="1"/>
  <c r="D1945" i="18" s="1"/>
  <c r="D1946" i="18" s="1"/>
  <c r="D1947" i="18" s="1"/>
  <c r="D1948" i="18" s="1"/>
  <c r="D1949" i="18" s="1"/>
  <c r="D1950" i="18" s="1"/>
  <c r="D1951" i="18" s="1"/>
  <c r="D1952" i="18" s="1"/>
  <c r="D1953" i="18" s="1"/>
  <c r="D1954" i="18" s="1"/>
  <c r="D1955" i="18" s="1"/>
  <c r="D1956" i="18" s="1"/>
  <c r="D1957" i="18" s="1"/>
  <c r="D1958" i="18" s="1"/>
  <c r="D1959" i="18" s="1"/>
  <c r="D1960" i="18" s="1"/>
  <c r="D1961" i="18" s="1"/>
  <c r="D1962" i="18" s="1"/>
  <c r="D1963" i="18" s="1"/>
  <c r="D1964" i="18" s="1"/>
  <c r="D1965" i="18" s="1"/>
  <c r="D1966" i="18" s="1"/>
  <c r="D1967" i="18" s="1"/>
  <c r="D1968" i="18" s="1"/>
  <c r="D1969" i="18" s="1"/>
  <c r="D1970" i="18" s="1"/>
  <c r="D1971" i="18" s="1"/>
  <c r="D1972" i="18" s="1"/>
  <c r="D1973" i="18" s="1"/>
  <c r="D1974" i="18" s="1"/>
  <c r="D1975" i="18" s="1"/>
  <c r="D1976" i="18" s="1"/>
  <c r="D1977" i="18" s="1"/>
  <c r="D1978" i="18" s="1"/>
  <c r="D1979" i="18" s="1"/>
  <c r="D1980" i="18" s="1"/>
  <c r="D1981" i="18" s="1"/>
  <c r="D1982" i="18" s="1"/>
  <c r="D1983" i="18" s="1"/>
  <c r="D1984" i="18" s="1"/>
  <c r="D1985" i="18" s="1"/>
  <c r="D1986" i="18" s="1"/>
  <c r="B1659" i="18"/>
  <c r="B1335" i="18"/>
  <c r="B1336" i="18" s="1"/>
  <c r="B1333" i="18"/>
  <c r="B1334" i="18" s="1"/>
  <c r="B1332" i="18"/>
  <c r="B1331" i="18"/>
  <c r="D1330" i="18"/>
  <c r="D1331" i="18" s="1"/>
  <c r="D1332" i="18" s="1"/>
  <c r="D1333" i="18" s="1"/>
  <c r="D1334" i="18" s="1"/>
  <c r="D1335" i="18" s="1"/>
  <c r="D1336" i="18" s="1"/>
  <c r="D1337" i="18" s="1"/>
  <c r="D1338" i="18" s="1"/>
  <c r="D1339" i="18" s="1"/>
  <c r="D1340" i="18" s="1"/>
  <c r="D1341" i="18" s="1"/>
  <c r="D1342" i="18" s="1"/>
  <c r="D1343" i="18" s="1"/>
  <c r="D1344" i="18" s="1"/>
  <c r="D1345" i="18" s="1"/>
  <c r="D1346" i="18" s="1"/>
  <c r="D1347" i="18" s="1"/>
  <c r="D1348" i="18" s="1"/>
  <c r="D1349" i="18" s="1"/>
  <c r="D1350" i="18" s="1"/>
  <c r="D1351" i="18" s="1"/>
  <c r="D1352" i="18" s="1"/>
  <c r="D1353" i="18" s="1"/>
  <c r="D1354" i="18" s="1"/>
  <c r="D1355" i="18" s="1"/>
  <c r="D1356" i="18" s="1"/>
  <c r="D1357" i="18" s="1"/>
  <c r="D1358" i="18" s="1"/>
  <c r="D1359" i="18" s="1"/>
  <c r="D1360" i="18" s="1"/>
  <c r="D1361" i="18" s="1"/>
  <c r="D1362" i="18" s="1"/>
  <c r="D1363" i="18" s="1"/>
  <c r="D1364" i="18" s="1"/>
  <c r="D1365" i="18" s="1"/>
  <c r="D1366" i="18" s="1"/>
  <c r="D1367" i="18" s="1"/>
  <c r="D1368" i="18" s="1"/>
  <c r="D1369" i="18" s="1"/>
  <c r="D1370" i="18" s="1"/>
  <c r="D1371" i="18" s="1"/>
  <c r="D1372" i="18" s="1"/>
  <c r="D1373" i="18" s="1"/>
  <c r="D1374" i="18" s="1"/>
  <c r="D1375" i="18" s="1"/>
  <c r="D1376" i="18" s="1"/>
  <c r="D1377" i="18" s="1"/>
  <c r="D1378" i="18" s="1"/>
  <c r="D1379" i="18" s="1"/>
  <c r="D1380" i="18" s="1"/>
  <c r="D1381" i="18" s="1"/>
  <c r="D1382" i="18" s="1"/>
  <c r="D1383" i="18" s="1"/>
  <c r="D1384" i="18" s="1"/>
  <c r="D1385" i="18" s="1"/>
  <c r="D1386" i="18" s="1"/>
  <c r="D1387" i="18" s="1"/>
  <c r="D1388" i="18" s="1"/>
  <c r="D1389" i="18" s="1"/>
  <c r="D1390" i="18" s="1"/>
  <c r="D1391" i="18" s="1"/>
  <c r="D1392" i="18" s="1"/>
  <c r="D1393" i="18" s="1"/>
  <c r="D1394" i="18" s="1"/>
  <c r="D1395" i="18" s="1"/>
  <c r="D1396" i="18" s="1"/>
  <c r="D1397" i="18" s="1"/>
  <c r="D1398" i="18" s="1"/>
  <c r="D1399" i="18" s="1"/>
  <c r="D1400" i="18" s="1"/>
  <c r="D1401" i="18" s="1"/>
  <c r="D1402" i="18" s="1"/>
  <c r="D1403" i="18" s="1"/>
  <c r="D1404" i="18" s="1"/>
  <c r="D1405" i="18" s="1"/>
  <c r="D1406" i="18" s="1"/>
  <c r="D1407" i="18" s="1"/>
  <c r="D1408" i="18" s="1"/>
  <c r="D1409" i="18" s="1"/>
  <c r="D1410" i="18" s="1"/>
  <c r="D1411" i="18" s="1"/>
  <c r="D1412" i="18" s="1"/>
  <c r="D1413" i="18" s="1"/>
  <c r="D1414" i="18" s="1"/>
  <c r="D1415" i="18" s="1"/>
  <c r="D1416" i="18" s="1"/>
  <c r="D1417" i="18" s="1"/>
  <c r="D1418" i="18" s="1"/>
  <c r="D1419" i="18" s="1"/>
  <c r="D1420" i="18" s="1"/>
  <c r="D1421" i="18" s="1"/>
  <c r="D1422" i="18" s="1"/>
  <c r="D1423" i="18" s="1"/>
  <c r="D1424" i="18" s="1"/>
  <c r="D1425" i="18" s="1"/>
  <c r="D1426" i="18" s="1"/>
  <c r="D1427" i="18" s="1"/>
  <c r="D1428" i="18" s="1"/>
  <c r="D1429" i="18" s="1"/>
  <c r="D1430" i="18" s="1"/>
  <c r="D1431" i="18" s="1"/>
  <c r="D1432" i="18" s="1"/>
  <c r="D1433" i="18" s="1"/>
  <c r="D1434" i="18" s="1"/>
  <c r="D1435" i="18" s="1"/>
  <c r="D1436" i="18" s="1"/>
  <c r="D1437" i="18" s="1"/>
  <c r="D1438" i="18" s="1"/>
  <c r="D1439" i="18" s="1"/>
  <c r="D1440" i="18" s="1"/>
  <c r="D1441" i="18" s="1"/>
  <c r="D1442" i="18" s="1"/>
  <c r="D1443" i="18" s="1"/>
  <c r="D1444" i="18" s="1"/>
  <c r="D1445" i="18" s="1"/>
  <c r="D1446" i="18" s="1"/>
  <c r="D1447" i="18" s="1"/>
  <c r="D1448" i="18" s="1"/>
  <c r="D1449" i="18" s="1"/>
  <c r="D1450" i="18" s="1"/>
  <c r="D1451" i="18" s="1"/>
  <c r="D1452" i="18" s="1"/>
  <c r="D1453" i="18" s="1"/>
  <c r="D1454" i="18" s="1"/>
  <c r="D1455" i="18" s="1"/>
  <c r="D1456" i="18" s="1"/>
  <c r="D1457" i="18" s="1"/>
  <c r="D1458" i="18" s="1"/>
  <c r="D1459" i="18" s="1"/>
  <c r="D1460" i="18" s="1"/>
  <c r="D1461" i="18" s="1"/>
  <c r="D1462" i="18" s="1"/>
  <c r="D1463" i="18" s="1"/>
  <c r="D1464" i="18" s="1"/>
  <c r="D1465" i="18" s="1"/>
  <c r="D1466" i="18" s="1"/>
  <c r="D1467" i="18" s="1"/>
  <c r="D1468" i="18" s="1"/>
  <c r="D1469" i="18" s="1"/>
  <c r="D1470" i="18" s="1"/>
  <c r="D1471" i="18" s="1"/>
  <c r="D1472" i="18" s="1"/>
  <c r="D1473" i="18" s="1"/>
  <c r="D1474" i="18" s="1"/>
  <c r="D1475" i="18" s="1"/>
  <c r="D1476" i="18" s="1"/>
  <c r="D1477" i="18" s="1"/>
  <c r="D1478" i="18" s="1"/>
  <c r="D1479" i="18" s="1"/>
  <c r="D1480" i="18" s="1"/>
  <c r="D1481" i="18" s="1"/>
  <c r="D1482" i="18" s="1"/>
  <c r="D1483" i="18" s="1"/>
  <c r="D1484" i="18" s="1"/>
  <c r="D1485" i="18" s="1"/>
  <c r="D1486" i="18" s="1"/>
  <c r="D1487" i="18" s="1"/>
  <c r="D1488" i="18" s="1"/>
  <c r="D1489" i="18" s="1"/>
  <c r="D1490" i="18" s="1"/>
  <c r="D1491" i="18" s="1"/>
  <c r="D1492" i="18" s="1"/>
  <c r="D1493" i="18" s="1"/>
  <c r="D1494" i="18" s="1"/>
  <c r="D1495" i="18" s="1"/>
  <c r="D1496" i="18" s="1"/>
  <c r="D1497" i="18" s="1"/>
  <c r="D1498" i="18" s="1"/>
  <c r="D1499" i="18" s="1"/>
  <c r="D1500" i="18" s="1"/>
  <c r="D1501" i="18" s="1"/>
  <c r="D1502" i="18" s="1"/>
  <c r="D1503" i="18" s="1"/>
  <c r="D1504" i="18" s="1"/>
  <c r="D1505" i="18" s="1"/>
  <c r="D1506" i="18" s="1"/>
  <c r="D1507" i="18" s="1"/>
  <c r="D1508" i="18" s="1"/>
  <c r="D1509" i="18" s="1"/>
  <c r="D1510" i="18" s="1"/>
  <c r="D1511" i="18" s="1"/>
  <c r="D1512" i="18" s="1"/>
  <c r="D1513" i="18" s="1"/>
  <c r="D1514" i="18" s="1"/>
  <c r="D1515" i="18" s="1"/>
  <c r="D1516" i="18" s="1"/>
  <c r="D1517" i="18" s="1"/>
  <c r="D1518" i="18" s="1"/>
  <c r="D1519" i="18" s="1"/>
  <c r="D1520" i="18" s="1"/>
  <c r="D1521" i="18" s="1"/>
  <c r="D1522" i="18" s="1"/>
  <c r="D1523" i="18" s="1"/>
  <c r="D1524" i="18" s="1"/>
  <c r="D1525" i="18" s="1"/>
  <c r="D1526" i="18" s="1"/>
  <c r="D1527" i="18" s="1"/>
  <c r="D1528" i="18" s="1"/>
  <c r="D1529" i="18" s="1"/>
  <c r="D1530" i="18" s="1"/>
  <c r="D1531" i="18" s="1"/>
  <c r="D1532" i="18" s="1"/>
  <c r="D1533" i="18" s="1"/>
  <c r="D1534" i="18" s="1"/>
  <c r="D1535" i="18" s="1"/>
  <c r="D1536" i="18" s="1"/>
  <c r="D1537" i="18" s="1"/>
  <c r="D1538" i="18" s="1"/>
  <c r="D1539" i="18" s="1"/>
  <c r="D1540" i="18" s="1"/>
  <c r="D1541" i="18" s="1"/>
  <c r="D1542" i="18" s="1"/>
  <c r="D1543" i="18" s="1"/>
  <c r="D1544" i="18" s="1"/>
  <c r="D1545" i="18" s="1"/>
  <c r="D1546" i="18" s="1"/>
  <c r="D1547" i="18" s="1"/>
  <c r="D1548" i="18" s="1"/>
  <c r="D1549" i="18" s="1"/>
  <c r="D1550" i="18" s="1"/>
  <c r="D1551" i="18" s="1"/>
  <c r="D1552" i="18" s="1"/>
  <c r="D1553" i="18" s="1"/>
  <c r="D1554" i="18" s="1"/>
  <c r="D1555" i="18" s="1"/>
  <c r="D1556" i="18" s="1"/>
  <c r="D1557" i="18" s="1"/>
  <c r="D1558" i="18" s="1"/>
  <c r="D1559" i="18" s="1"/>
  <c r="D1560" i="18" s="1"/>
  <c r="D1561" i="18" s="1"/>
  <c r="D1562" i="18" s="1"/>
  <c r="D1563" i="18" s="1"/>
  <c r="D1564" i="18" s="1"/>
  <c r="D1565" i="18" s="1"/>
  <c r="D1566" i="18" s="1"/>
  <c r="D1567" i="18" s="1"/>
  <c r="D1568" i="18" s="1"/>
  <c r="D1569" i="18" s="1"/>
  <c r="D1570" i="18" s="1"/>
  <c r="D1571" i="18" s="1"/>
  <c r="D1572" i="18" s="1"/>
  <c r="D1573" i="18" s="1"/>
  <c r="D1574" i="18" s="1"/>
  <c r="D1575" i="18" s="1"/>
  <c r="D1576" i="18" s="1"/>
  <c r="D1577" i="18" s="1"/>
  <c r="D1578" i="18" s="1"/>
  <c r="D1579" i="18" s="1"/>
  <c r="D1580" i="18" s="1"/>
  <c r="D1581" i="18" s="1"/>
  <c r="D1582" i="18" s="1"/>
  <c r="D1583" i="18" s="1"/>
  <c r="D1584" i="18" s="1"/>
  <c r="D1585" i="18" s="1"/>
  <c r="D1586" i="18" s="1"/>
  <c r="D1587" i="18" s="1"/>
  <c r="D1588" i="18" s="1"/>
  <c r="D1589" i="18" s="1"/>
  <c r="D1590" i="18" s="1"/>
  <c r="D1591" i="18" s="1"/>
  <c r="D1592" i="18" s="1"/>
  <c r="D1593" i="18" s="1"/>
  <c r="D1594" i="18" s="1"/>
  <c r="D1595" i="18" s="1"/>
  <c r="D1596" i="18" s="1"/>
  <c r="D1597" i="18" s="1"/>
  <c r="D1598" i="18" s="1"/>
  <c r="D1599" i="18" s="1"/>
  <c r="D1600" i="18" s="1"/>
  <c r="D1601" i="18" s="1"/>
  <c r="D1602" i="18" s="1"/>
  <c r="D1603" i="18" s="1"/>
  <c r="D1604" i="18" s="1"/>
  <c r="D1605" i="18" s="1"/>
  <c r="D1606" i="18" s="1"/>
  <c r="D1607" i="18" s="1"/>
  <c r="D1608" i="18" s="1"/>
  <c r="D1609" i="18" s="1"/>
  <c r="D1610" i="18" s="1"/>
  <c r="D1611" i="18" s="1"/>
  <c r="D1612" i="18" s="1"/>
  <c r="D1613" i="18" s="1"/>
  <c r="D1614" i="18" s="1"/>
  <c r="D1615" i="18" s="1"/>
  <c r="D1616" i="18" s="1"/>
  <c r="D1617" i="18" s="1"/>
  <c r="D1618" i="18" s="1"/>
  <c r="D1619" i="18" s="1"/>
  <c r="D1620" i="18" s="1"/>
  <c r="D1621" i="18" s="1"/>
  <c r="D1622" i="18" s="1"/>
  <c r="D1623" i="18" s="1"/>
  <c r="D1624" i="18" s="1"/>
  <c r="D1625" i="18" s="1"/>
  <c r="D1626" i="18" s="1"/>
  <c r="D1627" i="18" s="1"/>
  <c r="D1628" i="18" s="1"/>
  <c r="D1629" i="18" s="1"/>
  <c r="D1630" i="18" s="1"/>
  <c r="D1631" i="18" s="1"/>
  <c r="D1632" i="18" s="1"/>
  <c r="D1633" i="18" s="1"/>
  <c r="D1634" i="18" s="1"/>
  <c r="D1635" i="18" s="1"/>
  <c r="D1636" i="18" s="1"/>
  <c r="D1637" i="18" s="1"/>
  <c r="D1638" i="18" s="1"/>
  <c r="D1639" i="18" s="1"/>
  <c r="D1640" i="18" s="1"/>
  <c r="D1641" i="18" s="1"/>
  <c r="D1642" i="18" s="1"/>
  <c r="D1643" i="18" s="1"/>
  <c r="D1644" i="18" s="1"/>
  <c r="D1645" i="18" s="1"/>
  <c r="D1646" i="18" s="1"/>
  <c r="D1647" i="18" s="1"/>
  <c r="D1648" i="18" s="1"/>
  <c r="D1649" i="18" s="1"/>
  <c r="D1650" i="18" s="1"/>
  <c r="D1651" i="18" s="1"/>
  <c r="D1652" i="18" s="1"/>
  <c r="D1653" i="18" s="1"/>
  <c r="D1654" i="18" s="1"/>
  <c r="D1655" i="18" s="1"/>
  <c r="D1656" i="18" s="1"/>
  <c r="D1657" i="18" s="1"/>
  <c r="B1330" i="18"/>
  <c r="B1006" i="18"/>
  <c r="B1007" i="18" s="1"/>
  <c r="B1004" i="18"/>
  <c r="B1005" i="18" s="1"/>
  <c r="B1003" i="18"/>
  <c r="B1002" i="18"/>
  <c r="D1001" i="18"/>
  <c r="D1002" i="18" s="1"/>
  <c r="D1003" i="18" s="1"/>
  <c r="D1004" i="18" s="1"/>
  <c r="D1005" i="18" s="1"/>
  <c r="D1006" i="18" s="1"/>
  <c r="D1007" i="18" s="1"/>
  <c r="D1008" i="18" s="1"/>
  <c r="D1009" i="18" s="1"/>
  <c r="D1010" i="18" s="1"/>
  <c r="D1011" i="18" s="1"/>
  <c r="D1012" i="18" s="1"/>
  <c r="D1013" i="18" s="1"/>
  <c r="D1014" i="18" s="1"/>
  <c r="D1015" i="18" s="1"/>
  <c r="D1016" i="18" s="1"/>
  <c r="D1017" i="18" s="1"/>
  <c r="D1018" i="18" s="1"/>
  <c r="D1019" i="18" s="1"/>
  <c r="D1020" i="18" s="1"/>
  <c r="D1021" i="18" s="1"/>
  <c r="D1022" i="18" s="1"/>
  <c r="D1023" i="18" s="1"/>
  <c r="D1024" i="18" s="1"/>
  <c r="D1025" i="18" s="1"/>
  <c r="D1026" i="18" s="1"/>
  <c r="D1027" i="18" s="1"/>
  <c r="D1028" i="18" s="1"/>
  <c r="D1029" i="18" s="1"/>
  <c r="D1030" i="18" s="1"/>
  <c r="D1031" i="18" s="1"/>
  <c r="D1032" i="18" s="1"/>
  <c r="D1033" i="18" s="1"/>
  <c r="D1034" i="18" s="1"/>
  <c r="D1035" i="18" s="1"/>
  <c r="D1036" i="18" s="1"/>
  <c r="D1037" i="18" s="1"/>
  <c r="D1038" i="18" s="1"/>
  <c r="D1039" i="18" s="1"/>
  <c r="D1040" i="18" s="1"/>
  <c r="D1041" i="18" s="1"/>
  <c r="D1042" i="18" s="1"/>
  <c r="D1043" i="18" s="1"/>
  <c r="D1044" i="18" s="1"/>
  <c r="D1045" i="18" s="1"/>
  <c r="D1046" i="18" s="1"/>
  <c r="D1047" i="18" s="1"/>
  <c r="D1048" i="18" s="1"/>
  <c r="D1049" i="18" s="1"/>
  <c r="D1050" i="18" s="1"/>
  <c r="D1051" i="18" s="1"/>
  <c r="D1052" i="18" s="1"/>
  <c r="D1053" i="18" s="1"/>
  <c r="D1054" i="18" s="1"/>
  <c r="D1055" i="18" s="1"/>
  <c r="D1056" i="18" s="1"/>
  <c r="D1057" i="18" s="1"/>
  <c r="D1058" i="18" s="1"/>
  <c r="D1059" i="18" s="1"/>
  <c r="D1060" i="18" s="1"/>
  <c r="D1061" i="18" s="1"/>
  <c r="D1062" i="18" s="1"/>
  <c r="D1063" i="18" s="1"/>
  <c r="D1064" i="18" s="1"/>
  <c r="D1065" i="18" s="1"/>
  <c r="D1066" i="18" s="1"/>
  <c r="D1067" i="18" s="1"/>
  <c r="D1068" i="18" s="1"/>
  <c r="D1069" i="18" s="1"/>
  <c r="D1070" i="18" s="1"/>
  <c r="D1071" i="18" s="1"/>
  <c r="D1072" i="18" s="1"/>
  <c r="D1073" i="18" s="1"/>
  <c r="D1074" i="18" s="1"/>
  <c r="D1075" i="18" s="1"/>
  <c r="D1076" i="18" s="1"/>
  <c r="D1077" i="18" s="1"/>
  <c r="D1078" i="18" s="1"/>
  <c r="D1079" i="18" s="1"/>
  <c r="D1080" i="18" s="1"/>
  <c r="D1081" i="18" s="1"/>
  <c r="D1082" i="18" s="1"/>
  <c r="D1083" i="18" s="1"/>
  <c r="D1084" i="18" s="1"/>
  <c r="D1085" i="18" s="1"/>
  <c r="D1086" i="18" s="1"/>
  <c r="D1087" i="18" s="1"/>
  <c r="D1088" i="18" s="1"/>
  <c r="D1089" i="18" s="1"/>
  <c r="D1090" i="18" s="1"/>
  <c r="D1091" i="18" s="1"/>
  <c r="D1092" i="18" s="1"/>
  <c r="D1093" i="18" s="1"/>
  <c r="D1094" i="18" s="1"/>
  <c r="D1095" i="18" s="1"/>
  <c r="D1096" i="18" s="1"/>
  <c r="D1097" i="18" s="1"/>
  <c r="D1098" i="18" s="1"/>
  <c r="D1099" i="18" s="1"/>
  <c r="D1100" i="18" s="1"/>
  <c r="D1101" i="18" s="1"/>
  <c r="D1102" i="18" s="1"/>
  <c r="D1103" i="18" s="1"/>
  <c r="D1104" i="18" s="1"/>
  <c r="D1105" i="18" s="1"/>
  <c r="D1106" i="18" s="1"/>
  <c r="D1107" i="18" s="1"/>
  <c r="D1108" i="18" s="1"/>
  <c r="D1109" i="18" s="1"/>
  <c r="D1110" i="18" s="1"/>
  <c r="D1111" i="18" s="1"/>
  <c r="D1112" i="18" s="1"/>
  <c r="D1113" i="18" s="1"/>
  <c r="D1114" i="18" s="1"/>
  <c r="D1115" i="18" s="1"/>
  <c r="D1116" i="18" s="1"/>
  <c r="D1117" i="18" s="1"/>
  <c r="D1118" i="18" s="1"/>
  <c r="D1119" i="18" s="1"/>
  <c r="D1120" i="18" s="1"/>
  <c r="D1121" i="18" s="1"/>
  <c r="D1122" i="18" s="1"/>
  <c r="D1123" i="18" s="1"/>
  <c r="D1124" i="18" s="1"/>
  <c r="D1125" i="18" s="1"/>
  <c r="D1126" i="18" s="1"/>
  <c r="D1127" i="18" s="1"/>
  <c r="D1128" i="18" s="1"/>
  <c r="D1129" i="18" s="1"/>
  <c r="D1130" i="18" s="1"/>
  <c r="D1131" i="18" s="1"/>
  <c r="D1132" i="18" s="1"/>
  <c r="D1133" i="18" s="1"/>
  <c r="D1134" i="18" s="1"/>
  <c r="D1135" i="18" s="1"/>
  <c r="D1136" i="18" s="1"/>
  <c r="D1137" i="18" s="1"/>
  <c r="D1138" i="18" s="1"/>
  <c r="D1139" i="18" s="1"/>
  <c r="D1140" i="18" s="1"/>
  <c r="D1141" i="18" s="1"/>
  <c r="D1142" i="18" s="1"/>
  <c r="D1143" i="18" s="1"/>
  <c r="D1144" i="18" s="1"/>
  <c r="D1145" i="18" s="1"/>
  <c r="D1146" i="18" s="1"/>
  <c r="D1147" i="18" s="1"/>
  <c r="D1148" i="18" s="1"/>
  <c r="D1149" i="18" s="1"/>
  <c r="D1150" i="18" s="1"/>
  <c r="D1151" i="18" s="1"/>
  <c r="D1152" i="18" s="1"/>
  <c r="D1153" i="18" s="1"/>
  <c r="D1154" i="18" s="1"/>
  <c r="D1155" i="18" s="1"/>
  <c r="D1156" i="18" s="1"/>
  <c r="D1157" i="18" s="1"/>
  <c r="D1158" i="18" s="1"/>
  <c r="D1159" i="18" s="1"/>
  <c r="D1160" i="18" s="1"/>
  <c r="D1161" i="18" s="1"/>
  <c r="D1162" i="18" s="1"/>
  <c r="D1163" i="18" s="1"/>
  <c r="D1164" i="18" s="1"/>
  <c r="D1165" i="18" s="1"/>
  <c r="D1166" i="18" s="1"/>
  <c r="D1167" i="18" s="1"/>
  <c r="D1168" i="18" s="1"/>
  <c r="D1169" i="18" s="1"/>
  <c r="D1170" i="18" s="1"/>
  <c r="D1171" i="18" s="1"/>
  <c r="D1172" i="18" s="1"/>
  <c r="D1173" i="18" s="1"/>
  <c r="D1174" i="18" s="1"/>
  <c r="D1175" i="18" s="1"/>
  <c r="D1176" i="18" s="1"/>
  <c r="D1177" i="18" s="1"/>
  <c r="D1178" i="18" s="1"/>
  <c r="D1179" i="18" s="1"/>
  <c r="D1180" i="18" s="1"/>
  <c r="D1181" i="18" s="1"/>
  <c r="D1182" i="18" s="1"/>
  <c r="D1183" i="18" s="1"/>
  <c r="D1184" i="18" s="1"/>
  <c r="D1185" i="18" s="1"/>
  <c r="D1186" i="18" s="1"/>
  <c r="D1187" i="18" s="1"/>
  <c r="D1188" i="18" s="1"/>
  <c r="D1189" i="18" s="1"/>
  <c r="D1190" i="18" s="1"/>
  <c r="D1191" i="18" s="1"/>
  <c r="D1192" i="18" s="1"/>
  <c r="D1193" i="18" s="1"/>
  <c r="D1194" i="18" s="1"/>
  <c r="D1195" i="18" s="1"/>
  <c r="D1196" i="18" s="1"/>
  <c r="D1197" i="18" s="1"/>
  <c r="D1198" i="18" s="1"/>
  <c r="D1199" i="18" s="1"/>
  <c r="D1200" i="18" s="1"/>
  <c r="D1201" i="18" s="1"/>
  <c r="D1202" i="18" s="1"/>
  <c r="D1203" i="18" s="1"/>
  <c r="D1204" i="18" s="1"/>
  <c r="D1205" i="18" s="1"/>
  <c r="D1206" i="18" s="1"/>
  <c r="D1207" i="18" s="1"/>
  <c r="D1208" i="18" s="1"/>
  <c r="D1209" i="18" s="1"/>
  <c r="D1210" i="18" s="1"/>
  <c r="D1211" i="18" s="1"/>
  <c r="D1212" i="18" s="1"/>
  <c r="D1213" i="18" s="1"/>
  <c r="D1214" i="18" s="1"/>
  <c r="D1215" i="18" s="1"/>
  <c r="D1216" i="18" s="1"/>
  <c r="D1217" i="18" s="1"/>
  <c r="D1218" i="18" s="1"/>
  <c r="D1219" i="18" s="1"/>
  <c r="D1220" i="18" s="1"/>
  <c r="D1221" i="18" s="1"/>
  <c r="D1222" i="18" s="1"/>
  <c r="D1223" i="18" s="1"/>
  <c r="D1224" i="18" s="1"/>
  <c r="D1225" i="18" s="1"/>
  <c r="D1226" i="18" s="1"/>
  <c r="D1227" i="18" s="1"/>
  <c r="D1228" i="18" s="1"/>
  <c r="D1229" i="18" s="1"/>
  <c r="D1230" i="18" s="1"/>
  <c r="D1231" i="18" s="1"/>
  <c r="D1232" i="18" s="1"/>
  <c r="D1233" i="18" s="1"/>
  <c r="D1234" i="18" s="1"/>
  <c r="D1235" i="18" s="1"/>
  <c r="D1236" i="18" s="1"/>
  <c r="D1237" i="18" s="1"/>
  <c r="D1238" i="18" s="1"/>
  <c r="D1239" i="18" s="1"/>
  <c r="D1240" i="18" s="1"/>
  <c r="D1241" i="18" s="1"/>
  <c r="D1242" i="18" s="1"/>
  <c r="D1243" i="18" s="1"/>
  <c r="D1244" i="18" s="1"/>
  <c r="D1245" i="18" s="1"/>
  <c r="D1246" i="18" s="1"/>
  <c r="D1247" i="18" s="1"/>
  <c r="D1248" i="18" s="1"/>
  <c r="D1249" i="18" s="1"/>
  <c r="D1250" i="18" s="1"/>
  <c r="D1251" i="18" s="1"/>
  <c r="D1252" i="18" s="1"/>
  <c r="D1253" i="18" s="1"/>
  <c r="D1254" i="18" s="1"/>
  <c r="D1255" i="18" s="1"/>
  <c r="D1256" i="18" s="1"/>
  <c r="D1257" i="18" s="1"/>
  <c r="D1258" i="18" s="1"/>
  <c r="D1259" i="18" s="1"/>
  <c r="D1260" i="18" s="1"/>
  <c r="D1261" i="18" s="1"/>
  <c r="D1262" i="18" s="1"/>
  <c r="D1263" i="18" s="1"/>
  <c r="D1264" i="18" s="1"/>
  <c r="D1265" i="18" s="1"/>
  <c r="D1266" i="18" s="1"/>
  <c r="D1267" i="18" s="1"/>
  <c r="D1268" i="18" s="1"/>
  <c r="D1269" i="18" s="1"/>
  <c r="D1270" i="18" s="1"/>
  <c r="D1271" i="18" s="1"/>
  <c r="D1272" i="18" s="1"/>
  <c r="D1273" i="18" s="1"/>
  <c r="D1274" i="18" s="1"/>
  <c r="D1275" i="18" s="1"/>
  <c r="D1276" i="18" s="1"/>
  <c r="D1277" i="18" s="1"/>
  <c r="D1278" i="18" s="1"/>
  <c r="D1279" i="18" s="1"/>
  <c r="D1280" i="18" s="1"/>
  <c r="D1281" i="18" s="1"/>
  <c r="D1282" i="18" s="1"/>
  <c r="D1283" i="18" s="1"/>
  <c r="D1284" i="18" s="1"/>
  <c r="D1285" i="18" s="1"/>
  <c r="D1286" i="18" s="1"/>
  <c r="D1287" i="18" s="1"/>
  <c r="D1288" i="18" s="1"/>
  <c r="D1289" i="18" s="1"/>
  <c r="D1290" i="18" s="1"/>
  <c r="D1291" i="18" s="1"/>
  <c r="D1292" i="18" s="1"/>
  <c r="D1293" i="18" s="1"/>
  <c r="D1294" i="18" s="1"/>
  <c r="D1295" i="18" s="1"/>
  <c r="D1296" i="18" s="1"/>
  <c r="D1297" i="18" s="1"/>
  <c r="D1298" i="18" s="1"/>
  <c r="D1299" i="18" s="1"/>
  <c r="D1300" i="18" s="1"/>
  <c r="D1301" i="18" s="1"/>
  <c r="D1302" i="18" s="1"/>
  <c r="D1303" i="18" s="1"/>
  <c r="D1304" i="18" s="1"/>
  <c r="D1305" i="18" s="1"/>
  <c r="D1306" i="18" s="1"/>
  <c r="D1307" i="18" s="1"/>
  <c r="D1308" i="18" s="1"/>
  <c r="D1309" i="18" s="1"/>
  <c r="D1310" i="18" s="1"/>
  <c r="D1311" i="18" s="1"/>
  <c r="D1312" i="18" s="1"/>
  <c r="D1313" i="18" s="1"/>
  <c r="D1314" i="18" s="1"/>
  <c r="D1315" i="18" s="1"/>
  <c r="D1316" i="18" s="1"/>
  <c r="D1317" i="18" s="1"/>
  <c r="D1318" i="18" s="1"/>
  <c r="D1319" i="18" s="1"/>
  <c r="D1320" i="18" s="1"/>
  <c r="D1321" i="18" s="1"/>
  <c r="D1322" i="18" s="1"/>
  <c r="D1323" i="18" s="1"/>
  <c r="D1324" i="18" s="1"/>
  <c r="D1325" i="18" s="1"/>
  <c r="D1326" i="18" s="1"/>
  <c r="D1327" i="18" s="1"/>
  <c r="D1328" i="18" s="1"/>
  <c r="B1001" i="18"/>
  <c r="B677" i="18"/>
  <c r="B678" i="18" s="1"/>
  <c r="B675" i="18"/>
  <c r="B676" i="18" s="1"/>
  <c r="B674" i="18"/>
  <c r="B673" i="18"/>
  <c r="D672" i="18"/>
  <c r="D673" i="18" s="1"/>
  <c r="D674" i="18" s="1"/>
  <c r="D675" i="18" s="1"/>
  <c r="D676" i="18" s="1"/>
  <c r="D677" i="18" s="1"/>
  <c r="D678" i="18" s="1"/>
  <c r="D679" i="18" s="1"/>
  <c r="D680" i="18" s="1"/>
  <c r="D681" i="18" s="1"/>
  <c r="D682" i="18" s="1"/>
  <c r="D683" i="18" s="1"/>
  <c r="D684" i="18" s="1"/>
  <c r="D685" i="18" s="1"/>
  <c r="D686" i="18" s="1"/>
  <c r="D687" i="18" s="1"/>
  <c r="D688" i="18" s="1"/>
  <c r="D689" i="18" s="1"/>
  <c r="D690" i="18" s="1"/>
  <c r="D691" i="18" s="1"/>
  <c r="D692" i="18" s="1"/>
  <c r="D693" i="18" s="1"/>
  <c r="D694" i="18" s="1"/>
  <c r="D695" i="18" s="1"/>
  <c r="D696" i="18" s="1"/>
  <c r="D697" i="18" s="1"/>
  <c r="D698" i="18" s="1"/>
  <c r="D699" i="18" s="1"/>
  <c r="D700" i="18" s="1"/>
  <c r="D701" i="18" s="1"/>
  <c r="D702" i="18" s="1"/>
  <c r="D703" i="18" s="1"/>
  <c r="D704" i="18" s="1"/>
  <c r="D705" i="18" s="1"/>
  <c r="D706" i="18" s="1"/>
  <c r="D707" i="18" s="1"/>
  <c r="D708" i="18" s="1"/>
  <c r="D709" i="18" s="1"/>
  <c r="D710" i="18" s="1"/>
  <c r="D711" i="18" s="1"/>
  <c r="D712" i="18" s="1"/>
  <c r="D713" i="18" s="1"/>
  <c r="D714" i="18" s="1"/>
  <c r="D715" i="18" s="1"/>
  <c r="D716" i="18" s="1"/>
  <c r="D717" i="18" s="1"/>
  <c r="D718" i="18" s="1"/>
  <c r="D719" i="18" s="1"/>
  <c r="D720" i="18" s="1"/>
  <c r="D721" i="18" s="1"/>
  <c r="D722" i="18" s="1"/>
  <c r="D723" i="18" s="1"/>
  <c r="D724" i="18" s="1"/>
  <c r="D725" i="18" s="1"/>
  <c r="D726" i="18" s="1"/>
  <c r="D727" i="18" s="1"/>
  <c r="D728" i="18" s="1"/>
  <c r="D729" i="18" s="1"/>
  <c r="D730" i="18" s="1"/>
  <c r="D731" i="18" s="1"/>
  <c r="D732" i="18" s="1"/>
  <c r="D733" i="18" s="1"/>
  <c r="D734" i="18" s="1"/>
  <c r="D735" i="18" s="1"/>
  <c r="D736" i="18" s="1"/>
  <c r="D737" i="18" s="1"/>
  <c r="D738" i="18" s="1"/>
  <c r="D739" i="18" s="1"/>
  <c r="D740" i="18" s="1"/>
  <c r="D741" i="18" s="1"/>
  <c r="D742" i="18" s="1"/>
  <c r="D743" i="18" s="1"/>
  <c r="D744" i="18" s="1"/>
  <c r="D745" i="18" s="1"/>
  <c r="D746" i="18" s="1"/>
  <c r="D747" i="18" s="1"/>
  <c r="D748" i="18" s="1"/>
  <c r="D749" i="18" s="1"/>
  <c r="D750" i="18" s="1"/>
  <c r="D751" i="18" s="1"/>
  <c r="D752" i="18" s="1"/>
  <c r="D753" i="18" s="1"/>
  <c r="D754" i="18" s="1"/>
  <c r="D755" i="18" s="1"/>
  <c r="D756" i="18" s="1"/>
  <c r="D757" i="18" s="1"/>
  <c r="D758" i="18" s="1"/>
  <c r="D759" i="18" s="1"/>
  <c r="D760" i="18" s="1"/>
  <c r="D761" i="18" s="1"/>
  <c r="D762" i="18" s="1"/>
  <c r="D763" i="18" s="1"/>
  <c r="D764" i="18" s="1"/>
  <c r="D765" i="18" s="1"/>
  <c r="D766" i="18" s="1"/>
  <c r="D767" i="18" s="1"/>
  <c r="D768" i="18" s="1"/>
  <c r="D769" i="18" s="1"/>
  <c r="D770" i="18" s="1"/>
  <c r="D771" i="18" s="1"/>
  <c r="D772" i="18" s="1"/>
  <c r="D773" i="18" s="1"/>
  <c r="D774" i="18" s="1"/>
  <c r="D775" i="18" s="1"/>
  <c r="D776" i="18" s="1"/>
  <c r="D777" i="18" s="1"/>
  <c r="D778" i="18" s="1"/>
  <c r="D779" i="18" s="1"/>
  <c r="D780" i="18" s="1"/>
  <c r="D781" i="18" s="1"/>
  <c r="D782" i="18" s="1"/>
  <c r="D783" i="18" s="1"/>
  <c r="D784" i="18" s="1"/>
  <c r="D785" i="18" s="1"/>
  <c r="D786" i="18" s="1"/>
  <c r="D787" i="18" s="1"/>
  <c r="D788" i="18" s="1"/>
  <c r="D789" i="18" s="1"/>
  <c r="D790" i="18" s="1"/>
  <c r="D791" i="18" s="1"/>
  <c r="D792" i="18" s="1"/>
  <c r="D793" i="18" s="1"/>
  <c r="D794" i="18" s="1"/>
  <c r="D795" i="18" s="1"/>
  <c r="D796" i="18" s="1"/>
  <c r="D797" i="18" s="1"/>
  <c r="D798" i="18" s="1"/>
  <c r="D799" i="18" s="1"/>
  <c r="D800" i="18" s="1"/>
  <c r="D801" i="18" s="1"/>
  <c r="D802" i="18" s="1"/>
  <c r="D803" i="18" s="1"/>
  <c r="D804" i="18" s="1"/>
  <c r="D805" i="18" s="1"/>
  <c r="D806" i="18" s="1"/>
  <c r="D807" i="18" s="1"/>
  <c r="D808" i="18" s="1"/>
  <c r="D809" i="18" s="1"/>
  <c r="D810" i="18" s="1"/>
  <c r="D811" i="18" s="1"/>
  <c r="D812" i="18" s="1"/>
  <c r="D813" i="18" s="1"/>
  <c r="D814" i="18" s="1"/>
  <c r="D815" i="18" s="1"/>
  <c r="D816" i="18" s="1"/>
  <c r="D817" i="18" s="1"/>
  <c r="D818" i="18" s="1"/>
  <c r="D819" i="18" s="1"/>
  <c r="D820" i="18" s="1"/>
  <c r="D821" i="18" s="1"/>
  <c r="D822" i="18" s="1"/>
  <c r="D823" i="18" s="1"/>
  <c r="D824" i="18" s="1"/>
  <c r="D825" i="18" s="1"/>
  <c r="D826" i="18" s="1"/>
  <c r="D827" i="18" s="1"/>
  <c r="D828" i="18" s="1"/>
  <c r="D829" i="18" s="1"/>
  <c r="D830" i="18" s="1"/>
  <c r="D831" i="18" s="1"/>
  <c r="D832" i="18" s="1"/>
  <c r="D833" i="18" s="1"/>
  <c r="D834" i="18" s="1"/>
  <c r="D835" i="18" s="1"/>
  <c r="D836" i="18" s="1"/>
  <c r="D837" i="18" s="1"/>
  <c r="D838" i="18" s="1"/>
  <c r="D839" i="18" s="1"/>
  <c r="D840" i="18" s="1"/>
  <c r="D841" i="18" s="1"/>
  <c r="D842" i="18" s="1"/>
  <c r="D843" i="18" s="1"/>
  <c r="D844" i="18" s="1"/>
  <c r="D845" i="18" s="1"/>
  <c r="D846" i="18" s="1"/>
  <c r="D847" i="18" s="1"/>
  <c r="D848" i="18" s="1"/>
  <c r="D849" i="18" s="1"/>
  <c r="D850" i="18" s="1"/>
  <c r="D851" i="18" s="1"/>
  <c r="D852" i="18" s="1"/>
  <c r="D853" i="18" s="1"/>
  <c r="D854" i="18" s="1"/>
  <c r="D855" i="18" s="1"/>
  <c r="D856" i="18" s="1"/>
  <c r="D857" i="18" s="1"/>
  <c r="D858" i="18" s="1"/>
  <c r="D859" i="18" s="1"/>
  <c r="D860" i="18" s="1"/>
  <c r="D861" i="18" s="1"/>
  <c r="D862" i="18" s="1"/>
  <c r="D863" i="18" s="1"/>
  <c r="D864" i="18" s="1"/>
  <c r="D865" i="18" s="1"/>
  <c r="D866" i="18" s="1"/>
  <c r="D867" i="18" s="1"/>
  <c r="D868" i="18" s="1"/>
  <c r="D869" i="18" s="1"/>
  <c r="D870" i="18" s="1"/>
  <c r="D871" i="18" s="1"/>
  <c r="D872" i="18" s="1"/>
  <c r="D873" i="18" s="1"/>
  <c r="D874" i="18" s="1"/>
  <c r="D875" i="18" s="1"/>
  <c r="D876" i="18" s="1"/>
  <c r="D877" i="18" s="1"/>
  <c r="D878" i="18" s="1"/>
  <c r="D879" i="18" s="1"/>
  <c r="D880" i="18" s="1"/>
  <c r="D881" i="18" s="1"/>
  <c r="D882" i="18" s="1"/>
  <c r="D883" i="18" s="1"/>
  <c r="D884" i="18" s="1"/>
  <c r="D885" i="18" s="1"/>
  <c r="D886" i="18" s="1"/>
  <c r="D887" i="18" s="1"/>
  <c r="D888" i="18" s="1"/>
  <c r="D889" i="18" s="1"/>
  <c r="D890" i="18" s="1"/>
  <c r="D891" i="18" s="1"/>
  <c r="D892" i="18" s="1"/>
  <c r="D893" i="18" s="1"/>
  <c r="D894" i="18" s="1"/>
  <c r="D895" i="18" s="1"/>
  <c r="D896" i="18" s="1"/>
  <c r="D897" i="18" s="1"/>
  <c r="D898" i="18" s="1"/>
  <c r="D899" i="18" s="1"/>
  <c r="D900" i="18" s="1"/>
  <c r="D901" i="18" s="1"/>
  <c r="D902" i="18" s="1"/>
  <c r="D903" i="18" s="1"/>
  <c r="D904" i="18" s="1"/>
  <c r="D905" i="18" s="1"/>
  <c r="D906" i="18" s="1"/>
  <c r="D907" i="18" s="1"/>
  <c r="D908" i="18" s="1"/>
  <c r="D909" i="18" s="1"/>
  <c r="D910" i="18" s="1"/>
  <c r="D911" i="18" s="1"/>
  <c r="D912" i="18" s="1"/>
  <c r="D913" i="18" s="1"/>
  <c r="D914" i="18" s="1"/>
  <c r="D915" i="18" s="1"/>
  <c r="D916" i="18" s="1"/>
  <c r="D917" i="18" s="1"/>
  <c r="D918" i="18" s="1"/>
  <c r="D919" i="18" s="1"/>
  <c r="D920" i="18" s="1"/>
  <c r="D921" i="18" s="1"/>
  <c r="D922" i="18" s="1"/>
  <c r="D923" i="18" s="1"/>
  <c r="D924" i="18" s="1"/>
  <c r="D925" i="18" s="1"/>
  <c r="D926" i="18" s="1"/>
  <c r="D927" i="18" s="1"/>
  <c r="D928" i="18" s="1"/>
  <c r="D929" i="18" s="1"/>
  <c r="D930" i="18" s="1"/>
  <c r="D931" i="18" s="1"/>
  <c r="D932" i="18" s="1"/>
  <c r="D933" i="18" s="1"/>
  <c r="D934" i="18" s="1"/>
  <c r="D935" i="18" s="1"/>
  <c r="D936" i="18" s="1"/>
  <c r="D937" i="18" s="1"/>
  <c r="D938" i="18" s="1"/>
  <c r="D939" i="18" s="1"/>
  <c r="D940" i="18" s="1"/>
  <c r="D941" i="18" s="1"/>
  <c r="D942" i="18" s="1"/>
  <c r="D943" i="18" s="1"/>
  <c r="D944" i="18" s="1"/>
  <c r="D945" i="18" s="1"/>
  <c r="D946" i="18" s="1"/>
  <c r="D947" i="18" s="1"/>
  <c r="D948" i="18" s="1"/>
  <c r="D949" i="18" s="1"/>
  <c r="D950" i="18" s="1"/>
  <c r="D951" i="18" s="1"/>
  <c r="D952" i="18" s="1"/>
  <c r="D953" i="18" s="1"/>
  <c r="D954" i="18" s="1"/>
  <c r="D955" i="18" s="1"/>
  <c r="D956" i="18" s="1"/>
  <c r="D957" i="18" s="1"/>
  <c r="D958" i="18" s="1"/>
  <c r="D959" i="18" s="1"/>
  <c r="D960" i="18" s="1"/>
  <c r="D961" i="18" s="1"/>
  <c r="D962" i="18" s="1"/>
  <c r="D963" i="18" s="1"/>
  <c r="D964" i="18" s="1"/>
  <c r="D965" i="18" s="1"/>
  <c r="D966" i="18" s="1"/>
  <c r="D967" i="18" s="1"/>
  <c r="D968" i="18" s="1"/>
  <c r="D969" i="18" s="1"/>
  <c r="D970" i="18" s="1"/>
  <c r="D971" i="18" s="1"/>
  <c r="D972" i="18" s="1"/>
  <c r="D973" i="18" s="1"/>
  <c r="D974" i="18" s="1"/>
  <c r="D975" i="18" s="1"/>
  <c r="D976" i="18" s="1"/>
  <c r="D977" i="18" s="1"/>
  <c r="D978" i="18" s="1"/>
  <c r="D979" i="18" s="1"/>
  <c r="D980" i="18" s="1"/>
  <c r="D981" i="18" s="1"/>
  <c r="D982" i="18" s="1"/>
  <c r="D983" i="18" s="1"/>
  <c r="D984" i="18" s="1"/>
  <c r="D985" i="18" s="1"/>
  <c r="D986" i="18" s="1"/>
  <c r="D987" i="18" s="1"/>
  <c r="D988" i="18" s="1"/>
  <c r="D989" i="18" s="1"/>
  <c r="D990" i="18" s="1"/>
  <c r="D991" i="18" s="1"/>
  <c r="D992" i="18" s="1"/>
  <c r="D993" i="18" s="1"/>
  <c r="D994" i="18" s="1"/>
  <c r="D995" i="18" s="1"/>
  <c r="D996" i="18" s="1"/>
  <c r="D997" i="18" s="1"/>
  <c r="D998" i="18" s="1"/>
  <c r="D999" i="18" s="1"/>
  <c r="B672" i="18"/>
  <c r="D596" i="18"/>
  <c r="D597" i="18" s="1"/>
  <c r="D598" i="18" s="1"/>
  <c r="D599" i="18" s="1"/>
  <c r="D600" i="18" s="1"/>
  <c r="D601" i="18" s="1"/>
  <c r="D602" i="18" s="1"/>
  <c r="D603" i="18" s="1"/>
  <c r="D604" i="18" s="1"/>
  <c r="D605" i="18" s="1"/>
  <c r="D606" i="18" s="1"/>
  <c r="D607" i="18" s="1"/>
  <c r="D608" i="18" s="1"/>
  <c r="D609" i="18" s="1"/>
  <c r="D610" i="18" s="1"/>
  <c r="D611" i="18" s="1"/>
  <c r="D612" i="18" s="1"/>
  <c r="D613" i="18" s="1"/>
  <c r="D614" i="18" s="1"/>
  <c r="D615" i="18" s="1"/>
  <c r="D616" i="18" s="1"/>
  <c r="D617" i="18" s="1"/>
  <c r="D618" i="18" s="1"/>
  <c r="D619" i="18" s="1"/>
  <c r="D620" i="18" s="1"/>
  <c r="D621" i="18" s="1"/>
  <c r="D622" i="18" s="1"/>
  <c r="D623" i="18" s="1"/>
  <c r="D624" i="18" s="1"/>
  <c r="D625" i="18" s="1"/>
  <c r="D626" i="18" s="1"/>
  <c r="D627" i="18" s="1"/>
  <c r="D628" i="18" s="1"/>
  <c r="D629" i="18" s="1"/>
  <c r="D630" i="18" s="1"/>
  <c r="D631" i="18" s="1"/>
  <c r="D632" i="18" s="1"/>
  <c r="D633" i="18" s="1"/>
  <c r="D634" i="18" s="1"/>
  <c r="D635" i="18" s="1"/>
  <c r="D636" i="18" s="1"/>
  <c r="D637" i="18" s="1"/>
  <c r="D638" i="18" s="1"/>
  <c r="D639" i="18" s="1"/>
  <c r="D640" i="18" s="1"/>
  <c r="D641" i="18" s="1"/>
  <c r="D642" i="18" s="1"/>
  <c r="D643" i="18" s="1"/>
  <c r="D644" i="18" s="1"/>
  <c r="D645" i="18" s="1"/>
  <c r="D646" i="18" s="1"/>
  <c r="D647" i="18" s="1"/>
  <c r="D648" i="18" s="1"/>
  <c r="D649" i="18" s="1"/>
  <c r="D650" i="18" s="1"/>
  <c r="D651" i="18" s="1"/>
  <c r="D652" i="18" s="1"/>
  <c r="D653" i="18" s="1"/>
  <c r="D654" i="18" s="1"/>
  <c r="D655" i="18" s="1"/>
  <c r="D656" i="18" s="1"/>
  <c r="D657" i="18" s="1"/>
  <c r="D658" i="18" s="1"/>
  <c r="D659" i="18" s="1"/>
  <c r="D660" i="18" s="1"/>
  <c r="D661" i="18" s="1"/>
  <c r="D662" i="18" s="1"/>
  <c r="D663" i="18" s="1"/>
  <c r="D664" i="18" s="1"/>
  <c r="D665" i="18" s="1"/>
  <c r="D666" i="18" s="1"/>
  <c r="D667" i="18" s="1"/>
  <c r="D668" i="18" s="1"/>
  <c r="D669" i="18" s="1"/>
  <c r="D670" i="18" s="1"/>
  <c r="B348" i="18"/>
  <c r="B349" i="18" s="1"/>
  <c r="B347" i="18"/>
  <c r="B346" i="18"/>
  <c r="B345" i="18"/>
  <c r="B344" i="18"/>
  <c r="D343" i="18"/>
  <c r="D344" i="18" s="1"/>
  <c r="D345" i="18" s="1"/>
  <c r="D346" i="18" s="1"/>
  <c r="D347" i="18" s="1"/>
  <c r="D348" i="18" s="1"/>
  <c r="D349" i="18" s="1"/>
  <c r="D350" i="18" s="1"/>
  <c r="D351" i="18" s="1"/>
  <c r="D352" i="18" s="1"/>
  <c r="D353" i="18" s="1"/>
  <c r="D354" i="18" s="1"/>
  <c r="D355" i="18" s="1"/>
  <c r="D356" i="18" s="1"/>
  <c r="D357" i="18" s="1"/>
  <c r="D358" i="18" s="1"/>
  <c r="D359" i="18" s="1"/>
  <c r="D360" i="18" s="1"/>
  <c r="D361" i="18" s="1"/>
  <c r="D362" i="18" s="1"/>
  <c r="D363" i="18" s="1"/>
  <c r="D364" i="18" s="1"/>
  <c r="D365" i="18" s="1"/>
  <c r="D366" i="18" s="1"/>
  <c r="D367" i="18" s="1"/>
  <c r="D368" i="18" s="1"/>
  <c r="D369" i="18" s="1"/>
  <c r="D370" i="18" s="1"/>
  <c r="D371" i="18" s="1"/>
  <c r="D372" i="18" s="1"/>
  <c r="D373" i="18" s="1"/>
  <c r="D374" i="18" s="1"/>
  <c r="D375" i="18" s="1"/>
  <c r="D376" i="18" s="1"/>
  <c r="D377" i="18" s="1"/>
  <c r="D378" i="18" s="1"/>
  <c r="D379" i="18" s="1"/>
  <c r="D380" i="18" s="1"/>
  <c r="D381" i="18" s="1"/>
  <c r="D382" i="18" s="1"/>
  <c r="D383" i="18" s="1"/>
  <c r="D384" i="18" s="1"/>
  <c r="D385" i="18" s="1"/>
  <c r="D386" i="18" s="1"/>
  <c r="D387" i="18" s="1"/>
  <c r="D388" i="18" s="1"/>
  <c r="D389" i="18" s="1"/>
  <c r="D390" i="18" s="1"/>
  <c r="D391" i="18" s="1"/>
  <c r="D392" i="18" s="1"/>
  <c r="D393" i="18" s="1"/>
  <c r="D394" i="18" s="1"/>
  <c r="D395" i="18" s="1"/>
  <c r="D396" i="18" s="1"/>
  <c r="D397" i="18" s="1"/>
  <c r="D398" i="18" s="1"/>
  <c r="D399" i="18" s="1"/>
  <c r="D400" i="18" s="1"/>
  <c r="D401" i="18" s="1"/>
  <c r="D402" i="18" s="1"/>
  <c r="D403" i="18" s="1"/>
  <c r="D404" i="18" s="1"/>
  <c r="D405" i="18" s="1"/>
  <c r="D406" i="18" s="1"/>
  <c r="D407" i="18" s="1"/>
  <c r="D408" i="18" s="1"/>
  <c r="D409" i="18" s="1"/>
  <c r="D410" i="18" s="1"/>
  <c r="D411" i="18" s="1"/>
  <c r="D412" i="18" s="1"/>
  <c r="D413" i="18" s="1"/>
  <c r="D414" i="18" s="1"/>
  <c r="D415" i="18" s="1"/>
  <c r="D416" i="18" s="1"/>
  <c r="D417" i="18" s="1"/>
  <c r="D418" i="18" s="1"/>
  <c r="D419" i="18" s="1"/>
  <c r="D420" i="18" s="1"/>
  <c r="D421" i="18" s="1"/>
  <c r="D422" i="18" s="1"/>
  <c r="D423" i="18" s="1"/>
  <c r="D424" i="18" s="1"/>
  <c r="D425" i="18" s="1"/>
  <c r="D426" i="18" s="1"/>
  <c r="D427" i="18" s="1"/>
  <c r="D428" i="18" s="1"/>
  <c r="D429" i="18" s="1"/>
  <c r="D430" i="18" s="1"/>
  <c r="D431" i="18" s="1"/>
  <c r="D432" i="18" s="1"/>
  <c r="D433" i="18" s="1"/>
  <c r="D434" i="18" s="1"/>
  <c r="D435" i="18" s="1"/>
  <c r="D436" i="18" s="1"/>
  <c r="D437" i="18" s="1"/>
  <c r="D438" i="18" s="1"/>
  <c r="D439" i="18" s="1"/>
  <c r="D440" i="18" s="1"/>
  <c r="D441" i="18" s="1"/>
  <c r="D442" i="18" s="1"/>
  <c r="D443" i="18" s="1"/>
  <c r="D444" i="18" s="1"/>
  <c r="D445" i="18" s="1"/>
  <c r="D446" i="18" s="1"/>
  <c r="D447" i="18" s="1"/>
  <c r="D448" i="18" s="1"/>
  <c r="D449" i="18" s="1"/>
  <c r="D450" i="18" s="1"/>
  <c r="D451" i="18" s="1"/>
  <c r="D452" i="18" s="1"/>
  <c r="D453" i="18" s="1"/>
  <c r="D454" i="18" s="1"/>
  <c r="D455" i="18" s="1"/>
  <c r="D456" i="18" s="1"/>
  <c r="D457" i="18" s="1"/>
  <c r="D458" i="18" s="1"/>
  <c r="D459" i="18" s="1"/>
  <c r="D460" i="18" s="1"/>
  <c r="D461" i="18" s="1"/>
  <c r="D462" i="18" s="1"/>
  <c r="D463" i="18" s="1"/>
  <c r="D464" i="18" s="1"/>
  <c r="D465" i="18" s="1"/>
  <c r="D466" i="18" s="1"/>
  <c r="D467" i="18" s="1"/>
  <c r="D468" i="18" s="1"/>
  <c r="D469" i="18" s="1"/>
  <c r="D470" i="18" s="1"/>
  <c r="D471" i="18" s="1"/>
  <c r="D472" i="18" s="1"/>
  <c r="D473" i="18" s="1"/>
  <c r="D474" i="18" s="1"/>
  <c r="D475" i="18" s="1"/>
  <c r="D476" i="18" s="1"/>
  <c r="D477" i="18" s="1"/>
  <c r="D478" i="18" s="1"/>
  <c r="D479" i="18" s="1"/>
  <c r="D480" i="18" s="1"/>
  <c r="D481" i="18" s="1"/>
  <c r="D482" i="18" s="1"/>
  <c r="D483" i="18" s="1"/>
  <c r="D484" i="18" s="1"/>
  <c r="D485" i="18" s="1"/>
  <c r="D486" i="18" s="1"/>
  <c r="D487" i="18" s="1"/>
  <c r="D488" i="18" s="1"/>
  <c r="D489" i="18" s="1"/>
  <c r="D490" i="18" s="1"/>
  <c r="D491" i="18" s="1"/>
  <c r="D492" i="18" s="1"/>
  <c r="D493" i="18" s="1"/>
  <c r="D494" i="18" s="1"/>
  <c r="D495" i="18" s="1"/>
  <c r="D496" i="18" s="1"/>
  <c r="D497" i="18" s="1"/>
  <c r="D498" i="18" s="1"/>
  <c r="D499" i="18" s="1"/>
  <c r="D500" i="18" s="1"/>
  <c r="D501" i="18" s="1"/>
  <c r="D502" i="18" s="1"/>
  <c r="D503" i="18" s="1"/>
  <c r="D504" i="18" s="1"/>
  <c r="D505" i="18" s="1"/>
  <c r="D506" i="18" s="1"/>
  <c r="D507" i="18" s="1"/>
  <c r="D508" i="18" s="1"/>
  <c r="D509" i="18" s="1"/>
  <c r="D510" i="18" s="1"/>
  <c r="D511" i="18" s="1"/>
  <c r="D512" i="18" s="1"/>
  <c r="D513" i="18" s="1"/>
  <c r="D514" i="18" s="1"/>
  <c r="D515" i="18" s="1"/>
  <c r="D516" i="18" s="1"/>
  <c r="D517" i="18" s="1"/>
  <c r="D518" i="18" s="1"/>
  <c r="D519" i="18" s="1"/>
  <c r="D520" i="18" s="1"/>
  <c r="D521" i="18" s="1"/>
  <c r="D522" i="18" s="1"/>
  <c r="D523" i="18" s="1"/>
  <c r="D524" i="18" s="1"/>
  <c r="D525" i="18" s="1"/>
  <c r="D526" i="18" s="1"/>
  <c r="D527" i="18" s="1"/>
  <c r="D528" i="18" s="1"/>
  <c r="D529" i="18" s="1"/>
  <c r="D530" i="18" s="1"/>
  <c r="D531" i="18" s="1"/>
  <c r="D532" i="18" s="1"/>
  <c r="D533" i="18" s="1"/>
  <c r="D534" i="18" s="1"/>
  <c r="D535" i="18" s="1"/>
  <c r="D536" i="18" s="1"/>
  <c r="D537" i="18" s="1"/>
  <c r="D538" i="18" s="1"/>
  <c r="D539" i="18" s="1"/>
  <c r="D540" i="18" s="1"/>
  <c r="D541" i="18" s="1"/>
  <c r="D542" i="18" s="1"/>
  <c r="D543" i="18" s="1"/>
  <c r="D544" i="18" s="1"/>
  <c r="D545" i="18" s="1"/>
  <c r="D546" i="18" s="1"/>
  <c r="D547" i="18" s="1"/>
  <c r="D548" i="18" s="1"/>
  <c r="D549" i="18" s="1"/>
  <c r="D550" i="18" s="1"/>
  <c r="D551" i="18" s="1"/>
  <c r="D552" i="18" s="1"/>
  <c r="D553" i="18" s="1"/>
  <c r="D554" i="18" s="1"/>
  <c r="D555" i="18" s="1"/>
  <c r="D556" i="18" s="1"/>
  <c r="D557" i="18" s="1"/>
  <c r="D558" i="18" s="1"/>
  <c r="D559" i="18" s="1"/>
  <c r="D560" i="18" s="1"/>
  <c r="D561" i="18" s="1"/>
  <c r="D562" i="18" s="1"/>
  <c r="D563" i="18" s="1"/>
  <c r="D564" i="18" s="1"/>
  <c r="D565" i="18" s="1"/>
  <c r="D566" i="18" s="1"/>
  <c r="D567" i="18" s="1"/>
  <c r="D568" i="18" s="1"/>
  <c r="D569" i="18" s="1"/>
  <c r="D570" i="18" s="1"/>
  <c r="D571" i="18" s="1"/>
  <c r="D572" i="18" s="1"/>
  <c r="D573" i="18" s="1"/>
  <c r="D574" i="18" s="1"/>
  <c r="D575" i="18" s="1"/>
  <c r="D576" i="18" s="1"/>
  <c r="D577" i="18" s="1"/>
  <c r="D578" i="18" s="1"/>
  <c r="D579" i="18" s="1"/>
  <c r="D580" i="18" s="1"/>
  <c r="D581" i="18" s="1"/>
  <c r="D582" i="18" s="1"/>
  <c r="D583" i="18" s="1"/>
  <c r="D584" i="18" s="1"/>
  <c r="D585" i="18" s="1"/>
  <c r="D586" i="18" s="1"/>
  <c r="D587" i="18" s="1"/>
  <c r="D588" i="18" s="1"/>
  <c r="D589" i="18" s="1"/>
  <c r="D590" i="18" s="1"/>
  <c r="D591" i="18" s="1"/>
  <c r="D592" i="18" s="1"/>
  <c r="D593" i="18" s="1"/>
  <c r="B343" i="18"/>
  <c r="B187" i="18"/>
  <c r="B186" i="18"/>
  <c r="B188" i="18" s="1"/>
  <c r="B185" i="18"/>
  <c r="B184" i="18"/>
  <c r="B183" i="18"/>
  <c r="B182" i="18"/>
  <c r="B180" i="18"/>
  <c r="B179" i="18"/>
  <c r="B178" i="18"/>
  <c r="B177" i="18"/>
  <c r="B176" i="18"/>
  <c r="B175" i="18"/>
  <c r="B19" i="18"/>
  <c r="B20" i="18" s="1"/>
  <c r="B17" i="18"/>
  <c r="B18" i="18" s="1"/>
  <c r="B16" i="18"/>
  <c r="B15" i="18"/>
  <c r="D14" i="18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D50" i="18" s="1"/>
  <c r="D51" i="18" s="1"/>
  <c r="D52" i="18" s="1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237" i="18" s="1"/>
  <c r="D238" i="18" s="1"/>
  <c r="D239" i="18" s="1"/>
  <c r="D240" i="18" s="1"/>
  <c r="D241" i="18" s="1"/>
  <c r="D242" i="18" s="1"/>
  <c r="D243" i="18" s="1"/>
  <c r="D244" i="18" s="1"/>
  <c r="D245" i="18" s="1"/>
  <c r="D246" i="18" s="1"/>
  <c r="D247" i="18" s="1"/>
  <c r="D248" i="18" s="1"/>
  <c r="D249" i="18" s="1"/>
  <c r="D250" i="18" s="1"/>
  <c r="D251" i="18" s="1"/>
  <c r="D252" i="18" s="1"/>
  <c r="D253" i="18" s="1"/>
  <c r="D254" i="18" s="1"/>
  <c r="D255" i="18" s="1"/>
  <c r="D256" i="18" s="1"/>
  <c r="D257" i="18" s="1"/>
  <c r="D258" i="18" s="1"/>
  <c r="D259" i="18" s="1"/>
  <c r="D260" i="18" s="1"/>
  <c r="D261" i="18" s="1"/>
  <c r="D262" i="18" s="1"/>
  <c r="D263" i="18" s="1"/>
  <c r="D264" i="18" s="1"/>
  <c r="D265" i="18" s="1"/>
  <c r="D266" i="18" s="1"/>
  <c r="D267" i="18" s="1"/>
  <c r="D268" i="18" s="1"/>
  <c r="D269" i="18" s="1"/>
  <c r="D270" i="18" s="1"/>
  <c r="D271" i="18" s="1"/>
  <c r="D272" i="18" s="1"/>
  <c r="D273" i="18" s="1"/>
  <c r="D274" i="18" s="1"/>
  <c r="D275" i="18" s="1"/>
  <c r="D276" i="18" s="1"/>
  <c r="D277" i="18" s="1"/>
  <c r="D278" i="18" s="1"/>
  <c r="D279" i="18" s="1"/>
  <c r="D280" i="18" s="1"/>
  <c r="D281" i="18" s="1"/>
  <c r="D282" i="18" s="1"/>
  <c r="D283" i="18" s="1"/>
  <c r="D284" i="18" s="1"/>
  <c r="D285" i="18" s="1"/>
  <c r="D286" i="18" s="1"/>
  <c r="D287" i="18" s="1"/>
  <c r="D288" i="18" s="1"/>
  <c r="D289" i="18" s="1"/>
  <c r="D290" i="18" s="1"/>
  <c r="D291" i="18" s="1"/>
  <c r="D292" i="18" s="1"/>
  <c r="D293" i="18" s="1"/>
  <c r="D294" i="18" s="1"/>
  <c r="D295" i="18" s="1"/>
  <c r="D296" i="18" s="1"/>
  <c r="D297" i="18" s="1"/>
  <c r="D298" i="18" s="1"/>
  <c r="D299" i="18" s="1"/>
  <c r="D300" i="18" s="1"/>
  <c r="D301" i="18" s="1"/>
  <c r="D302" i="18" s="1"/>
  <c r="D303" i="18" s="1"/>
  <c r="D304" i="18" s="1"/>
  <c r="D305" i="18" s="1"/>
  <c r="D306" i="18" s="1"/>
  <c r="D307" i="18" s="1"/>
  <c r="D308" i="18" s="1"/>
  <c r="D309" i="18" s="1"/>
  <c r="D310" i="18" s="1"/>
  <c r="D311" i="18" s="1"/>
  <c r="D312" i="18" s="1"/>
  <c r="D313" i="18" s="1"/>
  <c r="D314" i="18" s="1"/>
  <c r="D315" i="18" s="1"/>
  <c r="D316" i="18" s="1"/>
  <c r="D317" i="18" s="1"/>
  <c r="D318" i="18" s="1"/>
  <c r="D319" i="18" s="1"/>
  <c r="D320" i="18" s="1"/>
  <c r="D321" i="18" s="1"/>
  <c r="D322" i="18" s="1"/>
  <c r="D323" i="18" s="1"/>
  <c r="D324" i="18" s="1"/>
  <c r="D325" i="18" s="1"/>
  <c r="D326" i="18" s="1"/>
  <c r="D327" i="18" s="1"/>
  <c r="D328" i="18" s="1"/>
  <c r="D329" i="18" s="1"/>
  <c r="D330" i="18" s="1"/>
  <c r="D331" i="18" s="1"/>
  <c r="D332" i="18" s="1"/>
  <c r="D333" i="18" s="1"/>
  <c r="D334" i="18" s="1"/>
  <c r="D335" i="18" s="1"/>
  <c r="D336" i="18" s="1"/>
  <c r="D337" i="18" s="1"/>
  <c r="D338" i="18" s="1"/>
  <c r="D339" i="18" s="1"/>
  <c r="D340" i="18" s="1"/>
  <c r="D341" i="18" s="1"/>
  <c r="B14" i="18"/>
  <c r="B2664" i="18" l="1"/>
  <c r="B2666" i="18" s="1"/>
  <c r="B2662" i="18"/>
  <c r="B2660" i="18"/>
  <c r="B2663" i="18"/>
  <c r="B2665" i="18"/>
  <c r="B2661" i="18"/>
  <c r="B2655" i="18"/>
  <c r="B2653" i="18"/>
  <c r="B2658" i="18"/>
  <c r="B2656" i="18"/>
  <c r="B2654" i="18"/>
  <c r="B2328" i="18"/>
  <c r="B2330" i="18" s="1"/>
  <c r="B2326" i="18"/>
  <c r="B2324" i="18"/>
  <c r="B2329" i="18"/>
  <c r="B2327" i="18"/>
  <c r="B2325" i="18"/>
  <c r="B1997" i="18"/>
  <c r="B2000" i="18"/>
  <c r="B1996" i="18"/>
  <c r="B1999" i="18"/>
  <c r="B2001" i="18" s="1"/>
  <c r="B1995" i="18"/>
  <c r="B1998" i="18"/>
  <c r="B1671" i="18"/>
  <c r="B1669" i="18"/>
  <c r="B1667" i="18"/>
  <c r="B1670" i="18"/>
  <c r="B1672" i="18" s="1"/>
  <c r="B1668" i="18"/>
  <c r="B1666" i="18"/>
  <c r="B1838" i="18"/>
  <c r="B1840" i="18" s="1"/>
  <c r="B1836" i="18"/>
  <c r="B1834" i="18"/>
  <c r="B1839" i="18"/>
  <c r="B1837" i="18"/>
  <c r="B1835" i="18"/>
  <c r="B1342" i="18"/>
  <c r="B1340" i="18"/>
  <c r="B1338" i="18"/>
  <c r="B1341" i="18"/>
  <c r="B1343" i="18" s="1"/>
  <c r="B1339" i="18"/>
  <c r="B1337" i="18"/>
  <c r="B1011" i="18"/>
  <c r="B1008" i="18"/>
  <c r="B1013" i="18"/>
  <c r="B1010" i="18"/>
  <c r="B1012" i="18"/>
  <c r="B1014" i="18" s="1"/>
  <c r="B1009" i="18"/>
  <c r="B680" i="18"/>
  <c r="B682" i="18"/>
  <c r="B679" i="18"/>
  <c r="B684" i="18"/>
  <c r="B681" i="18"/>
  <c r="B683" i="18"/>
  <c r="B685" i="18" s="1"/>
  <c r="B355" i="18"/>
  <c r="B353" i="18"/>
  <c r="B354" i="18"/>
  <c r="B356" i="18" s="1"/>
  <c r="B352" i="18"/>
  <c r="B350" i="18"/>
  <c r="B351" i="18"/>
  <c r="B23" i="18"/>
  <c r="B26" i="18"/>
  <c r="B22" i="18"/>
  <c r="B25" i="18"/>
  <c r="B27" i="18" s="1"/>
  <c r="B21" i="18"/>
  <c r="B24" i="18"/>
  <c r="B193" i="18"/>
  <c r="B195" i="18" s="1"/>
  <c r="B191" i="18"/>
  <c r="B189" i="18"/>
  <c r="B194" i="18"/>
  <c r="B192" i="18"/>
  <c r="B190" i="18"/>
  <c r="B2672" i="18" l="1"/>
  <c r="B2670" i="18"/>
  <c r="B2668" i="18"/>
  <c r="B2671" i="18"/>
  <c r="B2673" i="18" s="1"/>
  <c r="B2667" i="18"/>
  <c r="B2669" i="18"/>
  <c r="B2336" i="18"/>
  <c r="B2334" i="18"/>
  <c r="B2332" i="18"/>
  <c r="B2335" i="18"/>
  <c r="B2337" i="18" s="1"/>
  <c r="B2333" i="18"/>
  <c r="B2331" i="18"/>
  <c r="B2005" i="18"/>
  <c r="B2004" i="18"/>
  <c r="B2007" i="18"/>
  <c r="B2003" i="18"/>
  <c r="B2006" i="18"/>
  <c r="B2008" i="18" s="1"/>
  <c r="B2002" i="18"/>
  <c r="B1677" i="18"/>
  <c r="B1679" i="18" s="1"/>
  <c r="B1675" i="18"/>
  <c r="B1673" i="18"/>
  <c r="B1678" i="18"/>
  <c r="B1676" i="18"/>
  <c r="B1674" i="18"/>
  <c r="B1846" i="18"/>
  <c r="B1844" i="18"/>
  <c r="B1842" i="18"/>
  <c r="B1845" i="18"/>
  <c r="B1847" i="18" s="1"/>
  <c r="B1843" i="18"/>
  <c r="B1841" i="18"/>
  <c r="B1348" i="18"/>
  <c r="B1350" i="18" s="1"/>
  <c r="B1346" i="18"/>
  <c r="B1344" i="18"/>
  <c r="B1349" i="18"/>
  <c r="B1347" i="18"/>
  <c r="B1345" i="18"/>
  <c r="B1019" i="18"/>
  <c r="B1021" i="18" s="1"/>
  <c r="B1016" i="18"/>
  <c r="B1018" i="18"/>
  <c r="B1020" i="18"/>
  <c r="B1015" i="18"/>
  <c r="B1017" i="18"/>
  <c r="B688" i="18"/>
  <c r="B690" i="18"/>
  <c r="B692" i="18" s="1"/>
  <c r="B687" i="18"/>
  <c r="B689" i="18"/>
  <c r="B691" i="18"/>
  <c r="B686" i="18"/>
  <c r="B361" i="18"/>
  <c r="B363" i="18" s="1"/>
  <c r="B357" i="18"/>
  <c r="B359" i="18"/>
  <c r="B362" i="18"/>
  <c r="B360" i="18"/>
  <c r="B358" i="18"/>
  <c r="B201" i="18"/>
  <c r="B199" i="18"/>
  <c r="B197" i="18"/>
  <c r="B200" i="18"/>
  <c r="B202" i="18" s="1"/>
  <c r="B198" i="18"/>
  <c r="B196" i="18"/>
  <c r="B31" i="18"/>
  <c r="B30" i="18"/>
  <c r="B33" i="18"/>
  <c r="B29" i="18"/>
  <c r="B32" i="18"/>
  <c r="B34" i="18" s="1"/>
  <c r="B28" i="18"/>
  <c r="B2678" i="18" l="1"/>
  <c r="B2680" i="18" s="1"/>
  <c r="B2676" i="18"/>
  <c r="B2674" i="18"/>
  <c r="B2679" i="18"/>
  <c r="B2675" i="18"/>
  <c r="B2677" i="18"/>
  <c r="B2342" i="18"/>
  <c r="B2344" i="18" s="1"/>
  <c r="B2340" i="18"/>
  <c r="B2338" i="18"/>
  <c r="B2343" i="18"/>
  <c r="B2341" i="18"/>
  <c r="B2339" i="18"/>
  <c r="B2013" i="18"/>
  <c r="B2015" i="18" s="1"/>
  <c r="B2009" i="18"/>
  <c r="B2012" i="18"/>
  <c r="B2011" i="18"/>
  <c r="B2014" i="18"/>
  <c r="B2010" i="18"/>
  <c r="B1852" i="18"/>
  <c r="B1854" i="18" s="1"/>
  <c r="B1850" i="18"/>
  <c r="B1848" i="18"/>
  <c r="B1853" i="18"/>
  <c r="B1851" i="18"/>
  <c r="B1849" i="18"/>
  <c r="B1685" i="18"/>
  <c r="B1683" i="18"/>
  <c r="B1681" i="18"/>
  <c r="B1684" i="18"/>
  <c r="B1686" i="18" s="1"/>
  <c r="B1682" i="18"/>
  <c r="B1680" i="18"/>
  <c r="B1356" i="18"/>
  <c r="B1354" i="18"/>
  <c r="B1352" i="18"/>
  <c r="B1355" i="18"/>
  <c r="B1357" i="18" s="1"/>
  <c r="B1353" i="18"/>
  <c r="B1351" i="18"/>
  <c r="B1027" i="18"/>
  <c r="B1024" i="18"/>
  <c r="B1026" i="18"/>
  <c r="B1028" i="18" s="1"/>
  <c r="B1023" i="18"/>
  <c r="B1025" i="18"/>
  <c r="B1022" i="18"/>
  <c r="B698" i="18"/>
  <c r="B696" i="18"/>
  <c r="B694" i="18"/>
  <c r="B697" i="18"/>
  <c r="B699" i="18" s="1"/>
  <c r="B693" i="18"/>
  <c r="B695" i="18"/>
  <c r="B368" i="18"/>
  <c r="B370" i="18" s="1"/>
  <c r="B369" i="18"/>
  <c r="B365" i="18"/>
  <c r="B367" i="18"/>
  <c r="B366" i="18"/>
  <c r="B364" i="18"/>
  <c r="B207" i="18"/>
  <c r="B209" i="18" s="1"/>
  <c r="B205" i="18"/>
  <c r="B203" i="18"/>
  <c r="B208" i="18"/>
  <c r="B206" i="18"/>
  <c r="B204" i="18"/>
  <c r="B39" i="18"/>
  <c r="B41" i="18" s="1"/>
  <c r="B40" i="18"/>
  <c r="B35" i="18"/>
  <c r="B38" i="18"/>
  <c r="B37" i="18"/>
  <c r="B36" i="18"/>
  <c r="B2686" i="18" l="1"/>
  <c r="B2684" i="18"/>
  <c r="B2682" i="18"/>
  <c r="B2683" i="18"/>
  <c r="B2685" i="18"/>
  <c r="B2687" i="18" s="1"/>
  <c r="B2681" i="18"/>
  <c r="B2350" i="18"/>
  <c r="B2348" i="18"/>
  <c r="B2346" i="18"/>
  <c r="B2349" i="18"/>
  <c r="B2351" i="18" s="1"/>
  <c r="B2347" i="18"/>
  <c r="B2345" i="18"/>
  <c r="B2021" i="18"/>
  <c r="B2017" i="18"/>
  <c r="B2020" i="18"/>
  <c r="B2022" i="18" s="1"/>
  <c r="B2016" i="18"/>
  <c r="B2019" i="18"/>
  <c r="B2018" i="18"/>
  <c r="B1691" i="18"/>
  <c r="B1693" i="18" s="1"/>
  <c r="B1689" i="18"/>
  <c r="B1687" i="18"/>
  <c r="B1692" i="18"/>
  <c r="B1690" i="18"/>
  <c r="B1688" i="18"/>
  <c r="B1860" i="18"/>
  <c r="B1858" i="18"/>
  <c r="B1856" i="18"/>
  <c r="B1859" i="18"/>
  <c r="B1861" i="18" s="1"/>
  <c r="B1857" i="18"/>
  <c r="B1855" i="18"/>
  <c r="B1362" i="18"/>
  <c r="B1364" i="18" s="1"/>
  <c r="B1360" i="18"/>
  <c r="B1358" i="18"/>
  <c r="B1363" i="18"/>
  <c r="B1361" i="18"/>
  <c r="B1359" i="18"/>
  <c r="B1033" i="18"/>
  <c r="B1035" i="18" s="1"/>
  <c r="B1031" i="18"/>
  <c r="B1029" i="18"/>
  <c r="B1034" i="18"/>
  <c r="B1030" i="18"/>
  <c r="B1032" i="18"/>
  <c r="B704" i="18"/>
  <c r="B706" i="18" s="1"/>
  <c r="B702" i="18"/>
  <c r="B700" i="18"/>
  <c r="B705" i="18"/>
  <c r="B701" i="18"/>
  <c r="B703" i="18"/>
  <c r="B376" i="18"/>
  <c r="B374" i="18"/>
  <c r="B372" i="18"/>
  <c r="B375" i="18"/>
  <c r="B377" i="18" s="1"/>
  <c r="B373" i="18"/>
  <c r="B371" i="18"/>
  <c r="B47" i="18"/>
  <c r="B45" i="18"/>
  <c r="B43" i="18"/>
  <c r="B46" i="18"/>
  <c r="B48" i="18" s="1"/>
  <c r="B44" i="18"/>
  <c r="B42" i="18"/>
  <c r="B215" i="18"/>
  <c r="B213" i="18"/>
  <c r="B211" i="18"/>
  <c r="B214" i="18"/>
  <c r="B216" i="18" s="1"/>
  <c r="B212" i="18"/>
  <c r="B210" i="18"/>
  <c r="B2692" i="18" l="1"/>
  <c r="B2694" i="18" s="1"/>
  <c r="B2690" i="18"/>
  <c r="B2688" i="18"/>
  <c r="B2691" i="18"/>
  <c r="B2693" i="18"/>
  <c r="B2689" i="18"/>
  <c r="B2356" i="18"/>
  <c r="B2358" i="18" s="1"/>
  <c r="B2354" i="18"/>
  <c r="B2352" i="18"/>
  <c r="B2357" i="18"/>
  <c r="B2355" i="18"/>
  <c r="B2353" i="18"/>
  <c r="B2025" i="18"/>
  <c r="B2028" i="18"/>
  <c r="B2024" i="18"/>
  <c r="B2027" i="18"/>
  <c r="B2029" i="18" s="1"/>
  <c r="B2023" i="18"/>
  <c r="B2026" i="18"/>
  <c r="B1866" i="18"/>
  <c r="B1868" i="18" s="1"/>
  <c r="B1864" i="18"/>
  <c r="B1862" i="18"/>
  <c r="B1867" i="18"/>
  <c r="B1865" i="18"/>
  <c r="B1863" i="18"/>
  <c r="B1699" i="18"/>
  <c r="B1697" i="18"/>
  <c r="B1695" i="18"/>
  <c r="B1698" i="18"/>
  <c r="B1700" i="18" s="1"/>
  <c r="B1696" i="18"/>
  <c r="B1694" i="18"/>
  <c r="B1370" i="18"/>
  <c r="B1368" i="18"/>
  <c r="B1366" i="18"/>
  <c r="B1369" i="18"/>
  <c r="B1371" i="18" s="1"/>
  <c r="B1367" i="18"/>
  <c r="B1365" i="18"/>
  <c r="B1041" i="18"/>
  <c r="B1039" i="18"/>
  <c r="B1037" i="18"/>
  <c r="B1038" i="18"/>
  <c r="B1040" i="18"/>
  <c r="B1042" i="18" s="1"/>
  <c r="B1036" i="18"/>
  <c r="B712" i="18"/>
  <c r="B710" i="18"/>
  <c r="B708" i="18"/>
  <c r="B709" i="18"/>
  <c r="B711" i="18"/>
  <c r="B713" i="18" s="1"/>
  <c r="B707" i="18"/>
  <c r="B382" i="18"/>
  <c r="B384" i="18" s="1"/>
  <c r="B380" i="18"/>
  <c r="B378" i="18"/>
  <c r="B383" i="18"/>
  <c r="B381" i="18"/>
  <c r="B379" i="18"/>
  <c r="B53" i="18"/>
  <c r="B55" i="18" s="1"/>
  <c r="B51" i="18"/>
  <c r="B49" i="18"/>
  <c r="B54" i="18"/>
  <c r="B52" i="18"/>
  <c r="B50" i="18"/>
  <c r="B221" i="18"/>
  <c r="B223" i="18" s="1"/>
  <c r="B219" i="18"/>
  <c r="B217" i="18"/>
  <c r="B222" i="18"/>
  <c r="B220" i="18"/>
  <c r="B218" i="18"/>
  <c r="B2700" i="18" l="1"/>
  <c r="B2698" i="18"/>
  <c r="B2696" i="18"/>
  <c r="B2699" i="18"/>
  <c r="B2701" i="18" s="1"/>
  <c r="B2695" i="18"/>
  <c r="B2697" i="18"/>
  <c r="B2364" i="18"/>
  <c r="B2362" i="18"/>
  <c r="B2360" i="18"/>
  <c r="B2363" i="18"/>
  <c r="B2365" i="18" s="1"/>
  <c r="B2361" i="18"/>
  <c r="B2359" i="18"/>
  <c r="B2033" i="18"/>
  <c r="B2032" i="18"/>
  <c r="B2035" i="18"/>
  <c r="B2031" i="18"/>
  <c r="B2034" i="18"/>
  <c r="B2036" i="18" s="1"/>
  <c r="B2030" i="18"/>
  <c r="B1705" i="18"/>
  <c r="B1707" i="18" s="1"/>
  <c r="B1703" i="18"/>
  <c r="B1701" i="18"/>
  <c r="B1706" i="18"/>
  <c r="B1704" i="18"/>
  <c r="B1702" i="18"/>
  <c r="B1874" i="18"/>
  <c r="B1872" i="18"/>
  <c r="B1870" i="18"/>
  <c r="B1873" i="18"/>
  <c r="B1875" i="18" s="1"/>
  <c r="B1871" i="18"/>
  <c r="B1869" i="18"/>
  <c r="B1376" i="18"/>
  <c r="B1378" i="18" s="1"/>
  <c r="B1374" i="18"/>
  <c r="B1372" i="18"/>
  <c r="B1377" i="18"/>
  <c r="B1375" i="18"/>
  <c r="B1373" i="18"/>
  <c r="B1047" i="18"/>
  <c r="B1049" i="18" s="1"/>
  <c r="B1045" i="18"/>
  <c r="B1043" i="18"/>
  <c r="B1046" i="18"/>
  <c r="B1048" i="18"/>
  <c r="B1044" i="18"/>
  <c r="B718" i="18"/>
  <c r="B720" i="18" s="1"/>
  <c r="B716" i="18"/>
  <c r="B714" i="18"/>
  <c r="B717" i="18"/>
  <c r="B719" i="18"/>
  <c r="B715" i="18"/>
  <c r="B390" i="18"/>
  <c r="B388" i="18"/>
  <c r="B386" i="18"/>
  <c r="B389" i="18"/>
  <c r="B391" i="18" s="1"/>
  <c r="B387" i="18"/>
  <c r="B385" i="18"/>
  <c r="B61" i="18"/>
  <c r="B59" i="18"/>
  <c r="B57" i="18"/>
  <c r="B60" i="18"/>
  <c r="B62" i="18" s="1"/>
  <c r="B58" i="18"/>
  <c r="B56" i="18"/>
  <c r="B229" i="18"/>
  <c r="B227" i="18"/>
  <c r="B225" i="18"/>
  <c r="B228" i="18"/>
  <c r="B230" i="18" s="1"/>
  <c r="B226" i="18"/>
  <c r="B224" i="18"/>
  <c r="B2706" i="18" l="1"/>
  <c r="B2708" i="18" s="1"/>
  <c r="B2704" i="18"/>
  <c r="B2702" i="18"/>
  <c r="B2707" i="18"/>
  <c r="B2703" i="18"/>
  <c r="B2705" i="18"/>
  <c r="B2370" i="18"/>
  <c r="B2372" i="18" s="1"/>
  <c r="B2368" i="18"/>
  <c r="B2366" i="18"/>
  <c r="B2371" i="18"/>
  <c r="B2369" i="18"/>
  <c r="B2367" i="18"/>
  <c r="B2041" i="18"/>
  <c r="B2043" i="18" s="1"/>
  <c r="B2037" i="18"/>
  <c r="B2040" i="18"/>
  <c r="B2039" i="18"/>
  <c r="B2042" i="18"/>
  <c r="B2038" i="18"/>
  <c r="B1880" i="18"/>
  <c r="B1882" i="18" s="1"/>
  <c r="B1878" i="18"/>
  <c r="B1876" i="18"/>
  <c r="B1881" i="18"/>
  <c r="B1879" i="18"/>
  <c r="B1877" i="18"/>
  <c r="B1713" i="18"/>
  <c r="B1711" i="18"/>
  <c r="B1709" i="18"/>
  <c r="B1712" i="18"/>
  <c r="B1714" i="18" s="1"/>
  <c r="B1710" i="18"/>
  <c r="B1708" i="18"/>
  <c r="B1384" i="18"/>
  <c r="B1382" i="18"/>
  <c r="B1380" i="18"/>
  <c r="B1383" i="18"/>
  <c r="B1385" i="18" s="1"/>
  <c r="B1381" i="18"/>
  <c r="B1379" i="18"/>
  <c r="B1055" i="18"/>
  <c r="B1053" i="18"/>
  <c r="B1051" i="18"/>
  <c r="B1054" i="18"/>
  <c r="B1056" i="18" s="1"/>
  <c r="B1050" i="18"/>
  <c r="B1052" i="18"/>
  <c r="B726" i="18"/>
  <c r="B724" i="18"/>
  <c r="B722" i="18"/>
  <c r="B725" i="18"/>
  <c r="B727" i="18" s="1"/>
  <c r="B721" i="18"/>
  <c r="B723" i="18"/>
  <c r="B396" i="18"/>
  <c r="B398" i="18" s="1"/>
  <c r="B394" i="18"/>
  <c r="B392" i="18"/>
  <c r="B397" i="18"/>
  <c r="B395" i="18"/>
  <c r="B393" i="18"/>
  <c r="B67" i="18"/>
  <c r="B69" i="18" s="1"/>
  <c r="B65" i="18"/>
  <c r="B63" i="18"/>
  <c r="B68" i="18"/>
  <c r="B66" i="18"/>
  <c r="B64" i="18"/>
  <c r="B235" i="18"/>
  <c r="B237" i="18" s="1"/>
  <c r="B233" i="18"/>
  <c r="B231" i="18"/>
  <c r="B236" i="18"/>
  <c r="B234" i="18"/>
  <c r="B232" i="18"/>
  <c r="B2714" i="18" l="1"/>
  <c r="B2712" i="18"/>
  <c r="B2710" i="18"/>
  <c r="B2711" i="18"/>
  <c r="B2713" i="18"/>
  <c r="B2715" i="18" s="1"/>
  <c r="B2709" i="18"/>
  <c r="B2378" i="18"/>
  <c r="B2376" i="18"/>
  <c r="B2374" i="18"/>
  <c r="B2377" i="18"/>
  <c r="B2379" i="18" s="1"/>
  <c r="B2375" i="18"/>
  <c r="B2373" i="18"/>
  <c r="B2049" i="18"/>
  <c r="B2045" i="18"/>
  <c r="B2048" i="18"/>
  <c r="B2050" i="18" s="1"/>
  <c r="B2044" i="18"/>
  <c r="B2047" i="18"/>
  <c r="B2046" i="18"/>
  <c r="B1719" i="18"/>
  <c r="B1721" i="18" s="1"/>
  <c r="B1717" i="18"/>
  <c r="B1715" i="18"/>
  <c r="B1720" i="18"/>
  <c r="B1718" i="18"/>
  <c r="B1716" i="18"/>
  <c r="B1888" i="18"/>
  <c r="B1886" i="18"/>
  <c r="B1884" i="18"/>
  <c r="B1887" i="18"/>
  <c r="B1889" i="18" s="1"/>
  <c r="B1885" i="18"/>
  <c r="B1883" i="18"/>
  <c r="B1390" i="18"/>
  <c r="B1392" i="18" s="1"/>
  <c r="B1388" i="18"/>
  <c r="B1386" i="18"/>
  <c r="B1391" i="18"/>
  <c r="B1389" i="18"/>
  <c r="B1387" i="18"/>
  <c r="B1061" i="18"/>
  <c r="B1063" i="18" s="1"/>
  <c r="B1059" i="18"/>
  <c r="B1057" i="18"/>
  <c r="B1062" i="18"/>
  <c r="B1058" i="18"/>
  <c r="B1060" i="18"/>
  <c r="B732" i="18"/>
  <c r="B734" i="18" s="1"/>
  <c r="B730" i="18"/>
  <c r="B728" i="18"/>
  <c r="B733" i="18"/>
  <c r="B729" i="18"/>
  <c r="B731" i="18"/>
  <c r="B404" i="18"/>
  <c r="B402" i="18"/>
  <c r="B400" i="18"/>
  <c r="B403" i="18"/>
  <c r="B405" i="18" s="1"/>
  <c r="B401" i="18"/>
  <c r="B399" i="18"/>
  <c r="B75" i="18"/>
  <c r="B73" i="18"/>
  <c r="B71" i="18"/>
  <c r="B74" i="18"/>
  <c r="B76" i="18" s="1"/>
  <c r="B72" i="18"/>
  <c r="B70" i="18"/>
  <c r="B243" i="18"/>
  <c r="B241" i="18"/>
  <c r="B239" i="18"/>
  <c r="B242" i="18"/>
  <c r="B244" i="18" s="1"/>
  <c r="B240" i="18"/>
  <c r="B238" i="18"/>
  <c r="B2720" i="18" l="1"/>
  <c r="B2722" i="18" s="1"/>
  <c r="B2718" i="18"/>
  <c r="B2716" i="18"/>
  <c r="B2719" i="18"/>
  <c r="B2721" i="18"/>
  <c r="B2717" i="18"/>
  <c r="B2384" i="18"/>
  <c r="B2386" i="18" s="1"/>
  <c r="B2382" i="18"/>
  <c r="B2380" i="18"/>
  <c r="B2385" i="18"/>
  <c r="B2383" i="18"/>
  <c r="B2381" i="18"/>
  <c r="B2056" i="18"/>
  <c r="B2054" i="18"/>
  <c r="B2055" i="18"/>
  <c r="B2057" i="18" s="1"/>
  <c r="B2053" i="18"/>
  <c r="B2052" i="18"/>
  <c r="B2051" i="18"/>
  <c r="B1894" i="18"/>
  <c r="B1896" i="18" s="1"/>
  <c r="B1892" i="18"/>
  <c r="B1890" i="18"/>
  <c r="B1895" i="18"/>
  <c r="B1893" i="18"/>
  <c r="B1891" i="18"/>
  <c r="B1727" i="18"/>
  <c r="B1725" i="18"/>
  <c r="B1723" i="18"/>
  <c r="B1726" i="18"/>
  <c r="B1728" i="18" s="1"/>
  <c r="B1724" i="18"/>
  <c r="B1722" i="18"/>
  <c r="B1398" i="18"/>
  <c r="B1396" i="18"/>
  <c r="B1394" i="18"/>
  <c r="B1397" i="18"/>
  <c r="B1399" i="18" s="1"/>
  <c r="B1395" i="18"/>
  <c r="B1393" i="18"/>
  <c r="B1069" i="18"/>
  <c r="B1067" i="18"/>
  <c r="B1065" i="18"/>
  <c r="B1066" i="18"/>
  <c r="B1068" i="18"/>
  <c r="B1070" i="18" s="1"/>
  <c r="B1064" i="18"/>
  <c r="B740" i="18"/>
  <c r="B738" i="18"/>
  <c r="B736" i="18"/>
  <c r="B737" i="18"/>
  <c r="B739" i="18"/>
  <c r="B741" i="18" s="1"/>
  <c r="B735" i="18"/>
  <c r="B410" i="18"/>
  <c r="B412" i="18" s="1"/>
  <c r="B408" i="18"/>
  <c r="B406" i="18"/>
  <c r="B411" i="18"/>
  <c r="B409" i="18"/>
  <c r="B407" i="18"/>
  <c r="B81" i="18"/>
  <c r="B83" i="18" s="1"/>
  <c r="B79" i="18"/>
  <c r="B77" i="18"/>
  <c r="B82" i="18"/>
  <c r="B80" i="18"/>
  <c r="B78" i="18"/>
  <c r="B249" i="18"/>
  <c r="B251" i="18" s="1"/>
  <c r="B247" i="18"/>
  <c r="B245" i="18"/>
  <c r="B250" i="18"/>
  <c r="B248" i="18"/>
  <c r="B246" i="18"/>
  <c r="B2728" i="18" l="1"/>
  <c r="B2726" i="18"/>
  <c r="B2724" i="18"/>
  <c r="B2727" i="18"/>
  <c r="B2729" i="18" s="1"/>
  <c r="B2723" i="18"/>
  <c r="B2725" i="18"/>
  <c r="B2392" i="18"/>
  <c r="B2390" i="18"/>
  <c r="B2388" i="18"/>
  <c r="B2391" i="18"/>
  <c r="B2393" i="18" s="1"/>
  <c r="B2389" i="18"/>
  <c r="B2387" i="18"/>
  <c r="B2062" i="18"/>
  <c r="B2064" i="18" s="1"/>
  <c r="B2060" i="18"/>
  <c r="B2058" i="18"/>
  <c r="B2063" i="18"/>
  <c r="B2061" i="18"/>
  <c r="B2059" i="18"/>
  <c r="B1733" i="18"/>
  <c r="B1735" i="18" s="1"/>
  <c r="B1731" i="18"/>
  <c r="B1729" i="18"/>
  <c r="B1734" i="18"/>
  <c r="B1732" i="18"/>
  <c r="B1730" i="18"/>
  <c r="B1902" i="18"/>
  <c r="B1900" i="18"/>
  <c r="B1898" i="18"/>
  <c r="B1901" i="18"/>
  <c r="B1903" i="18" s="1"/>
  <c r="B1899" i="18"/>
  <c r="B1897" i="18"/>
  <c r="B1404" i="18"/>
  <c r="B1406" i="18" s="1"/>
  <c r="B1402" i="18"/>
  <c r="B1400" i="18"/>
  <c r="B1405" i="18"/>
  <c r="B1403" i="18"/>
  <c r="B1401" i="18"/>
  <c r="B1075" i="18"/>
  <c r="B1077" i="18" s="1"/>
  <c r="B1073" i="18"/>
  <c r="B1071" i="18"/>
  <c r="B1074" i="18"/>
  <c r="B1076" i="18"/>
  <c r="B1072" i="18"/>
  <c r="B746" i="18"/>
  <c r="B748" i="18" s="1"/>
  <c r="B744" i="18"/>
  <c r="B742" i="18"/>
  <c r="B745" i="18"/>
  <c r="B747" i="18"/>
  <c r="B743" i="18"/>
  <c r="B418" i="18"/>
  <c r="B416" i="18"/>
  <c r="B414" i="18"/>
  <c r="B417" i="18"/>
  <c r="B419" i="18" s="1"/>
  <c r="B415" i="18"/>
  <c r="B413" i="18"/>
  <c r="B89" i="18"/>
  <c r="B87" i="18"/>
  <c r="B85" i="18"/>
  <c r="B88" i="18"/>
  <c r="B90" i="18" s="1"/>
  <c r="B86" i="18"/>
  <c r="B84" i="18"/>
  <c r="B257" i="18"/>
  <c r="B255" i="18"/>
  <c r="B253" i="18"/>
  <c r="B256" i="18"/>
  <c r="B258" i="18" s="1"/>
  <c r="B254" i="18"/>
  <c r="B252" i="18"/>
  <c r="B2734" i="18" l="1"/>
  <c r="B2736" i="18" s="1"/>
  <c r="B2732" i="18"/>
  <c r="B2730" i="18"/>
  <c r="B2735" i="18"/>
  <c r="B2731" i="18"/>
  <c r="B2733" i="18"/>
  <c r="B2398" i="18"/>
  <c r="B2400" i="18" s="1"/>
  <c r="B2396" i="18"/>
  <c r="B2394" i="18"/>
  <c r="B2399" i="18"/>
  <c r="B2397" i="18"/>
  <c r="B2395" i="18"/>
  <c r="B2070" i="18"/>
  <c r="B2068" i="18"/>
  <c r="B2066" i="18"/>
  <c r="B2069" i="18"/>
  <c r="B2071" i="18" s="1"/>
  <c r="B2067" i="18"/>
  <c r="B2065" i="18"/>
  <c r="B1908" i="18"/>
  <c r="B1910" i="18" s="1"/>
  <c r="B1906" i="18"/>
  <c r="B1904" i="18"/>
  <c r="B1909" i="18"/>
  <c r="B1907" i="18"/>
  <c r="B1905" i="18"/>
  <c r="B1741" i="18"/>
  <c r="B1739" i="18"/>
  <c r="B1737" i="18"/>
  <c r="B1740" i="18"/>
  <c r="B1742" i="18" s="1"/>
  <c r="B1738" i="18"/>
  <c r="B1736" i="18"/>
  <c r="B1412" i="18"/>
  <c r="B1410" i="18"/>
  <c r="B1408" i="18"/>
  <c r="B1411" i="18"/>
  <c r="B1413" i="18" s="1"/>
  <c r="B1409" i="18"/>
  <c r="B1407" i="18"/>
  <c r="B1083" i="18"/>
  <c r="B1081" i="18"/>
  <c r="B1079" i="18"/>
  <c r="B1082" i="18"/>
  <c r="B1084" i="18" s="1"/>
  <c r="B1078" i="18"/>
  <c r="B1080" i="18"/>
  <c r="B754" i="18"/>
  <c r="B752" i="18"/>
  <c r="B750" i="18"/>
  <c r="B753" i="18"/>
  <c r="B755" i="18" s="1"/>
  <c r="B749" i="18"/>
  <c r="B751" i="18"/>
  <c r="B424" i="18"/>
  <c r="B426" i="18" s="1"/>
  <c r="B422" i="18"/>
  <c r="B420" i="18"/>
  <c r="B425" i="18"/>
  <c r="B423" i="18"/>
  <c r="B421" i="18"/>
  <c r="B95" i="18"/>
  <c r="B97" i="18" s="1"/>
  <c r="B93" i="18"/>
  <c r="B91" i="18"/>
  <c r="B96" i="18"/>
  <c r="B94" i="18"/>
  <c r="B92" i="18"/>
  <c r="B263" i="18"/>
  <c r="B265" i="18" s="1"/>
  <c r="B261" i="18"/>
  <c r="B259" i="18"/>
  <c r="B264" i="18"/>
  <c r="B262" i="18"/>
  <c r="B260" i="18"/>
  <c r="B2742" i="18" l="1"/>
  <c r="B2740" i="18"/>
  <c r="B2738" i="18"/>
  <c r="B2739" i="18"/>
  <c r="B2741" i="18"/>
  <c r="B2743" i="18" s="1"/>
  <c r="B2737" i="18"/>
  <c r="B2406" i="18"/>
  <c r="B2404" i="18"/>
  <c r="B2402" i="18"/>
  <c r="B2405" i="18"/>
  <c r="B2407" i="18" s="1"/>
  <c r="B2403" i="18"/>
  <c r="B2401" i="18"/>
  <c r="B2076" i="18"/>
  <c r="B2078" i="18" s="1"/>
  <c r="B2074" i="18"/>
  <c r="B2072" i="18"/>
  <c r="B2077" i="18"/>
  <c r="B2075" i="18"/>
  <c r="B2073" i="18"/>
  <c r="B1747" i="18"/>
  <c r="B1749" i="18" s="1"/>
  <c r="B1745" i="18"/>
  <c r="B1743" i="18"/>
  <c r="B1748" i="18"/>
  <c r="B1746" i="18"/>
  <c r="B1744" i="18"/>
  <c r="B1916" i="18"/>
  <c r="B1914" i="18"/>
  <c r="B1912" i="18"/>
  <c r="B1915" i="18"/>
  <c r="B1917" i="18" s="1"/>
  <c r="B1913" i="18"/>
  <c r="B1911" i="18"/>
  <c r="B1418" i="18"/>
  <c r="B1420" i="18" s="1"/>
  <c r="B1416" i="18"/>
  <c r="B1414" i="18"/>
  <c r="B1419" i="18"/>
  <c r="B1417" i="18"/>
  <c r="B1415" i="18"/>
  <c r="B1089" i="18"/>
  <c r="B1091" i="18" s="1"/>
  <c r="B1087" i="18"/>
  <c r="B1085" i="18"/>
  <c r="B1090" i="18"/>
  <c r="B1086" i="18"/>
  <c r="B1088" i="18"/>
  <c r="B760" i="18"/>
  <c r="B762" i="18" s="1"/>
  <c r="B758" i="18"/>
  <c r="B756" i="18"/>
  <c r="B761" i="18"/>
  <c r="B757" i="18"/>
  <c r="B759" i="18"/>
  <c r="B432" i="18"/>
  <c r="B430" i="18"/>
  <c r="B428" i="18"/>
  <c r="B431" i="18"/>
  <c r="B433" i="18" s="1"/>
  <c r="B429" i="18"/>
  <c r="B427" i="18"/>
  <c r="B103" i="18"/>
  <c r="B101" i="18"/>
  <c r="B99" i="18"/>
  <c r="B102" i="18"/>
  <c r="B104" i="18" s="1"/>
  <c r="B100" i="18"/>
  <c r="B98" i="18"/>
  <c r="B271" i="18"/>
  <c r="B269" i="18"/>
  <c r="B267" i="18"/>
  <c r="B270" i="18"/>
  <c r="B272" i="18" s="1"/>
  <c r="B268" i="18"/>
  <c r="B266" i="18"/>
  <c r="B2748" i="18" l="1"/>
  <c r="B2750" i="18" s="1"/>
  <c r="B2746" i="18"/>
  <c r="B2744" i="18"/>
  <c r="B2747" i="18"/>
  <c r="B2749" i="18"/>
  <c r="B2745" i="18"/>
  <c r="B2412" i="18"/>
  <c r="B2414" i="18" s="1"/>
  <c r="B2410" i="18"/>
  <c r="B2408" i="18"/>
  <c r="B2413" i="18"/>
  <c r="B2411" i="18"/>
  <c r="B2409" i="18"/>
  <c r="B2084" i="18"/>
  <c r="B2082" i="18"/>
  <c r="B2080" i="18"/>
  <c r="B2083" i="18"/>
  <c r="B2085" i="18" s="1"/>
  <c r="B2081" i="18"/>
  <c r="B2079" i="18"/>
  <c r="B1755" i="18"/>
  <c r="B1753" i="18"/>
  <c r="B1751" i="18"/>
  <c r="B1754" i="18"/>
  <c r="B1756" i="18" s="1"/>
  <c r="B1752" i="18"/>
  <c r="B1750" i="18"/>
  <c r="B1922" i="18"/>
  <c r="B1924" i="18" s="1"/>
  <c r="B1920" i="18"/>
  <c r="B1918" i="18"/>
  <c r="B1923" i="18"/>
  <c r="B1921" i="18"/>
  <c r="B1919" i="18"/>
  <c r="B1426" i="18"/>
  <c r="B1424" i="18"/>
  <c r="B1422" i="18"/>
  <c r="B1425" i="18"/>
  <c r="B1427" i="18" s="1"/>
  <c r="B1423" i="18"/>
  <c r="B1421" i="18"/>
  <c r="B1097" i="18"/>
  <c r="B1095" i="18"/>
  <c r="B1093" i="18"/>
  <c r="B1094" i="18"/>
  <c r="B1096" i="18"/>
  <c r="B1098" i="18" s="1"/>
  <c r="B1092" i="18"/>
  <c r="B768" i="18"/>
  <c r="B766" i="18"/>
  <c r="B764" i="18"/>
  <c r="B765" i="18"/>
  <c r="B767" i="18"/>
  <c r="B769" i="18" s="1"/>
  <c r="B763" i="18"/>
  <c r="B438" i="18"/>
  <c r="B440" i="18" s="1"/>
  <c r="B436" i="18"/>
  <c r="B434" i="18"/>
  <c r="B439" i="18"/>
  <c r="B437" i="18"/>
  <c r="B435" i="18"/>
  <c r="B109" i="18"/>
  <c r="B111" i="18" s="1"/>
  <c r="B107" i="18"/>
  <c r="B105" i="18"/>
  <c r="B110" i="18"/>
  <c r="B108" i="18"/>
  <c r="B106" i="18"/>
  <c r="B277" i="18"/>
  <c r="B279" i="18" s="1"/>
  <c r="B275" i="18"/>
  <c r="B273" i="18"/>
  <c r="B278" i="18"/>
  <c r="B276" i="18"/>
  <c r="B274" i="18"/>
  <c r="B2755" i="18" l="1"/>
  <c r="B2757" i="18" s="1"/>
  <c r="B2753" i="18"/>
  <c r="B2756" i="18"/>
  <c r="B2754" i="18"/>
  <c r="B2752" i="18"/>
  <c r="B2751" i="18"/>
  <c r="B2420" i="18"/>
  <c r="B2418" i="18"/>
  <c r="B2416" i="18"/>
  <c r="B2419" i="18"/>
  <c r="B2421" i="18" s="1"/>
  <c r="B2417" i="18"/>
  <c r="B2415" i="18"/>
  <c r="B2090" i="18"/>
  <c r="B2092" i="18" s="1"/>
  <c r="B2088" i="18"/>
  <c r="B2086" i="18"/>
  <c r="B2091" i="18"/>
  <c r="B2089" i="18"/>
  <c r="B2087" i="18"/>
  <c r="B1761" i="18"/>
  <c r="B1763" i="18" s="1"/>
  <c r="B1759" i="18"/>
  <c r="B1757" i="18"/>
  <c r="B1762" i="18"/>
  <c r="B1760" i="18"/>
  <c r="B1758" i="18"/>
  <c r="B1930" i="18"/>
  <c r="B1928" i="18"/>
  <c r="B1926" i="18"/>
  <c r="B1929" i="18"/>
  <c r="B1931" i="18" s="1"/>
  <c r="B1927" i="18"/>
  <c r="B1925" i="18"/>
  <c r="B1432" i="18"/>
  <c r="B1434" i="18" s="1"/>
  <c r="B1430" i="18"/>
  <c r="B1428" i="18"/>
  <c r="B1433" i="18"/>
  <c r="B1431" i="18"/>
  <c r="B1429" i="18"/>
  <c r="B1104" i="18"/>
  <c r="B1103" i="18"/>
  <c r="B1105" i="18" s="1"/>
  <c r="B1101" i="18"/>
  <c r="B1099" i="18"/>
  <c r="B1102" i="18"/>
  <c r="B1100" i="18"/>
  <c r="B775" i="18"/>
  <c r="B774" i="18"/>
  <c r="B776" i="18" s="1"/>
  <c r="B772" i="18"/>
  <c r="B770" i="18"/>
  <c r="B773" i="18"/>
  <c r="B771" i="18"/>
  <c r="B446" i="18"/>
  <c r="B444" i="18"/>
  <c r="B442" i="18"/>
  <c r="B445" i="18"/>
  <c r="B447" i="18" s="1"/>
  <c r="B443" i="18"/>
  <c r="B441" i="18"/>
  <c r="B117" i="18"/>
  <c r="B115" i="18"/>
  <c r="B113" i="18"/>
  <c r="B116" i="18"/>
  <c r="B118" i="18" s="1"/>
  <c r="B114" i="18"/>
  <c r="B112" i="18"/>
  <c r="B285" i="18"/>
  <c r="B283" i="18"/>
  <c r="B281" i="18"/>
  <c r="B284" i="18"/>
  <c r="B286" i="18" s="1"/>
  <c r="B282" i="18"/>
  <c r="B280" i="18"/>
  <c r="B2763" i="18" l="1"/>
  <c r="B2761" i="18"/>
  <c r="B2759" i="18"/>
  <c r="B2762" i="18"/>
  <c r="B2764" i="18" s="1"/>
  <c r="B2760" i="18"/>
  <c r="B2758" i="18"/>
  <c r="B2426" i="18"/>
  <c r="B2428" i="18" s="1"/>
  <c r="B2424" i="18"/>
  <c r="B2422" i="18"/>
  <c r="B2427" i="18"/>
  <c r="B2425" i="18"/>
  <c r="B2423" i="18"/>
  <c r="B2098" i="18"/>
  <c r="B2096" i="18"/>
  <c r="B2094" i="18"/>
  <c r="B2097" i="18"/>
  <c r="B2099" i="18" s="1"/>
  <c r="B2095" i="18"/>
  <c r="B2093" i="18"/>
  <c r="B1769" i="18"/>
  <c r="B1767" i="18"/>
  <c r="B1765" i="18"/>
  <c r="B1768" i="18"/>
  <c r="B1770" i="18" s="1"/>
  <c r="B1766" i="18"/>
  <c r="B1764" i="18"/>
  <c r="B1936" i="18"/>
  <c r="B1938" i="18" s="1"/>
  <c r="B1934" i="18"/>
  <c r="B1932" i="18"/>
  <c r="B1937" i="18"/>
  <c r="B1935" i="18"/>
  <c r="B1933" i="18"/>
  <c r="B1440" i="18"/>
  <c r="B1438" i="18"/>
  <c r="B1436" i="18"/>
  <c r="B1439" i="18"/>
  <c r="B1441" i="18" s="1"/>
  <c r="B1437" i="18"/>
  <c r="B1435" i="18"/>
  <c r="B1110" i="18"/>
  <c r="B1112" i="18" s="1"/>
  <c r="B1108" i="18"/>
  <c r="B1106" i="18"/>
  <c r="B1111" i="18"/>
  <c r="B1109" i="18"/>
  <c r="B1107" i="18"/>
  <c r="B781" i="18"/>
  <c r="B783" i="18" s="1"/>
  <c r="B779" i="18"/>
  <c r="B777" i="18"/>
  <c r="B782" i="18"/>
  <c r="B780" i="18"/>
  <c r="B778" i="18"/>
  <c r="B452" i="18"/>
  <c r="B454" i="18" s="1"/>
  <c r="B450" i="18"/>
  <c r="B448" i="18"/>
  <c r="B453" i="18"/>
  <c r="B451" i="18"/>
  <c r="B449" i="18"/>
  <c r="B123" i="18"/>
  <c r="B125" i="18" s="1"/>
  <c r="B121" i="18"/>
  <c r="B119" i="18"/>
  <c r="B124" i="18"/>
  <c r="B122" i="18"/>
  <c r="B120" i="18"/>
  <c r="B291" i="18"/>
  <c r="B293" i="18" s="1"/>
  <c r="B289" i="18"/>
  <c r="B287" i="18"/>
  <c r="B292" i="18"/>
  <c r="B290" i="18"/>
  <c r="B288" i="18"/>
  <c r="B2769" i="18" l="1"/>
  <c r="B2771" i="18" s="1"/>
  <c r="B2767" i="18"/>
  <c r="B2765" i="18"/>
  <c r="B2770" i="18"/>
  <c r="B2768" i="18"/>
  <c r="B2766" i="18"/>
  <c r="B2434" i="18"/>
  <c r="B2432" i="18"/>
  <c r="B2430" i="18"/>
  <c r="B2433" i="18"/>
  <c r="B2435" i="18" s="1"/>
  <c r="B2431" i="18"/>
  <c r="B2429" i="18"/>
  <c r="B2104" i="18"/>
  <c r="B2106" i="18" s="1"/>
  <c r="B2102" i="18"/>
  <c r="B2100" i="18"/>
  <c r="B2105" i="18"/>
  <c r="B2103" i="18"/>
  <c r="B2101" i="18"/>
  <c r="B1775" i="18"/>
  <c r="B1777" i="18" s="1"/>
  <c r="B1773" i="18"/>
  <c r="B1771" i="18"/>
  <c r="B1776" i="18"/>
  <c r="B1774" i="18"/>
  <c r="B1772" i="18"/>
  <c r="B1944" i="18"/>
  <c r="B1942" i="18"/>
  <c r="B1940" i="18"/>
  <c r="B1943" i="18"/>
  <c r="B1945" i="18" s="1"/>
  <c r="B1941" i="18"/>
  <c r="B1939" i="18"/>
  <c r="B1446" i="18"/>
  <c r="B1448" i="18" s="1"/>
  <c r="B1444" i="18"/>
  <c r="B1442" i="18"/>
  <c r="B1447" i="18"/>
  <c r="B1445" i="18"/>
  <c r="B1443" i="18"/>
  <c r="B1118" i="18"/>
  <c r="B1116" i="18"/>
  <c r="B1114" i="18"/>
  <c r="B1117" i="18"/>
  <c r="B1119" i="18" s="1"/>
  <c r="B1115" i="18"/>
  <c r="B1113" i="18"/>
  <c r="B789" i="18"/>
  <c r="B787" i="18"/>
  <c r="B785" i="18"/>
  <c r="B788" i="18"/>
  <c r="B790" i="18" s="1"/>
  <c r="B786" i="18"/>
  <c r="B784" i="18"/>
  <c r="B460" i="18"/>
  <c r="B458" i="18"/>
  <c r="B456" i="18"/>
  <c r="B459" i="18"/>
  <c r="B461" i="18" s="1"/>
  <c r="B457" i="18"/>
  <c r="B455" i="18"/>
  <c r="B131" i="18"/>
  <c r="B129" i="18"/>
  <c r="B127" i="18"/>
  <c r="B130" i="18"/>
  <c r="B132" i="18" s="1"/>
  <c r="B128" i="18"/>
  <c r="B126" i="18"/>
  <c r="B299" i="18"/>
  <c r="B297" i="18"/>
  <c r="B295" i="18"/>
  <c r="B298" i="18"/>
  <c r="B300" i="18" s="1"/>
  <c r="B296" i="18"/>
  <c r="B294" i="18"/>
  <c r="B2777" i="18" l="1"/>
  <c r="B2775" i="18"/>
  <c r="B2773" i="18"/>
  <c r="B2776" i="18"/>
  <c r="B2778" i="18" s="1"/>
  <c r="B2774" i="18"/>
  <c r="B2772" i="18"/>
  <c r="B2440" i="18"/>
  <c r="B2442" i="18" s="1"/>
  <c r="B2438" i="18"/>
  <c r="B2436" i="18"/>
  <c r="B2441" i="18"/>
  <c r="B2439" i="18"/>
  <c r="B2437" i="18"/>
  <c r="B2112" i="18"/>
  <c r="B2110" i="18"/>
  <c r="B2108" i="18"/>
  <c r="B2111" i="18"/>
  <c r="B2113" i="18" s="1"/>
  <c r="B2109" i="18"/>
  <c r="B2107" i="18"/>
  <c r="B1783" i="18"/>
  <c r="B1781" i="18"/>
  <c r="B1779" i="18"/>
  <c r="B1782" i="18"/>
  <c r="B1784" i="18" s="1"/>
  <c r="B1780" i="18"/>
  <c r="B1778" i="18"/>
  <c r="B1950" i="18"/>
  <c r="B1952" i="18" s="1"/>
  <c r="B1948" i="18"/>
  <c r="B1946" i="18"/>
  <c r="B1951" i="18"/>
  <c r="B1949" i="18"/>
  <c r="B1947" i="18"/>
  <c r="B1454" i="18"/>
  <c r="B1452" i="18"/>
  <c r="B1450" i="18"/>
  <c r="B1453" i="18"/>
  <c r="B1455" i="18" s="1"/>
  <c r="B1451" i="18"/>
  <c r="B1449" i="18"/>
  <c r="B1124" i="18"/>
  <c r="B1126" i="18" s="1"/>
  <c r="B1122" i="18"/>
  <c r="B1120" i="18"/>
  <c r="B1125" i="18"/>
  <c r="B1123" i="18"/>
  <c r="B1121" i="18"/>
  <c r="B795" i="18"/>
  <c r="B797" i="18" s="1"/>
  <c r="B793" i="18"/>
  <c r="B791" i="18"/>
  <c r="B796" i="18"/>
  <c r="B794" i="18"/>
  <c r="B792" i="18"/>
  <c r="B466" i="18"/>
  <c r="B468" i="18" s="1"/>
  <c r="B464" i="18"/>
  <c r="B462" i="18"/>
  <c r="B467" i="18"/>
  <c r="B465" i="18"/>
  <c r="B463" i="18"/>
  <c r="B137" i="18"/>
  <c r="B139" i="18" s="1"/>
  <c r="B135" i="18"/>
  <c r="B133" i="18"/>
  <c r="B138" i="18"/>
  <c r="B136" i="18"/>
  <c r="B134" i="18"/>
  <c r="B305" i="18"/>
  <c r="B307" i="18" s="1"/>
  <c r="B303" i="18"/>
  <c r="B301" i="18"/>
  <c r="B306" i="18"/>
  <c r="B304" i="18"/>
  <c r="B302" i="18"/>
  <c r="B2783" i="18" l="1"/>
  <c r="B2785" i="18" s="1"/>
  <c r="B2781" i="18"/>
  <c r="B2779" i="18"/>
  <c r="B2784" i="18"/>
  <c r="B2782" i="18"/>
  <c r="B2780" i="18"/>
  <c r="B2448" i="18"/>
  <c r="B2446" i="18"/>
  <c r="B2444" i="18"/>
  <c r="B2447" i="18"/>
  <c r="B2449" i="18" s="1"/>
  <c r="B2445" i="18"/>
  <c r="B2443" i="18"/>
  <c r="B2118" i="18"/>
  <c r="B2120" i="18" s="1"/>
  <c r="B2116" i="18"/>
  <c r="B2114" i="18"/>
  <c r="B2119" i="18"/>
  <c r="B2117" i="18"/>
  <c r="B2115" i="18"/>
  <c r="B1789" i="18"/>
  <c r="B1791" i="18" s="1"/>
  <c r="B1787" i="18"/>
  <c r="B1785" i="18"/>
  <c r="B1790" i="18"/>
  <c r="B1788" i="18"/>
  <c r="B1786" i="18"/>
  <c r="B1958" i="18"/>
  <c r="B1956" i="18"/>
  <c r="B1954" i="18"/>
  <c r="B1957" i="18"/>
  <c r="B1959" i="18" s="1"/>
  <c r="B1955" i="18"/>
  <c r="B1953" i="18"/>
  <c r="B1460" i="18"/>
  <c r="B1462" i="18" s="1"/>
  <c r="B1458" i="18"/>
  <c r="B1456" i="18"/>
  <c r="B1461" i="18"/>
  <c r="B1459" i="18"/>
  <c r="B1457" i="18"/>
  <c r="B1132" i="18"/>
  <c r="B1130" i="18"/>
  <c r="B1128" i="18"/>
  <c r="B1131" i="18"/>
  <c r="B1133" i="18" s="1"/>
  <c r="B1129" i="18"/>
  <c r="B1127" i="18"/>
  <c r="B803" i="18"/>
  <c r="B801" i="18"/>
  <c r="B799" i="18"/>
  <c r="B802" i="18"/>
  <c r="B804" i="18" s="1"/>
  <c r="B800" i="18"/>
  <c r="B798" i="18"/>
  <c r="B474" i="18"/>
  <c r="B472" i="18"/>
  <c r="B470" i="18"/>
  <c r="B473" i="18"/>
  <c r="B475" i="18" s="1"/>
  <c r="B471" i="18"/>
  <c r="B469" i="18"/>
  <c r="B145" i="18"/>
  <c r="B143" i="18"/>
  <c r="B141" i="18"/>
  <c r="B144" i="18"/>
  <c r="B146" i="18" s="1"/>
  <c r="B142" i="18"/>
  <c r="B140" i="18"/>
  <c r="B313" i="18"/>
  <c r="B311" i="18"/>
  <c r="B309" i="18"/>
  <c r="B312" i="18"/>
  <c r="B314" i="18" s="1"/>
  <c r="B310" i="18"/>
  <c r="B308" i="18"/>
  <c r="B2791" i="18" l="1"/>
  <c r="B2789" i="18"/>
  <c r="B2787" i="18"/>
  <c r="B2790" i="18"/>
  <c r="B2792" i="18" s="1"/>
  <c r="B2788" i="18"/>
  <c r="B2786" i="18"/>
  <c r="B2454" i="18"/>
  <c r="B2456" i="18" s="1"/>
  <c r="B2452" i="18"/>
  <c r="B2450" i="18"/>
  <c r="B2455" i="18"/>
  <c r="B2453" i="18"/>
  <c r="B2451" i="18"/>
  <c r="B2126" i="18"/>
  <c r="B2124" i="18"/>
  <c r="B2122" i="18"/>
  <c r="B2125" i="18"/>
  <c r="B2127" i="18" s="1"/>
  <c r="B2123" i="18"/>
  <c r="B2121" i="18"/>
  <c r="B1797" i="18"/>
  <c r="B1795" i="18"/>
  <c r="B1793" i="18"/>
  <c r="B1796" i="18"/>
  <c r="B1798" i="18" s="1"/>
  <c r="B1794" i="18"/>
  <c r="B1792" i="18"/>
  <c r="B1964" i="18"/>
  <c r="B1966" i="18" s="1"/>
  <c r="B1962" i="18"/>
  <c r="B1960" i="18"/>
  <c r="B1965" i="18"/>
  <c r="B1963" i="18"/>
  <c r="B1961" i="18"/>
  <c r="B1468" i="18"/>
  <c r="B1466" i="18"/>
  <c r="B1464" i="18"/>
  <c r="B1467" i="18"/>
  <c r="B1469" i="18" s="1"/>
  <c r="B1465" i="18"/>
  <c r="B1463" i="18"/>
  <c r="B1138" i="18"/>
  <c r="B1140" i="18" s="1"/>
  <c r="B1136" i="18"/>
  <c r="B1134" i="18"/>
  <c r="B1139" i="18"/>
  <c r="B1137" i="18"/>
  <c r="B1135" i="18"/>
  <c r="B809" i="18"/>
  <c r="B811" i="18" s="1"/>
  <c r="B807" i="18"/>
  <c r="B805" i="18"/>
  <c r="B810" i="18"/>
  <c r="B808" i="18"/>
  <c r="B806" i="18"/>
  <c r="B480" i="18"/>
  <c r="B482" i="18" s="1"/>
  <c r="B478" i="18"/>
  <c r="B476" i="18"/>
  <c r="B481" i="18"/>
  <c r="B479" i="18"/>
  <c r="B477" i="18"/>
  <c r="B151" i="18"/>
  <c r="B153" i="18" s="1"/>
  <c r="B149" i="18"/>
  <c r="B147" i="18"/>
  <c r="B152" i="18"/>
  <c r="B150" i="18"/>
  <c r="B148" i="18"/>
  <c r="B319" i="18"/>
  <c r="B321" i="18" s="1"/>
  <c r="B317" i="18"/>
  <c r="B315" i="18"/>
  <c r="B320" i="18"/>
  <c r="B318" i="18"/>
  <c r="B316" i="18"/>
  <c r="B2797" i="18" l="1"/>
  <c r="B2799" i="18" s="1"/>
  <c r="B2795" i="18"/>
  <c r="B2793" i="18"/>
  <c r="B2798" i="18"/>
  <c r="B2796" i="18"/>
  <c r="B2794" i="18"/>
  <c r="B2462" i="18"/>
  <c r="B2460" i="18"/>
  <c r="B2458" i="18"/>
  <c r="B2461" i="18"/>
  <c r="B2463" i="18" s="1"/>
  <c r="B2459" i="18"/>
  <c r="B2457" i="18"/>
  <c r="B2132" i="18"/>
  <c r="B2134" i="18" s="1"/>
  <c r="B2130" i="18"/>
  <c r="B2128" i="18"/>
  <c r="B2133" i="18"/>
  <c r="B2131" i="18"/>
  <c r="B2129" i="18"/>
  <c r="B1803" i="18"/>
  <c r="B1805" i="18" s="1"/>
  <c r="B1801" i="18"/>
  <c r="B1799" i="18"/>
  <c r="B1804" i="18"/>
  <c r="B1802" i="18"/>
  <c r="B1800" i="18"/>
  <c r="B1972" i="18"/>
  <c r="B1970" i="18"/>
  <c r="B1968" i="18"/>
  <c r="B1971" i="18"/>
  <c r="B1973" i="18" s="1"/>
  <c r="B1969" i="18"/>
  <c r="B1967" i="18"/>
  <c r="B1474" i="18"/>
  <c r="B1476" i="18" s="1"/>
  <c r="B1472" i="18"/>
  <c r="B1470" i="18"/>
  <c r="B1475" i="18"/>
  <c r="B1473" i="18"/>
  <c r="B1471" i="18"/>
  <c r="B1146" i="18"/>
  <c r="B1144" i="18"/>
  <c r="B1142" i="18"/>
  <c r="B1145" i="18"/>
  <c r="B1147" i="18" s="1"/>
  <c r="B1143" i="18"/>
  <c r="B1141" i="18"/>
  <c r="B817" i="18"/>
  <c r="B815" i="18"/>
  <c r="B813" i="18"/>
  <c r="B816" i="18"/>
  <c r="B818" i="18" s="1"/>
  <c r="B814" i="18"/>
  <c r="B812" i="18"/>
  <c r="B488" i="18"/>
  <c r="B486" i="18"/>
  <c r="B484" i="18"/>
  <c r="B487" i="18"/>
  <c r="B489" i="18" s="1"/>
  <c r="B485" i="18"/>
  <c r="B483" i="18"/>
  <c r="B159" i="18"/>
  <c r="B157" i="18"/>
  <c r="B155" i="18"/>
  <c r="B158" i="18"/>
  <c r="B160" i="18" s="1"/>
  <c r="B156" i="18"/>
  <c r="B154" i="18"/>
  <c r="B327" i="18"/>
  <c r="B325" i="18"/>
  <c r="B323" i="18"/>
  <c r="B326" i="18"/>
  <c r="B328" i="18" s="1"/>
  <c r="B324" i="18"/>
  <c r="B322" i="18"/>
  <c r="B2804" i="18" l="1"/>
  <c r="B2806" i="18" s="1"/>
  <c r="B2803" i="18"/>
  <c r="B2801" i="18"/>
  <c r="B2805" i="18"/>
  <c r="B2802" i="18"/>
  <c r="B2800" i="18"/>
  <c r="B2468" i="18"/>
  <c r="B2470" i="18" s="1"/>
  <c r="B2466" i="18"/>
  <c r="B2464" i="18"/>
  <c r="B2469" i="18"/>
  <c r="B2467" i="18"/>
  <c r="B2465" i="18"/>
  <c r="B2140" i="18"/>
  <c r="B2138" i="18"/>
  <c r="B2136" i="18"/>
  <c r="B2139" i="18"/>
  <c r="B2141" i="18" s="1"/>
  <c r="B2137" i="18"/>
  <c r="B2135" i="18"/>
  <c r="B1809" i="18"/>
  <c r="B1807" i="18"/>
  <c r="B1811" i="18"/>
  <c r="B1810" i="18"/>
  <c r="B1812" i="18" s="1"/>
  <c r="B1808" i="18"/>
  <c r="B1806" i="18"/>
  <c r="B1978" i="18"/>
  <c r="B1980" i="18" s="1"/>
  <c r="B1976" i="18"/>
  <c r="B1974" i="18"/>
  <c r="B1979" i="18"/>
  <c r="B1977" i="18"/>
  <c r="B1975" i="18"/>
  <c r="B1482" i="18"/>
  <c r="B1480" i="18"/>
  <c r="B1478" i="18"/>
  <c r="B1481" i="18"/>
  <c r="B1483" i="18" s="1"/>
  <c r="B1479" i="18"/>
  <c r="B1477" i="18"/>
  <c r="B1152" i="18"/>
  <c r="B1154" i="18" s="1"/>
  <c r="B1150" i="18"/>
  <c r="B1148" i="18"/>
  <c r="B1153" i="18"/>
  <c r="B1151" i="18"/>
  <c r="B1149" i="18"/>
  <c r="B823" i="18"/>
  <c r="B825" i="18" s="1"/>
  <c r="B821" i="18"/>
  <c r="B819" i="18"/>
  <c r="B824" i="18"/>
  <c r="B822" i="18"/>
  <c r="B820" i="18"/>
  <c r="B494" i="18"/>
  <c r="B496" i="18" s="1"/>
  <c r="B492" i="18"/>
  <c r="B490" i="18"/>
  <c r="B495" i="18"/>
  <c r="B493" i="18"/>
  <c r="B491" i="18"/>
  <c r="B166" i="18"/>
  <c r="B165" i="18"/>
  <c r="B167" i="18" s="1"/>
  <c r="B163" i="18"/>
  <c r="B161" i="18"/>
  <c r="B164" i="18"/>
  <c r="B162" i="18"/>
  <c r="B333" i="18"/>
  <c r="B335" i="18" s="1"/>
  <c r="B331" i="18"/>
  <c r="B329" i="18"/>
  <c r="B334" i="18"/>
  <c r="B332" i="18"/>
  <c r="B330" i="18"/>
  <c r="B2812" i="18" l="1"/>
  <c r="B2810" i="18"/>
  <c r="B2808" i="18"/>
  <c r="B2809" i="18"/>
  <c r="B2811" i="18"/>
  <c r="B2813" i="18" s="1"/>
  <c r="B2807" i="18"/>
  <c r="B2476" i="18"/>
  <c r="B2474" i="18"/>
  <c r="B2472" i="18"/>
  <c r="B2475" i="18"/>
  <c r="B2477" i="18" s="1"/>
  <c r="B2473" i="18"/>
  <c r="B2471" i="18"/>
  <c r="B2147" i="18"/>
  <c r="B2146" i="18"/>
  <c r="B2148" i="18" s="1"/>
  <c r="B2144" i="18"/>
  <c r="B2142" i="18"/>
  <c r="B2145" i="18"/>
  <c r="B2143" i="18"/>
  <c r="B1817" i="18"/>
  <c r="B1815" i="18"/>
  <c r="B1818" i="18"/>
  <c r="B1816" i="18"/>
  <c r="B1814" i="18"/>
  <c r="B1813" i="18"/>
  <c r="B1986" i="18"/>
  <c r="B1984" i="18"/>
  <c r="B1982" i="18"/>
  <c r="B1985" i="18"/>
  <c r="B1983" i="18"/>
  <c r="B1981" i="18"/>
  <c r="B1488" i="18"/>
  <c r="B1490" i="18" s="1"/>
  <c r="B1486" i="18"/>
  <c r="B1484" i="18"/>
  <c r="B1487" i="18"/>
  <c r="B1485" i="18"/>
  <c r="B1489" i="18"/>
  <c r="B1159" i="18"/>
  <c r="B1161" i="18" s="1"/>
  <c r="B1158" i="18"/>
  <c r="B1156" i="18"/>
  <c r="B1160" i="18"/>
  <c r="B1157" i="18"/>
  <c r="B1155" i="18"/>
  <c r="B830" i="18"/>
  <c r="B832" i="18" s="1"/>
  <c r="B829" i="18"/>
  <c r="B827" i="18"/>
  <c r="B831" i="18"/>
  <c r="B828" i="18"/>
  <c r="B826" i="18"/>
  <c r="B501" i="18"/>
  <c r="B503" i="18" s="1"/>
  <c r="B502" i="18"/>
  <c r="B500" i="18"/>
  <c r="B498" i="18"/>
  <c r="B499" i="18"/>
  <c r="B497" i="18"/>
  <c r="B341" i="18"/>
  <c r="B339" i="18"/>
  <c r="B337" i="18"/>
  <c r="B340" i="18"/>
  <c r="B338" i="18"/>
  <c r="B336" i="18"/>
  <c r="B172" i="18"/>
  <c r="B170" i="18"/>
  <c r="B168" i="18"/>
  <c r="B173" i="18"/>
  <c r="B171" i="18"/>
  <c r="B169" i="18"/>
  <c r="B2818" i="18" l="1"/>
  <c r="B2820" i="18" s="1"/>
  <c r="B2816" i="18"/>
  <c r="B2814" i="18"/>
  <c r="B2817" i="18"/>
  <c r="B2819" i="18"/>
  <c r="B2815" i="18"/>
  <c r="B2482" i="18"/>
  <c r="B2484" i="18" s="1"/>
  <c r="B2483" i="18"/>
  <c r="B2481" i="18"/>
  <c r="B2480" i="18"/>
  <c r="B2479" i="18"/>
  <c r="B2478" i="18"/>
  <c r="B2153" i="18"/>
  <c r="B2155" i="18" s="1"/>
  <c r="B2151" i="18"/>
  <c r="B2149" i="18"/>
  <c r="B2154" i="18"/>
  <c r="B2152" i="18"/>
  <c r="B2150" i="18"/>
  <c r="B1496" i="18"/>
  <c r="B1492" i="18"/>
  <c r="B1495" i="18"/>
  <c r="B1497" i="18" s="1"/>
  <c r="B1491" i="18"/>
  <c r="B1494" i="18"/>
  <c r="B1493" i="18"/>
  <c r="B1167" i="18"/>
  <c r="B1165" i="18"/>
  <c r="B1163" i="18"/>
  <c r="B1166" i="18"/>
  <c r="B1168" i="18" s="1"/>
  <c r="B1162" i="18"/>
  <c r="B1164" i="18"/>
  <c r="B838" i="18"/>
  <c r="B836" i="18"/>
  <c r="B834" i="18"/>
  <c r="B837" i="18"/>
  <c r="B839" i="18" s="1"/>
  <c r="B833" i="18"/>
  <c r="B835" i="18"/>
  <c r="B509" i="18"/>
  <c r="B507" i="18"/>
  <c r="B505" i="18"/>
  <c r="B508" i="18"/>
  <c r="B510" i="18" s="1"/>
  <c r="B506" i="18"/>
  <c r="B504" i="18"/>
  <c r="B2826" i="18" l="1"/>
  <c r="B2824" i="18"/>
  <c r="B2822" i="18"/>
  <c r="B2825" i="18"/>
  <c r="B2827" i="18" s="1"/>
  <c r="B2821" i="18"/>
  <c r="B2823" i="18"/>
  <c r="B2490" i="18"/>
  <c r="B2488" i="18"/>
  <c r="B2486" i="18"/>
  <c r="B2489" i="18"/>
  <c r="B2491" i="18" s="1"/>
  <c r="B2487" i="18"/>
  <c r="B2485" i="18"/>
  <c r="B2161" i="18"/>
  <c r="B2159" i="18"/>
  <c r="B2157" i="18"/>
  <c r="B2160" i="18"/>
  <c r="B2162" i="18" s="1"/>
  <c r="B2158" i="18"/>
  <c r="B2156" i="18"/>
  <c r="B1500" i="18"/>
  <c r="B1503" i="18"/>
  <c r="B1499" i="18"/>
  <c r="B1502" i="18"/>
  <c r="B1504" i="18" s="1"/>
  <c r="B1498" i="18"/>
  <c r="B1501" i="18"/>
  <c r="B1173" i="18"/>
  <c r="B1175" i="18" s="1"/>
  <c r="B1171" i="18"/>
  <c r="B1169" i="18"/>
  <c r="B1174" i="18"/>
  <c r="B1170" i="18"/>
  <c r="B1172" i="18"/>
  <c r="B844" i="18"/>
  <c r="B846" i="18" s="1"/>
  <c r="B842" i="18"/>
  <c r="B840" i="18"/>
  <c r="B843" i="18"/>
  <c r="B845" i="18"/>
  <c r="B841" i="18"/>
  <c r="B515" i="18"/>
  <c r="B517" i="18" s="1"/>
  <c r="B513" i="18"/>
  <c r="B511" i="18"/>
  <c r="B516" i="18"/>
  <c r="B514" i="18"/>
  <c r="B512" i="18"/>
  <c r="B2832" i="18" l="1"/>
  <c r="B2834" i="18" s="1"/>
  <c r="B2830" i="18"/>
  <c r="B2828" i="18"/>
  <c r="B2833" i="18"/>
  <c r="B2829" i="18"/>
  <c r="B2831" i="18"/>
  <c r="B2496" i="18"/>
  <c r="B2498" i="18" s="1"/>
  <c r="B2494" i="18"/>
  <c r="B2492" i="18"/>
  <c r="B2497" i="18"/>
  <c r="B2495" i="18"/>
  <c r="B2493" i="18"/>
  <c r="B2167" i="18"/>
  <c r="B2169" i="18" s="1"/>
  <c r="B2165" i="18"/>
  <c r="B2163" i="18"/>
  <c r="B2168" i="18"/>
  <c r="B2166" i="18"/>
  <c r="B2164" i="18"/>
  <c r="B1508" i="18"/>
  <c r="B1507" i="18"/>
  <c r="B1510" i="18"/>
  <c r="B1506" i="18"/>
  <c r="B1509" i="18"/>
  <c r="B1511" i="18" s="1"/>
  <c r="B1505" i="18"/>
  <c r="B1181" i="18"/>
  <c r="B1179" i="18"/>
  <c r="B1177" i="18"/>
  <c r="B1180" i="18"/>
  <c r="B1182" i="18" s="1"/>
  <c r="B1176" i="18"/>
  <c r="B1178" i="18"/>
  <c r="B852" i="18"/>
  <c r="B850" i="18"/>
  <c r="B848" i="18"/>
  <c r="B851" i="18"/>
  <c r="B853" i="18" s="1"/>
  <c r="B847" i="18"/>
  <c r="B849" i="18"/>
  <c r="B523" i="18"/>
  <c r="B521" i="18"/>
  <c r="B519" i="18"/>
  <c r="B522" i="18"/>
  <c r="B524" i="18" s="1"/>
  <c r="B520" i="18"/>
  <c r="B518" i="18"/>
  <c r="B2840" i="18" l="1"/>
  <c r="B2838" i="18"/>
  <c r="B2836" i="18"/>
  <c r="B2837" i="18"/>
  <c r="B2839" i="18"/>
  <c r="B2841" i="18" s="1"/>
  <c r="B2835" i="18"/>
  <c r="B2504" i="18"/>
  <c r="B2502" i="18"/>
  <c r="B2500" i="18"/>
  <c r="B2503" i="18"/>
  <c r="B2505" i="18" s="1"/>
  <c r="B2501" i="18"/>
  <c r="B2499" i="18"/>
  <c r="B2175" i="18"/>
  <c r="B2173" i="18"/>
  <c r="B2171" i="18"/>
  <c r="B2174" i="18"/>
  <c r="B2176" i="18" s="1"/>
  <c r="B2172" i="18"/>
  <c r="B2170" i="18"/>
  <c r="B1516" i="18"/>
  <c r="B1518" i="18" s="1"/>
  <c r="B1512" i="18"/>
  <c r="B1515" i="18"/>
  <c r="B1514" i="18"/>
  <c r="B1517" i="18"/>
  <c r="B1513" i="18"/>
  <c r="B1187" i="18"/>
  <c r="B1189" i="18" s="1"/>
  <c r="B1185" i="18"/>
  <c r="B1183" i="18"/>
  <c r="B1188" i="18"/>
  <c r="B1184" i="18"/>
  <c r="B1186" i="18"/>
  <c r="B858" i="18"/>
  <c r="B860" i="18" s="1"/>
  <c r="B856" i="18"/>
  <c r="B854" i="18"/>
  <c r="B859" i="18"/>
  <c r="B855" i="18"/>
  <c r="B857" i="18"/>
  <c r="B529" i="18"/>
  <c r="B531" i="18" s="1"/>
  <c r="B527" i="18"/>
  <c r="B525" i="18"/>
  <c r="B530" i="18"/>
  <c r="B528" i="18"/>
  <c r="B526" i="18"/>
  <c r="B2846" i="18" l="1"/>
  <c r="B2848" i="18" s="1"/>
  <c r="B2844" i="18"/>
  <c r="B2842" i="18"/>
  <c r="B2845" i="18"/>
  <c r="B2847" i="18"/>
  <c r="B2843" i="18"/>
  <c r="B2510" i="18"/>
  <c r="B2512" i="18" s="1"/>
  <c r="B2508" i="18"/>
  <c r="B2506" i="18"/>
  <c r="B2511" i="18"/>
  <c r="B2509" i="18"/>
  <c r="B2507" i="18"/>
  <c r="B2181" i="18"/>
  <c r="B2183" i="18" s="1"/>
  <c r="B2179" i="18"/>
  <c r="B2177" i="18"/>
  <c r="B2182" i="18"/>
  <c r="B2180" i="18"/>
  <c r="B2178" i="18"/>
  <c r="B1524" i="18"/>
  <c r="B1520" i="18"/>
  <c r="B1523" i="18"/>
  <c r="B1525" i="18" s="1"/>
  <c r="B1519" i="18"/>
  <c r="B1522" i="18"/>
  <c r="B1521" i="18"/>
  <c r="B1195" i="18"/>
  <c r="B1193" i="18"/>
  <c r="B1191" i="18"/>
  <c r="B1192" i="18"/>
  <c r="B1194" i="18"/>
  <c r="B1196" i="18" s="1"/>
  <c r="B1190" i="18"/>
  <c r="B866" i="18"/>
  <c r="B864" i="18"/>
  <c r="B862" i="18"/>
  <c r="B863" i="18"/>
  <c r="B865" i="18"/>
  <c r="B867" i="18" s="1"/>
  <c r="B861" i="18"/>
  <c r="B537" i="18"/>
  <c r="B535" i="18"/>
  <c r="B533" i="18"/>
  <c r="B536" i="18"/>
  <c r="B538" i="18" s="1"/>
  <c r="B534" i="18"/>
  <c r="B532" i="18"/>
  <c r="B2854" i="18" l="1"/>
  <c r="B2852" i="18"/>
  <c r="B2850" i="18"/>
  <c r="B2853" i="18"/>
  <c r="B2855" i="18" s="1"/>
  <c r="B2849" i="18"/>
  <c r="B2851" i="18"/>
  <c r="B2518" i="18"/>
  <c r="B2516" i="18"/>
  <c r="B2514" i="18"/>
  <c r="B2517" i="18"/>
  <c r="B2519" i="18" s="1"/>
  <c r="B2515" i="18"/>
  <c r="B2513" i="18"/>
  <c r="B2189" i="18"/>
  <c r="B2187" i="18"/>
  <c r="B2185" i="18"/>
  <c r="B2188" i="18"/>
  <c r="B2190" i="18" s="1"/>
  <c r="B2186" i="18"/>
  <c r="B2184" i="18"/>
  <c r="B1528" i="18"/>
  <c r="B1531" i="18"/>
  <c r="B1527" i="18"/>
  <c r="B1530" i="18"/>
  <c r="B1532" i="18" s="1"/>
  <c r="B1526" i="18"/>
  <c r="B1529" i="18"/>
  <c r="B1201" i="18"/>
  <c r="B1203" i="18" s="1"/>
  <c r="B1199" i="18"/>
  <c r="B1197" i="18"/>
  <c r="B1200" i="18"/>
  <c r="B1202" i="18"/>
  <c r="B1198" i="18"/>
  <c r="B872" i="18"/>
  <c r="B874" i="18" s="1"/>
  <c r="B870" i="18"/>
  <c r="B868" i="18"/>
  <c r="B871" i="18"/>
  <c r="B873" i="18"/>
  <c r="B869" i="18"/>
  <c r="B543" i="18"/>
  <c r="B545" i="18" s="1"/>
  <c r="B541" i="18"/>
  <c r="B539" i="18"/>
  <c r="B544" i="18"/>
  <c r="B542" i="18"/>
  <c r="B540" i="18"/>
  <c r="B2860" i="18" l="1"/>
  <c r="B2862" i="18" s="1"/>
  <c r="B2858" i="18"/>
  <c r="B2856" i="18"/>
  <c r="B2861" i="18"/>
  <c r="B2857" i="18"/>
  <c r="B2859" i="18"/>
  <c r="B2524" i="18"/>
  <c r="B2526" i="18" s="1"/>
  <c r="B2522" i="18"/>
  <c r="B2520" i="18"/>
  <c r="B2525" i="18"/>
  <c r="B2523" i="18"/>
  <c r="B2521" i="18"/>
  <c r="B2195" i="18"/>
  <c r="B2197" i="18" s="1"/>
  <c r="B2193" i="18"/>
  <c r="B2191" i="18"/>
  <c r="B2196" i="18"/>
  <c r="B2194" i="18"/>
  <c r="B2192" i="18"/>
  <c r="B1537" i="18"/>
  <c r="B1539" i="18" s="1"/>
  <c r="B1536" i="18"/>
  <c r="B1535" i="18"/>
  <c r="B1534" i="18"/>
  <c r="B1538" i="18"/>
  <c r="B1533" i="18"/>
  <c r="B1209" i="18"/>
  <c r="B1207" i="18"/>
  <c r="B1205" i="18"/>
  <c r="B1208" i="18"/>
  <c r="B1210" i="18" s="1"/>
  <c r="B1204" i="18"/>
  <c r="B1206" i="18"/>
  <c r="B880" i="18"/>
  <c r="B878" i="18"/>
  <c r="B876" i="18"/>
  <c r="B879" i="18"/>
  <c r="B881" i="18" s="1"/>
  <c r="B875" i="18"/>
  <c r="B877" i="18"/>
  <c r="B551" i="18"/>
  <c r="B549" i="18"/>
  <c r="B547" i="18"/>
  <c r="B550" i="18"/>
  <c r="B552" i="18" s="1"/>
  <c r="B548" i="18"/>
  <c r="B546" i="18"/>
  <c r="B2868" i="18" l="1"/>
  <c r="B2866" i="18"/>
  <c r="B2864" i="18"/>
  <c r="B2865" i="18"/>
  <c r="B2867" i="18"/>
  <c r="B2869" i="18" s="1"/>
  <c r="B2863" i="18"/>
  <c r="B2532" i="18"/>
  <c r="B2530" i="18"/>
  <c r="B2528" i="18"/>
  <c r="B2531" i="18"/>
  <c r="B2533" i="18" s="1"/>
  <c r="B2529" i="18"/>
  <c r="B2527" i="18"/>
  <c r="B2203" i="18"/>
  <c r="B2201" i="18"/>
  <c r="B2199" i="18"/>
  <c r="B2202" i="18"/>
  <c r="B2204" i="18" s="1"/>
  <c r="B2200" i="18"/>
  <c r="B2198" i="18"/>
  <c r="B1545" i="18"/>
  <c r="B1543" i="18"/>
  <c r="B1541" i="18"/>
  <c r="B1544" i="18"/>
  <c r="B1546" i="18" s="1"/>
  <c r="B1542" i="18"/>
  <c r="B1540" i="18"/>
  <c r="B1215" i="18"/>
  <c r="B1217" i="18" s="1"/>
  <c r="B1213" i="18"/>
  <c r="B1211" i="18"/>
  <c r="B1216" i="18"/>
  <c r="B1212" i="18"/>
  <c r="B1214" i="18"/>
  <c r="B886" i="18"/>
  <c r="B888" i="18" s="1"/>
  <c r="B884" i="18"/>
  <c r="B882" i="18"/>
  <c r="B883" i="18"/>
  <c r="B887" i="18"/>
  <c r="B885" i="18"/>
  <c r="B557" i="18"/>
  <c r="B559" i="18" s="1"/>
  <c r="B555" i="18"/>
  <c r="B553" i="18"/>
  <c r="B558" i="18"/>
  <c r="B556" i="18"/>
  <c r="B554" i="18"/>
  <c r="B2874" i="18" l="1"/>
  <c r="B2876" i="18" s="1"/>
  <c r="B2872" i="18"/>
  <c r="B2870" i="18"/>
  <c r="B2873" i="18"/>
  <c r="B2875" i="18"/>
  <c r="B2871" i="18"/>
  <c r="B2538" i="18"/>
  <c r="B2540" i="18" s="1"/>
  <c r="B2536" i="18"/>
  <c r="B2534" i="18"/>
  <c r="B2539" i="18"/>
  <c r="B2537" i="18"/>
  <c r="B2535" i="18"/>
  <c r="B2209" i="18"/>
  <c r="B2211" i="18" s="1"/>
  <c r="B2207" i="18"/>
  <c r="B2205" i="18"/>
  <c r="B2210" i="18"/>
  <c r="B2208" i="18"/>
  <c r="B2206" i="18"/>
  <c r="B1551" i="18"/>
  <c r="B1553" i="18" s="1"/>
  <c r="B1549" i="18"/>
  <c r="B1547" i="18"/>
  <c r="B1552" i="18"/>
  <c r="B1550" i="18"/>
  <c r="B1548" i="18"/>
  <c r="B1223" i="18"/>
  <c r="B1221" i="18"/>
  <c r="B1219" i="18"/>
  <c r="B1220" i="18"/>
  <c r="B1222" i="18"/>
  <c r="B1224" i="18" s="1"/>
  <c r="B1218" i="18"/>
  <c r="B893" i="18"/>
  <c r="B895" i="18" s="1"/>
  <c r="B891" i="18"/>
  <c r="B894" i="18"/>
  <c r="B892" i="18"/>
  <c r="B890" i="18"/>
  <c r="B889" i="18"/>
  <c r="B565" i="18"/>
  <c r="B563" i="18"/>
  <c r="B561" i="18"/>
  <c r="B564" i="18"/>
  <c r="B566" i="18" s="1"/>
  <c r="B562" i="18"/>
  <c r="B560" i="18"/>
  <c r="B2882" i="18" l="1"/>
  <c r="B2880" i="18"/>
  <c r="B2878" i="18"/>
  <c r="B2881" i="18"/>
  <c r="B2883" i="18" s="1"/>
  <c r="B2877" i="18"/>
  <c r="B2879" i="18"/>
  <c r="B2546" i="18"/>
  <c r="B2544" i="18"/>
  <c r="B2542" i="18"/>
  <c r="B2545" i="18"/>
  <c r="B2547" i="18" s="1"/>
  <c r="B2543" i="18"/>
  <c r="B2541" i="18"/>
  <c r="B2217" i="18"/>
  <c r="B2215" i="18"/>
  <c r="B2213" i="18"/>
  <c r="B2216" i="18"/>
  <c r="B2218" i="18" s="1"/>
  <c r="B2214" i="18"/>
  <c r="B2212" i="18"/>
  <c r="B1559" i="18"/>
  <c r="B1557" i="18"/>
  <c r="B1555" i="18"/>
  <c r="B1558" i="18"/>
  <c r="B1560" i="18" s="1"/>
  <c r="B1556" i="18"/>
  <c r="B1554" i="18"/>
  <c r="B1230" i="18"/>
  <c r="B1229" i="18"/>
  <c r="B1231" i="18" s="1"/>
  <c r="B1227" i="18"/>
  <c r="B1225" i="18"/>
  <c r="B1228" i="18"/>
  <c r="B1226" i="18"/>
  <c r="B901" i="18"/>
  <c r="B899" i="18"/>
  <c r="B897" i="18"/>
  <c r="B900" i="18"/>
  <c r="B902" i="18" s="1"/>
  <c r="B898" i="18"/>
  <c r="B896" i="18"/>
  <c r="B571" i="18"/>
  <c r="B573" i="18" s="1"/>
  <c r="B569" i="18"/>
  <c r="B567" i="18"/>
  <c r="B572" i="18"/>
  <c r="B570" i="18"/>
  <c r="B568" i="18"/>
  <c r="B2889" i="18" l="1"/>
  <c r="B2887" i="18"/>
  <c r="B2885" i="18"/>
  <c r="B2888" i="18"/>
  <c r="B2890" i="18" s="1"/>
  <c r="B2886" i="18"/>
  <c r="B2884" i="18"/>
  <c r="B2552" i="18"/>
  <c r="B2554" i="18" s="1"/>
  <c r="B2550" i="18"/>
  <c r="B2548" i="18"/>
  <c r="B2553" i="18"/>
  <c r="B2551" i="18"/>
  <c r="B2549" i="18"/>
  <c r="B2223" i="18"/>
  <c r="B2225" i="18" s="1"/>
  <c r="B2221" i="18"/>
  <c r="B2219" i="18"/>
  <c r="B2224" i="18"/>
  <c r="B2222" i="18"/>
  <c r="B2220" i="18"/>
  <c r="B1565" i="18"/>
  <c r="B1567" i="18" s="1"/>
  <c r="B1563" i="18"/>
  <c r="B1561" i="18"/>
  <c r="B1566" i="18"/>
  <c r="B1564" i="18"/>
  <c r="B1562" i="18"/>
  <c r="B1236" i="18"/>
  <c r="B1238" i="18" s="1"/>
  <c r="B1234" i="18"/>
  <c r="B1232" i="18"/>
  <c r="B1237" i="18"/>
  <c r="B1235" i="18"/>
  <c r="B1233" i="18"/>
  <c r="B907" i="18"/>
  <c r="B909" i="18" s="1"/>
  <c r="B905" i="18"/>
  <c r="B903" i="18"/>
  <c r="B908" i="18"/>
  <c r="B906" i="18"/>
  <c r="B904" i="18"/>
  <c r="B579" i="18"/>
  <c r="B577" i="18"/>
  <c r="B575" i="18"/>
  <c r="B578" i="18"/>
  <c r="B580" i="18" s="1"/>
  <c r="B576" i="18"/>
  <c r="B574" i="18"/>
  <c r="B2895" i="18" l="1"/>
  <c r="B2897" i="18" s="1"/>
  <c r="B2893" i="18"/>
  <c r="B2891" i="18"/>
  <c r="B2896" i="18"/>
  <c r="B2894" i="18"/>
  <c r="B2892" i="18"/>
  <c r="B2560" i="18"/>
  <c r="B2558" i="18"/>
  <c r="B2556" i="18"/>
  <c r="B2559" i="18"/>
  <c r="B2561" i="18" s="1"/>
  <c r="B2557" i="18"/>
  <c r="B2555" i="18"/>
  <c r="B2231" i="18"/>
  <c r="B2229" i="18"/>
  <c r="B2227" i="18"/>
  <c r="B2230" i="18"/>
  <c r="B2232" i="18" s="1"/>
  <c r="B2228" i="18"/>
  <c r="B2226" i="18"/>
  <c r="B1573" i="18"/>
  <c r="B1571" i="18"/>
  <c r="B1569" i="18"/>
  <c r="B1568" i="18"/>
  <c r="B1572" i="18"/>
  <c r="B1574" i="18" s="1"/>
  <c r="B1570" i="18"/>
  <c r="B1244" i="18"/>
  <c r="B1242" i="18"/>
  <c r="B1240" i="18"/>
  <c r="B1243" i="18"/>
  <c r="B1245" i="18" s="1"/>
  <c r="B1241" i="18"/>
  <c r="B1239" i="18"/>
  <c r="B915" i="18"/>
  <c r="B913" i="18"/>
  <c r="B911" i="18"/>
  <c r="B914" i="18"/>
  <c r="B916" i="18" s="1"/>
  <c r="B912" i="18"/>
  <c r="B910" i="18"/>
  <c r="B585" i="18"/>
  <c r="B587" i="18" s="1"/>
  <c r="B583" i="18"/>
  <c r="B581" i="18"/>
  <c r="B586" i="18"/>
  <c r="B584" i="18"/>
  <c r="B582" i="18"/>
  <c r="B2903" i="18" l="1"/>
  <c r="B2901" i="18"/>
  <c r="B2899" i="18"/>
  <c r="B2902" i="18"/>
  <c r="B2904" i="18" s="1"/>
  <c r="B2900" i="18"/>
  <c r="B2898" i="18"/>
  <c r="B2566" i="18"/>
  <c r="B2568" i="18" s="1"/>
  <c r="B2564" i="18"/>
  <c r="B2562" i="18"/>
  <c r="B2567" i="18"/>
  <c r="B2565" i="18"/>
  <c r="B2563" i="18"/>
  <c r="B2237" i="18"/>
  <c r="B2239" i="18" s="1"/>
  <c r="B2235" i="18"/>
  <c r="B2233" i="18"/>
  <c r="B2238" i="18"/>
  <c r="B2236" i="18"/>
  <c r="B2234" i="18"/>
  <c r="B1579" i="18"/>
  <c r="B1581" i="18" s="1"/>
  <c r="B1577" i="18"/>
  <c r="B1575" i="18"/>
  <c r="B1576" i="18"/>
  <c r="B1580" i="18"/>
  <c r="B1578" i="18"/>
  <c r="B1250" i="18"/>
  <c r="B1252" i="18" s="1"/>
  <c r="B1248" i="18"/>
  <c r="B1246" i="18"/>
  <c r="B1251" i="18"/>
  <c r="B1249" i="18"/>
  <c r="B1247" i="18"/>
  <c r="B921" i="18"/>
  <c r="B923" i="18" s="1"/>
  <c r="B919" i="18"/>
  <c r="B917" i="18"/>
  <c r="B922" i="18"/>
  <c r="B920" i="18"/>
  <c r="B918" i="18"/>
  <c r="B593" i="18"/>
  <c r="B591" i="18"/>
  <c r="B589" i="18"/>
  <c r="B592" i="18"/>
  <c r="B594" i="18" s="1"/>
  <c r="B590" i="18"/>
  <c r="B588" i="18"/>
  <c r="B2909" i="18" l="1"/>
  <c r="B2911" i="18" s="1"/>
  <c r="B2907" i="18"/>
  <c r="B2905" i="18"/>
  <c r="B2910" i="18"/>
  <c r="B2908" i="18"/>
  <c r="B2906" i="18"/>
  <c r="B2574" i="18"/>
  <c r="B2572" i="18"/>
  <c r="B2570" i="18"/>
  <c r="B2573" i="18"/>
  <c r="B2575" i="18" s="1"/>
  <c r="B2571" i="18"/>
  <c r="B2569" i="18"/>
  <c r="B2245" i="18"/>
  <c r="B2243" i="18"/>
  <c r="B2241" i="18"/>
  <c r="B2244" i="18"/>
  <c r="B2246" i="18" s="1"/>
  <c r="B2242" i="18"/>
  <c r="B2240" i="18"/>
  <c r="B1587" i="18"/>
  <c r="B1585" i="18"/>
  <c r="B1583" i="18"/>
  <c r="B1584" i="18"/>
  <c r="B1582" i="18"/>
  <c r="B1586" i="18"/>
  <c r="B1588" i="18" s="1"/>
  <c r="B1258" i="18"/>
  <c r="B1256" i="18"/>
  <c r="B1254" i="18"/>
  <c r="B1257" i="18"/>
  <c r="B1259" i="18" s="1"/>
  <c r="B1255" i="18"/>
  <c r="B1253" i="18"/>
  <c r="B929" i="18"/>
  <c r="B927" i="18"/>
  <c r="B925" i="18"/>
  <c r="B928" i="18"/>
  <c r="B930" i="18" s="1"/>
  <c r="B926" i="18"/>
  <c r="B924" i="18"/>
  <c r="B600" i="18"/>
  <c r="B598" i="18"/>
  <c r="B596" i="18"/>
  <c r="B595" i="18"/>
  <c r="B599" i="18"/>
  <c r="B601" i="18" s="1"/>
  <c r="B597" i="18"/>
  <c r="B2917" i="18" l="1"/>
  <c r="B2915" i="18"/>
  <c r="B2913" i="18"/>
  <c r="B2916" i="18"/>
  <c r="B2918" i="18" s="1"/>
  <c r="B2914" i="18"/>
  <c r="B2912" i="18"/>
  <c r="B2580" i="18"/>
  <c r="B2582" i="18" s="1"/>
  <c r="B2578" i="18"/>
  <c r="B2576" i="18"/>
  <c r="B2581" i="18"/>
  <c r="B2579" i="18"/>
  <c r="B2577" i="18"/>
  <c r="B2251" i="18"/>
  <c r="B2253" i="18" s="1"/>
  <c r="B2249" i="18"/>
  <c r="B2247" i="18"/>
  <c r="B2252" i="18"/>
  <c r="B2250" i="18"/>
  <c r="B2248" i="18"/>
  <c r="B1593" i="18"/>
  <c r="B1595" i="18" s="1"/>
  <c r="B1591" i="18"/>
  <c r="B1589" i="18"/>
  <c r="B1592" i="18"/>
  <c r="B1590" i="18"/>
  <c r="B1594" i="18"/>
  <c r="B1264" i="18"/>
  <c r="B1266" i="18" s="1"/>
  <c r="B1262" i="18"/>
  <c r="B1260" i="18"/>
  <c r="B1265" i="18"/>
  <c r="B1263" i="18"/>
  <c r="B1261" i="18"/>
  <c r="B935" i="18"/>
  <c r="B937" i="18" s="1"/>
  <c r="B933" i="18"/>
  <c r="B931" i="18"/>
  <c r="B936" i="18"/>
  <c r="B934" i="18"/>
  <c r="B932" i="18"/>
  <c r="B606" i="18"/>
  <c r="B608" i="18" s="1"/>
  <c r="B604" i="18"/>
  <c r="B602" i="18"/>
  <c r="B607" i="18"/>
  <c r="B605" i="18"/>
  <c r="B603" i="18"/>
  <c r="B2923" i="18" l="1"/>
  <c r="B2925" i="18" s="1"/>
  <c r="B2921" i="18"/>
  <c r="B2919" i="18"/>
  <c r="B2924" i="18"/>
  <c r="B2922" i="18"/>
  <c r="B2920" i="18"/>
  <c r="B2588" i="18"/>
  <c r="B2586" i="18"/>
  <c r="B2584" i="18"/>
  <c r="B2587" i="18"/>
  <c r="B2589" i="18" s="1"/>
  <c r="B2585" i="18"/>
  <c r="B2583" i="18"/>
  <c r="B2259" i="18"/>
  <c r="B2257" i="18"/>
  <c r="B2255" i="18"/>
  <c r="B2258" i="18"/>
  <c r="B2260" i="18" s="1"/>
  <c r="B2256" i="18"/>
  <c r="B2254" i="18"/>
  <c r="B1601" i="18"/>
  <c r="B1599" i="18"/>
  <c r="B1597" i="18"/>
  <c r="B1600" i="18"/>
  <c r="B1602" i="18" s="1"/>
  <c r="B1598" i="18"/>
  <c r="B1596" i="18"/>
  <c r="B1272" i="18"/>
  <c r="B1270" i="18"/>
  <c r="B1268" i="18"/>
  <c r="B1271" i="18"/>
  <c r="B1273" i="18" s="1"/>
  <c r="B1269" i="18"/>
  <c r="B1267" i="18"/>
  <c r="B943" i="18"/>
  <c r="B941" i="18"/>
  <c r="B939" i="18"/>
  <c r="B942" i="18"/>
  <c r="B944" i="18" s="1"/>
  <c r="B940" i="18"/>
  <c r="B938" i="18"/>
  <c r="B614" i="18"/>
  <c r="B612" i="18"/>
  <c r="B610" i="18"/>
  <c r="B613" i="18"/>
  <c r="B615" i="18" s="1"/>
  <c r="B611" i="18"/>
  <c r="B609" i="18"/>
  <c r="B2931" i="18" l="1"/>
  <c r="B2929" i="18"/>
  <c r="B2927" i="18"/>
  <c r="B2930" i="18"/>
  <c r="B2932" i="18" s="1"/>
  <c r="B2928" i="18"/>
  <c r="B2926" i="18"/>
  <c r="B2594" i="18"/>
  <c r="B2596" i="18" s="1"/>
  <c r="B2592" i="18"/>
  <c r="B2590" i="18"/>
  <c r="B2595" i="18"/>
  <c r="B2593" i="18"/>
  <c r="B2591" i="18"/>
  <c r="B2265" i="18"/>
  <c r="B2267" i="18" s="1"/>
  <c r="B2263" i="18"/>
  <c r="B2261" i="18"/>
  <c r="B2266" i="18"/>
  <c r="B2264" i="18"/>
  <c r="B2262" i="18"/>
  <c r="B1607" i="18"/>
  <c r="B1609" i="18" s="1"/>
  <c r="B1605" i="18"/>
  <c r="B1603" i="18"/>
  <c r="B1608" i="18"/>
  <c r="B1606" i="18"/>
  <c r="B1604" i="18"/>
  <c r="B1278" i="18"/>
  <c r="B1280" i="18" s="1"/>
  <c r="B1276" i="18"/>
  <c r="B1274" i="18"/>
  <c r="B1279" i="18"/>
  <c r="B1277" i="18"/>
  <c r="B1275" i="18"/>
  <c r="B949" i="18"/>
  <c r="B951" i="18" s="1"/>
  <c r="B947" i="18"/>
  <c r="B945" i="18"/>
  <c r="B950" i="18"/>
  <c r="B948" i="18"/>
  <c r="B946" i="18"/>
  <c r="B620" i="18"/>
  <c r="B622" i="18" s="1"/>
  <c r="B618" i="18"/>
  <c r="B616" i="18"/>
  <c r="B621" i="18"/>
  <c r="B619" i="18"/>
  <c r="B617" i="18"/>
  <c r="B2937" i="18" l="1"/>
  <c r="B2939" i="18" s="1"/>
  <c r="B2935" i="18"/>
  <c r="B2933" i="18"/>
  <c r="B2938" i="18"/>
  <c r="B2936" i="18"/>
  <c r="B2934" i="18"/>
  <c r="B2602" i="18"/>
  <c r="B2600" i="18"/>
  <c r="B2598" i="18"/>
  <c r="B2601" i="18"/>
  <c r="B2603" i="18" s="1"/>
  <c r="B2599" i="18"/>
  <c r="B2597" i="18"/>
  <c r="B2273" i="18"/>
  <c r="B2271" i="18"/>
  <c r="B2269" i="18"/>
  <c r="B2272" i="18"/>
  <c r="B2274" i="18" s="1"/>
  <c r="B2270" i="18"/>
  <c r="B2268" i="18"/>
  <c r="B1615" i="18"/>
  <c r="B1613" i="18"/>
  <c r="B1611" i="18"/>
  <c r="B1614" i="18"/>
  <c r="B1616" i="18" s="1"/>
  <c r="B1612" i="18"/>
  <c r="B1610" i="18"/>
  <c r="B1286" i="18"/>
  <c r="B1284" i="18"/>
  <c r="B1282" i="18"/>
  <c r="B1285" i="18"/>
  <c r="B1287" i="18" s="1"/>
  <c r="B1283" i="18"/>
  <c r="B1281" i="18"/>
  <c r="B957" i="18"/>
  <c r="B955" i="18"/>
  <c r="B953" i="18"/>
  <c r="B956" i="18"/>
  <c r="B958" i="18" s="1"/>
  <c r="B954" i="18"/>
  <c r="B952" i="18"/>
  <c r="B628" i="18"/>
  <c r="B626" i="18"/>
  <c r="B624" i="18"/>
  <c r="B627" i="18"/>
  <c r="B629" i="18" s="1"/>
  <c r="B625" i="18"/>
  <c r="B623" i="18"/>
  <c r="B2945" i="18" l="1"/>
  <c r="B2943" i="18"/>
  <c r="B2941" i="18"/>
  <c r="B2944" i="18"/>
  <c r="B2946" i="18" s="1"/>
  <c r="B2942" i="18"/>
  <c r="B2940" i="18"/>
  <c r="B2608" i="18"/>
  <c r="B2610" i="18" s="1"/>
  <c r="B2606" i="18"/>
  <c r="B2604" i="18"/>
  <c r="B2609" i="18"/>
  <c r="B2607" i="18"/>
  <c r="B2605" i="18"/>
  <c r="B2279" i="18"/>
  <c r="B2281" i="18" s="1"/>
  <c r="B2277" i="18"/>
  <c r="B2275" i="18"/>
  <c r="B2280" i="18"/>
  <c r="B2278" i="18"/>
  <c r="B2276" i="18"/>
  <c r="B1621" i="18"/>
  <c r="B1623" i="18" s="1"/>
  <c r="B1619" i="18"/>
  <c r="B1617" i="18"/>
  <c r="B1622" i="18"/>
  <c r="B1620" i="18"/>
  <c r="B1618" i="18"/>
  <c r="B1292" i="18"/>
  <c r="B1294" i="18" s="1"/>
  <c r="B1290" i="18"/>
  <c r="B1288" i="18"/>
  <c r="B1293" i="18"/>
  <c r="B1291" i="18"/>
  <c r="B1289" i="18"/>
  <c r="B963" i="18"/>
  <c r="B965" i="18" s="1"/>
  <c r="B961" i="18"/>
  <c r="B959" i="18"/>
  <c r="B964" i="18"/>
  <c r="B962" i="18"/>
  <c r="B960" i="18"/>
  <c r="B634" i="18"/>
  <c r="B636" i="18" s="1"/>
  <c r="B632" i="18"/>
  <c r="B630" i="18"/>
  <c r="B635" i="18"/>
  <c r="B633" i="18"/>
  <c r="B631" i="18"/>
  <c r="B2951" i="18" l="1"/>
  <c r="B2953" i="18" s="1"/>
  <c r="B2949" i="18"/>
  <c r="B2947" i="18"/>
  <c r="B2952" i="18"/>
  <c r="B2950" i="18"/>
  <c r="B2948" i="18"/>
  <c r="B2616" i="18"/>
  <c r="B2614" i="18"/>
  <c r="B2612" i="18"/>
  <c r="B2615" i="18"/>
  <c r="B2617" i="18" s="1"/>
  <c r="B2613" i="18"/>
  <c r="B2611" i="18"/>
  <c r="B2287" i="18"/>
  <c r="B2285" i="18"/>
  <c r="B2283" i="18"/>
  <c r="B2286" i="18"/>
  <c r="B2288" i="18" s="1"/>
  <c r="B2284" i="18"/>
  <c r="B2282" i="18"/>
  <c r="B1629" i="18"/>
  <c r="B1627" i="18"/>
  <c r="B1625" i="18"/>
  <c r="B1624" i="18"/>
  <c r="B1628" i="18"/>
  <c r="B1630" i="18" s="1"/>
  <c r="B1626" i="18"/>
  <c r="B1300" i="18"/>
  <c r="B1298" i="18"/>
  <c r="B1296" i="18"/>
  <c r="B1299" i="18"/>
  <c r="B1301" i="18" s="1"/>
  <c r="B1297" i="18"/>
  <c r="B1295" i="18"/>
  <c r="B971" i="18"/>
  <c r="B969" i="18"/>
  <c r="B967" i="18"/>
  <c r="B970" i="18"/>
  <c r="B972" i="18" s="1"/>
  <c r="B968" i="18"/>
  <c r="B966" i="18"/>
  <c r="B642" i="18"/>
  <c r="B640" i="18"/>
  <c r="B638" i="18"/>
  <c r="B641" i="18"/>
  <c r="B643" i="18" s="1"/>
  <c r="B639" i="18"/>
  <c r="B637" i="18"/>
  <c r="B2959" i="18" l="1"/>
  <c r="B2957" i="18"/>
  <c r="B2955" i="18"/>
  <c r="B2958" i="18"/>
  <c r="B2960" i="18" s="1"/>
  <c r="B2956" i="18"/>
  <c r="B2954" i="18"/>
  <c r="B2622" i="18"/>
  <c r="B2624" i="18" s="1"/>
  <c r="B2620" i="18"/>
  <c r="B2618" i="18"/>
  <c r="B2623" i="18"/>
  <c r="B2621" i="18"/>
  <c r="B2619" i="18"/>
  <c r="B2293" i="18"/>
  <c r="B2295" i="18" s="1"/>
  <c r="B2291" i="18"/>
  <c r="B2289" i="18"/>
  <c r="B2294" i="18"/>
  <c r="B2292" i="18"/>
  <c r="B2290" i="18"/>
  <c r="B1635" i="18"/>
  <c r="B1637" i="18" s="1"/>
  <c r="B1633" i="18"/>
  <c r="B1631" i="18"/>
  <c r="B1632" i="18"/>
  <c r="B1636" i="18"/>
  <c r="B1634" i="18"/>
  <c r="B1306" i="18"/>
  <c r="B1308" i="18" s="1"/>
  <c r="B1304" i="18"/>
  <c r="B1302" i="18"/>
  <c r="B1307" i="18"/>
  <c r="B1305" i="18"/>
  <c r="B1303" i="18"/>
  <c r="B977" i="18"/>
  <c r="B979" i="18" s="1"/>
  <c r="B975" i="18"/>
  <c r="B973" i="18"/>
  <c r="B978" i="18"/>
  <c r="B976" i="18"/>
  <c r="B974" i="18"/>
  <c r="B648" i="18"/>
  <c r="B650" i="18" s="1"/>
  <c r="B646" i="18"/>
  <c r="B644" i="18"/>
  <c r="B649" i="18"/>
  <c r="B647" i="18"/>
  <c r="B645" i="18"/>
  <c r="B2965" i="18" l="1"/>
  <c r="B2967" i="18" s="1"/>
  <c r="B2963" i="18"/>
  <c r="B2961" i="18"/>
  <c r="B2966" i="18"/>
  <c r="B2964" i="18"/>
  <c r="B2962" i="18"/>
  <c r="B2630" i="18"/>
  <c r="B2628" i="18"/>
  <c r="B2626" i="18"/>
  <c r="B2629" i="18"/>
  <c r="B2631" i="18" s="1"/>
  <c r="B2627" i="18"/>
  <c r="B2625" i="18"/>
  <c r="B2301" i="18"/>
  <c r="B2299" i="18"/>
  <c r="B2297" i="18"/>
  <c r="B2300" i="18"/>
  <c r="B2302" i="18" s="1"/>
  <c r="B2298" i="18"/>
  <c r="B2296" i="18"/>
  <c r="B1643" i="18"/>
  <c r="B1641" i="18"/>
  <c r="B1639" i="18"/>
  <c r="B1640" i="18"/>
  <c r="B1638" i="18"/>
  <c r="B1642" i="18"/>
  <c r="B1644" i="18" s="1"/>
  <c r="B1314" i="18"/>
  <c r="B1312" i="18"/>
  <c r="B1310" i="18"/>
  <c r="B1313" i="18"/>
  <c r="B1315" i="18" s="1"/>
  <c r="B1311" i="18"/>
  <c r="B1309" i="18"/>
  <c r="B985" i="18"/>
  <c r="B983" i="18"/>
  <c r="B981" i="18"/>
  <c r="B984" i="18"/>
  <c r="B986" i="18" s="1"/>
  <c r="B982" i="18"/>
  <c r="B980" i="18"/>
  <c r="B656" i="18"/>
  <c r="B654" i="18"/>
  <c r="B652" i="18"/>
  <c r="B655" i="18"/>
  <c r="B657" i="18" s="1"/>
  <c r="B653" i="18"/>
  <c r="B651" i="18"/>
  <c r="B2973" i="18" l="1"/>
  <c r="B2971" i="18"/>
  <c r="B2969" i="18"/>
  <c r="B2972" i="18"/>
  <c r="B2970" i="18"/>
  <c r="B2968" i="18"/>
  <c r="B2636" i="18"/>
  <c r="B2638" i="18" s="1"/>
  <c r="B2634" i="18"/>
  <c r="B2632" i="18"/>
  <c r="B2637" i="18"/>
  <c r="B2635" i="18"/>
  <c r="B2633" i="18"/>
  <c r="B2307" i="18"/>
  <c r="B2309" i="18" s="1"/>
  <c r="B2305" i="18"/>
  <c r="B2303" i="18"/>
  <c r="B2308" i="18"/>
  <c r="B2306" i="18"/>
  <c r="B2304" i="18"/>
  <c r="B1649" i="18"/>
  <c r="B1651" i="18" s="1"/>
  <c r="B1647" i="18"/>
  <c r="B1645" i="18"/>
  <c r="B1648" i="18"/>
  <c r="B1646" i="18"/>
  <c r="B1650" i="18"/>
  <c r="B1320" i="18"/>
  <c r="B1322" i="18" s="1"/>
  <c r="B1318" i="18"/>
  <c r="B1316" i="18"/>
  <c r="B1321" i="18"/>
  <c r="B1319" i="18"/>
  <c r="B1317" i="18"/>
  <c r="B991" i="18"/>
  <c r="B993" i="18" s="1"/>
  <c r="B989" i="18"/>
  <c r="B987" i="18"/>
  <c r="B992" i="18"/>
  <c r="B990" i="18"/>
  <c r="B988" i="18"/>
  <c r="B662" i="18"/>
  <c r="B664" i="18" s="1"/>
  <c r="B660" i="18"/>
  <c r="B658" i="18"/>
  <c r="B663" i="18"/>
  <c r="B661" i="18"/>
  <c r="B659" i="18"/>
  <c r="B2644" i="18" l="1"/>
  <c r="B2642" i="18"/>
  <c r="B2640" i="18"/>
  <c r="B2643" i="18"/>
  <c r="B2641" i="18"/>
  <c r="B2639" i="18"/>
  <c r="B2315" i="18"/>
  <c r="B2313" i="18"/>
  <c r="B2311" i="18"/>
  <c r="B2314" i="18"/>
  <c r="B2312" i="18"/>
  <c r="B2310" i="18"/>
  <c r="B1657" i="18"/>
  <c r="B1655" i="18"/>
  <c r="B1653" i="18"/>
  <c r="B1656" i="18"/>
  <c r="B1654" i="18"/>
  <c r="B1652" i="18"/>
  <c r="B1328" i="18"/>
  <c r="B1326" i="18"/>
  <c r="B1324" i="18"/>
  <c r="B1327" i="18"/>
  <c r="B1325" i="18"/>
  <c r="B1323" i="18"/>
  <c r="B999" i="18"/>
  <c r="B997" i="18"/>
  <c r="B995" i="18"/>
  <c r="B998" i="18"/>
  <c r="B996" i="18"/>
  <c r="B994" i="18"/>
  <c r="B670" i="18"/>
  <c r="B668" i="18"/>
  <c r="B666" i="18"/>
  <c r="B669" i="18"/>
  <c r="B667" i="18"/>
  <c r="B665" i="18"/>
  <c r="G28" i="2" l="1"/>
  <c r="J11" i="4" l="1"/>
  <c r="Q15" i="4" l="1"/>
  <c r="O15" i="4"/>
  <c r="P15" i="4"/>
  <c r="O14" i="4"/>
  <c r="O13" i="4"/>
  <c r="O11" i="4"/>
  <c r="Q10" i="4"/>
  <c r="P10" i="4"/>
  <c r="O10" i="4"/>
  <c r="M15" i="4"/>
  <c r="L15" i="4"/>
  <c r="K15" i="4"/>
  <c r="J15" i="4"/>
  <c r="I15" i="4"/>
  <c r="H15" i="4"/>
  <c r="G15" i="4"/>
  <c r="F15" i="4"/>
  <c r="E15" i="4"/>
  <c r="M10" i="4"/>
  <c r="J10" i="4"/>
  <c r="H10" i="4"/>
  <c r="G10" i="4"/>
  <c r="F10" i="4"/>
  <c r="E10" i="4"/>
  <c r="L14" i="4"/>
  <c r="K14" i="4"/>
  <c r="J14" i="4"/>
  <c r="F14" i="4"/>
  <c r="E14" i="4"/>
  <c r="L13" i="4"/>
  <c r="J13" i="4"/>
  <c r="F13" i="4"/>
  <c r="L11" i="4"/>
  <c r="K11" i="4"/>
  <c r="F11" i="4"/>
  <c r="E11" i="4"/>
  <c r="H4" i="3" l="1"/>
  <c r="G5" i="3" s="1"/>
  <c r="H5" i="3" s="1"/>
  <c r="G6" i="3" s="1"/>
  <c r="W5940" i="18" l="1"/>
  <c r="I5" i="18" s="1"/>
  <c r="U2973" i="18" l="1"/>
  <c r="T2973" i="18"/>
  <c r="U2972" i="18"/>
  <c r="T2972" i="18"/>
  <c r="U2971" i="18"/>
  <c r="T2971" i="18"/>
  <c r="U2970" i="18"/>
  <c r="T2970" i="18"/>
  <c r="U2969" i="18"/>
  <c r="T2969" i="18"/>
  <c r="U2968" i="18"/>
  <c r="T2968" i="18"/>
  <c r="U2967" i="18"/>
  <c r="T2967" i="18"/>
  <c r="U2966" i="18"/>
  <c r="T2966" i="18"/>
  <c r="U2965" i="18"/>
  <c r="T2965" i="18"/>
  <c r="U2964" i="18"/>
  <c r="T2964" i="18"/>
  <c r="U2963" i="18"/>
  <c r="T2963" i="18"/>
  <c r="U2962" i="18"/>
  <c r="T2962" i="18"/>
  <c r="U2961" i="18"/>
  <c r="T2961" i="18"/>
  <c r="U2960" i="18"/>
  <c r="T2960" i="18"/>
  <c r="U2959" i="18"/>
  <c r="T2959" i="18"/>
  <c r="U2958" i="18"/>
  <c r="T2958" i="18"/>
  <c r="U2957" i="18"/>
  <c r="T2957" i="18"/>
  <c r="U2956" i="18"/>
  <c r="T2956" i="18"/>
  <c r="U2955" i="18"/>
  <c r="T2955" i="18"/>
  <c r="U2954" i="18"/>
  <c r="T2954" i="18"/>
  <c r="U2953" i="18"/>
  <c r="T2953" i="18"/>
  <c r="U2952" i="18"/>
  <c r="T2952" i="18"/>
  <c r="U2951" i="18"/>
  <c r="T2951" i="18"/>
  <c r="U2950" i="18"/>
  <c r="T2950" i="18"/>
  <c r="U2949" i="18"/>
  <c r="T2949" i="18"/>
  <c r="U2948" i="18"/>
  <c r="T2948" i="18"/>
  <c r="U2947" i="18"/>
  <c r="T2947" i="18"/>
  <c r="U2946" i="18"/>
  <c r="T2946" i="18"/>
  <c r="U2945" i="18"/>
  <c r="T2945" i="18"/>
  <c r="U2944" i="18"/>
  <c r="T2944" i="18"/>
  <c r="U2943" i="18"/>
  <c r="T2943" i="18"/>
  <c r="U2942" i="18"/>
  <c r="T2942" i="18"/>
  <c r="U2941" i="18"/>
  <c r="T2941" i="18"/>
  <c r="U2940" i="18"/>
  <c r="T2940" i="18"/>
  <c r="U2939" i="18"/>
  <c r="T2939" i="18"/>
  <c r="U2938" i="18"/>
  <c r="T2938" i="18"/>
  <c r="U2937" i="18"/>
  <c r="T2937" i="18"/>
  <c r="U2936" i="18"/>
  <c r="T2936" i="18"/>
  <c r="U2935" i="18"/>
  <c r="T2935" i="18"/>
  <c r="U2934" i="18"/>
  <c r="T2934" i="18"/>
  <c r="U2933" i="18"/>
  <c r="T2933" i="18"/>
  <c r="U2932" i="18"/>
  <c r="T2932" i="18"/>
  <c r="U2931" i="18"/>
  <c r="T2931" i="18"/>
  <c r="U2930" i="18"/>
  <c r="T2930" i="18"/>
  <c r="U2929" i="18"/>
  <c r="T2929" i="18"/>
  <c r="U2928" i="18"/>
  <c r="T2928" i="18"/>
  <c r="U2927" i="18"/>
  <c r="T2927" i="18"/>
  <c r="U2926" i="18"/>
  <c r="T2926" i="18"/>
  <c r="U2925" i="18"/>
  <c r="T2925" i="18"/>
  <c r="U2924" i="18"/>
  <c r="T2924" i="18"/>
  <c r="U2923" i="18"/>
  <c r="T2923" i="18"/>
  <c r="U2922" i="18"/>
  <c r="T2922" i="18"/>
  <c r="U2921" i="18"/>
  <c r="T2921" i="18"/>
  <c r="U2920" i="18"/>
  <c r="T2920" i="18"/>
  <c r="U2919" i="18"/>
  <c r="T2919" i="18"/>
  <c r="U2918" i="18"/>
  <c r="T2918" i="18"/>
  <c r="U2917" i="18"/>
  <c r="T2917" i="18"/>
  <c r="U2916" i="18"/>
  <c r="T2916" i="18"/>
  <c r="U2915" i="18"/>
  <c r="T2915" i="18"/>
  <c r="U2914" i="18"/>
  <c r="T2914" i="18"/>
  <c r="U2913" i="18"/>
  <c r="T2913" i="18"/>
  <c r="U2912" i="18"/>
  <c r="T2912" i="18"/>
  <c r="U2911" i="18"/>
  <c r="T2911" i="18"/>
  <c r="U2910" i="18"/>
  <c r="T2910" i="18"/>
  <c r="U2909" i="18"/>
  <c r="T2909" i="18"/>
  <c r="U2908" i="18"/>
  <c r="T2908" i="18"/>
  <c r="U2907" i="18"/>
  <c r="T2907" i="18"/>
  <c r="U2906" i="18"/>
  <c r="T2906" i="18"/>
  <c r="U2905" i="18"/>
  <c r="T2905" i="18"/>
  <c r="U2904" i="18"/>
  <c r="T2904" i="18"/>
  <c r="U2903" i="18"/>
  <c r="T2903" i="18"/>
  <c r="U2902" i="18"/>
  <c r="T2902" i="18"/>
  <c r="U2901" i="18"/>
  <c r="T2901" i="18"/>
  <c r="U2900" i="18"/>
  <c r="T2900" i="18"/>
  <c r="U2899" i="18"/>
  <c r="T2899" i="18"/>
  <c r="U2898" i="18"/>
  <c r="T2898" i="18"/>
  <c r="U2897" i="18"/>
  <c r="T2897" i="18"/>
  <c r="U2896" i="18"/>
  <c r="T2896" i="18"/>
  <c r="U2895" i="18"/>
  <c r="T2895" i="18"/>
  <c r="U2894" i="18"/>
  <c r="T2894" i="18"/>
  <c r="U2893" i="18"/>
  <c r="T2893" i="18"/>
  <c r="U2892" i="18"/>
  <c r="T2892" i="18"/>
  <c r="U2891" i="18"/>
  <c r="T2891" i="18"/>
  <c r="U2890" i="18"/>
  <c r="T2890" i="18"/>
  <c r="U2889" i="18"/>
  <c r="T2889" i="18"/>
  <c r="U2888" i="18"/>
  <c r="T2888" i="18"/>
  <c r="U2887" i="18"/>
  <c r="T2887" i="18"/>
  <c r="U2886" i="18"/>
  <c r="T2886" i="18"/>
  <c r="U2885" i="18"/>
  <c r="T2885" i="18"/>
  <c r="U2884" i="18"/>
  <c r="T2884" i="18"/>
  <c r="U2883" i="18"/>
  <c r="T2883" i="18"/>
  <c r="U2882" i="18"/>
  <c r="T2882" i="18"/>
  <c r="U2881" i="18"/>
  <c r="T2881" i="18"/>
  <c r="U2880" i="18"/>
  <c r="T2880" i="18"/>
  <c r="U2879" i="18"/>
  <c r="T2879" i="18"/>
  <c r="U2878" i="18"/>
  <c r="T2878" i="18"/>
  <c r="U2877" i="18"/>
  <c r="T2877" i="18"/>
  <c r="U2876" i="18"/>
  <c r="T2876" i="18"/>
  <c r="U2875" i="18"/>
  <c r="T2875" i="18"/>
  <c r="U2874" i="18"/>
  <c r="T2874" i="18"/>
  <c r="U2873" i="18"/>
  <c r="T2873" i="18"/>
  <c r="U2872" i="18"/>
  <c r="T2872" i="18"/>
  <c r="U2871" i="18"/>
  <c r="T2871" i="18"/>
  <c r="U2870" i="18"/>
  <c r="T2870" i="18"/>
  <c r="U2869" i="18"/>
  <c r="T2869" i="18"/>
  <c r="U2868" i="18"/>
  <c r="T2868" i="18"/>
  <c r="U2867" i="18"/>
  <c r="T2867" i="18"/>
  <c r="U2866" i="18"/>
  <c r="T2866" i="18"/>
  <c r="U2865" i="18"/>
  <c r="T2865" i="18"/>
  <c r="U2864" i="18"/>
  <c r="T2864" i="18"/>
  <c r="U2863" i="18"/>
  <c r="T2863" i="18"/>
  <c r="U2862" i="18"/>
  <c r="T2862" i="18"/>
  <c r="U2861" i="18"/>
  <c r="T2861" i="18"/>
  <c r="U2860" i="18"/>
  <c r="T2860" i="18"/>
  <c r="U2859" i="18"/>
  <c r="T2859" i="18"/>
  <c r="U2858" i="18"/>
  <c r="T2858" i="18"/>
  <c r="U2857" i="18"/>
  <c r="T2857" i="18"/>
  <c r="U2856" i="18"/>
  <c r="T2856" i="18"/>
  <c r="U2855" i="18"/>
  <c r="T2855" i="18"/>
  <c r="U2854" i="18"/>
  <c r="T2854" i="18"/>
  <c r="U2853" i="18"/>
  <c r="T2853" i="18"/>
  <c r="U2852" i="18"/>
  <c r="T2852" i="18"/>
  <c r="U2851" i="18"/>
  <c r="T2851" i="18"/>
  <c r="U2850" i="18"/>
  <c r="T2850" i="18"/>
  <c r="U2849" i="18"/>
  <c r="T2849" i="18"/>
  <c r="U2848" i="18"/>
  <c r="T2848" i="18"/>
  <c r="U2847" i="18"/>
  <c r="T2847" i="18"/>
  <c r="U2846" i="18"/>
  <c r="T2846" i="18"/>
  <c r="U2845" i="18"/>
  <c r="T2845" i="18"/>
  <c r="U2844" i="18"/>
  <c r="T2844" i="18"/>
  <c r="U2843" i="18"/>
  <c r="T2843" i="18"/>
  <c r="U2842" i="18"/>
  <c r="T2842" i="18"/>
  <c r="U2841" i="18"/>
  <c r="T2841" i="18"/>
  <c r="U2840" i="18"/>
  <c r="T2840" i="18"/>
  <c r="U2839" i="18"/>
  <c r="T2839" i="18"/>
  <c r="U2838" i="18"/>
  <c r="T2838" i="18"/>
  <c r="U2837" i="18"/>
  <c r="T2837" i="18"/>
  <c r="U2836" i="18"/>
  <c r="T2836" i="18"/>
  <c r="U2835" i="18"/>
  <c r="T2835" i="18"/>
  <c r="U2834" i="18"/>
  <c r="T2834" i="18"/>
  <c r="U2833" i="18"/>
  <c r="T2833" i="18"/>
  <c r="U2832" i="18"/>
  <c r="T2832" i="18"/>
  <c r="U2831" i="18"/>
  <c r="T2831" i="18"/>
  <c r="U2830" i="18"/>
  <c r="T2830" i="18"/>
  <c r="U2829" i="18"/>
  <c r="T2829" i="18"/>
  <c r="U2828" i="18"/>
  <c r="T2828" i="18"/>
  <c r="U2827" i="18"/>
  <c r="T2827" i="18"/>
  <c r="U2826" i="18"/>
  <c r="T2826" i="18"/>
  <c r="U2825" i="18"/>
  <c r="T2825" i="18"/>
  <c r="U2824" i="18"/>
  <c r="T2824" i="18"/>
  <c r="U2823" i="18"/>
  <c r="T2823" i="18"/>
  <c r="U2822" i="18"/>
  <c r="T2822" i="18"/>
  <c r="U2821" i="18"/>
  <c r="T2821" i="18"/>
  <c r="U2820" i="18"/>
  <c r="T2820" i="18"/>
  <c r="U2819" i="18"/>
  <c r="T2819" i="18"/>
  <c r="U2818" i="18"/>
  <c r="T2818" i="18"/>
  <c r="U2817" i="18"/>
  <c r="T2817" i="18"/>
  <c r="U2816" i="18"/>
  <c r="T2816" i="18"/>
  <c r="U2815" i="18"/>
  <c r="T2815" i="18"/>
  <c r="U2814" i="18"/>
  <c r="T2814" i="18"/>
  <c r="U2813" i="18"/>
  <c r="T2813" i="18"/>
  <c r="U2812" i="18"/>
  <c r="T2812" i="18"/>
  <c r="U2811" i="18"/>
  <c r="T2811" i="18"/>
  <c r="U2810" i="18"/>
  <c r="T2810" i="18"/>
  <c r="U2809" i="18"/>
  <c r="T2809" i="18"/>
  <c r="U2808" i="18"/>
  <c r="T2808" i="18"/>
  <c r="U2807" i="18"/>
  <c r="T2807" i="18"/>
  <c r="U2806" i="18"/>
  <c r="T2806" i="18"/>
  <c r="U2805" i="18"/>
  <c r="T2805" i="18"/>
  <c r="U2804" i="18"/>
  <c r="T2804" i="18"/>
  <c r="U2803" i="18"/>
  <c r="T2803" i="18"/>
  <c r="U2802" i="18"/>
  <c r="T2802" i="18"/>
  <c r="U2801" i="18"/>
  <c r="T2801" i="18"/>
  <c r="U2800" i="18"/>
  <c r="T2800" i="18"/>
  <c r="U2799" i="18"/>
  <c r="T2799" i="18"/>
  <c r="U2798" i="18"/>
  <c r="T2798" i="18"/>
  <c r="U2797" i="18"/>
  <c r="T2797" i="18"/>
  <c r="U2796" i="18"/>
  <c r="T2796" i="18"/>
  <c r="U2795" i="18"/>
  <c r="T2795" i="18"/>
  <c r="U2794" i="18"/>
  <c r="T2794" i="18"/>
  <c r="U2793" i="18"/>
  <c r="T2793" i="18"/>
  <c r="U2792" i="18"/>
  <c r="T2792" i="18"/>
  <c r="U2791" i="18"/>
  <c r="T2791" i="18"/>
  <c r="U2790" i="18"/>
  <c r="T2790" i="18"/>
  <c r="U2789" i="18"/>
  <c r="T2789" i="18"/>
  <c r="U2788" i="18"/>
  <c r="T2788" i="18"/>
  <c r="U2787" i="18"/>
  <c r="T2787" i="18"/>
  <c r="U2786" i="18"/>
  <c r="T2786" i="18"/>
  <c r="U2785" i="18"/>
  <c r="T2785" i="18"/>
  <c r="U2784" i="18"/>
  <c r="T2784" i="18"/>
  <c r="U2783" i="18"/>
  <c r="T2783" i="18"/>
  <c r="U2782" i="18"/>
  <c r="T2782" i="18"/>
  <c r="U2781" i="18"/>
  <c r="T2781" i="18"/>
  <c r="U2780" i="18"/>
  <c r="T2780" i="18"/>
  <c r="U2779" i="18"/>
  <c r="T2779" i="18"/>
  <c r="U2778" i="18"/>
  <c r="T2778" i="18"/>
  <c r="U2777" i="18"/>
  <c r="T2777" i="18"/>
  <c r="U2776" i="18"/>
  <c r="T2776" i="18"/>
  <c r="U2775" i="18"/>
  <c r="T2775" i="18"/>
  <c r="U2774" i="18"/>
  <c r="T2774" i="18"/>
  <c r="U2773" i="18"/>
  <c r="T2773" i="18"/>
  <c r="U2772" i="18"/>
  <c r="T2772" i="18"/>
  <c r="U2771" i="18"/>
  <c r="T2771" i="18"/>
  <c r="U2770" i="18"/>
  <c r="T2770" i="18"/>
  <c r="U2769" i="18"/>
  <c r="T2769" i="18"/>
  <c r="U2768" i="18"/>
  <c r="T2768" i="18"/>
  <c r="U2767" i="18"/>
  <c r="T2767" i="18"/>
  <c r="U2766" i="18"/>
  <c r="T2766" i="18"/>
  <c r="U2765" i="18"/>
  <c r="T2765" i="18"/>
  <c r="U2764" i="18"/>
  <c r="T2764" i="18"/>
  <c r="U2763" i="18"/>
  <c r="T2763" i="18"/>
  <c r="U2762" i="18"/>
  <c r="T2762" i="18"/>
  <c r="U2761" i="18"/>
  <c r="T2761" i="18"/>
  <c r="U2760" i="18"/>
  <c r="T2760" i="18"/>
  <c r="U2759" i="18"/>
  <c r="T2759" i="18"/>
  <c r="U2758" i="18"/>
  <c r="T2758" i="18"/>
  <c r="U2757" i="18"/>
  <c r="T2757" i="18"/>
  <c r="U2756" i="18"/>
  <c r="T2756" i="18"/>
  <c r="U2755" i="18"/>
  <c r="T2755" i="18"/>
  <c r="U2754" i="18"/>
  <c r="T2754" i="18"/>
  <c r="U2753" i="18"/>
  <c r="T2753" i="18"/>
  <c r="U2752" i="18"/>
  <c r="T2752" i="18"/>
  <c r="U2751" i="18"/>
  <c r="T2751" i="18"/>
  <c r="U2750" i="18"/>
  <c r="T2750" i="18"/>
  <c r="U2749" i="18"/>
  <c r="T2749" i="18"/>
  <c r="U2748" i="18"/>
  <c r="T2748" i="18"/>
  <c r="U2747" i="18"/>
  <c r="T2747" i="18"/>
  <c r="U2746" i="18"/>
  <c r="T2746" i="18"/>
  <c r="U2745" i="18"/>
  <c r="T2745" i="18"/>
  <c r="U2744" i="18"/>
  <c r="T2744" i="18"/>
  <c r="U2743" i="18"/>
  <c r="T2743" i="18"/>
  <c r="U2742" i="18"/>
  <c r="T2742" i="18"/>
  <c r="U2741" i="18"/>
  <c r="T2741" i="18"/>
  <c r="U2740" i="18"/>
  <c r="T2740" i="18"/>
  <c r="U2739" i="18"/>
  <c r="T2739" i="18"/>
  <c r="U2738" i="18"/>
  <c r="T2738" i="18"/>
  <c r="U2737" i="18"/>
  <c r="T2737" i="18"/>
  <c r="U2736" i="18"/>
  <c r="T2736" i="18"/>
  <c r="U2735" i="18"/>
  <c r="T2735" i="18"/>
  <c r="U2734" i="18"/>
  <c r="T2734" i="18"/>
  <c r="U2733" i="18"/>
  <c r="T2733" i="18"/>
  <c r="U2732" i="18"/>
  <c r="T2732" i="18"/>
  <c r="U2731" i="18"/>
  <c r="T2731" i="18"/>
  <c r="U2730" i="18"/>
  <c r="T2730" i="18"/>
  <c r="U2729" i="18"/>
  <c r="T2729" i="18"/>
  <c r="U2728" i="18"/>
  <c r="T2728" i="18"/>
  <c r="U2727" i="18"/>
  <c r="T2727" i="18"/>
  <c r="U2726" i="18"/>
  <c r="T2726" i="18"/>
  <c r="U2725" i="18"/>
  <c r="T2725" i="18"/>
  <c r="U2724" i="18"/>
  <c r="T2724" i="18"/>
  <c r="U2723" i="18"/>
  <c r="T2723" i="18"/>
  <c r="U2722" i="18"/>
  <c r="T2722" i="18"/>
  <c r="U2721" i="18"/>
  <c r="T2721" i="18"/>
  <c r="U2720" i="18"/>
  <c r="T2720" i="18"/>
  <c r="U2719" i="18"/>
  <c r="T2719" i="18"/>
  <c r="U2718" i="18"/>
  <c r="T2718" i="18"/>
  <c r="U2717" i="18"/>
  <c r="T2717" i="18"/>
  <c r="U2716" i="18"/>
  <c r="T2716" i="18"/>
  <c r="U2715" i="18"/>
  <c r="T2715" i="18"/>
  <c r="U2714" i="18"/>
  <c r="T2714" i="18"/>
  <c r="U2713" i="18"/>
  <c r="T2713" i="18"/>
  <c r="U2712" i="18"/>
  <c r="T2712" i="18"/>
  <c r="U2711" i="18"/>
  <c r="T2711" i="18"/>
  <c r="U2710" i="18"/>
  <c r="T2710" i="18"/>
  <c r="U2709" i="18"/>
  <c r="T2709" i="18"/>
  <c r="U2708" i="18"/>
  <c r="T2708" i="18"/>
  <c r="U2707" i="18"/>
  <c r="T2707" i="18"/>
  <c r="U2706" i="18"/>
  <c r="T2706" i="18"/>
  <c r="U2705" i="18"/>
  <c r="T2705" i="18"/>
  <c r="U2704" i="18"/>
  <c r="T2704" i="18"/>
  <c r="U2703" i="18"/>
  <c r="T2703" i="18"/>
  <c r="U2702" i="18"/>
  <c r="T2702" i="18"/>
  <c r="U2701" i="18"/>
  <c r="T2701" i="18"/>
  <c r="U2700" i="18"/>
  <c r="T2700" i="18"/>
  <c r="U2699" i="18"/>
  <c r="T2699" i="18"/>
  <c r="U2698" i="18"/>
  <c r="T2698" i="18"/>
  <c r="U2697" i="18"/>
  <c r="T2697" i="18"/>
  <c r="U2696" i="18"/>
  <c r="T2696" i="18"/>
  <c r="U2695" i="18"/>
  <c r="T2695" i="18"/>
  <c r="U2694" i="18"/>
  <c r="T2694" i="18"/>
  <c r="U2693" i="18"/>
  <c r="T2693" i="18"/>
  <c r="U2692" i="18"/>
  <c r="T2692" i="18"/>
  <c r="U2691" i="18"/>
  <c r="T2691" i="18"/>
  <c r="U2690" i="18"/>
  <c r="T2690" i="18"/>
  <c r="U2689" i="18"/>
  <c r="T2689" i="18"/>
  <c r="U2688" i="18"/>
  <c r="T2688" i="18"/>
  <c r="U2687" i="18"/>
  <c r="T2687" i="18"/>
  <c r="U2686" i="18"/>
  <c r="T2686" i="18"/>
  <c r="U2685" i="18"/>
  <c r="T2685" i="18"/>
  <c r="U2684" i="18"/>
  <c r="T2684" i="18"/>
  <c r="U2683" i="18"/>
  <c r="T2683" i="18"/>
  <c r="U2682" i="18"/>
  <c r="T2682" i="18"/>
  <c r="U2681" i="18"/>
  <c r="T2681" i="18"/>
  <c r="U2680" i="18"/>
  <c r="T2680" i="18"/>
  <c r="U2679" i="18"/>
  <c r="T2679" i="18"/>
  <c r="U2678" i="18"/>
  <c r="T2678" i="18"/>
  <c r="U2677" i="18"/>
  <c r="T2677" i="18"/>
  <c r="U2676" i="18"/>
  <c r="T2676" i="18"/>
  <c r="U2675" i="18"/>
  <c r="T2675" i="18"/>
  <c r="U2674" i="18"/>
  <c r="T2674" i="18"/>
  <c r="U2673" i="18"/>
  <c r="T2673" i="18"/>
  <c r="U2672" i="18"/>
  <c r="T2672" i="18"/>
  <c r="U2671" i="18"/>
  <c r="T2671" i="18"/>
  <c r="U2670" i="18"/>
  <c r="T2670" i="18"/>
  <c r="U2669" i="18"/>
  <c r="T2669" i="18"/>
  <c r="U2668" i="18"/>
  <c r="T2668" i="18"/>
  <c r="U2667" i="18"/>
  <c r="T2667" i="18"/>
  <c r="U2666" i="18"/>
  <c r="T2666" i="18"/>
  <c r="U2665" i="18"/>
  <c r="T2665" i="18"/>
  <c r="U2664" i="18"/>
  <c r="T2664" i="18"/>
  <c r="U2663" i="18"/>
  <c r="T2663" i="18"/>
  <c r="U2662" i="18"/>
  <c r="T2662" i="18"/>
  <c r="U2661" i="18"/>
  <c r="T2661" i="18"/>
  <c r="U2660" i="18"/>
  <c r="T2660" i="18"/>
  <c r="U2659" i="18"/>
  <c r="T2659" i="18"/>
  <c r="U2658" i="18"/>
  <c r="T2658" i="18"/>
  <c r="U2657" i="18"/>
  <c r="T2657" i="18"/>
  <c r="U2656" i="18"/>
  <c r="T2656" i="18"/>
  <c r="U2655" i="18"/>
  <c r="T2655" i="18"/>
  <c r="U2654" i="18"/>
  <c r="T2654" i="18"/>
  <c r="U2653" i="18"/>
  <c r="T2653" i="18"/>
  <c r="U2652" i="18"/>
  <c r="T2652" i="18"/>
  <c r="U2651" i="18"/>
  <c r="T2651" i="18"/>
  <c r="U2650" i="18"/>
  <c r="T2650" i="18"/>
  <c r="U2649" i="18"/>
  <c r="T2649" i="18"/>
  <c r="U2648" i="18"/>
  <c r="T2648" i="18"/>
  <c r="U2647" i="18"/>
  <c r="T2647" i="18"/>
  <c r="U2646" i="18"/>
  <c r="T2646" i="18"/>
  <c r="U2645" i="18"/>
  <c r="T2645" i="18"/>
  <c r="U2644" i="18"/>
  <c r="T2644" i="18"/>
  <c r="U2643" i="18"/>
  <c r="T2643" i="18"/>
  <c r="U2642" i="18"/>
  <c r="T2642" i="18"/>
  <c r="U2641" i="18"/>
  <c r="T2641" i="18"/>
  <c r="U2640" i="18"/>
  <c r="T2640" i="18"/>
  <c r="U2639" i="18"/>
  <c r="T2639" i="18"/>
  <c r="U2638" i="18"/>
  <c r="T2638" i="18"/>
  <c r="U2637" i="18"/>
  <c r="T2637" i="18"/>
  <c r="U2636" i="18"/>
  <c r="T2636" i="18"/>
  <c r="U2635" i="18"/>
  <c r="T2635" i="18"/>
  <c r="U2634" i="18"/>
  <c r="T2634" i="18"/>
  <c r="U2633" i="18"/>
  <c r="T2633" i="18"/>
  <c r="U2632" i="18"/>
  <c r="T2632" i="18"/>
  <c r="U2631" i="18"/>
  <c r="T2631" i="18"/>
  <c r="U2630" i="18"/>
  <c r="T2630" i="18"/>
  <c r="U2629" i="18"/>
  <c r="T2629" i="18"/>
  <c r="U2628" i="18"/>
  <c r="T2628" i="18"/>
  <c r="U2627" i="18"/>
  <c r="T2627" i="18"/>
  <c r="U2626" i="18"/>
  <c r="T2626" i="18"/>
  <c r="U2625" i="18"/>
  <c r="T2625" i="18"/>
  <c r="U2624" i="18"/>
  <c r="T2624" i="18"/>
  <c r="U2623" i="18"/>
  <c r="T2623" i="18"/>
  <c r="U2622" i="18"/>
  <c r="T2622" i="18"/>
  <c r="U2621" i="18"/>
  <c r="T2621" i="18"/>
  <c r="U2620" i="18"/>
  <c r="T2620" i="18"/>
  <c r="U2619" i="18"/>
  <c r="T2619" i="18"/>
  <c r="U2618" i="18"/>
  <c r="T2618" i="18"/>
  <c r="U2617" i="18"/>
  <c r="T2617" i="18"/>
  <c r="U2616" i="18"/>
  <c r="T2616" i="18"/>
  <c r="U2615" i="18"/>
  <c r="T2615" i="18"/>
  <c r="U2614" i="18"/>
  <c r="T2614" i="18"/>
  <c r="U2613" i="18"/>
  <c r="T2613" i="18"/>
  <c r="U2612" i="18"/>
  <c r="T2612" i="18"/>
  <c r="U2611" i="18"/>
  <c r="T2611" i="18"/>
  <c r="U2610" i="18"/>
  <c r="T2610" i="18"/>
  <c r="U2609" i="18"/>
  <c r="T2609" i="18"/>
  <c r="U2608" i="18"/>
  <c r="T2608" i="18"/>
  <c r="U2607" i="18"/>
  <c r="T2607" i="18"/>
  <c r="U2606" i="18"/>
  <c r="T2606" i="18"/>
  <c r="U2605" i="18"/>
  <c r="T2605" i="18"/>
  <c r="U2604" i="18"/>
  <c r="T2604" i="18"/>
  <c r="U2603" i="18"/>
  <c r="T2603" i="18"/>
  <c r="U2602" i="18"/>
  <c r="T2602" i="18"/>
  <c r="U2601" i="18"/>
  <c r="T2601" i="18"/>
  <c r="U2600" i="18"/>
  <c r="T2600" i="18"/>
  <c r="U2599" i="18"/>
  <c r="T2599" i="18"/>
  <c r="U2598" i="18"/>
  <c r="T2598" i="18"/>
  <c r="U2597" i="18"/>
  <c r="T2597" i="18"/>
  <c r="U2596" i="18"/>
  <c r="T2596" i="18"/>
  <c r="U2595" i="18"/>
  <c r="T2595" i="18"/>
  <c r="U2594" i="18"/>
  <c r="T2594" i="18"/>
  <c r="U2593" i="18"/>
  <c r="T2593" i="18"/>
  <c r="U2592" i="18"/>
  <c r="T2592" i="18"/>
  <c r="U2591" i="18"/>
  <c r="T2591" i="18"/>
  <c r="U2590" i="18"/>
  <c r="T2590" i="18"/>
  <c r="U2589" i="18"/>
  <c r="T2589" i="18"/>
  <c r="U2588" i="18"/>
  <c r="T2588" i="18"/>
  <c r="U2587" i="18"/>
  <c r="T2587" i="18"/>
  <c r="U2586" i="18"/>
  <c r="T2586" i="18"/>
  <c r="U2585" i="18"/>
  <c r="T2585" i="18"/>
  <c r="U2584" i="18"/>
  <c r="T2584" i="18"/>
  <c r="U2583" i="18"/>
  <c r="T2583" i="18"/>
  <c r="U2582" i="18"/>
  <c r="T2582" i="18"/>
  <c r="U2581" i="18"/>
  <c r="T2581" i="18"/>
  <c r="U2580" i="18"/>
  <c r="T2580" i="18"/>
  <c r="U2579" i="18"/>
  <c r="T2579" i="18"/>
  <c r="U2578" i="18"/>
  <c r="T2578" i="18"/>
  <c r="U2577" i="18"/>
  <c r="T2577" i="18"/>
  <c r="U2576" i="18"/>
  <c r="T2576" i="18"/>
  <c r="U2575" i="18"/>
  <c r="T2575" i="18"/>
  <c r="U2574" i="18"/>
  <c r="T2574" i="18"/>
  <c r="U2573" i="18"/>
  <c r="T2573" i="18"/>
  <c r="U2572" i="18"/>
  <c r="T2572" i="18"/>
  <c r="U2571" i="18"/>
  <c r="T2571" i="18"/>
  <c r="U2570" i="18"/>
  <c r="T2570" i="18"/>
  <c r="U2569" i="18"/>
  <c r="T2569" i="18"/>
  <c r="U2568" i="18"/>
  <c r="T2568" i="18"/>
  <c r="U2567" i="18"/>
  <c r="T2567" i="18"/>
  <c r="U2566" i="18"/>
  <c r="T2566" i="18"/>
  <c r="U2565" i="18"/>
  <c r="T2565" i="18"/>
  <c r="U2564" i="18"/>
  <c r="T2564" i="18"/>
  <c r="U2563" i="18"/>
  <c r="T2563" i="18"/>
  <c r="U2562" i="18"/>
  <c r="T2562" i="18"/>
  <c r="U2561" i="18"/>
  <c r="T2561" i="18"/>
  <c r="U2560" i="18"/>
  <c r="T2560" i="18"/>
  <c r="U2559" i="18"/>
  <c r="T2559" i="18"/>
  <c r="U2558" i="18"/>
  <c r="T2558" i="18"/>
  <c r="U2557" i="18"/>
  <c r="T2557" i="18"/>
  <c r="U2556" i="18"/>
  <c r="T2556" i="18"/>
  <c r="U2555" i="18"/>
  <c r="T2555" i="18"/>
  <c r="U2554" i="18"/>
  <c r="T2554" i="18"/>
  <c r="U2553" i="18"/>
  <c r="T2553" i="18"/>
  <c r="U2552" i="18"/>
  <c r="T2552" i="18"/>
  <c r="U2551" i="18"/>
  <c r="T2551" i="18"/>
  <c r="U2550" i="18"/>
  <c r="T2550" i="18"/>
  <c r="U2549" i="18"/>
  <c r="T2549" i="18"/>
  <c r="U2548" i="18"/>
  <c r="T2548" i="18"/>
  <c r="U2547" i="18"/>
  <c r="T2547" i="18"/>
  <c r="U2546" i="18"/>
  <c r="T2546" i="18"/>
  <c r="U2545" i="18"/>
  <c r="T2545" i="18"/>
  <c r="U2544" i="18"/>
  <c r="T2544" i="18"/>
  <c r="U2543" i="18"/>
  <c r="T2543" i="18"/>
  <c r="U2542" i="18"/>
  <c r="T2542" i="18"/>
  <c r="U2541" i="18"/>
  <c r="T2541" i="18"/>
  <c r="U2540" i="18"/>
  <c r="T2540" i="18"/>
  <c r="U2539" i="18"/>
  <c r="T2539" i="18"/>
  <c r="U2538" i="18"/>
  <c r="T2538" i="18"/>
  <c r="U2537" i="18"/>
  <c r="T2537" i="18"/>
  <c r="U2536" i="18"/>
  <c r="T2536" i="18"/>
  <c r="U2535" i="18"/>
  <c r="T2535" i="18"/>
  <c r="U2534" i="18"/>
  <c r="T2534" i="18"/>
  <c r="U2533" i="18"/>
  <c r="T2533" i="18"/>
  <c r="U2532" i="18"/>
  <c r="T2532" i="18"/>
  <c r="U2531" i="18"/>
  <c r="T2531" i="18"/>
  <c r="U2530" i="18"/>
  <c r="T2530" i="18"/>
  <c r="U2529" i="18"/>
  <c r="T2529" i="18"/>
  <c r="U2528" i="18"/>
  <c r="T2528" i="18"/>
  <c r="U2527" i="18"/>
  <c r="T2527" i="18"/>
  <c r="U2526" i="18"/>
  <c r="T2526" i="18"/>
  <c r="U2525" i="18"/>
  <c r="T2525" i="18"/>
  <c r="U2524" i="18"/>
  <c r="T2524" i="18"/>
  <c r="U2523" i="18"/>
  <c r="T2523" i="18"/>
  <c r="U2522" i="18"/>
  <c r="T2522" i="18"/>
  <c r="U2521" i="18"/>
  <c r="T2521" i="18"/>
  <c r="U2520" i="18"/>
  <c r="T2520" i="18"/>
  <c r="U2519" i="18"/>
  <c r="T2519" i="18"/>
  <c r="U2518" i="18"/>
  <c r="T2518" i="18"/>
  <c r="U2517" i="18"/>
  <c r="T2517" i="18"/>
  <c r="U2516" i="18"/>
  <c r="T2516" i="18"/>
  <c r="U2515" i="18"/>
  <c r="T2515" i="18"/>
  <c r="U2514" i="18"/>
  <c r="T2514" i="18"/>
  <c r="U2513" i="18"/>
  <c r="T2513" i="18"/>
  <c r="U2512" i="18"/>
  <c r="T2512" i="18"/>
  <c r="U2511" i="18"/>
  <c r="T2511" i="18"/>
  <c r="U2510" i="18"/>
  <c r="T2510" i="18"/>
  <c r="U2509" i="18"/>
  <c r="T2509" i="18"/>
  <c r="U2508" i="18"/>
  <c r="T2508" i="18"/>
  <c r="U2507" i="18"/>
  <c r="T2507" i="18"/>
  <c r="U2506" i="18"/>
  <c r="T2506" i="18"/>
  <c r="U2505" i="18"/>
  <c r="T2505" i="18"/>
  <c r="U2504" i="18"/>
  <c r="T2504" i="18"/>
  <c r="U2503" i="18"/>
  <c r="T2503" i="18"/>
  <c r="U2502" i="18"/>
  <c r="T2502" i="18"/>
  <c r="U2501" i="18"/>
  <c r="T2501" i="18"/>
  <c r="U2500" i="18"/>
  <c r="T2500" i="18"/>
  <c r="U2499" i="18"/>
  <c r="T2499" i="18"/>
  <c r="U2498" i="18"/>
  <c r="T2498" i="18"/>
  <c r="U2497" i="18"/>
  <c r="T2497" i="18"/>
  <c r="U2496" i="18"/>
  <c r="T2496" i="18"/>
  <c r="U2495" i="18"/>
  <c r="T2495" i="18"/>
  <c r="U2494" i="18"/>
  <c r="T2494" i="18"/>
  <c r="U2493" i="18"/>
  <c r="T2493" i="18"/>
  <c r="U2492" i="18"/>
  <c r="T2492" i="18"/>
  <c r="U2491" i="18"/>
  <c r="T2491" i="18"/>
  <c r="U2490" i="18"/>
  <c r="T2490" i="18"/>
  <c r="U2489" i="18"/>
  <c r="T2489" i="18"/>
  <c r="U2488" i="18"/>
  <c r="T2488" i="18"/>
  <c r="U2487" i="18"/>
  <c r="T2487" i="18"/>
  <c r="U2486" i="18"/>
  <c r="T2486" i="18"/>
  <c r="U2485" i="18"/>
  <c r="T2485" i="18"/>
  <c r="U2484" i="18"/>
  <c r="T2484" i="18"/>
  <c r="U2483" i="18"/>
  <c r="T2483" i="18"/>
  <c r="U2482" i="18"/>
  <c r="T2482" i="18"/>
  <c r="U2481" i="18"/>
  <c r="T2481" i="18"/>
  <c r="U2480" i="18"/>
  <c r="T2480" i="18"/>
  <c r="U2479" i="18"/>
  <c r="T2479" i="18"/>
  <c r="U2478" i="18"/>
  <c r="T2478" i="18"/>
  <c r="U2477" i="18"/>
  <c r="T2477" i="18"/>
  <c r="U2476" i="18"/>
  <c r="T2476" i="18"/>
  <c r="U2475" i="18"/>
  <c r="T2475" i="18"/>
  <c r="U2474" i="18"/>
  <c r="T2474" i="18"/>
  <c r="U2473" i="18"/>
  <c r="T2473" i="18"/>
  <c r="U2472" i="18"/>
  <c r="T2472" i="18"/>
  <c r="U2471" i="18"/>
  <c r="T2471" i="18"/>
  <c r="U2470" i="18"/>
  <c r="T2470" i="18"/>
  <c r="U2469" i="18"/>
  <c r="T2469" i="18"/>
  <c r="U2468" i="18"/>
  <c r="T2468" i="18"/>
  <c r="U2467" i="18"/>
  <c r="T2467" i="18"/>
  <c r="U2466" i="18"/>
  <c r="T2466" i="18"/>
  <c r="U2465" i="18"/>
  <c r="T2465" i="18"/>
  <c r="U2464" i="18"/>
  <c r="T2464" i="18"/>
  <c r="U2463" i="18"/>
  <c r="T2463" i="18"/>
  <c r="U2462" i="18"/>
  <c r="T2462" i="18"/>
  <c r="U2461" i="18"/>
  <c r="T2461" i="18"/>
  <c r="U2460" i="18"/>
  <c r="T2460" i="18"/>
  <c r="U2459" i="18"/>
  <c r="T2459" i="18"/>
  <c r="U2458" i="18"/>
  <c r="T2458" i="18"/>
  <c r="U2457" i="18"/>
  <c r="T2457" i="18"/>
  <c r="U2456" i="18"/>
  <c r="T2456" i="18"/>
  <c r="U2455" i="18"/>
  <c r="T2455" i="18"/>
  <c r="U2454" i="18"/>
  <c r="T2454" i="18"/>
  <c r="U2453" i="18"/>
  <c r="T2453" i="18"/>
  <c r="U2452" i="18"/>
  <c r="T2452" i="18"/>
  <c r="U2451" i="18"/>
  <c r="T2451" i="18"/>
  <c r="U2450" i="18"/>
  <c r="T2450" i="18"/>
  <c r="U2449" i="18"/>
  <c r="T2449" i="18"/>
  <c r="U2448" i="18"/>
  <c r="T2448" i="18"/>
  <c r="U2447" i="18"/>
  <c r="T2447" i="18"/>
  <c r="U2446" i="18"/>
  <c r="T2446" i="18"/>
  <c r="U2445" i="18"/>
  <c r="T2445" i="18"/>
  <c r="U2444" i="18"/>
  <c r="T2444" i="18"/>
  <c r="U2443" i="18"/>
  <c r="T2443" i="18"/>
  <c r="U2442" i="18"/>
  <c r="T2442" i="18"/>
  <c r="U2441" i="18"/>
  <c r="T2441" i="18"/>
  <c r="U2440" i="18"/>
  <c r="T2440" i="18"/>
  <c r="U2439" i="18"/>
  <c r="T2439" i="18"/>
  <c r="U2438" i="18"/>
  <c r="T2438" i="18"/>
  <c r="U2437" i="18"/>
  <c r="T2437" i="18"/>
  <c r="U2436" i="18"/>
  <c r="T2436" i="18"/>
  <c r="U2435" i="18"/>
  <c r="T2435" i="18"/>
  <c r="U2434" i="18"/>
  <c r="T2434" i="18"/>
  <c r="U2433" i="18"/>
  <c r="T2433" i="18"/>
  <c r="U2432" i="18"/>
  <c r="T2432" i="18"/>
  <c r="U2431" i="18"/>
  <c r="T2431" i="18"/>
  <c r="U2430" i="18"/>
  <c r="T2430" i="18"/>
  <c r="U2429" i="18"/>
  <c r="T2429" i="18"/>
  <c r="U2428" i="18"/>
  <c r="T2428" i="18"/>
  <c r="U2427" i="18"/>
  <c r="T2427" i="18"/>
  <c r="U2426" i="18"/>
  <c r="T2426" i="18"/>
  <c r="U2425" i="18"/>
  <c r="T2425" i="18"/>
  <c r="U2424" i="18"/>
  <c r="T2424" i="18"/>
  <c r="U2423" i="18"/>
  <c r="T2423" i="18"/>
  <c r="U2422" i="18"/>
  <c r="T2422" i="18"/>
  <c r="U2421" i="18"/>
  <c r="T2421" i="18"/>
  <c r="U2420" i="18"/>
  <c r="T2420" i="18"/>
  <c r="U2419" i="18"/>
  <c r="T2419" i="18"/>
  <c r="U2418" i="18"/>
  <c r="T2418" i="18"/>
  <c r="U2417" i="18"/>
  <c r="T2417" i="18"/>
  <c r="U2416" i="18"/>
  <c r="T2416" i="18"/>
  <c r="U2415" i="18"/>
  <c r="T2415" i="18"/>
  <c r="U2414" i="18"/>
  <c r="T2414" i="18"/>
  <c r="U2413" i="18"/>
  <c r="T2413" i="18"/>
  <c r="U2412" i="18"/>
  <c r="T2412" i="18"/>
  <c r="U2411" i="18"/>
  <c r="T2411" i="18"/>
  <c r="U2410" i="18"/>
  <c r="T2410" i="18"/>
  <c r="U2409" i="18"/>
  <c r="T2409" i="18"/>
  <c r="U2408" i="18"/>
  <c r="T2408" i="18"/>
  <c r="U2407" i="18"/>
  <c r="T2407" i="18"/>
  <c r="U2406" i="18"/>
  <c r="T2406" i="18"/>
  <c r="U2405" i="18"/>
  <c r="T2405" i="18"/>
  <c r="U2404" i="18"/>
  <c r="T2404" i="18"/>
  <c r="U2403" i="18"/>
  <c r="T2403" i="18"/>
  <c r="U2402" i="18"/>
  <c r="T2402" i="18"/>
  <c r="U2401" i="18"/>
  <c r="T2401" i="18"/>
  <c r="U2400" i="18"/>
  <c r="T2400" i="18"/>
  <c r="U2399" i="18"/>
  <c r="T2399" i="18"/>
  <c r="U2398" i="18"/>
  <c r="T2398" i="18"/>
  <c r="U2397" i="18"/>
  <c r="T2397" i="18"/>
  <c r="U2396" i="18"/>
  <c r="T2396" i="18"/>
  <c r="U2395" i="18"/>
  <c r="T2395" i="18"/>
  <c r="U2394" i="18"/>
  <c r="T2394" i="18"/>
  <c r="U2393" i="18"/>
  <c r="T2393" i="18"/>
  <c r="U2392" i="18"/>
  <c r="T2392" i="18"/>
  <c r="U2391" i="18"/>
  <c r="T2391" i="18"/>
  <c r="U2390" i="18"/>
  <c r="T2390" i="18"/>
  <c r="U2389" i="18"/>
  <c r="T2389" i="18"/>
  <c r="U2388" i="18"/>
  <c r="T2388" i="18"/>
  <c r="U2387" i="18"/>
  <c r="T2387" i="18"/>
  <c r="U2386" i="18"/>
  <c r="T2386" i="18"/>
  <c r="U2385" i="18"/>
  <c r="T2385" i="18"/>
  <c r="U2384" i="18"/>
  <c r="T2384" i="18"/>
  <c r="U2383" i="18"/>
  <c r="T2383" i="18"/>
  <c r="U2382" i="18"/>
  <c r="T2382" i="18"/>
  <c r="U2381" i="18"/>
  <c r="T2381" i="18"/>
  <c r="U2380" i="18"/>
  <c r="T2380" i="18"/>
  <c r="U2379" i="18"/>
  <c r="T2379" i="18"/>
  <c r="U2378" i="18"/>
  <c r="T2378" i="18"/>
  <c r="U2377" i="18"/>
  <c r="T2377" i="18"/>
  <c r="U2376" i="18"/>
  <c r="T2376" i="18"/>
  <c r="U2375" i="18"/>
  <c r="T2375" i="18"/>
  <c r="U2374" i="18"/>
  <c r="T2374" i="18"/>
  <c r="U2373" i="18"/>
  <c r="T2373" i="18"/>
  <c r="U2372" i="18"/>
  <c r="T2372" i="18"/>
  <c r="U2371" i="18"/>
  <c r="T2371" i="18"/>
  <c r="U2370" i="18"/>
  <c r="T2370" i="18"/>
  <c r="U2369" i="18"/>
  <c r="T2369" i="18"/>
  <c r="U2368" i="18"/>
  <c r="T2368" i="18"/>
  <c r="U2367" i="18"/>
  <c r="T2367" i="18"/>
  <c r="U2366" i="18"/>
  <c r="T2366" i="18"/>
  <c r="U2365" i="18"/>
  <c r="T2365" i="18"/>
  <c r="U2364" i="18"/>
  <c r="T2364" i="18"/>
  <c r="U2363" i="18"/>
  <c r="T2363" i="18"/>
  <c r="U2362" i="18"/>
  <c r="T2362" i="18"/>
  <c r="U2361" i="18"/>
  <c r="T2361" i="18"/>
  <c r="U2360" i="18"/>
  <c r="T2360" i="18"/>
  <c r="U2359" i="18"/>
  <c r="T2359" i="18"/>
  <c r="U2358" i="18"/>
  <c r="T2358" i="18"/>
  <c r="U2357" i="18"/>
  <c r="T2357" i="18"/>
  <c r="U2356" i="18"/>
  <c r="T2356" i="18"/>
  <c r="U2355" i="18"/>
  <c r="T2355" i="18"/>
  <c r="U2354" i="18"/>
  <c r="T2354" i="18"/>
  <c r="U2353" i="18"/>
  <c r="T2353" i="18"/>
  <c r="U2352" i="18"/>
  <c r="T2352" i="18"/>
  <c r="U2351" i="18"/>
  <c r="T2351" i="18"/>
  <c r="U2350" i="18"/>
  <c r="T2350" i="18"/>
  <c r="U2349" i="18"/>
  <c r="T2349" i="18"/>
  <c r="U2348" i="18"/>
  <c r="T2348" i="18"/>
  <c r="U2347" i="18"/>
  <c r="T2347" i="18"/>
  <c r="U2346" i="18"/>
  <c r="T2346" i="18"/>
  <c r="U2345" i="18"/>
  <c r="T2345" i="18"/>
  <c r="U2344" i="18"/>
  <c r="T2344" i="18"/>
  <c r="U2343" i="18"/>
  <c r="T2343" i="18"/>
  <c r="U2342" i="18"/>
  <c r="T2342" i="18"/>
  <c r="U2341" i="18"/>
  <c r="T2341" i="18"/>
  <c r="U2340" i="18"/>
  <c r="T2340" i="18"/>
  <c r="U2339" i="18"/>
  <c r="T2339" i="18"/>
  <c r="U2338" i="18"/>
  <c r="T2338" i="18"/>
  <c r="U2337" i="18"/>
  <c r="T2337" i="18"/>
  <c r="U2336" i="18"/>
  <c r="T2336" i="18"/>
  <c r="U2335" i="18"/>
  <c r="T2335" i="18"/>
  <c r="U2334" i="18"/>
  <c r="T2334" i="18"/>
  <c r="U2333" i="18"/>
  <c r="T2333" i="18"/>
  <c r="U2332" i="18"/>
  <c r="T2332" i="18"/>
  <c r="U2331" i="18"/>
  <c r="T2331" i="18"/>
  <c r="U2330" i="18"/>
  <c r="T2330" i="18"/>
  <c r="U2329" i="18"/>
  <c r="T2329" i="18"/>
  <c r="U2328" i="18"/>
  <c r="T2328" i="18"/>
  <c r="U2327" i="18"/>
  <c r="T2327" i="18"/>
  <c r="U2326" i="18"/>
  <c r="T2326" i="18"/>
  <c r="U2325" i="18"/>
  <c r="T2325" i="18"/>
  <c r="U2324" i="18"/>
  <c r="T2324" i="18"/>
  <c r="U2323" i="18"/>
  <c r="T2323" i="18"/>
  <c r="U2322" i="18"/>
  <c r="T2322" i="18"/>
  <c r="U2321" i="18"/>
  <c r="T2321" i="18"/>
  <c r="U2320" i="18"/>
  <c r="T2320" i="18"/>
  <c r="U2319" i="18"/>
  <c r="T2319" i="18"/>
  <c r="U2318" i="18"/>
  <c r="T2318" i="18"/>
  <c r="U2317" i="18"/>
  <c r="T2317" i="18"/>
  <c r="U2316" i="18"/>
  <c r="T2316" i="18"/>
  <c r="U2315" i="18"/>
  <c r="T2315" i="18"/>
  <c r="U2314" i="18"/>
  <c r="T2314" i="18"/>
  <c r="U2313" i="18"/>
  <c r="T2313" i="18"/>
  <c r="U2312" i="18"/>
  <c r="T2312" i="18"/>
  <c r="U2311" i="18"/>
  <c r="T2311" i="18"/>
  <c r="U2310" i="18"/>
  <c r="T2310" i="18"/>
  <c r="U2309" i="18"/>
  <c r="T2309" i="18"/>
  <c r="U2308" i="18"/>
  <c r="T2308" i="18"/>
  <c r="U2307" i="18"/>
  <c r="T2307" i="18"/>
  <c r="U2306" i="18"/>
  <c r="T2306" i="18"/>
  <c r="U2305" i="18"/>
  <c r="T2305" i="18"/>
  <c r="U2304" i="18"/>
  <c r="T2304" i="18"/>
  <c r="U2303" i="18"/>
  <c r="T2303" i="18"/>
  <c r="U2302" i="18"/>
  <c r="T2302" i="18"/>
  <c r="U2301" i="18"/>
  <c r="T2301" i="18"/>
  <c r="U2300" i="18"/>
  <c r="T2300" i="18"/>
  <c r="U2299" i="18"/>
  <c r="T2299" i="18"/>
  <c r="U2298" i="18"/>
  <c r="T2298" i="18"/>
  <c r="U2297" i="18"/>
  <c r="T2297" i="18"/>
  <c r="U2296" i="18"/>
  <c r="T2296" i="18"/>
  <c r="U2295" i="18"/>
  <c r="T2295" i="18"/>
  <c r="U2294" i="18"/>
  <c r="T2294" i="18"/>
  <c r="U2293" i="18"/>
  <c r="T2293" i="18"/>
  <c r="U2292" i="18"/>
  <c r="T2292" i="18"/>
  <c r="U2291" i="18"/>
  <c r="T2291" i="18"/>
  <c r="U2290" i="18"/>
  <c r="T2290" i="18"/>
  <c r="U2289" i="18"/>
  <c r="T2289" i="18"/>
  <c r="U2288" i="18"/>
  <c r="T2288" i="18"/>
  <c r="U2287" i="18"/>
  <c r="T2287" i="18"/>
  <c r="U2286" i="18"/>
  <c r="T2286" i="18"/>
  <c r="U2285" i="18"/>
  <c r="T2285" i="18"/>
  <c r="U2284" i="18"/>
  <c r="T2284" i="18"/>
  <c r="U2283" i="18"/>
  <c r="T2283" i="18"/>
  <c r="U2282" i="18"/>
  <c r="T2282" i="18"/>
  <c r="U2281" i="18"/>
  <c r="T2281" i="18"/>
  <c r="U2280" i="18"/>
  <c r="T2280" i="18"/>
  <c r="U2279" i="18"/>
  <c r="T2279" i="18"/>
  <c r="U2278" i="18"/>
  <c r="T2278" i="18"/>
  <c r="U2277" i="18"/>
  <c r="T2277" i="18"/>
  <c r="U2276" i="18"/>
  <c r="T2276" i="18"/>
  <c r="U2275" i="18"/>
  <c r="T2275" i="18"/>
  <c r="U2274" i="18"/>
  <c r="T2274" i="18"/>
  <c r="U2273" i="18"/>
  <c r="T2273" i="18"/>
  <c r="U2272" i="18"/>
  <c r="T2272" i="18"/>
  <c r="U2271" i="18"/>
  <c r="T2271" i="18"/>
  <c r="U2270" i="18"/>
  <c r="T2270" i="18"/>
  <c r="U2269" i="18"/>
  <c r="T2269" i="18"/>
  <c r="U2268" i="18"/>
  <c r="T2268" i="18"/>
  <c r="U2267" i="18"/>
  <c r="T2267" i="18"/>
  <c r="U2266" i="18"/>
  <c r="T2266" i="18"/>
  <c r="U2265" i="18"/>
  <c r="T2265" i="18"/>
  <c r="U2264" i="18"/>
  <c r="T2264" i="18"/>
  <c r="U2263" i="18"/>
  <c r="T2263" i="18"/>
  <c r="U2262" i="18"/>
  <c r="T2262" i="18"/>
  <c r="U2261" i="18"/>
  <c r="T2261" i="18"/>
  <c r="U2260" i="18"/>
  <c r="T2260" i="18"/>
  <c r="U2259" i="18"/>
  <c r="T2259" i="18"/>
  <c r="U2258" i="18"/>
  <c r="T2258" i="18"/>
  <c r="U2257" i="18"/>
  <c r="T2257" i="18"/>
  <c r="U2256" i="18"/>
  <c r="T2256" i="18"/>
  <c r="U2255" i="18"/>
  <c r="T2255" i="18"/>
  <c r="U2254" i="18"/>
  <c r="T2254" i="18"/>
  <c r="U2253" i="18"/>
  <c r="T2253" i="18"/>
  <c r="U2252" i="18"/>
  <c r="T2252" i="18"/>
  <c r="U2251" i="18"/>
  <c r="T2251" i="18"/>
  <c r="U2250" i="18"/>
  <c r="T2250" i="18"/>
  <c r="U2249" i="18"/>
  <c r="T2249" i="18"/>
  <c r="U2248" i="18"/>
  <c r="T2248" i="18"/>
  <c r="U2247" i="18"/>
  <c r="T2247" i="18"/>
  <c r="U2246" i="18"/>
  <c r="T2246" i="18"/>
  <c r="U2245" i="18"/>
  <c r="T2245" i="18"/>
  <c r="U2244" i="18"/>
  <c r="T2244" i="18"/>
  <c r="U2243" i="18"/>
  <c r="T2243" i="18"/>
  <c r="U2242" i="18"/>
  <c r="T2242" i="18"/>
  <c r="U2241" i="18"/>
  <c r="T2241" i="18"/>
  <c r="U2240" i="18"/>
  <c r="T2240" i="18"/>
  <c r="U2239" i="18"/>
  <c r="T2239" i="18"/>
  <c r="U2238" i="18"/>
  <c r="T2238" i="18"/>
  <c r="U2237" i="18"/>
  <c r="T2237" i="18"/>
  <c r="U2236" i="18"/>
  <c r="T2236" i="18"/>
  <c r="U2235" i="18"/>
  <c r="T2235" i="18"/>
  <c r="U2234" i="18"/>
  <c r="T2234" i="18"/>
  <c r="U2233" i="18"/>
  <c r="T2233" i="18"/>
  <c r="U2232" i="18"/>
  <c r="T2232" i="18"/>
  <c r="U2231" i="18"/>
  <c r="T2231" i="18"/>
  <c r="U2230" i="18"/>
  <c r="T2230" i="18"/>
  <c r="U2229" i="18"/>
  <c r="T2229" i="18"/>
  <c r="U2228" i="18"/>
  <c r="T2228" i="18"/>
  <c r="U2227" i="18"/>
  <c r="T2227" i="18"/>
  <c r="U2226" i="18"/>
  <c r="T2226" i="18"/>
  <c r="U2225" i="18"/>
  <c r="T2225" i="18"/>
  <c r="U2224" i="18"/>
  <c r="T2224" i="18"/>
  <c r="U2223" i="18"/>
  <c r="T2223" i="18"/>
  <c r="U2222" i="18"/>
  <c r="T2222" i="18"/>
  <c r="U2221" i="18"/>
  <c r="T2221" i="18"/>
  <c r="U2220" i="18"/>
  <c r="T2220" i="18"/>
  <c r="U2219" i="18"/>
  <c r="T2219" i="18"/>
  <c r="U2218" i="18"/>
  <c r="T2218" i="18"/>
  <c r="U2217" i="18"/>
  <c r="T2217" i="18"/>
  <c r="U2216" i="18"/>
  <c r="T2216" i="18"/>
  <c r="U2215" i="18"/>
  <c r="T2215" i="18"/>
  <c r="U2214" i="18"/>
  <c r="T2214" i="18"/>
  <c r="U2213" i="18"/>
  <c r="T2213" i="18"/>
  <c r="U2212" i="18"/>
  <c r="T2212" i="18"/>
  <c r="U2211" i="18"/>
  <c r="T2211" i="18"/>
  <c r="U2210" i="18"/>
  <c r="T2210" i="18"/>
  <c r="U2209" i="18"/>
  <c r="T2209" i="18"/>
  <c r="U2208" i="18"/>
  <c r="T2208" i="18"/>
  <c r="U2207" i="18"/>
  <c r="T2207" i="18"/>
  <c r="U2206" i="18"/>
  <c r="T2206" i="18"/>
  <c r="U2205" i="18"/>
  <c r="T2205" i="18"/>
  <c r="U2204" i="18"/>
  <c r="T2204" i="18"/>
  <c r="U2203" i="18"/>
  <c r="T2203" i="18"/>
  <c r="U2202" i="18"/>
  <c r="T2202" i="18"/>
  <c r="U2201" i="18"/>
  <c r="T2201" i="18"/>
  <c r="U2200" i="18"/>
  <c r="T2200" i="18"/>
  <c r="U2199" i="18"/>
  <c r="T2199" i="18"/>
  <c r="U2198" i="18"/>
  <c r="T2198" i="18"/>
  <c r="U2197" i="18"/>
  <c r="T2197" i="18"/>
  <c r="U2196" i="18"/>
  <c r="T2196" i="18"/>
  <c r="U2195" i="18"/>
  <c r="T2195" i="18"/>
  <c r="U2194" i="18"/>
  <c r="T2194" i="18"/>
  <c r="U2193" i="18"/>
  <c r="T2193" i="18"/>
  <c r="U2192" i="18"/>
  <c r="T2192" i="18"/>
  <c r="U2191" i="18"/>
  <c r="T2191" i="18"/>
  <c r="U2190" i="18"/>
  <c r="T2190" i="18"/>
  <c r="U2189" i="18"/>
  <c r="T2189" i="18"/>
  <c r="U2188" i="18"/>
  <c r="T2188" i="18"/>
  <c r="U2187" i="18"/>
  <c r="T2187" i="18"/>
  <c r="U2186" i="18"/>
  <c r="T2186" i="18"/>
  <c r="U2185" i="18"/>
  <c r="T2185" i="18"/>
  <c r="U2184" i="18"/>
  <c r="T2184" i="18"/>
  <c r="U2183" i="18"/>
  <c r="T2183" i="18"/>
  <c r="U2182" i="18"/>
  <c r="T2182" i="18"/>
  <c r="U2181" i="18"/>
  <c r="T2181" i="18"/>
  <c r="U2180" i="18"/>
  <c r="T2180" i="18"/>
  <c r="U2179" i="18"/>
  <c r="T2179" i="18"/>
  <c r="U2178" i="18"/>
  <c r="T2178" i="18"/>
  <c r="U2177" i="18"/>
  <c r="T2177" i="18"/>
  <c r="U2176" i="18"/>
  <c r="T2176" i="18"/>
  <c r="U2175" i="18"/>
  <c r="T2175" i="18"/>
  <c r="U2174" i="18"/>
  <c r="T2174" i="18"/>
  <c r="U2173" i="18"/>
  <c r="T2173" i="18"/>
  <c r="U2172" i="18"/>
  <c r="T2172" i="18"/>
  <c r="U2171" i="18"/>
  <c r="T2171" i="18"/>
  <c r="U2170" i="18"/>
  <c r="T2170" i="18"/>
  <c r="U2169" i="18"/>
  <c r="T2169" i="18"/>
  <c r="U2168" i="18"/>
  <c r="T2168" i="18"/>
  <c r="U2167" i="18"/>
  <c r="T2167" i="18"/>
  <c r="U2166" i="18"/>
  <c r="T2166" i="18"/>
  <c r="U2165" i="18"/>
  <c r="T2165" i="18"/>
  <c r="U2164" i="18"/>
  <c r="T2164" i="18"/>
  <c r="U2163" i="18"/>
  <c r="T2163" i="18"/>
  <c r="U2162" i="18"/>
  <c r="T2162" i="18"/>
  <c r="U2161" i="18"/>
  <c r="T2161" i="18"/>
  <c r="U2160" i="18"/>
  <c r="T2160" i="18"/>
  <c r="U2159" i="18"/>
  <c r="T2159" i="18"/>
  <c r="U2158" i="18"/>
  <c r="T2158" i="18"/>
  <c r="U2157" i="18"/>
  <c r="T2157" i="18"/>
  <c r="U2156" i="18"/>
  <c r="T2156" i="18"/>
  <c r="U2155" i="18"/>
  <c r="T2155" i="18"/>
  <c r="U2154" i="18"/>
  <c r="T2154" i="18"/>
  <c r="U2153" i="18"/>
  <c r="T2153" i="18"/>
  <c r="U2152" i="18"/>
  <c r="T2152" i="18"/>
  <c r="U2151" i="18"/>
  <c r="T2151" i="18"/>
  <c r="U2150" i="18"/>
  <c r="T2150" i="18"/>
  <c r="U2149" i="18"/>
  <c r="T2149" i="18"/>
  <c r="U2148" i="18"/>
  <c r="T2148" i="18"/>
  <c r="U2147" i="18"/>
  <c r="T2147" i="18"/>
  <c r="U2146" i="18"/>
  <c r="T2146" i="18"/>
  <c r="U2145" i="18"/>
  <c r="T2145" i="18"/>
  <c r="U2144" i="18"/>
  <c r="T2144" i="18"/>
  <c r="U2143" i="18"/>
  <c r="T2143" i="18"/>
  <c r="U2142" i="18"/>
  <c r="T2142" i="18"/>
  <c r="U2141" i="18"/>
  <c r="T2141" i="18"/>
  <c r="U2140" i="18"/>
  <c r="T2140" i="18"/>
  <c r="U2139" i="18"/>
  <c r="T2139" i="18"/>
  <c r="U2138" i="18"/>
  <c r="T2138" i="18"/>
  <c r="U2137" i="18"/>
  <c r="T2137" i="18"/>
  <c r="U2136" i="18"/>
  <c r="T2136" i="18"/>
  <c r="U2135" i="18"/>
  <c r="T2135" i="18"/>
  <c r="U2134" i="18"/>
  <c r="T2134" i="18"/>
  <c r="U2133" i="18"/>
  <c r="T2133" i="18"/>
  <c r="U2132" i="18"/>
  <c r="T2132" i="18"/>
  <c r="U2131" i="18"/>
  <c r="T2131" i="18"/>
  <c r="U2130" i="18"/>
  <c r="T2130" i="18"/>
  <c r="U2129" i="18"/>
  <c r="T2129" i="18"/>
  <c r="U2128" i="18"/>
  <c r="T2128" i="18"/>
  <c r="U2127" i="18"/>
  <c r="T2127" i="18"/>
  <c r="U2126" i="18"/>
  <c r="T2126" i="18"/>
  <c r="U2125" i="18"/>
  <c r="T2125" i="18"/>
  <c r="U2124" i="18"/>
  <c r="T2124" i="18"/>
  <c r="U2123" i="18"/>
  <c r="T2123" i="18"/>
  <c r="U2122" i="18"/>
  <c r="T2122" i="18"/>
  <c r="U2121" i="18"/>
  <c r="T2121" i="18"/>
  <c r="U2120" i="18"/>
  <c r="T2120" i="18"/>
  <c r="U2119" i="18"/>
  <c r="T2119" i="18"/>
  <c r="U2118" i="18"/>
  <c r="T2118" i="18"/>
  <c r="U2117" i="18"/>
  <c r="T2117" i="18"/>
  <c r="U2116" i="18"/>
  <c r="T2116" i="18"/>
  <c r="U2115" i="18"/>
  <c r="T2115" i="18"/>
  <c r="U2114" i="18"/>
  <c r="T2114" i="18"/>
  <c r="U2113" i="18"/>
  <c r="T2113" i="18"/>
  <c r="U2112" i="18"/>
  <c r="T2112" i="18"/>
  <c r="U2111" i="18"/>
  <c r="T2111" i="18"/>
  <c r="U2110" i="18"/>
  <c r="T2110" i="18"/>
  <c r="U2109" i="18"/>
  <c r="T2109" i="18"/>
  <c r="U2108" i="18"/>
  <c r="T2108" i="18"/>
  <c r="U2107" i="18"/>
  <c r="T2107" i="18"/>
  <c r="U2106" i="18"/>
  <c r="T2106" i="18"/>
  <c r="U2105" i="18"/>
  <c r="T2105" i="18"/>
  <c r="U2104" i="18"/>
  <c r="T2104" i="18"/>
  <c r="U2103" i="18"/>
  <c r="T2103" i="18"/>
  <c r="U2102" i="18"/>
  <c r="T2102" i="18"/>
  <c r="U2101" i="18"/>
  <c r="T2101" i="18"/>
  <c r="U2100" i="18"/>
  <c r="T2100" i="18"/>
  <c r="U2099" i="18"/>
  <c r="T2099" i="18"/>
  <c r="U2098" i="18"/>
  <c r="T2098" i="18"/>
  <c r="U2097" i="18"/>
  <c r="T2097" i="18"/>
  <c r="U2096" i="18"/>
  <c r="T2096" i="18"/>
  <c r="U2095" i="18"/>
  <c r="T2095" i="18"/>
  <c r="U2094" i="18"/>
  <c r="T2094" i="18"/>
  <c r="U2093" i="18"/>
  <c r="T2093" i="18"/>
  <c r="U2092" i="18"/>
  <c r="T2092" i="18"/>
  <c r="U2091" i="18"/>
  <c r="T2091" i="18"/>
  <c r="U2090" i="18"/>
  <c r="T2090" i="18"/>
  <c r="U2089" i="18"/>
  <c r="T2089" i="18"/>
  <c r="U2088" i="18"/>
  <c r="T2088" i="18"/>
  <c r="U2087" i="18"/>
  <c r="T2087" i="18"/>
  <c r="U2086" i="18"/>
  <c r="T2086" i="18"/>
  <c r="U2085" i="18"/>
  <c r="T2085" i="18"/>
  <c r="U2084" i="18"/>
  <c r="T2084" i="18"/>
  <c r="U2083" i="18"/>
  <c r="T2083" i="18"/>
  <c r="U2082" i="18"/>
  <c r="T2082" i="18"/>
  <c r="U2081" i="18"/>
  <c r="T2081" i="18"/>
  <c r="U2080" i="18"/>
  <c r="T2080" i="18"/>
  <c r="U2079" i="18"/>
  <c r="T2079" i="18"/>
  <c r="U2078" i="18"/>
  <c r="T2078" i="18"/>
  <c r="U2077" i="18"/>
  <c r="T2077" i="18"/>
  <c r="U2076" i="18"/>
  <c r="T2076" i="18"/>
  <c r="U2075" i="18"/>
  <c r="T2075" i="18"/>
  <c r="U2074" i="18"/>
  <c r="T2074" i="18"/>
  <c r="U2073" i="18"/>
  <c r="T2073" i="18"/>
  <c r="U2072" i="18"/>
  <c r="T2072" i="18"/>
  <c r="U2071" i="18"/>
  <c r="T2071" i="18"/>
  <c r="U2070" i="18"/>
  <c r="T2070" i="18"/>
  <c r="U2069" i="18"/>
  <c r="T2069" i="18"/>
  <c r="U2068" i="18"/>
  <c r="T2068" i="18"/>
  <c r="U2067" i="18"/>
  <c r="T2067" i="18"/>
  <c r="U2066" i="18"/>
  <c r="T2066" i="18"/>
  <c r="U2065" i="18"/>
  <c r="T2065" i="18"/>
  <c r="U2064" i="18"/>
  <c r="T2064" i="18"/>
  <c r="U2063" i="18"/>
  <c r="T2063" i="18"/>
  <c r="U2062" i="18"/>
  <c r="T2062" i="18"/>
  <c r="U2061" i="18"/>
  <c r="T2061" i="18"/>
  <c r="U2060" i="18"/>
  <c r="T2060" i="18"/>
  <c r="U2059" i="18"/>
  <c r="T2059" i="18"/>
  <c r="U2058" i="18"/>
  <c r="T2058" i="18"/>
  <c r="U2057" i="18"/>
  <c r="T2057" i="18"/>
  <c r="U2056" i="18"/>
  <c r="T2056" i="18"/>
  <c r="U2055" i="18"/>
  <c r="T2055" i="18"/>
  <c r="U2054" i="18"/>
  <c r="T2054" i="18"/>
  <c r="U2053" i="18"/>
  <c r="T2053" i="18"/>
  <c r="U2052" i="18"/>
  <c r="T2052" i="18"/>
  <c r="U2051" i="18"/>
  <c r="T2051" i="18"/>
  <c r="U2050" i="18"/>
  <c r="T2050" i="18"/>
  <c r="U2049" i="18"/>
  <c r="T2049" i="18"/>
  <c r="U2048" i="18"/>
  <c r="T2048" i="18"/>
  <c r="U2047" i="18"/>
  <c r="T2047" i="18"/>
  <c r="U2046" i="18"/>
  <c r="T2046" i="18"/>
  <c r="U2045" i="18"/>
  <c r="T2045" i="18"/>
  <c r="U2044" i="18"/>
  <c r="T2044" i="18"/>
  <c r="U2043" i="18"/>
  <c r="T2043" i="18"/>
  <c r="U2042" i="18"/>
  <c r="T2042" i="18"/>
  <c r="U2041" i="18"/>
  <c r="T2041" i="18"/>
  <c r="U2040" i="18"/>
  <c r="T2040" i="18"/>
  <c r="U2039" i="18"/>
  <c r="T2039" i="18"/>
  <c r="U2038" i="18"/>
  <c r="T2038" i="18"/>
  <c r="U2037" i="18"/>
  <c r="T2037" i="18"/>
  <c r="U2036" i="18"/>
  <c r="T2036" i="18"/>
  <c r="U2035" i="18"/>
  <c r="T2035" i="18"/>
  <c r="U2034" i="18"/>
  <c r="T2034" i="18"/>
  <c r="U2033" i="18"/>
  <c r="T2033" i="18"/>
  <c r="U2032" i="18"/>
  <c r="T2032" i="18"/>
  <c r="U2031" i="18"/>
  <c r="T2031" i="18"/>
  <c r="U2030" i="18"/>
  <c r="T2030" i="18"/>
  <c r="U2029" i="18"/>
  <c r="T2029" i="18"/>
  <c r="U2028" i="18"/>
  <c r="T2028" i="18"/>
  <c r="U2027" i="18"/>
  <c r="T2027" i="18"/>
  <c r="U2026" i="18"/>
  <c r="T2026" i="18"/>
  <c r="U2025" i="18"/>
  <c r="T2025" i="18"/>
  <c r="U2024" i="18"/>
  <c r="T2024" i="18"/>
  <c r="U2023" i="18"/>
  <c r="T2023" i="18"/>
  <c r="U2022" i="18"/>
  <c r="T2022" i="18"/>
  <c r="U2021" i="18"/>
  <c r="T2021" i="18"/>
  <c r="U2020" i="18"/>
  <c r="T2020" i="18"/>
  <c r="U2019" i="18"/>
  <c r="T2019" i="18"/>
  <c r="U2018" i="18"/>
  <c r="T2018" i="18"/>
  <c r="U2017" i="18"/>
  <c r="T2017" i="18"/>
  <c r="U2016" i="18"/>
  <c r="T2016" i="18"/>
  <c r="U2015" i="18"/>
  <c r="T2015" i="18"/>
  <c r="U2014" i="18"/>
  <c r="T2014" i="18"/>
  <c r="U2013" i="18"/>
  <c r="T2013" i="18"/>
  <c r="U2012" i="18"/>
  <c r="T2012" i="18"/>
  <c r="U2011" i="18"/>
  <c r="T2011" i="18"/>
  <c r="U2010" i="18"/>
  <c r="T2010" i="18"/>
  <c r="U2009" i="18"/>
  <c r="T2009" i="18"/>
  <c r="U2008" i="18"/>
  <c r="T2008" i="18"/>
  <c r="U2007" i="18"/>
  <c r="T2007" i="18"/>
  <c r="U2006" i="18"/>
  <c r="T2006" i="18"/>
  <c r="U2005" i="18"/>
  <c r="T2005" i="18"/>
  <c r="U2004" i="18"/>
  <c r="T2004" i="18"/>
  <c r="U2003" i="18"/>
  <c r="T2003" i="18"/>
  <c r="U2002" i="18"/>
  <c r="T2002" i="18"/>
  <c r="U2001" i="18"/>
  <c r="T2001" i="18"/>
  <c r="U2000" i="18"/>
  <c r="T2000" i="18"/>
  <c r="U1999" i="18"/>
  <c r="T1999" i="18"/>
  <c r="U1998" i="18"/>
  <c r="T1998" i="18"/>
  <c r="U1997" i="18"/>
  <c r="T1997" i="18"/>
  <c r="U1996" i="18"/>
  <c r="T1996" i="18"/>
  <c r="U1995" i="18"/>
  <c r="T1995" i="18"/>
  <c r="U1994" i="18"/>
  <c r="T1994" i="18"/>
  <c r="U1993" i="18"/>
  <c r="T1993" i="18"/>
  <c r="U1992" i="18"/>
  <c r="T1992" i="18"/>
  <c r="U1991" i="18"/>
  <c r="T1991" i="18"/>
  <c r="U1990" i="18"/>
  <c r="T1990" i="18"/>
  <c r="U1989" i="18"/>
  <c r="T1989" i="18"/>
  <c r="U1988" i="18"/>
  <c r="T1988" i="18"/>
  <c r="U1987" i="18"/>
  <c r="T1987" i="18"/>
  <c r="U1986" i="18"/>
  <c r="T1986" i="18"/>
  <c r="U1985" i="18"/>
  <c r="T1985" i="18"/>
  <c r="U1984" i="18"/>
  <c r="T1984" i="18"/>
  <c r="U1983" i="18"/>
  <c r="T1983" i="18"/>
  <c r="U1982" i="18"/>
  <c r="T1982" i="18"/>
  <c r="U1981" i="18"/>
  <c r="T1981" i="18"/>
  <c r="U1980" i="18"/>
  <c r="T1980" i="18"/>
  <c r="U1979" i="18"/>
  <c r="T1979" i="18"/>
  <c r="U1978" i="18"/>
  <c r="T1978" i="18"/>
  <c r="U1977" i="18"/>
  <c r="T1977" i="18"/>
  <c r="U1976" i="18"/>
  <c r="T1976" i="18"/>
  <c r="U1975" i="18"/>
  <c r="T1975" i="18"/>
  <c r="U1974" i="18"/>
  <c r="T1974" i="18"/>
  <c r="U1973" i="18"/>
  <c r="T1973" i="18"/>
  <c r="U1972" i="18"/>
  <c r="T1972" i="18"/>
  <c r="U1971" i="18"/>
  <c r="T1971" i="18"/>
  <c r="U1970" i="18"/>
  <c r="T1970" i="18"/>
  <c r="U1969" i="18"/>
  <c r="T1969" i="18"/>
  <c r="U1968" i="18"/>
  <c r="T1968" i="18"/>
  <c r="U1967" i="18"/>
  <c r="T1967" i="18"/>
  <c r="U1966" i="18"/>
  <c r="T1966" i="18"/>
  <c r="U1965" i="18"/>
  <c r="T1965" i="18"/>
  <c r="U1964" i="18"/>
  <c r="T1964" i="18"/>
  <c r="U1963" i="18"/>
  <c r="T1963" i="18"/>
  <c r="U1962" i="18"/>
  <c r="T1962" i="18"/>
  <c r="U1961" i="18"/>
  <c r="T1961" i="18"/>
  <c r="U1960" i="18"/>
  <c r="T1960" i="18"/>
  <c r="U1959" i="18"/>
  <c r="T1959" i="18"/>
  <c r="U1958" i="18"/>
  <c r="T1958" i="18"/>
  <c r="U1957" i="18"/>
  <c r="T1957" i="18"/>
  <c r="U1956" i="18"/>
  <c r="T1956" i="18"/>
  <c r="U1955" i="18"/>
  <c r="T1955" i="18"/>
  <c r="U1954" i="18"/>
  <c r="T1954" i="18"/>
  <c r="U1953" i="18"/>
  <c r="T1953" i="18"/>
  <c r="U1952" i="18"/>
  <c r="T1952" i="18"/>
  <c r="U1951" i="18"/>
  <c r="T1951" i="18"/>
  <c r="U1950" i="18"/>
  <c r="T1950" i="18"/>
  <c r="U1949" i="18"/>
  <c r="T1949" i="18"/>
  <c r="U1948" i="18"/>
  <c r="T1948" i="18"/>
  <c r="U1947" i="18"/>
  <c r="T1947" i="18"/>
  <c r="U1946" i="18"/>
  <c r="T1946" i="18"/>
  <c r="U1945" i="18"/>
  <c r="T1945" i="18"/>
  <c r="U1944" i="18"/>
  <c r="T1944" i="18"/>
  <c r="U1943" i="18"/>
  <c r="T1943" i="18"/>
  <c r="U1942" i="18"/>
  <c r="T1942" i="18"/>
  <c r="U1941" i="18"/>
  <c r="T1941" i="18"/>
  <c r="U1940" i="18"/>
  <c r="T1940" i="18"/>
  <c r="U1939" i="18"/>
  <c r="T1939" i="18"/>
  <c r="U1938" i="18"/>
  <c r="T1938" i="18"/>
  <c r="U1937" i="18"/>
  <c r="T1937" i="18"/>
  <c r="U1936" i="18"/>
  <c r="T1936" i="18"/>
  <c r="U1935" i="18"/>
  <c r="T1935" i="18"/>
  <c r="U1934" i="18"/>
  <c r="T1934" i="18"/>
  <c r="U1933" i="18"/>
  <c r="T1933" i="18"/>
  <c r="U1932" i="18"/>
  <c r="T1932" i="18"/>
  <c r="U1931" i="18"/>
  <c r="T1931" i="18"/>
  <c r="U1930" i="18"/>
  <c r="T1930" i="18"/>
  <c r="U1929" i="18"/>
  <c r="T1929" i="18"/>
  <c r="U1928" i="18"/>
  <c r="T1928" i="18"/>
  <c r="U1927" i="18"/>
  <c r="T1927" i="18"/>
  <c r="U1926" i="18"/>
  <c r="T1926" i="18"/>
  <c r="U1925" i="18"/>
  <c r="T1925" i="18"/>
  <c r="U1924" i="18"/>
  <c r="T1924" i="18"/>
  <c r="U1923" i="18"/>
  <c r="T1923" i="18"/>
  <c r="U1922" i="18"/>
  <c r="T1922" i="18"/>
  <c r="U1921" i="18"/>
  <c r="T1921" i="18"/>
  <c r="U1920" i="18"/>
  <c r="T1920" i="18"/>
  <c r="U1919" i="18"/>
  <c r="T1919" i="18"/>
  <c r="U1918" i="18"/>
  <c r="T1918" i="18"/>
  <c r="U1917" i="18"/>
  <c r="T1917" i="18"/>
  <c r="U1916" i="18"/>
  <c r="T1916" i="18"/>
  <c r="U1915" i="18"/>
  <c r="T1915" i="18"/>
  <c r="U1914" i="18"/>
  <c r="T1914" i="18"/>
  <c r="U1913" i="18"/>
  <c r="T1913" i="18"/>
  <c r="U1912" i="18"/>
  <c r="T1912" i="18"/>
  <c r="U1911" i="18"/>
  <c r="T1911" i="18"/>
  <c r="U1910" i="18"/>
  <c r="T1910" i="18"/>
  <c r="U1909" i="18"/>
  <c r="T1909" i="18"/>
  <c r="U1908" i="18"/>
  <c r="T1908" i="18"/>
  <c r="U1907" i="18"/>
  <c r="T1907" i="18"/>
  <c r="U1906" i="18"/>
  <c r="T1906" i="18"/>
  <c r="U1905" i="18"/>
  <c r="T1905" i="18"/>
  <c r="U1904" i="18"/>
  <c r="T1904" i="18"/>
  <c r="U1903" i="18"/>
  <c r="T1903" i="18"/>
  <c r="U1902" i="18"/>
  <c r="T1902" i="18"/>
  <c r="U1901" i="18"/>
  <c r="T1901" i="18"/>
  <c r="U1900" i="18"/>
  <c r="T1900" i="18"/>
  <c r="U1899" i="18"/>
  <c r="T1899" i="18"/>
  <c r="U1898" i="18"/>
  <c r="T1898" i="18"/>
  <c r="U1897" i="18"/>
  <c r="T1897" i="18"/>
  <c r="U1896" i="18"/>
  <c r="T1896" i="18"/>
  <c r="U1895" i="18"/>
  <c r="T1895" i="18"/>
  <c r="U1894" i="18"/>
  <c r="T1894" i="18"/>
  <c r="U1893" i="18"/>
  <c r="T1893" i="18"/>
  <c r="U1892" i="18"/>
  <c r="T1892" i="18"/>
  <c r="U1891" i="18"/>
  <c r="T1891" i="18"/>
  <c r="U1890" i="18"/>
  <c r="T1890" i="18"/>
  <c r="U1889" i="18"/>
  <c r="T1889" i="18"/>
  <c r="U1888" i="18"/>
  <c r="T1888" i="18"/>
  <c r="U1887" i="18"/>
  <c r="T1887" i="18"/>
  <c r="U1886" i="18"/>
  <c r="T1886" i="18"/>
  <c r="U1885" i="18"/>
  <c r="T1885" i="18"/>
  <c r="U1884" i="18"/>
  <c r="T1884" i="18"/>
  <c r="U1883" i="18"/>
  <c r="T1883" i="18"/>
  <c r="U1882" i="18"/>
  <c r="T1882" i="18"/>
  <c r="U1881" i="18"/>
  <c r="T1881" i="18"/>
  <c r="U1880" i="18"/>
  <c r="T1880" i="18"/>
  <c r="U1879" i="18"/>
  <c r="T1879" i="18"/>
  <c r="U1878" i="18"/>
  <c r="T1878" i="18"/>
  <c r="U1877" i="18"/>
  <c r="T1877" i="18"/>
  <c r="U1876" i="18"/>
  <c r="T1876" i="18"/>
  <c r="U1875" i="18"/>
  <c r="T1875" i="18"/>
  <c r="U1874" i="18"/>
  <c r="T1874" i="18"/>
  <c r="U1873" i="18"/>
  <c r="T1873" i="18"/>
  <c r="U1872" i="18"/>
  <c r="T1872" i="18"/>
  <c r="U1871" i="18"/>
  <c r="T1871" i="18"/>
  <c r="U1870" i="18"/>
  <c r="T1870" i="18"/>
  <c r="U1869" i="18"/>
  <c r="T1869" i="18"/>
  <c r="U1868" i="18"/>
  <c r="T1868" i="18"/>
  <c r="U1867" i="18"/>
  <c r="T1867" i="18"/>
  <c r="U1866" i="18"/>
  <c r="T1866" i="18"/>
  <c r="U1865" i="18"/>
  <c r="T1865" i="18"/>
  <c r="U1864" i="18"/>
  <c r="T1864" i="18"/>
  <c r="U1863" i="18"/>
  <c r="T1863" i="18"/>
  <c r="U1862" i="18"/>
  <c r="T1862" i="18"/>
  <c r="U1861" i="18"/>
  <c r="T1861" i="18"/>
  <c r="U1860" i="18"/>
  <c r="T1860" i="18"/>
  <c r="U1859" i="18"/>
  <c r="T1859" i="18"/>
  <c r="U1858" i="18"/>
  <c r="T1858" i="18"/>
  <c r="U1857" i="18"/>
  <c r="T1857" i="18"/>
  <c r="U1856" i="18"/>
  <c r="T1856" i="18"/>
  <c r="U1855" i="18"/>
  <c r="T1855" i="18"/>
  <c r="U1854" i="18"/>
  <c r="T1854" i="18"/>
  <c r="U1853" i="18"/>
  <c r="T1853" i="18"/>
  <c r="U1852" i="18"/>
  <c r="T1852" i="18"/>
  <c r="U1851" i="18"/>
  <c r="T1851" i="18"/>
  <c r="U1850" i="18"/>
  <c r="T1850" i="18"/>
  <c r="U1849" i="18"/>
  <c r="T1849" i="18"/>
  <c r="U1848" i="18"/>
  <c r="T1848" i="18"/>
  <c r="U1847" i="18"/>
  <c r="T1847" i="18"/>
  <c r="U1846" i="18"/>
  <c r="T1846" i="18"/>
  <c r="U1845" i="18"/>
  <c r="T1845" i="18"/>
  <c r="U1844" i="18"/>
  <c r="T1844" i="18"/>
  <c r="U1843" i="18"/>
  <c r="T1843" i="18"/>
  <c r="U1842" i="18"/>
  <c r="T1842" i="18"/>
  <c r="U1841" i="18"/>
  <c r="T1841" i="18"/>
  <c r="U1840" i="18"/>
  <c r="T1840" i="18"/>
  <c r="U1839" i="18"/>
  <c r="T1839" i="18"/>
  <c r="U1838" i="18"/>
  <c r="T1838" i="18"/>
  <c r="U1837" i="18"/>
  <c r="T1837" i="18"/>
  <c r="U1836" i="18"/>
  <c r="T1836" i="18"/>
  <c r="U1835" i="18"/>
  <c r="T1835" i="18"/>
  <c r="U1834" i="18"/>
  <c r="T1834" i="18"/>
  <c r="U1833" i="18"/>
  <c r="T1833" i="18"/>
  <c r="U1832" i="18"/>
  <c r="T1832" i="18"/>
  <c r="U1831" i="18"/>
  <c r="T1831" i="18"/>
  <c r="U1830" i="18"/>
  <c r="T1830" i="18"/>
  <c r="U1829" i="18"/>
  <c r="T1829" i="18"/>
  <c r="U1828" i="18"/>
  <c r="T1828" i="18"/>
  <c r="U1827" i="18"/>
  <c r="T1827" i="18"/>
  <c r="U1826" i="18"/>
  <c r="T1826" i="18"/>
  <c r="U1825" i="18"/>
  <c r="T1825" i="18"/>
  <c r="U1824" i="18"/>
  <c r="T1824" i="18"/>
  <c r="U1823" i="18"/>
  <c r="T1823" i="18"/>
  <c r="U1822" i="18"/>
  <c r="T1822" i="18"/>
  <c r="U1821" i="18"/>
  <c r="T1821" i="18"/>
  <c r="U1820" i="18"/>
  <c r="T1820" i="18"/>
  <c r="U1819" i="18"/>
  <c r="T1819" i="18"/>
  <c r="U1818" i="18"/>
  <c r="T1818" i="18"/>
  <c r="U1817" i="18"/>
  <c r="T1817" i="18"/>
  <c r="U1816" i="18"/>
  <c r="T1816" i="18"/>
  <c r="U1815" i="18"/>
  <c r="T1815" i="18"/>
  <c r="U1814" i="18"/>
  <c r="T1814" i="18"/>
  <c r="U1813" i="18"/>
  <c r="T1813" i="18"/>
  <c r="U1812" i="18"/>
  <c r="T1812" i="18"/>
  <c r="U1811" i="18"/>
  <c r="T1811" i="18"/>
  <c r="U1810" i="18"/>
  <c r="T1810" i="18"/>
  <c r="U1809" i="18"/>
  <c r="T1809" i="18"/>
  <c r="U1808" i="18"/>
  <c r="T1808" i="18"/>
  <c r="U1807" i="18"/>
  <c r="T1807" i="18"/>
  <c r="U1806" i="18"/>
  <c r="T1806" i="18"/>
  <c r="U1805" i="18"/>
  <c r="T1805" i="18"/>
  <c r="U1804" i="18"/>
  <c r="T1804" i="18"/>
  <c r="U1803" i="18"/>
  <c r="T1803" i="18"/>
  <c r="U1802" i="18"/>
  <c r="T1802" i="18"/>
  <c r="U1801" i="18"/>
  <c r="T1801" i="18"/>
  <c r="U1800" i="18"/>
  <c r="T1800" i="18"/>
  <c r="U1799" i="18"/>
  <c r="T1799" i="18"/>
  <c r="U1798" i="18"/>
  <c r="T1798" i="18"/>
  <c r="U1797" i="18"/>
  <c r="T1797" i="18"/>
  <c r="U1796" i="18"/>
  <c r="T1796" i="18"/>
  <c r="U1795" i="18"/>
  <c r="T1795" i="18"/>
  <c r="U1794" i="18"/>
  <c r="T1794" i="18"/>
  <c r="U1793" i="18"/>
  <c r="T1793" i="18"/>
  <c r="U1792" i="18"/>
  <c r="T1792" i="18"/>
  <c r="U1791" i="18"/>
  <c r="T1791" i="18"/>
  <c r="U1790" i="18"/>
  <c r="T1790" i="18"/>
  <c r="U1789" i="18"/>
  <c r="T1789" i="18"/>
  <c r="U1788" i="18"/>
  <c r="T1788" i="18"/>
  <c r="U1787" i="18"/>
  <c r="T1787" i="18"/>
  <c r="U1786" i="18"/>
  <c r="T1786" i="18"/>
  <c r="U1785" i="18"/>
  <c r="T1785" i="18"/>
  <c r="U1784" i="18"/>
  <c r="T1784" i="18"/>
  <c r="U1783" i="18"/>
  <c r="T1783" i="18"/>
  <c r="U1782" i="18"/>
  <c r="T1782" i="18"/>
  <c r="U1781" i="18"/>
  <c r="T1781" i="18"/>
  <c r="U1780" i="18"/>
  <c r="T1780" i="18"/>
  <c r="U1779" i="18"/>
  <c r="T1779" i="18"/>
  <c r="U1778" i="18"/>
  <c r="T1778" i="18"/>
  <c r="U1777" i="18"/>
  <c r="T1777" i="18"/>
  <c r="U1776" i="18"/>
  <c r="T1776" i="18"/>
  <c r="U1775" i="18"/>
  <c r="T1775" i="18"/>
  <c r="U1774" i="18"/>
  <c r="T1774" i="18"/>
  <c r="U1773" i="18"/>
  <c r="T1773" i="18"/>
  <c r="U1772" i="18"/>
  <c r="T1772" i="18"/>
  <c r="U1771" i="18"/>
  <c r="T1771" i="18"/>
  <c r="U1770" i="18"/>
  <c r="T1770" i="18"/>
  <c r="U1769" i="18"/>
  <c r="T1769" i="18"/>
  <c r="U1768" i="18"/>
  <c r="T1768" i="18"/>
  <c r="U1767" i="18"/>
  <c r="T1767" i="18"/>
  <c r="U1766" i="18"/>
  <c r="T1766" i="18"/>
  <c r="U1765" i="18"/>
  <c r="T1765" i="18"/>
  <c r="U1764" i="18"/>
  <c r="T1764" i="18"/>
  <c r="U1763" i="18"/>
  <c r="T1763" i="18"/>
  <c r="U1762" i="18"/>
  <c r="T1762" i="18"/>
  <c r="U1761" i="18"/>
  <c r="T1761" i="18"/>
  <c r="U1760" i="18"/>
  <c r="T1760" i="18"/>
  <c r="U1759" i="18"/>
  <c r="T1759" i="18"/>
  <c r="U1758" i="18"/>
  <c r="T1758" i="18"/>
  <c r="U1757" i="18"/>
  <c r="T1757" i="18"/>
  <c r="U1756" i="18"/>
  <c r="T1756" i="18"/>
  <c r="U1755" i="18"/>
  <c r="T1755" i="18"/>
  <c r="U1754" i="18"/>
  <c r="T1754" i="18"/>
  <c r="U1753" i="18"/>
  <c r="T1753" i="18"/>
  <c r="U1752" i="18"/>
  <c r="T1752" i="18"/>
  <c r="U1751" i="18"/>
  <c r="T1751" i="18"/>
  <c r="U1750" i="18"/>
  <c r="T1750" i="18"/>
  <c r="U1749" i="18"/>
  <c r="T1749" i="18"/>
  <c r="U1748" i="18"/>
  <c r="T1748" i="18"/>
  <c r="U1747" i="18"/>
  <c r="T1747" i="18"/>
  <c r="U1746" i="18"/>
  <c r="T1746" i="18"/>
  <c r="U1745" i="18"/>
  <c r="T1745" i="18"/>
  <c r="U1744" i="18"/>
  <c r="T1744" i="18"/>
  <c r="U1743" i="18"/>
  <c r="T1743" i="18"/>
  <c r="U1742" i="18"/>
  <c r="T1742" i="18"/>
  <c r="U1741" i="18"/>
  <c r="T1741" i="18"/>
  <c r="U1740" i="18"/>
  <c r="T1740" i="18"/>
  <c r="U1739" i="18"/>
  <c r="T1739" i="18"/>
  <c r="U1738" i="18"/>
  <c r="T1738" i="18"/>
  <c r="U1737" i="18"/>
  <c r="T1737" i="18"/>
  <c r="U1736" i="18"/>
  <c r="T1736" i="18"/>
  <c r="U1735" i="18"/>
  <c r="T1735" i="18"/>
  <c r="U1734" i="18"/>
  <c r="T1734" i="18"/>
  <c r="U1733" i="18"/>
  <c r="T1733" i="18"/>
  <c r="U1732" i="18"/>
  <c r="T1732" i="18"/>
  <c r="U1731" i="18"/>
  <c r="T1731" i="18"/>
  <c r="U1730" i="18"/>
  <c r="T1730" i="18"/>
  <c r="U1729" i="18"/>
  <c r="T1729" i="18"/>
  <c r="U1728" i="18"/>
  <c r="T1728" i="18"/>
  <c r="U1727" i="18"/>
  <c r="T1727" i="18"/>
  <c r="U1726" i="18"/>
  <c r="T1726" i="18"/>
  <c r="U1725" i="18"/>
  <c r="T1725" i="18"/>
  <c r="U1724" i="18"/>
  <c r="T1724" i="18"/>
  <c r="U1723" i="18"/>
  <c r="T1723" i="18"/>
  <c r="U1722" i="18"/>
  <c r="T1722" i="18"/>
  <c r="U1721" i="18"/>
  <c r="T1721" i="18"/>
  <c r="U1720" i="18"/>
  <c r="T1720" i="18"/>
  <c r="U1719" i="18"/>
  <c r="T1719" i="18"/>
  <c r="U1718" i="18"/>
  <c r="T1718" i="18"/>
  <c r="U1717" i="18"/>
  <c r="T1717" i="18"/>
  <c r="U1716" i="18"/>
  <c r="T1716" i="18"/>
  <c r="U1715" i="18"/>
  <c r="T1715" i="18"/>
  <c r="U1714" i="18"/>
  <c r="T1714" i="18"/>
  <c r="U1713" i="18"/>
  <c r="T1713" i="18"/>
  <c r="U1712" i="18"/>
  <c r="T1712" i="18"/>
  <c r="U1711" i="18"/>
  <c r="T1711" i="18"/>
  <c r="U1710" i="18"/>
  <c r="T1710" i="18"/>
  <c r="U1709" i="18"/>
  <c r="T1709" i="18"/>
  <c r="U1708" i="18"/>
  <c r="T1708" i="18"/>
  <c r="U1707" i="18"/>
  <c r="T1707" i="18"/>
  <c r="U1706" i="18"/>
  <c r="T1706" i="18"/>
  <c r="U1705" i="18"/>
  <c r="T1705" i="18"/>
  <c r="U1704" i="18"/>
  <c r="T1704" i="18"/>
  <c r="U1703" i="18"/>
  <c r="T1703" i="18"/>
  <c r="U1702" i="18"/>
  <c r="T1702" i="18"/>
  <c r="U1701" i="18"/>
  <c r="T1701" i="18"/>
  <c r="U1700" i="18"/>
  <c r="T1700" i="18"/>
  <c r="U1699" i="18"/>
  <c r="T1699" i="18"/>
  <c r="U1698" i="18"/>
  <c r="T1698" i="18"/>
  <c r="U1697" i="18"/>
  <c r="T1697" i="18"/>
  <c r="U1696" i="18"/>
  <c r="T1696" i="18"/>
  <c r="U1695" i="18"/>
  <c r="T1695" i="18"/>
  <c r="U1694" i="18"/>
  <c r="T1694" i="18"/>
  <c r="U1693" i="18"/>
  <c r="T1693" i="18"/>
  <c r="U1692" i="18"/>
  <c r="T1692" i="18"/>
  <c r="U1691" i="18"/>
  <c r="T1691" i="18"/>
  <c r="U1690" i="18"/>
  <c r="T1690" i="18"/>
  <c r="U1689" i="18"/>
  <c r="T1689" i="18"/>
  <c r="U1688" i="18"/>
  <c r="T1688" i="18"/>
  <c r="U1687" i="18"/>
  <c r="T1687" i="18"/>
  <c r="U1686" i="18"/>
  <c r="T1686" i="18"/>
  <c r="U1685" i="18"/>
  <c r="T1685" i="18"/>
  <c r="U1684" i="18"/>
  <c r="T1684" i="18"/>
  <c r="U1683" i="18"/>
  <c r="T1683" i="18"/>
  <c r="U1682" i="18"/>
  <c r="T1682" i="18"/>
  <c r="U1681" i="18"/>
  <c r="T1681" i="18"/>
  <c r="U1680" i="18"/>
  <c r="T1680" i="18"/>
  <c r="U1679" i="18"/>
  <c r="T1679" i="18"/>
  <c r="U1678" i="18"/>
  <c r="T1678" i="18"/>
  <c r="U1677" i="18"/>
  <c r="T1677" i="18"/>
  <c r="U1676" i="18"/>
  <c r="T1676" i="18"/>
  <c r="U1675" i="18"/>
  <c r="T1675" i="18"/>
  <c r="U1674" i="18"/>
  <c r="T1674" i="18"/>
  <c r="U1673" i="18"/>
  <c r="T1673" i="18"/>
  <c r="U1672" i="18"/>
  <c r="T1672" i="18"/>
  <c r="U1671" i="18"/>
  <c r="T1671" i="18"/>
  <c r="U1670" i="18"/>
  <c r="T1670" i="18"/>
  <c r="U1669" i="18"/>
  <c r="T1669" i="18"/>
  <c r="U1668" i="18"/>
  <c r="T1668" i="18"/>
  <c r="U1667" i="18"/>
  <c r="T1667" i="18"/>
  <c r="U1666" i="18"/>
  <c r="T1666" i="18"/>
  <c r="U1665" i="18"/>
  <c r="T1665" i="18"/>
  <c r="U1664" i="18"/>
  <c r="T1664" i="18"/>
  <c r="U1663" i="18"/>
  <c r="T1663" i="18"/>
  <c r="U1662" i="18"/>
  <c r="T1662" i="18"/>
  <c r="U1661" i="18"/>
  <c r="T1661" i="18"/>
  <c r="U1660" i="18"/>
  <c r="T1660" i="18"/>
  <c r="U1659" i="18"/>
  <c r="T1659" i="18"/>
  <c r="U1658" i="18"/>
  <c r="T1658" i="18"/>
  <c r="U1657" i="18"/>
  <c r="T1657" i="18"/>
  <c r="U1656" i="18"/>
  <c r="T1656" i="18"/>
  <c r="U1655" i="18"/>
  <c r="T1655" i="18"/>
  <c r="U1654" i="18"/>
  <c r="T1654" i="18"/>
  <c r="U1653" i="18"/>
  <c r="T1653" i="18"/>
  <c r="U1652" i="18"/>
  <c r="T1652" i="18"/>
  <c r="U1651" i="18"/>
  <c r="T1651" i="18"/>
  <c r="U1650" i="18"/>
  <c r="T1650" i="18"/>
  <c r="U1649" i="18"/>
  <c r="T1649" i="18"/>
  <c r="U1648" i="18"/>
  <c r="T1648" i="18"/>
  <c r="U1647" i="18"/>
  <c r="T1647" i="18"/>
  <c r="U1646" i="18"/>
  <c r="T1646" i="18"/>
  <c r="U1645" i="18"/>
  <c r="T1645" i="18"/>
  <c r="U1644" i="18"/>
  <c r="T1644" i="18"/>
  <c r="U1643" i="18"/>
  <c r="T1643" i="18"/>
  <c r="U1642" i="18"/>
  <c r="T1642" i="18"/>
  <c r="U1641" i="18"/>
  <c r="T1641" i="18"/>
  <c r="U1640" i="18"/>
  <c r="T1640" i="18"/>
  <c r="U1639" i="18"/>
  <c r="T1639" i="18"/>
  <c r="U1638" i="18"/>
  <c r="T1638" i="18"/>
  <c r="U1637" i="18"/>
  <c r="T1637" i="18"/>
  <c r="U1636" i="18"/>
  <c r="T1636" i="18"/>
  <c r="U1635" i="18"/>
  <c r="T1635" i="18"/>
  <c r="U1634" i="18"/>
  <c r="T1634" i="18"/>
  <c r="U1633" i="18"/>
  <c r="T1633" i="18"/>
  <c r="U1632" i="18"/>
  <c r="T1632" i="18"/>
  <c r="U1631" i="18"/>
  <c r="T1631" i="18"/>
  <c r="U1630" i="18"/>
  <c r="T1630" i="18"/>
  <c r="U1629" i="18"/>
  <c r="T1629" i="18"/>
  <c r="U1628" i="18"/>
  <c r="T1628" i="18"/>
  <c r="U1627" i="18"/>
  <c r="T1627" i="18"/>
  <c r="U1626" i="18"/>
  <c r="T1626" i="18"/>
  <c r="U1625" i="18"/>
  <c r="T1625" i="18"/>
  <c r="U1624" i="18"/>
  <c r="T1624" i="18"/>
  <c r="U1623" i="18"/>
  <c r="T1623" i="18"/>
  <c r="U1622" i="18"/>
  <c r="T1622" i="18"/>
  <c r="U1621" i="18"/>
  <c r="T1621" i="18"/>
  <c r="U1620" i="18"/>
  <c r="T1620" i="18"/>
  <c r="U1619" i="18"/>
  <c r="T1619" i="18"/>
  <c r="U1618" i="18"/>
  <c r="T1618" i="18"/>
  <c r="U1617" i="18"/>
  <c r="T1617" i="18"/>
  <c r="U1616" i="18"/>
  <c r="T1616" i="18"/>
  <c r="U1615" i="18"/>
  <c r="T1615" i="18"/>
  <c r="U1614" i="18"/>
  <c r="T1614" i="18"/>
  <c r="U1613" i="18"/>
  <c r="T1613" i="18"/>
  <c r="U1612" i="18"/>
  <c r="T1612" i="18"/>
  <c r="U1611" i="18"/>
  <c r="T1611" i="18"/>
  <c r="U1610" i="18"/>
  <c r="T1610" i="18"/>
  <c r="U1609" i="18"/>
  <c r="T1609" i="18"/>
  <c r="U1608" i="18"/>
  <c r="T1608" i="18"/>
  <c r="U1607" i="18"/>
  <c r="T1607" i="18"/>
  <c r="U1606" i="18"/>
  <c r="T1606" i="18"/>
  <c r="U1605" i="18"/>
  <c r="T1605" i="18"/>
  <c r="U1604" i="18"/>
  <c r="T1604" i="18"/>
  <c r="U1603" i="18"/>
  <c r="T1603" i="18"/>
  <c r="U1602" i="18"/>
  <c r="T1602" i="18"/>
  <c r="U1601" i="18"/>
  <c r="T1601" i="18"/>
  <c r="U1600" i="18"/>
  <c r="T1600" i="18"/>
  <c r="U1599" i="18"/>
  <c r="T1599" i="18"/>
  <c r="U1598" i="18"/>
  <c r="T1598" i="18"/>
  <c r="U1597" i="18"/>
  <c r="T1597" i="18"/>
  <c r="U1596" i="18"/>
  <c r="T1596" i="18"/>
  <c r="U1595" i="18"/>
  <c r="T1595" i="18"/>
  <c r="U1594" i="18"/>
  <c r="T1594" i="18"/>
  <c r="U1593" i="18"/>
  <c r="T1593" i="18"/>
  <c r="U1592" i="18"/>
  <c r="T1592" i="18"/>
  <c r="U1591" i="18"/>
  <c r="T1591" i="18"/>
  <c r="U1590" i="18"/>
  <c r="T1590" i="18"/>
  <c r="U1589" i="18"/>
  <c r="T1589" i="18"/>
  <c r="U1588" i="18"/>
  <c r="T1588" i="18"/>
  <c r="U1587" i="18"/>
  <c r="T1587" i="18"/>
  <c r="U1586" i="18"/>
  <c r="T1586" i="18"/>
  <c r="U1585" i="18"/>
  <c r="T1585" i="18"/>
  <c r="U1584" i="18"/>
  <c r="T1584" i="18"/>
  <c r="U1583" i="18"/>
  <c r="T1583" i="18"/>
  <c r="U1582" i="18"/>
  <c r="T1582" i="18"/>
  <c r="U1581" i="18"/>
  <c r="T1581" i="18"/>
  <c r="U1580" i="18"/>
  <c r="T1580" i="18"/>
  <c r="U1579" i="18"/>
  <c r="T1579" i="18"/>
  <c r="U1578" i="18"/>
  <c r="T1578" i="18"/>
  <c r="U1577" i="18"/>
  <c r="T1577" i="18"/>
  <c r="U1576" i="18"/>
  <c r="T1576" i="18"/>
  <c r="U1575" i="18"/>
  <c r="T1575" i="18"/>
  <c r="U1574" i="18"/>
  <c r="T1574" i="18"/>
  <c r="U1573" i="18"/>
  <c r="T1573" i="18"/>
  <c r="U1572" i="18"/>
  <c r="T1572" i="18"/>
  <c r="U1571" i="18"/>
  <c r="T1571" i="18"/>
  <c r="U1570" i="18"/>
  <c r="T1570" i="18"/>
  <c r="U1569" i="18"/>
  <c r="T1569" i="18"/>
  <c r="U1568" i="18"/>
  <c r="T1568" i="18"/>
  <c r="U1567" i="18"/>
  <c r="T1567" i="18"/>
  <c r="U1566" i="18"/>
  <c r="T1566" i="18"/>
  <c r="U1565" i="18"/>
  <c r="T1565" i="18"/>
  <c r="U1564" i="18"/>
  <c r="T1564" i="18"/>
  <c r="U1563" i="18"/>
  <c r="T1563" i="18"/>
  <c r="U1562" i="18"/>
  <c r="T1562" i="18"/>
  <c r="U1561" i="18"/>
  <c r="T1561" i="18"/>
  <c r="U1560" i="18"/>
  <c r="T1560" i="18"/>
  <c r="U1559" i="18"/>
  <c r="T1559" i="18"/>
  <c r="U1558" i="18"/>
  <c r="T1558" i="18"/>
  <c r="U1557" i="18"/>
  <c r="T1557" i="18"/>
  <c r="U1556" i="18"/>
  <c r="T1556" i="18"/>
  <c r="U1555" i="18"/>
  <c r="T1555" i="18"/>
  <c r="U1554" i="18"/>
  <c r="T1554" i="18"/>
  <c r="U1553" i="18"/>
  <c r="T1553" i="18"/>
  <c r="U1552" i="18"/>
  <c r="T1552" i="18"/>
  <c r="U1551" i="18"/>
  <c r="T1551" i="18"/>
  <c r="U1550" i="18"/>
  <c r="T1550" i="18"/>
  <c r="U1549" i="18"/>
  <c r="T1549" i="18"/>
  <c r="U1548" i="18"/>
  <c r="T1548" i="18"/>
  <c r="U1547" i="18"/>
  <c r="T1547" i="18"/>
  <c r="U1546" i="18"/>
  <c r="T1546" i="18"/>
  <c r="U1545" i="18"/>
  <c r="T1545" i="18"/>
  <c r="U1544" i="18"/>
  <c r="T1544" i="18"/>
  <c r="U1543" i="18"/>
  <c r="T1543" i="18"/>
  <c r="U1542" i="18"/>
  <c r="T1542" i="18"/>
  <c r="U1541" i="18"/>
  <c r="T1541" i="18"/>
  <c r="U1540" i="18"/>
  <c r="T1540" i="18"/>
  <c r="U1539" i="18"/>
  <c r="T1539" i="18"/>
  <c r="U1538" i="18"/>
  <c r="T1538" i="18"/>
  <c r="U1537" i="18"/>
  <c r="T1537" i="18"/>
  <c r="U1536" i="18"/>
  <c r="T1536" i="18"/>
  <c r="U1535" i="18"/>
  <c r="T1535" i="18"/>
  <c r="U1534" i="18"/>
  <c r="T1534" i="18"/>
  <c r="U1533" i="18"/>
  <c r="T1533" i="18"/>
  <c r="U1532" i="18"/>
  <c r="T1532" i="18"/>
  <c r="U1531" i="18"/>
  <c r="T1531" i="18"/>
  <c r="U1530" i="18"/>
  <c r="T1530" i="18"/>
  <c r="U1529" i="18"/>
  <c r="T1529" i="18"/>
  <c r="U1528" i="18"/>
  <c r="T1528" i="18"/>
  <c r="U1527" i="18"/>
  <c r="T1527" i="18"/>
  <c r="U1526" i="18"/>
  <c r="T1526" i="18"/>
  <c r="U1525" i="18"/>
  <c r="T1525" i="18"/>
  <c r="U1524" i="18"/>
  <c r="T1524" i="18"/>
  <c r="U1523" i="18"/>
  <c r="T1523" i="18"/>
  <c r="U1522" i="18"/>
  <c r="T1522" i="18"/>
  <c r="U1521" i="18"/>
  <c r="T1521" i="18"/>
  <c r="U1520" i="18"/>
  <c r="T1520" i="18"/>
  <c r="U1519" i="18"/>
  <c r="T1519" i="18"/>
  <c r="U1518" i="18"/>
  <c r="T1518" i="18"/>
  <c r="U1517" i="18"/>
  <c r="T1517" i="18"/>
  <c r="U1516" i="18"/>
  <c r="T1516" i="18"/>
  <c r="U1515" i="18"/>
  <c r="T1515" i="18"/>
  <c r="U1514" i="18"/>
  <c r="T1514" i="18"/>
  <c r="U1513" i="18"/>
  <c r="T1513" i="18"/>
  <c r="U1512" i="18"/>
  <c r="T1512" i="18"/>
  <c r="U1511" i="18"/>
  <c r="T1511" i="18"/>
  <c r="U1510" i="18"/>
  <c r="T1510" i="18"/>
  <c r="U1509" i="18"/>
  <c r="T1509" i="18"/>
  <c r="U1508" i="18"/>
  <c r="T1508" i="18"/>
  <c r="U1507" i="18"/>
  <c r="T1507" i="18"/>
  <c r="U1506" i="18"/>
  <c r="T1506" i="18"/>
  <c r="U1505" i="18"/>
  <c r="T1505" i="18"/>
  <c r="U1504" i="18"/>
  <c r="T1504" i="18"/>
  <c r="U1503" i="18"/>
  <c r="T1503" i="18"/>
  <c r="U1502" i="18"/>
  <c r="T1502" i="18"/>
  <c r="U1501" i="18"/>
  <c r="T1501" i="18"/>
  <c r="U1500" i="18"/>
  <c r="T1500" i="18"/>
  <c r="U1499" i="18"/>
  <c r="T1499" i="18"/>
  <c r="U1498" i="18"/>
  <c r="T1498" i="18"/>
  <c r="U1497" i="18"/>
  <c r="T1497" i="18"/>
  <c r="U1496" i="18"/>
  <c r="T1496" i="18"/>
  <c r="U1495" i="18"/>
  <c r="T1495" i="18"/>
  <c r="U1494" i="18"/>
  <c r="T1494" i="18"/>
  <c r="U1493" i="18"/>
  <c r="T1493" i="18"/>
  <c r="U1492" i="18"/>
  <c r="T1492" i="18"/>
  <c r="U1491" i="18"/>
  <c r="T1491" i="18"/>
  <c r="U1490" i="18"/>
  <c r="T1490" i="18"/>
  <c r="U1489" i="18"/>
  <c r="T1489" i="18"/>
  <c r="U1488" i="18"/>
  <c r="T1488" i="18"/>
  <c r="U1487" i="18"/>
  <c r="T1487" i="18"/>
  <c r="U1486" i="18"/>
  <c r="T1486" i="18"/>
  <c r="U1485" i="18"/>
  <c r="T1485" i="18"/>
  <c r="U1484" i="18"/>
  <c r="T1484" i="18"/>
  <c r="U1483" i="18"/>
  <c r="T1483" i="18"/>
  <c r="U1482" i="18"/>
  <c r="T1482" i="18"/>
  <c r="U1481" i="18"/>
  <c r="T1481" i="18"/>
  <c r="U1480" i="18"/>
  <c r="T1480" i="18"/>
  <c r="U1479" i="18"/>
  <c r="T1479" i="18"/>
  <c r="U1478" i="18"/>
  <c r="T1478" i="18"/>
  <c r="U1477" i="18"/>
  <c r="T1477" i="18"/>
  <c r="U1476" i="18"/>
  <c r="T1476" i="18"/>
  <c r="U1475" i="18"/>
  <c r="T1475" i="18"/>
  <c r="U1474" i="18"/>
  <c r="T1474" i="18"/>
  <c r="U1473" i="18"/>
  <c r="T1473" i="18"/>
  <c r="U1472" i="18"/>
  <c r="T1472" i="18"/>
  <c r="U1471" i="18"/>
  <c r="T1471" i="18"/>
  <c r="U1470" i="18"/>
  <c r="T1470" i="18"/>
  <c r="U1469" i="18"/>
  <c r="T1469" i="18"/>
  <c r="U1468" i="18"/>
  <c r="T1468" i="18"/>
  <c r="U1467" i="18"/>
  <c r="T1467" i="18"/>
  <c r="U1466" i="18"/>
  <c r="T1466" i="18"/>
  <c r="U1465" i="18"/>
  <c r="T1465" i="18"/>
  <c r="U1464" i="18"/>
  <c r="T1464" i="18"/>
  <c r="U1463" i="18"/>
  <c r="T1463" i="18"/>
  <c r="U1462" i="18"/>
  <c r="T1462" i="18"/>
  <c r="U1461" i="18"/>
  <c r="T1461" i="18"/>
  <c r="U1460" i="18"/>
  <c r="T1460" i="18"/>
  <c r="U1459" i="18"/>
  <c r="T1459" i="18"/>
  <c r="U1458" i="18"/>
  <c r="T1458" i="18"/>
  <c r="U1457" i="18"/>
  <c r="T1457" i="18"/>
  <c r="U1456" i="18"/>
  <c r="T1456" i="18"/>
  <c r="U1455" i="18"/>
  <c r="T1455" i="18"/>
  <c r="U1454" i="18"/>
  <c r="T1454" i="18"/>
  <c r="U1453" i="18"/>
  <c r="T1453" i="18"/>
  <c r="U1452" i="18"/>
  <c r="T1452" i="18"/>
  <c r="U1451" i="18"/>
  <c r="T1451" i="18"/>
  <c r="U1450" i="18"/>
  <c r="T1450" i="18"/>
  <c r="U1449" i="18"/>
  <c r="T1449" i="18"/>
  <c r="U1448" i="18"/>
  <c r="T1448" i="18"/>
  <c r="U1447" i="18"/>
  <c r="T1447" i="18"/>
  <c r="U1446" i="18"/>
  <c r="T1446" i="18"/>
  <c r="U1445" i="18"/>
  <c r="T1445" i="18"/>
  <c r="U1444" i="18"/>
  <c r="T1444" i="18"/>
  <c r="U1443" i="18"/>
  <c r="T1443" i="18"/>
  <c r="U1442" i="18"/>
  <c r="T1442" i="18"/>
  <c r="U1441" i="18"/>
  <c r="T1441" i="18"/>
  <c r="U1440" i="18"/>
  <c r="T1440" i="18"/>
  <c r="U1439" i="18"/>
  <c r="T1439" i="18"/>
  <c r="U1438" i="18"/>
  <c r="T1438" i="18"/>
  <c r="U1437" i="18"/>
  <c r="T1437" i="18"/>
  <c r="U1436" i="18"/>
  <c r="T1436" i="18"/>
  <c r="U1435" i="18"/>
  <c r="T1435" i="18"/>
  <c r="U1434" i="18"/>
  <c r="T1434" i="18"/>
  <c r="U1433" i="18"/>
  <c r="T1433" i="18"/>
  <c r="U1432" i="18"/>
  <c r="T1432" i="18"/>
  <c r="U1431" i="18"/>
  <c r="T1431" i="18"/>
  <c r="U1430" i="18"/>
  <c r="T1430" i="18"/>
  <c r="U1429" i="18"/>
  <c r="T1429" i="18"/>
  <c r="U1428" i="18"/>
  <c r="T1428" i="18"/>
  <c r="U1427" i="18"/>
  <c r="T1427" i="18"/>
  <c r="U1426" i="18"/>
  <c r="T1426" i="18"/>
  <c r="U1425" i="18"/>
  <c r="T1425" i="18"/>
  <c r="U1424" i="18"/>
  <c r="T1424" i="18"/>
  <c r="U1423" i="18"/>
  <c r="T1423" i="18"/>
  <c r="U1422" i="18"/>
  <c r="T1422" i="18"/>
  <c r="U1421" i="18"/>
  <c r="T1421" i="18"/>
  <c r="U1420" i="18"/>
  <c r="T1420" i="18"/>
  <c r="U1419" i="18"/>
  <c r="T1419" i="18"/>
  <c r="U1418" i="18"/>
  <c r="T1418" i="18"/>
  <c r="U1417" i="18"/>
  <c r="T1417" i="18"/>
  <c r="U1416" i="18"/>
  <c r="T1416" i="18"/>
  <c r="U1415" i="18"/>
  <c r="T1415" i="18"/>
  <c r="U1414" i="18"/>
  <c r="T1414" i="18"/>
  <c r="U1413" i="18"/>
  <c r="T1413" i="18"/>
  <c r="U1412" i="18"/>
  <c r="T1412" i="18"/>
  <c r="U1411" i="18"/>
  <c r="T1411" i="18"/>
  <c r="U1410" i="18"/>
  <c r="T1410" i="18"/>
  <c r="U1409" i="18"/>
  <c r="T1409" i="18"/>
  <c r="U1408" i="18"/>
  <c r="T1408" i="18"/>
  <c r="U1407" i="18"/>
  <c r="T1407" i="18"/>
  <c r="U1406" i="18"/>
  <c r="T1406" i="18"/>
  <c r="U1405" i="18"/>
  <c r="T1405" i="18"/>
  <c r="U1404" i="18"/>
  <c r="T1404" i="18"/>
  <c r="U1403" i="18"/>
  <c r="T1403" i="18"/>
  <c r="U1402" i="18"/>
  <c r="T1402" i="18"/>
  <c r="U1401" i="18"/>
  <c r="T1401" i="18"/>
  <c r="U1400" i="18"/>
  <c r="T1400" i="18"/>
  <c r="U1399" i="18"/>
  <c r="T1399" i="18"/>
  <c r="U1398" i="18"/>
  <c r="T1398" i="18"/>
  <c r="U1397" i="18"/>
  <c r="T1397" i="18"/>
  <c r="U1396" i="18"/>
  <c r="T1396" i="18"/>
  <c r="U1395" i="18"/>
  <c r="T1395" i="18"/>
  <c r="U1394" i="18"/>
  <c r="T1394" i="18"/>
  <c r="U1393" i="18"/>
  <c r="T1393" i="18"/>
  <c r="U1392" i="18"/>
  <c r="T1392" i="18"/>
  <c r="U1391" i="18"/>
  <c r="T1391" i="18"/>
  <c r="U1390" i="18"/>
  <c r="T1390" i="18"/>
  <c r="U1389" i="18"/>
  <c r="T1389" i="18"/>
  <c r="U1388" i="18"/>
  <c r="T1388" i="18"/>
  <c r="U1387" i="18"/>
  <c r="T1387" i="18"/>
  <c r="U1386" i="18"/>
  <c r="T1386" i="18"/>
  <c r="U1385" i="18"/>
  <c r="T1385" i="18"/>
  <c r="U1384" i="18"/>
  <c r="T1384" i="18"/>
  <c r="U1383" i="18"/>
  <c r="T1383" i="18"/>
  <c r="U1382" i="18"/>
  <c r="T1382" i="18"/>
  <c r="U1381" i="18"/>
  <c r="T1381" i="18"/>
  <c r="U1380" i="18"/>
  <c r="T1380" i="18"/>
  <c r="U1379" i="18"/>
  <c r="T1379" i="18"/>
  <c r="U1378" i="18"/>
  <c r="T1378" i="18"/>
  <c r="U1377" i="18"/>
  <c r="T1377" i="18"/>
  <c r="U1376" i="18"/>
  <c r="T1376" i="18"/>
  <c r="U1375" i="18"/>
  <c r="T1375" i="18"/>
  <c r="U1374" i="18"/>
  <c r="T1374" i="18"/>
  <c r="U1373" i="18"/>
  <c r="T1373" i="18"/>
  <c r="U1372" i="18"/>
  <c r="T1372" i="18"/>
  <c r="U1371" i="18"/>
  <c r="T1371" i="18"/>
  <c r="U1370" i="18"/>
  <c r="T1370" i="18"/>
  <c r="U1369" i="18"/>
  <c r="T1369" i="18"/>
  <c r="U1368" i="18"/>
  <c r="T1368" i="18"/>
  <c r="U1367" i="18"/>
  <c r="T1367" i="18"/>
  <c r="U1366" i="18"/>
  <c r="T1366" i="18"/>
  <c r="U1365" i="18"/>
  <c r="T1365" i="18"/>
  <c r="U1364" i="18"/>
  <c r="T1364" i="18"/>
  <c r="U1363" i="18"/>
  <c r="T1363" i="18"/>
  <c r="U1362" i="18"/>
  <c r="T1362" i="18"/>
  <c r="U1361" i="18"/>
  <c r="T1361" i="18"/>
  <c r="U1360" i="18"/>
  <c r="T1360" i="18"/>
  <c r="U1359" i="18"/>
  <c r="T1359" i="18"/>
  <c r="U1358" i="18"/>
  <c r="T1358" i="18"/>
  <c r="U1357" i="18"/>
  <c r="T1357" i="18"/>
  <c r="U1356" i="18"/>
  <c r="T1356" i="18"/>
  <c r="U1355" i="18"/>
  <c r="T1355" i="18"/>
  <c r="U1354" i="18"/>
  <c r="T1354" i="18"/>
  <c r="U1353" i="18"/>
  <c r="T1353" i="18"/>
  <c r="U1352" i="18"/>
  <c r="T1352" i="18"/>
  <c r="U1351" i="18"/>
  <c r="T1351" i="18"/>
  <c r="U1350" i="18"/>
  <c r="T1350" i="18"/>
  <c r="U1349" i="18"/>
  <c r="T1349" i="18"/>
  <c r="U1348" i="18"/>
  <c r="T1348" i="18"/>
  <c r="U1347" i="18"/>
  <c r="T1347" i="18"/>
  <c r="U1346" i="18"/>
  <c r="T1346" i="18"/>
  <c r="U1345" i="18"/>
  <c r="T1345" i="18"/>
  <c r="U1344" i="18"/>
  <c r="T1344" i="18"/>
  <c r="U1343" i="18"/>
  <c r="T1343" i="18"/>
  <c r="U1342" i="18"/>
  <c r="T1342" i="18"/>
  <c r="U1341" i="18"/>
  <c r="T1341" i="18"/>
  <c r="U1340" i="18"/>
  <c r="T1340" i="18"/>
  <c r="U1339" i="18"/>
  <c r="T1339" i="18"/>
  <c r="U1338" i="18"/>
  <c r="T1338" i="18"/>
  <c r="U1337" i="18"/>
  <c r="T1337" i="18"/>
  <c r="U1336" i="18"/>
  <c r="T1336" i="18"/>
  <c r="U1335" i="18"/>
  <c r="T1335" i="18"/>
  <c r="U1334" i="18"/>
  <c r="T1334" i="18"/>
  <c r="U1333" i="18"/>
  <c r="T1333" i="18"/>
  <c r="U1332" i="18"/>
  <c r="T1332" i="18"/>
  <c r="U1331" i="18"/>
  <c r="T1331" i="18"/>
  <c r="U1330" i="18"/>
  <c r="T1330" i="18"/>
  <c r="U1329" i="18"/>
  <c r="T1329" i="18"/>
  <c r="U1328" i="18"/>
  <c r="T1328" i="18"/>
  <c r="U1327" i="18"/>
  <c r="T1327" i="18"/>
  <c r="U1326" i="18"/>
  <c r="T1326" i="18"/>
  <c r="U1325" i="18"/>
  <c r="T1325" i="18"/>
  <c r="U1324" i="18"/>
  <c r="T1324" i="18"/>
  <c r="U1323" i="18"/>
  <c r="T1323" i="18"/>
  <c r="U1322" i="18"/>
  <c r="T1322" i="18"/>
  <c r="U1321" i="18"/>
  <c r="T1321" i="18"/>
  <c r="U1320" i="18"/>
  <c r="T1320" i="18"/>
  <c r="U1319" i="18"/>
  <c r="T1319" i="18"/>
  <c r="U1318" i="18"/>
  <c r="T1318" i="18"/>
  <c r="U1317" i="18"/>
  <c r="T1317" i="18"/>
  <c r="U1316" i="18"/>
  <c r="T1316" i="18"/>
  <c r="U1315" i="18"/>
  <c r="T1315" i="18"/>
  <c r="U1314" i="18"/>
  <c r="T1314" i="18"/>
  <c r="U1313" i="18"/>
  <c r="T1313" i="18"/>
  <c r="U1312" i="18"/>
  <c r="T1312" i="18"/>
  <c r="U1311" i="18"/>
  <c r="T1311" i="18"/>
  <c r="U1310" i="18"/>
  <c r="T1310" i="18"/>
  <c r="U1309" i="18"/>
  <c r="T1309" i="18"/>
  <c r="U1308" i="18"/>
  <c r="T1308" i="18"/>
  <c r="U1307" i="18"/>
  <c r="T1307" i="18"/>
  <c r="U1306" i="18"/>
  <c r="T1306" i="18"/>
  <c r="U1305" i="18"/>
  <c r="T1305" i="18"/>
  <c r="U1304" i="18"/>
  <c r="T1304" i="18"/>
  <c r="U1303" i="18"/>
  <c r="T1303" i="18"/>
  <c r="U1302" i="18"/>
  <c r="T1302" i="18"/>
  <c r="U1301" i="18"/>
  <c r="T1301" i="18"/>
  <c r="U1300" i="18"/>
  <c r="T1300" i="18"/>
  <c r="U1299" i="18"/>
  <c r="T1299" i="18"/>
  <c r="U1298" i="18"/>
  <c r="T1298" i="18"/>
  <c r="U1297" i="18"/>
  <c r="T1297" i="18"/>
  <c r="U1296" i="18"/>
  <c r="T1296" i="18"/>
  <c r="U1295" i="18"/>
  <c r="T1295" i="18"/>
  <c r="U1294" i="18"/>
  <c r="T1294" i="18"/>
  <c r="U1293" i="18"/>
  <c r="T1293" i="18"/>
  <c r="U1292" i="18"/>
  <c r="T1292" i="18"/>
  <c r="U1291" i="18"/>
  <c r="T1291" i="18"/>
  <c r="U1290" i="18"/>
  <c r="T1290" i="18"/>
  <c r="U1289" i="18"/>
  <c r="T1289" i="18"/>
  <c r="U1288" i="18"/>
  <c r="T1288" i="18"/>
  <c r="U1287" i="18"/>
  <c r="T1287" i="18"/>
  <c r="U1286" i="18"/>
  <c r="T1286" i="18"/>
  <c r="U1285" i="18"/>
  <c r="T1285" i="18"/>
  <c r="U1284" i="18"/>
  <c r="T1284" i="18"/>
  <c r="U1283" i="18"/>
  <c r="T1283" i="18"/>
  <c r="U1282" i="18"/>
  <c r="T1282" i="18"/>
  <c r="U1281" i="18"/>
  <c r="T1281" i="18"/>
  <c r="U1280" i="18"/>
  <c r="T1280" i="18"/>
  <c r="U1279" i="18"/>
  <c r="T1279" i="18"/>
  <c r="U1278" i="18"/>
  <c r="T1278" i="18"/>
  <c r="U1277" i="18"/>
  <c r="T1277" i="18"/>
  <c r="U1276" i="18"/>
  <c r="T1276" i="18"/>
  <c r="U1275" i="18"/>
  <c r="T1275" i="18"/>
  <c r="U1274" i="18"/>
  <c r="T1274" i="18"/>
  <c r="U1273" i="18"/>
  <c r="T1273" i="18"/>
  <c r="U1272" i="18"/>
  <c r="T1272" i="18"/>
  <c r="U1271" i="18"/>
  <c r="T1271" i="18"/>
  <c r="U1270" i="18"/>
  <c r="T1270" i="18"/>
  <c r="U1269" i="18"/>
  <c r="T1269" i="18"/>
  <c r="U1268" i="18"/>
  <c r="T1268" i="18"/>
  <c r="U1267" i="18"/>
  <c r="T1267" i="18"/>
  <c r="U1266" i="18"/>
  <c r="T1266" i="18"/>
  <c r="U1265" i="18"/>
  <c r="T1265" i="18"/>
  <c r="U1264" i="18"/>
  <c r="T1264" i="18"/>
  <c r="U1263" i="18"/>
  <c r="T1263" i="18"/>
  <c r="U1262" i="18"/>
  <c r="T1262" i="18"/>
  <c r="U1261" i="18"/>
  <c r="T1261" i="18"/>
  <c r="U1260" i="18"/>
  <c r="T1260" i="18"/>
  <c r="U1259" i="18"/>
  <c r="T1259" i="18"/>
  <c r="U1258" i="18"/>
  <c r="T1258" i="18"/>
  <c r="U1257" i="18"/>
  <c r="T1257" i="18"/>
  <c r="U1256" i="18"/>
  <c r="T1256" i="18"/>
  <c r="U1255" i="18"/>
  <c r="T1255" i="18"/>
  <c r="U1254" i="18"/>
  <c r="T1254" i="18"/>
  <c r="U1253" i="18"/>
  <c r="T1253" i="18"/>
  <c r="U1252" i="18"/>
  <c r="T1252" i="18"/>
  <c r="U1251" i="18"/>
  <c r="T1251" i="18"/>
  <c r="U1250" i="18"/>
  <c r="T1250" i="18"/>
  <c r="U1249" i="18"/>
  <c r="T1249" i="18"/>
  <c r="U1248" i="18"/>
  <c r="T1248" i="18"/>
  <c r="U1247" i="18"/>
  <c r="T1247" i="18"/>
  <c r="U1246" i="18"/>
  <c r="T1246" i="18"/>
  <c r="U1245" i="18"/>
  <c r="T1245" i="18"/>
  <c r="U1244" i="18"/>
  <c r="T1244" i="18"/>
  <c r="U1243" i="18"/>
  <c r="T1243" i="18"/>
  <c r="U1242" i="18"/>
  <c r="T1242" i="18"/>
  <c r="U1241" i="18"/>
  <c r="T1241" i="18"/>
  <c r="U1240" i="18"/>
  <c r="T1240" i="18"/>
  <c r="U1239" i="18"/>
  <c r="T1239" i="18"/>
  <c r="U1238" i="18"/>
  <c r="T1238" i="18"/>
  <c r="U1237" i="18"/>
  <c r="T1237" i="18"/>
  <c r="U1236" i="18"/>
  <c r="T1236" i="18"/>
  <c r="U1235" i="18"/>
  <c r="T1235" i="18"/>
  <c r="U1234" i="18"/>
  <c r="T1234" i="18"/>
  <c r="U1233" i="18"/>
  <c r="T1233" i="18"/>
  <c r="U1232" i="18"/>
  <c r="T1232" i="18"/>
  <c r="U1231" i="18"/>
  <c r="T1231" i="18"/>
  <c r="U1230" i="18"/>
  <c r="T1230" i="18"/>
  <c r="U1229" i="18"/>
  <c r="T1229" i="18"/>
  <c r="U1228" i="18"/>
  <c r="T1228" i="18"/>
  <c r="U1227" i="18"/>
  <c r="T1227" i="18"/>
  <c r="U1226" i="18"/>
  <c r="T1226" i="18"/>
  <c r="U1225" i="18"/>
  <c r="T1225" i="18"/>
  <c r="U1224" i="18"/>
  <c r="T1224" i="18"/>
  <c r="U1223" i="18"/>
  <c r="T1223" i="18"/>
  <c r="U1222" i="18"/>
  <c r="T1222" i="18"/>
  <c r="U1221" i="18"/>
  <c r="T1221" i="18"/>
  <c r="U1220" i="18"/>
  <c r="T1220" i="18"/>
  <c r="U1219" i="18"/>
  <c r="T1219" i="18"/>
  <c r="U1218" i="18"/>
  <c r="T1218" i="18"/>
  <c r="U1217" i="18"/>
  <c r="T1217" i="18"/>
  <c r="U1216" i="18"/>
  <c r="T1216" i="18"/>
  <c r="U1215" i="18"/>
  <c r="T1215" i="18"/>
  <c r="U1214" i="18"/>
  <c r="T1214" i="18"/>
  <c r="U1213" i="18"/>
  <c r="T1213" i="18"/>
  <c r="U1212" i="18"/>
  <c r="T1212" i="18"/>
  <c r="U1211" i="18"/>
  <c r="T1211" i="18"/>
  <c r="U1210" i="18"/>
  <c r="T1210" i="18"/>
  <c r="U1209" i="18"/>
  <c r="T1209" i="18"/>
  <c r="U1208" i="18"/>
  <c r="T1208" i="18"/>
  <c r="U1207" i="18"/>
  <c r="T1207" i="18"/>
  <c r="U1206" i="18"/>
  <c r="T1206" i="18"/>
  <c r="U1205" i="18"/>
  <c r="T1205" i="18"/>
  <c r="U1204" i="18"/>
  <c r="T1204" i="18"/>
  <c r="U1203" i="18"/>
  <c r="T1203" i="18"/>
  <c r="U1202" i="18"/>
  <c r="T1202" i="18"/>
  <c r="U1201" i="18"/>
  <c r="T1201" i="18"/>
  <c r="U1200" i="18"/>
  <c r="T1200" i="18"/>
  <c r="U1199" i="18"/>
  <c r="T1199" i="18"/>
  <c r="U1198" i="18"/>
  <c r="T1198" i="18"/>
  <c r="U1197" i="18"/>
  <c r="T1197" i="18"/>
  <c r="U1196" i="18"/>
  <c r="T1196" i="18"/>
  <c r="U1195" i="18"/>
  <c r="T1195" i="18"/>
  <c r="U1194" i="18"/>
  <c r="T1194" i="18"/>
  <c r="U1193" i="18"/>
  <c r="T1193" i="18"/>
  <c r="U1192" i="18"/>
  <c r="T1192" i="18"/>
  <c r="U1191" i="18"/>
  <c r="T1191" i="18"/>
  <c r="U1190" i="18"/>
  <c r="T1190" i="18"/>
  <c r="U1189" i="18"/>
  <c r="T1189" i="18"/>
  <c r="U1188" i="18"/>
  <c r="T1188" i="18"/>
  <c r="U1187" i="18"/>
  <c r="T1187" i="18"/>
  <c r="U1186" i="18"/>
  <c r="T1186" i="18"/>
  <c r="U1185" i="18"/>
  <c r="T1185" i="18"/>
  <c r="U1184" i="18"/>
  <c r="T1184" i="18"/>
  <c r="U1183" i="18"/>
  <c r="T1183" i="18"/>
  <c r="U1182" i="18"/>
  <c r="T1182" i="18"/>
  <c r="U1181" i="18"/>
  <c r="T1181" i="18"/>
  <c r="U1180" i="18"/>
  <c r="T1180" i="18"/>
  <c r="U1179" i="18"/>
  <c r="T1179" i="18"/>
  <c r="U1178" i="18"/>
  <c r="T1178" i="18"/>
  <c r="U1177" i="18"/>
  <c r="T1177" i="18"/>
  <c r="U1176" i="18"/>
  <c r="T1176" i="18"/>
  <c r="U1175" i="18"/>
  <c r="T1175" i="18"/>
  <c r="U1174" i="18"/>
  <c r="T1174" i="18"/>
  <c r="U1173" i="18"/>
  <c r="T1173" i="18"/>
  <c r="U1172" i="18"/>
  <c r="T1172" i="18"/>
  <c r="U1171" i="18"/>
  <c r="T1171" i="18"/>
  <c r="U1170" i="18"/>
  <c r="T1170" i="18"/>
  <c r="U1169" i="18"/>
  <c r="T1169" i="18"/>
  <c r="U1168" i="18"/>
  <c r="T1168" i="18"/>
  <c r="U1167" i="18"/>
  <c r="T1167" i="18"/>
  <c r="U1166" i="18"/>
  <c r="T1166" i="18"/>
  <c r="U1165" i="18"/>
  <c r="T1165" i="18"/>
  <c r="U1164" i="18"/>
  <c r="T1164" i="18"/>
  <c r="U1163" i="18"/>
  <c r="T1163" i="18"/>
  <c r="U1162" i="18"/>
  <c r="T1162" i="18"/>
  <c r="U1161" i="18"/>
  <c r="T1161" i="18"/>
  <c r="U1160" i="18"/>
  <c r="T1160" i="18"/>
  <c r="U1159" i="18"/>
  <c r="T1159" i="18"/>
  <c r="U1158" i="18"/>
  <c r="T1158" i="18"/>
  <c r="U1157" i="18"/>
  <c r="T1157" i="18"/>
  <c r="U1156" i="18"/>
  <c r="T1156" i="18"/>
  <c r="U1155" i="18"/>
  <c r="T1155" i="18"/>
  <c r="U1154" i="18"/>
  <c r="T1154" i="18"/>
  <c r="U1153" i="18"/>
  <c r="T1153" i="18"/>
  <c r="U1152" i="18"/>
  <c r="T1152" i="18"/>
  <c r="U1151" i="18"/>
  <c r="T1151" i="18"/>
  <c r="U1150" i="18"/>
  <c r="T1150" i="18"/>
  <c r="U1149" i="18"/>
  <c r="T1149" i="18"/>
  <c r="U1148" i="18"/>
  <c r="T1148" i="18"/>
  <c r="U1147" i="18"/>
  <c r="T1147" i="18"/>
  <c r="U1146" i="18"/>
  <c r="T1146" i="18"/>
  <c r="U1145" i="18"/>
  <c r="T1145" i="18"/>
  <c r="U1144" i="18"/>
  <c r="T1144" i="18"/>
  <c r="U1143" i="18"/>
  <c r="T1143" i="18"/>
  <c r="U1142" i="18"/>
  <c r="T1142" i="18"/>
  <c r="U1141" i="18"/>
  <c r="T1141" i="18"/>
  <c r="U1140" i="18"/>
  <c r="T1140" i="18"/>
  <c r="U1139" i="18"/>
  <c r="T1139" i="18"/>
  <c r="U1138" i="18"/>
  <c r="T1138" i="18"/>
  <c r="U1137" i="18"/>
  <c r="T1137" i="18"/>
  <c r="U1136" i="18"/>
  <c r="T1136" i="18"/>
  <c r="U1135" i="18"/>
  <c r="T1135" i="18"/>
  <c r="U1134" i="18"/>
  <c r="T1134" i="18"/>
  <c r="U1133" i="18"/>
  <c r="T1133" i="18"/>
  <c r="U1132" i="18"/>
  <c r="T1132" i="18"/>
  <c r="U1131" i="18"/>
  <c r="T1131" i="18"/>
  <c r="U1130" i="18"/>
  <c r="T1130" i="18"/>
  <c r="U1129" i="18"/>
  <c r="T1129" i="18"/>
  <c r="U1128" i="18"/>
  <c r="T1128" i="18"/>
  <c r="U1127" i="18"/>
  <c r="T1127" i="18"/>
  <c r="U1126" i="18"/>
  <c r="T1126" i="18"/>
  <c r="U1125" i="18"/>
  <c r="T1125" i="18"/>
  <c r="U1124" i="18"/>
  <c r="T1124" i="18"/>
  <c r="U1123" i="18"/>
  <c r="T1123" i="18"/>
  <c r="U1122" i="18"/>
  <c r="T1122" i="18"/>
  <c r="U1121" i="18"/>
  <c r="T1121" i="18"/>
  <c r="U1120" i="18"/>
  <c r="T1120" i="18"/>
  <c r="U1119" i="18"/>
  <c r="T1119" i="18"/>
  <c r="U1118" i="18"/>
  <c r="T1118" i="18"/>
  <c r="U1117" i="18"/>
  <c r="T1117" i="18"/>
  <c r="U1116" i="18"/>
  <c r="T1116" i="18"/>
  <c r="U1115" i="18"/>
  <c r="T1115" i="18"/>
  <c r="U1114" i="18"/>
  <c r="T1114" i="18"/>
  <c r="U1113" i="18"/>
  <c r="T1113" i="18"/>
  <c r="U1112" i="18"/>
  <c r="T1112" i="18"/>
  <c r="U1111" i="18"/>
  <c r="T1111" i="18"/>
  <c r="U1110" i="18"/>
  <c r="T1110" i="18"/>
  <c r="U1109" i="18"/>
  <c r="T1109" i="18"/>
  <c r="U1108" i="18"/>
  <c r="T1108" i="18"/>
  <c r="U1107" i="18"/>
  <c r="T1107" i="18"/>
  <c r="U1106" i="18"/>
  <c r="T1106" i="18"/>
  <c r="U1105" i="18"/>
  <c r="T1105" i="18"/>
  <c r="U1104" i="18"/>
  <c r="T1104" i="18"/>
  <c r="U1103" i="18"/>
  <c r="T1103" i="18"/>
  <c r="U1102" i="18"/>
  <c r="T1102" i="18"/>
  <c r="U1101" i="18"/>
  <c r="T1101" i="18"/>
  <c r="U1100" i="18"/>
  <c r="T1100" i="18"/>
  <c r="U1099" i="18"/>
  <c r="T1099" i="18"/>
  <c r="U1098" i="18"/>
  <c r="T1098" i="18"/>
  <c r="U1097" i="18"/>
  <c r="T1097" i="18"/>
  <c r="U1096" i="18"/>
  <c r="T1096" i="18"/>
  <c r="U1095" i="18"/>
  <c r="T1095" i="18"/>
  <c r="U1094" i="18"/>
  <c r="T1094" i="18"/>
  <c r="U1093" i="18"/>
  <c r="T1093" i="18"/>
  <c r="U1092" i="18"/>
  <c r="T1092" i="18"/>
  <c r="U1091" i="18"/>
  <c r="T1091" i="18"/>
  <c r="U1090" i="18"/>
  <c r="T1090" i="18"/>
  <c r="U1089" i="18"/>
  <c r="T1089" i="18"/>
  <c r="U1088" i="18"/>
  <c r="T1088" i="18"/>
  <c r="U1087" i="18"/>
  <c r="T1087" i="18"/>
  <c r="U1086" i="18"/>
  <c r="T1086" i="18"/>
  <c r="U1085" i="18"/>
  <c r="T1085" i="18"/>
  <c r="U1084" i="18"/>
  <c r="T1084" i="18"/>
  <c r="U1083" i="18"/>
  <c r="T1083" i="18"/>
  <c r="U1082" i="18"/>
  <c r="T1082" i="18"/>
  <c r="U1081" i="18"/>
  <c r="T1081" i="18"/>
  <c r="U1080" i="18"/>
  <c r="T1080" i="18"/>
  <c r="U1079" i="18"/>
  <c r="T1079" i="18"/>
  <c r="U1078" i="18"/>
  <c r="T1078" i="18"/>
  <c r="U1077" i="18"/>
  <c r="T1077" i="18"/>
  <c r="U1076" i="18"/>
  <c r="T1076" i="18"/>
  <c r="U1075" i="18"/>
  <c r="T1075" i="18"/>
  <c r="U1074" i="18"/>
  <c r="T1074" i="18"/>
  <c r="U1073" i="18"/>
  <c r="T1073" i="18"/>
  <c r="U1072" i="18"/>
  <c r="T1072" i="18"/>
  <c r="U1071" i="18"/>
  <c r="T1071" i="18"/>
  <c r="U1070" i="18"/>
  <c r="T1070" i="18"/>
  <c r="U1069" i="18"/>
  <c r="T1069" i="18"/>
  <c r="U1068" i="18"/>
  <c r="T1068" i="18"/>
  <c r="U1067" i="18"/>
  <c r="T1067" i="18"/>
  <c r="U1066" i="18"/>
  <c r="T1066" i="18"/>
  <c r="U1065" i="18"/>
  <c r="T1065" i="18"/>
  <c r="U1064" i="18"/>
  <c r="T1064" i="18"/>
  <c r="U1063" i="18"/>
  <c r="T1063" i="18"/>
  <c r="U1062" i="18"/>
  <c r="T1062" i="18"/>
  <c r="U1061" i="18"/>
  <c r="T1061" i="18"/>
  <c r="U1060" i="18"/>
  <c r="T1060" i="18"/>
  <c r="U1059" i="18"/>
  <c r="T1059" i="18"/>
  <c r="U1058" i="18"/>
  <c r="T1058" i="18"/>
  <c r="U1057" i="18"/>
  <c r="T1057" i="18"/>
  <c r="U1056" i="18"/>
  <c r="T1056" i="18"/>
  <c r="U1055" i="18"/>
  <c r="T1055" i="18"/>
  <c r="U1054" i="18"/>
  <c r="T1054" i="18"/>
  <c r="U1053" i="18"/>
  <c r="T1053" i="18"/>
  <c r="U1052" i="18"/>
  <c r="T1052" i="18"/>
  <c r="U1051" i="18"/>
  <c r="T1051" i="18"/>
  <c r="U1050" i="18"/>
  <c r="T1050" i="18"/>
  <c r="U1049" i="18"/>
  <c r="T1049" i="18"/>
  <c r="U1048" i="18"/>
  <c r="T1048" i="18"/>
  <c r="U1047" i="18"/>
  <c r="T1047" i="18"/>
  <c r="U1046" i="18"/>
  <c r="T1046" i="18"/>
  <c r="U1045" i="18"/>
  <c r="T1045" i="18"/>
  <c r="U1044" i="18"/>
  <c r="T1044" i="18"/>
  <c r="U1043" i="18"/>
  <c r="T1043" i="18"/>
  <c r="U1042" i="18"/>
  <c r="T1042" i="18"/>
  <c r="U1041" i="18"/>
  <c r="T1041" i="18"/>
  <c r="U1040" i="18"/>
  <c r="T1040" i="18"/>
  <c r="U1039" i="18"/>
  <c r="T1039" i="18"/>
  <c r="U1038" i="18"/>
  <c r="T1038" i="18"/>
  <c r="U1037" i="18"/>
  <c r="T1037" i="18"/>
  <c r="U1036" i="18"/>
  <c r="T1036" i="18"/>
  <c r="U1035" i="18"/>
  <c r="T1035" i="18"/>
  <c r="U1034" i="18"/>
  <c r="T1034" i="18"/>
  <c r="U1033" i="18"/>
  <c r="T1033" i="18"/>
  <c r="U1032" i="18"/>
  <c r="T1032" i="18"/>
  <c r="U1031" i="18"/>
  <c r="T1031" i="18"/>
  <c r="U1030" i="18"/>
  <c r="T1030" i="18"/>
  <c r="U1029" i="18"/>
  <c r="T1029" i="18"/>
  <c r="U1028" i="18"/>
  <c r="T1028" i="18"/>
  <c r="U1027" i="18"/>
  <c r="T1027" i="18"/>
  <c r="U1026" i="18"/>
  <c r="T1026" i="18"/>
  <c r="U1025" i="18"/>
  <c r="T1025" i="18"/>
  <c r="U1024" i="18"/>
  <c r="T1024" i="18"/>
  <c r="U1023" i="18"/>
  <c r="T1023" i="18"/>
  <c r="U1022" i="18"/>
  <c r="T1022" i="18"/>
  <c r="U1021" i="18"/>
  <c r="T1021" i="18"/>
  <c r="U1020" i="18"/>
  <c r="T1020" i="18"/>
  <c r="U1019" i="18"/>
  <c r="T1019" i="18"/>
  <c r="U1018" i="18"/>
  <c r="T1018" i="18"/>
  <c r="U1017" i="18"/>
  <c r="T1017" i="18"/>
  <c r="U1016" i="18"/>
  <c r="T1016" i="18"/>
  <c r="U1015" i="18"/>
  <c r="T1015" i="18"/>
  <c r="U1014" i="18"/>
  <c r="T1014" i="18"/>
  <c r="U1013" i="18"/>
  <c r="T1013" i="18"/>
  <c r="U1012" i="18"/>
  <c r="T1012" i="18"/>
  <c r="U1011" i="18"/>
  <c r="T1011" i="18"/>
  <c r="U1010" i="18"/>
  <c r="T1010" i="18"/>
  <c r="U1009" i="18"/>
  <c r="T1009" i="18"/>
  <c r="U1008" i="18"/>
  <c r="T1008" i="18"/>
  <c r="U1007" i="18"/>
  <c r="T1007" i="18"/>
  <c r="U1006" i="18"/>
  <c r="T1006" i="18"/>
  <c r="U1005" i="18"/>
  <c r="T1005" i="18"/>
  <c r="U1004" i="18"/>
  <c r="T1004" i="18"/>
  <c r="U1003" i="18"/>
  <c r="T1003" i="18"/>
  <c r="U1002" i="18"/>
  <c r="T1002" i="18"/>
  <c r="U1001" i="18"/>
  <c r="T1001" i="18"/>
  <c r="U1000" i="18"/>
  <c r="T1000" i="18"/>
  <c r="U999" i="18"/>
  <c r="T999" i="18"/>
  <c r="U998" i="18"/>
  <c r="T998" i="18"/>
  <c r="U997" i="18"/>
  <c r="T997" i="18"/>
  <c r="U996" i="18"/>
  <c r="T996" i="18"/>
  <c r="U995" i="18"/>
  <c r="T995" i="18"/>
  <c r="U994" i="18"/>
  <c r="T994" i="18"/>
  <c r="U993" i="18"/>
  <c r="T993" i="18"/>
  <c r="U992" i="18"/>
  <c r="T992" i="18"/>
  <c r="U991" i="18"/>
  <c r="T991" i="18"/>
  <c r="U990" i="18"/>
  <c r="T990" i="18"/>
  <c r="U989" i="18"/>
  <c r="T989" i="18"/>
  <c r="U988" i="18"/>
  <c r="T988" i="18"/>
  <c r="U987" i="18"/>
  <c r="T987" i="18"/>
  <c r="U986" i="18"/>
  <c r="T986" i="18"/>
  <c r="U985" i="18"/>
  <c r="T985" i="18"/>
  <c r="U984" i="18"/>
  <c r="T984" i="18"/>
  <c r="U983" i="18"/>
  <c r="T983" i="18"/>
  <c r="U982" i="18"/>
  <c r="T982" i="18"/>
  <c r="U981" i="18"/>
  <c r="T981" i="18"/>
  <c r="U980" i="18"/>
  <c r="T980" i="18"/>
  <c r="U979" i="18"/>
  <c r="T979" i="18"/>
  <c r="U978" i="18"/>
  <c r="T978" i="18"/>
  <c r="U977" i="18"/>
  <c r="T977" i="18"/>
  <c r="U976" i="18"/>
  <c r="T976" i="18"/>
  <c r="U975" i="18"/>
  <c r="T975" i="18"/>
  <c r="U974" i="18"/>
  <c r="T974" i="18"/>
  <c r="U973" i="18"/>
  <c r="T973" i="18"/>
  <c r="U972" i="18"/>
  <c r="T972" i="18"/>
  <c r="U971" i="18"/>
  <c r="T971" i="18"/>
  <c r="U970" i="18"/>
  <c r="T970" i="18"/>
  <c r="U969" i="18"/>
  <c r="T969" i="18"/>
  <c r="U968" i="18"/>
  <c r="T968" i="18"/>
  <c r="U967" i="18"/>
  <c r="T967" i="18"/>
  <c r="U966" i="18"/>
  <c r="T966" i="18"/>
  <c r="U965" i="18"/>
  <c r="T965" i="18"/>
  <c r="U964" i="18"/>
  <c r="T964" i="18"/>
  <c r="U963" i="18"/>
  <c r="T963" i="18"/>
  <c r="U962" i="18"/>
  <c r="T962" i="18"/>
  <c r="U961" i="18"/>
  <c r="T961" i="18"/>
  <c r="U960" i="18"/>
  <c r="T960" i="18"/>
  <c r="U959" i="18"/>
  <c r="T959" i="18"/>
  <c r="U958" i="18"/>
  <c r="T958" i="18"/>
  <c r="U957" i="18"/>
  <c r="T957" i="18"/>
  <c r="U956" i="18"/>
  <c r="T956" i="18"/>
  <c r="U955" i="18"/>
  <c r="T955" i="18"/>
  <c r="U954" i="18"/>
  <c r="T954" i="18"/>
  <c r="U953" i="18"/>
  <c r="T953" i="18"/>
  <c r="U952" i="18"/>
  <c r="T952" i="18"/>
  <c r="U951" i="18"/>
  <c r="T951" i="18"/>
  <c r="U950" i="18"/>
  <c r="T950" i="18"/>
  <c r="U949" i="18"/>
  <c r="T949" i="18"/>
  <c r="U948" i="18"/>
  <c r="T948" i="18"/>
  <c r="U947" i="18"/>
  <c r="T947" i="18"/>
  <c r="U946" i="18"/>
  <c r="T946" i="18"/>
  <c r="U945" i="18"/>
  <c r="T945" i="18"/>
  <c r="U944" i="18"/>
  <c r="T944" i="18"/>
  <c r="U943" i="18"/>
  <c r="T943" i="18"/>
  <c r="U942" i="18"/>
  <c r="T942" i="18"/>
  <c r="U941" i="18"/>
  <c r="T941" i="18"/>
  <c r="U940" i="18"/>
  <c r="T940" i="18"/>
  <c r="U939" i="18"/>
  <c r="T939" i="18"/>
  <c r="U938" i="18"/>
  <c r="T938" i="18"/>
  <c r="U937" i="18"/>
  <c r="T937" i="18"/>
  <c r="U936" i="18"/>
  <c r="T936" i="18"/>
  <c r="U935" i="18"/>
  <c r="T935" i="18"/>
  <c r="U934" i="18"/>
  <c r="T934" i="18"/>
  <c r="U933" i="18"/>
  <c r="T933" i="18"/>
  <c r="U932" i="18"/>
  <c r="T932" i="18"/>
  <c r="U931" i="18"/>
  <c r="T931" i="18"/>
  <c r="U930" i="18"/>
  <c r="T930" i="18"/>
  <c r="U929" i="18"/>
  <c r="T929" i="18"/>
  <c r="U928" i="18"/>
  <c r="T928" i="18"/>
  <c r="U927" i="18"/>
  <c r="T927" i="18"/>
  <c r="U926" i="18"/>
  <c r="T926" i="18"/>
  <c r="U925" i="18"/>
  <c r="T925" i="18"/>
  <c r="U924" i="18"/>
  <c r="T924" i="18"/>
  <c r="U923" i="18"/>
  <c r="T923" i="18"/>
  <c r="U922" i="18"/>
  <c r="T922" i="18"/>
  <c r="U921" i="18"/>
  <c r="T921" i="18"/>
  <c r="U920" i="18"/>
  <c r="T920" i="18"/>
  <c r="U919" i="18"/>
  <c r="T919" i="18"/>
  <c r="U918" i="18"/>
  <c r="T918" i="18"/>
  <c r="U917" i="18"/>
  <c r="T917" i="18"/>
  <c r="U916" i="18"/>
  <c r="T916" i="18"/>
  <c r="U915" i="18"/>
  <c r="T915" i="18"/>
  <c r="U914" i="18"/>
  <c r="T914" i="18"/>
  <c r="U913" i="18"/>
  <c r="T913" i="18"/>
  <c r="U912" i="18"/>
  <c r="T912" i="18"/>
  <c r="U911" i="18"/>
  <c r="T911" i="18"/>
  <c r="U910" i="18"/>
  <c r="T910" i="18"/>
  <c r="U909" i="18"/>
  <c r="T909" i="18"/>
  <c r="U908" i="18"/>
  <c r="T908" i="18"/>
  <c r="U907" i="18"/>
  <c r="T907" i="18"/>
  <c r="U906" i="18"/>
  <c r="T906" i="18"/>
  <c r="U905" i="18"/>
  <c r="T905" i="18"/>
  <c r="U904" i="18"/>
  <c r="T904" i="18"/>
  <c r="U903" i="18"/>
  <c r="T903" i="18"/>
  <c r="U902" i="18"/>
  <c r="T902" i="18"/>
  <c r="U901" i="18"/>
  <c r="T901" i="18"/>
  <c r="U900" i="18"/>
  <c r="T900" i="18"/>
  <c r="U899" i="18"/>
  <c r="T899" i="18"/>
  <c r="U898" i="18"/>
  <c r="T898" i="18"/>
  <c r="U897" i="18"/>
  <c r="T897" i="18"/>
  <c r="U896" i="18"/>
  <c r="T896" i="18"/>
  <c r="U895" i="18"/>
  <c r="T895" i="18"/>
  <c r="U894" i="18"/>
  <c r="T894" i="18"/>
  <c r="U893" i="18"/>
  <c r="T893" i="18"/>
  <c r="U892" i="18"/>
  <c r="T892" i="18"/>
  <c r="U891" i="18"/>
  <c r="T891" i="18"/>
  <c r="U890" i="18"/>
  <c r="T890" i="18"/>
  <c r="U889" i="18"/>
  <c r="T889" i="18"/>
  <c r="U888" i="18"/>
  <c r="T888" i="18"/>
  <c r="U887" i="18"/>
  <c r="T887" i="18"/>
  <c r="U886" i="18"/>
  <c r="T886" i="18"/>
  <c r="U885" i="18"/>
  <c r="T885" i="18"/>
  <c r="U884" i="18"/>
  <c r="T884" i="18"/>
  <c r="U883" i="18"/>
  <c r="T883" i="18"/>
  <c r="U882" i="18"/>
  <c r="T882" i="18"/>
  <c r="U881" i="18"/>
  <c r="T881" i="18"/>
  <c r="U880" i="18"/>
  <c r="T880" i="18"/>
  <c r="U879" i="18"/>
  <c r="T879" i="18"/>
  <c r="U878" i="18"/>
  <c r="T878" i="18"/>
  <c r="U877" i="18"/>
  <c r="T877" i="18"/>
  <c r="U876" i="18"/>
  <c r="T876" i="18"/>
  <c r="U875" i="18"/>
  <c r="T875" i="18"/>
  <c r="U874" i="18"/>
  <c r="T874" i="18"/>
  <c r="U873" i="18"/>
  <c r="T873" i="18"/>
  <c r="U872" i="18"/>
  <c r="T872" i="18"/>
  <c r="U871" i="18"/>
  <c r="T871" i="18"/>
  <c r="U870" i="18"/>
  <c r="T870" i="18"/>
  <c r="U869" i="18"/>
  <c r="T869" i="18"/>
  <c r="U868" i="18"/>
  <c r="T868" i="18"/>
  <c r="U867" i="18"/>
  <c r="T867" i="18"/>
  <c r="U866" i="18"/>
  <c r="T866" i="18"/>
  <c r="U865" i="18"/>
  <c r="T865" i="18"/>
  <c r="U864" i="18"/>
  <c r="T864" i="18"/>
  <c r="U863" i="18"/>
  <c r="T863" i="18"/>
  <c r="U862" i="18"/>
  <c r="T862" i="18"/>
  <c r="U861" i="18"/>
  <c r="T861" i="18"/>
  <c r="U860" i="18"/>
  <c r="T860" i="18"/>
  <c r="U859" i="18"/>
  <c r="T859" i="18"/>
  <c r="U858" i="18"/>
  <c r="T858" i="18"/>
  <c r="U857" i="18"/>
  <c r="T857" i="18"/>
  <c r="U856" i="18"/>
  <c r="T856" i="18"/>
  <c r="U855" i="18"/>
  <c r="T855" i="18"/>
  <c r="U854" i="18"/>
  <c r="T854" i="18"/>
  <c r="U853" i="18"/>
  <c r="T853" i="18"/>
  <c r="U852" i="18"/>
  <c r="T852" i="18"/>
  <c r="U851" i="18"/>
  <c r="T851" i="18"/>
  <c r="U850" i="18"/>
  <c r="T850" i="18"/>
  <c r="U849" i="18"/>
  <c r="T849" i="18"/>
  <c r="U848" i="18"/>
  <c r="T848" i="18"/>
  <c r="U847" i="18"/>
  <c r="T847" i="18"/>
  <c r="U846" i="18"/>
  <c r="T846" i="18"/>
  <c r="U845" i="18"/>
  <c r="T845" i="18"/>
  <c r="U844" i="18"/>
  <c r="T844" i="18"/>
  <c r="U843" i="18"/>
  <c r="T843" i="18"/>
  <c r="U842" i="18"/>
  <c r="T842" i="18"/>
  <c r="U841" i="18"/>
  <c r="T841" i="18"/>
  <c r="U840" i="18"/>
  <c r="T840" i="18"/>
  <c r="U839" i="18"/>
  <c r="T839" i="18"/>
  <c r="U838" i="18"/>
  <c r="T838" i="18"/>
  <c r="U837" i="18"/>
  <c r="T837" i="18"/>
  <c r="U836" i="18"/>
  <c r="T836" i="18"/>
  <c r="U835" i="18"/>
  <c r="T835" i="18"/>
  <c r="U834" i="18"/>
  <c r="T834" i="18"/>
  <c r="U833" i="18"/>
  <c r="T833" i="18"/>
  <c r="U832" i="18"/>
  <c r="T832" i="18"/>
  <c r="U831" i="18"/>
  <c r="T831" i="18"/>
  <c r="U830" i="18"/>
  <c r="T830" i="18"/>
  <c r="U829" i="18"/>
  <c r="T829" i="18"/>
  <c r="U828" i="18"/>
  <c r="T828" i="18"/>
  <c r="U827" i="18"/>
  <c r="T827" i="18"/>
  <c r="U826" i="18"/>
  <c r="T826" i="18"/>
  <c r="U825" i="18"/>
  <c r="T825" i="18"/>
  <c r="U824" i="18"/>
  <c r="T824" i="18"/>
  <c r="U823" i="18"/>
  <c r="T823" i="18"/>
  <c r="U822" i="18"/>
  <c r="T822" i="18"/>
  <c r="U821" i="18"/>
  <c r="T821" i="18"/>
  <c r="U820" i="18"/>
  <c r="T820" i="18"/>
  <c r="U819" i="18"/>
  <c r="T819" i="18"/>
  <c r="U818" i="18"/>
  <c r="T818" i="18"/>
  <c r="U817" i="18"/>
  <c r="T817" i="18"/>
  <c r="U816" i="18"/>
  <c r="T816" i="18"/>
  <c r="U815" i="18"/>
  <c r="T815" i="18"/>
  <c r="U814" i="18"/>
  <c r="T814" i="18"/>
  <c r="U813" i="18"/>
  <c r="T813" i="18"/>
  <c r="U812" i="18"/>
  <c r="T812" i="18"/>
  <c r="U811" i="18"/>
  <c r="T811" i="18"/>
  <c r="U810" i="18"/>
  <c r="T810" i="18"/>
  <c r="U809" i="18"/>
  <c r="T809" i="18"/>
  <c r="U808" i="18"/>
  <c r="T808" i="18"/>
  <c r="U807" i="18"/>
  <c r="T807" i="18"/>
  <c r="U806" i="18"/>
  <c r="T806" i="18"/>
  <c r="U805" i="18"/>
  <c r="T805" i="18"/>
  <c r="U804" i="18"/>
  <c r="T804" i="18"/>
  <c r="U803" i="18"/>
  <c r="T803" i="18"/>
  <c r="U802" i="18"/>
  <c r="T802" i="18"/>
  <c r="U801" i="18"/>
  <c r="T801" i="18"/>
  <c r="U800" i="18"/>
  <c r="T800" i="18"/>
  <c r="U799" i="18"/>
  <c r="T799" i="18"/>
  <c r="U798" i="18"/>
  <c r="T798" i="18"/>
  <c r="U797" i="18"/>
  <c r="T797" i="18"/>
  <c r="U796" i="18"/>
  <c r="T796" i="18"/>
  <c r="U795" i="18"/>
  <c r="T795" i="18"/>
  <c r="U794" i="18"/>
  <c r="T794" i="18"/>
  <c r="U793" i="18"/>
  <c r="T793" i="18"/>
  <c r="U792" i="18"/>
  <c r="T792" i="18"/>
  <c r="U791" i="18"/>
  <c r="T791" i="18"/>
  <c r="U790" i="18"/>
  <c r="T790" i="18"/>
  <c r="U789" i="18"/>
  <c r="T789" i="18"/>
  <c r="U788" i="18"/>
  <c r="T788" i="18"/>
  <c r="U787" i="18"/>
  <c r="T787" i="18"/>
  <c r="U786" i="18"/>
  <c r="T786" i="18"/>
  <c r="U785" i="18"/>
  <c r="T785" i="18"/>
  <c r="U784" i="18"/>
  <c r="T784" i="18"/>
  <c r="U783" i="18"/>
  <c r="T783" i="18"/>
  <c r="U782" i="18"/>
  <c r="T782" i="18"/>
  <c r="U781" i="18"/>
  <c r="T781" i="18"/>
  <c r="U780" i="18"/>
  <c r="T780" i="18"/>
  <c r="U779" i="18"/>
  <c r="T779" i="18"/>
  <c r="U778" i="18"/>
  <c r="T778" i="18"/>
  <c r="U777" i="18"/>
  <c r="T777" i="18"/>
  <c r="U776" i="18"/>
  <c r="T776" i="18"/>
  <c r="U775" i="18"/>
  <c r="T775" i="18"/>
  <c r="U774" i="18"/>
  <c r="T774" i="18"/>
  <c r="U773" i="18"/>
  <c r="T773" i="18"/>
  <c r="U772" i="18"/>
  <c r="T772" i="18"/>
  <c r="U771" i="18"/>
  <c r="T771" i="18"/>
  <c r="U770" i="18"/>
  <c r="T770" i="18"/>
  <c r="U769" i="18"/>
  <c r="T769" i="18"/>
  <c r="U768" i="18"/>
  <c r="T768" i="18"/>
  <c r="U767" i="18"/>
  <c r="T767" i="18"/>
  <c r="U766" i="18"/>
  <c r="T766" i="18"/>
  <c r="U765" i="18"/>
  <c r="T765" i="18"/>
  <c r="U764" i="18"/>
  <c r="T764" i="18"/>
  <c r="U763" i="18"/>
  <c r="T763" i="18"/>
  <c r="U762" i="18"/>
  <c r="T762" i="18"/>
  <c r="U761" i="18"/>
  <c r="T761" i="18"/>
  <c r="U760" i="18"/>
  <c r="T760" i="18"/>
  <c r="U759" i="18"/>
  <c r="T759" i="18"/>
  <c r="U758" i="18"/>
  <c r="T758" i="18"/>
  <c r="U757" i="18"/>
  <c r="T757" i="18"/>
  <c r="U756" i="18"/>
  <c r="T756" i="18"/>
  <c r="U755" i="18"/>
  <c r="T755" i="18"/>
  <c r="U754" i="18"/>
  <c r="T754" i="18"/>
  <c r="U753" i="18"/>
  <c r="T753" i="18"/>
  <c r="U752" i="18"/>
  <c r="T752" i="18"/>
  <c r="U751" i="18"/>
  <c r="T751" i="18"/>
  <c r="U750" i="18"/>
  <c r="T750" i="18"/>
  <c r="U749" i="18"/>
  <c r="T749" i="18"/>
  <c r="U748" i="18"/>
  <c r="T748" i="18"/>
  <c r="U747" i="18"/>
  <c r="T747" i="18"/>
  <c r="U746" i="18"/>
  <c r="T746" i="18"/>
  <c r="U745" i="18"/>
  <c r="T745" i="18"/>
  <c r="U744" i="18"/>
  <c r="T744" i="18"/>
  <c r="U743" i="18"/>
  <c r="T743" i="18"/>
  <c r="U742" i="18"/>
  <c r="T742" i="18"/>
  <c r="U741" i="18"/>
  <c r="T741" i="18"/>
  <c r="U740" i="18"/>
  <c r="T740" i="18"/>
  <c r="U739" i="18"/>
  <c r="T739" i="18"/>
  <c r="U738" i="18"/>
  <c r="T738" i="18"/>
  <c r="U737" i="18"/>
  <c r="T737" i="18"/>
  <c r="U736" i="18"/>
  <c r="T736" i="18"/>
  <c r="U735" i="18"/>
  <c r="T735" i="18"/>
  <c r="U734" i="18"/>
  <c r="T734" i="18"/>
  <c r="U733" i="18"/>
  <c r="T733" i="18"/>
  <c r="U732" i="18"/>
  <c r="T732" i="18"/>
  <c r="U731" i="18"/>
  <c r="T731" i="18"/>
  <c r="U730" i="18"/>
  <c r="T730" i="18"/>
  <c r="U729" i="18"/>
  <c r="T729" i="18"/>
  <c r="U728" i="18"/>
  <c r="T728" i="18"/>
  <c r="U727" i="18"/>
  <c r="T727" i="18"/>
  <c r="U726" i="18"/>
  <c r="T726" i="18"/>
  <c r="U725" i="18"/>
  <c r="T725" i="18"/>
  <c r="U724" i="18"/>
  <c r="T724" i="18"/>
  <c r="U723" i="18"/>
  <c r="T723" i="18"/>
  <c r="U722" i="18"/>
  <c r="T722" i="18"/>
  <c r="U721" i="18"/>
  <c r="T721" i="18"/>
  <c r="U720" i="18"/>
  <c r="T720" i="18"/>
  <c r="U719" i="18"/>
  <c r="T719" i="18"/>
  <c r="U718" i="18"/>
  <c r="T718" i="18"/>
  <c r="U717" i="18"/>
  <c r="T717" i="18"/>
  <c r="U716" i="18"/>
  <c r="T716" i="18"/>
  <c r="U715" i="18"/>
  <c r="T715" i="18"/>
  <c r="U714" i="18"/>
  <c r="T714" i="18"/>
  <c r="U713" i="18"/>
  <c r="T713" i="18"/>
  <c r="U712" i="18"/>
  <c r="T712" i="18"/>
  <c r="U711" i="18"/>
  <c r="T711" i="18"/>
  <c r="U710" i="18"/>
  <c r="T710" i="18"/>
  <c r="U709" i="18"/>
  <c r="T709" i="18"/>
  <c r="U708" i="18"/>
  <c r="T708" i="18"/>
  <c r="U707" i="18"/>
  <c r="T707" i="18"/>
  <c r="U706" i="18"/>
  <c r="T706" i="18"/>
  <c r="U705" i="18"/>
  <c r="T705" i="18"/>
  <c r="U704" i="18"/>
  <c r="T704" i="18"/>
  <c r="U703" i="18"/>
  <c r="T703" i="18"/>
  <c r="U702" i="18"/>
  <c r="T702" i="18"/>
  <c r="U701" i="18"/>
  <c r="T701" i="18"/>
  <c r="U700" i="18"/>
  <c r="T700" i="18"/>
  <c r="U699" i="18"/>
  <c r="T699" i="18"/>
  <c r="U698" i="18"/>
  <c r="T698" i="18"/>
  <c r="U697" i="18"/>
  <c r="T697" i="18"/>
  <c r="U696" i="18"/>
  <c r="T696" i="18"/>
  <c r="U695" i="18"/>
  <c r="T695" i="18"/>
  <c r="U694" i="18"/>
  <c r="T694" i="18"/>
  <c r="U693" i="18"/>
  <c r="T693" i="18"/>
  <c r="U692" i="18"/>
  <c r="T692" i="18"/>
  <c r="U691" i="18"/>
  <c r="T691" i="18"/>
  <c r="U690" i="18"/>
  <c r="T690" i="18"/>
  <c r="U689" i="18"/>
  <c r="T689" i="18"/>
  <c r="U688" i="18"/>
  <c r="T688" i="18"/>
  <c r="U687" i="18"/>
  <c r="T687" i="18"/>
  <c r="U686" i="18"/>
  <c r="T686" i="18"/>
  <c r="U685" i="18"/>
  <c r="T685" i="18"/>
  <c r="U684" i="18"/>
  <c r="T684" i="18"/>
  <c r="U683" i="18"/>
  <c r="T683" i="18"/>
  <c r="U682" i="18"/>
  <c r="T682" i="18"/>
  <c r="U681" i="18"/>
  <c r="T681" i="18"/>
  <c r="U680" i="18"/>
  <c r="T680" i="18"/>
  <c r="U679" i="18"/>
  <c r="T679" i="18"/>
  <c r="U678" i="18"/>
  <c r="T678" i="18"/>
  <c r="U677" i="18"/>
  <c r="T677" i="18"/>
  <c r="U676" i="18"/>
  <c r="T676" i="18"/>
  <c r="U675" i="18"/>
  <c r="T675" i="18"/>
  <c r="U674" i="18"/>
  <c r="T674" i="18"/>
  <c r="U673" i="18"/>
  <c r="T673" i="18"/>
  <c r="U672" i="18"/>
  <c r="T672" i="18"/>
  <c r="U671" i="18"/>
  <c r="T671" i="18"/>
  <c r="U670" i="18"/>
  <c r="T670" i="18"/>
  <c r="U669" i="18"/>
  <c r="T669" i="18"/>
  <c r="U668" i="18"/>
  <c r="T668" i="18"/>
  <c r="U667" i="18"/>
  <c r="T667" i="18"/>
  <c r="U666" i="18"/>
  <c r="T666" i="18"/>
  <c r="U665" i="18"/>
  <c r="T665" i="18"/>
  <c r="U664" i="18"/>
  <c r="T664" i="18"/>
  <c r="U663" i="18"/>
  <c r="T663" i="18"/>
  <c r="U662" i="18"/>
  <c r="T662" i="18"/>
  <c r="U661" i="18"/>
  <c r="T661" i="18"/>
  <c r="U660" i="18"/>
  <c r="T660" i="18"/>
  <c r="U659" i="18"/>
  <c r="T659" i="18"/>
  <c r="U658" i="18"/>
  <c r="T658" i="18"/>
  <c r="U657" i="18"/>
  <c r="T657" i="18"/>
  <c r="U656" i="18"/>
  <c r="T656" i="18"/>
  <c r="U655" i="18"/>
  <c r="T655" i="18"/>
  <c r="U654" i="18"/>
  <c r="T654" i="18"/>
  <c r="U653" i="18"/>
  <c r="T653" i="18"/>
  <c r="U652" i="18"/>
  <c r="T652" i="18"/>
  <c r="U651" i="18"/>
  <c r="T651" i="18"/>
  <c r="U650" i="18"/>
  <c r="T650" i="18"/>
  <c r="U649" i="18"/>
  <c r="T649" i="18"/>
  <c r="U648" i="18"/>
  <c r="T648" i="18"/>
  <c r="U647" i="18"/>
  <c r="T647" i="18"/>
  <c r="U646" i="18"/>
  <c r="T646" i="18"/>
  <c r="U645" i="18"/>
  <c r="T645" i="18"/>
  <c r="U644" i="18"/>
  <c r="T644" i="18"/>
  <c r="U643" i="18"/>
  <c r="T643" i="18"/>
  <c r="U642" i="18"/>
  <c r="T642" i="18"/>
  <c r="U641" i="18"/>
  <c r="T641" i="18"/>
  <c r="U640" i="18"/>
  <c r="T640" i="18"/>
  <c r="U639" i="18"/>
  <c r="T639" i="18"/>
  <c r="U638" i="18"/>
  <c r="T638" i="18"/>
  <c r="U637" i="18"/>
  <c r="T637" i="18"/>
  <c r="U636" i="18"/>
  <c r="T636" i="18"/>
  <c r="U635" i="18"/>
  <c r="T635" i="18"/>
  <c r="U634" i="18"/>
  <c r="T634" i="18"/>
  <c r="U633" i="18"/>
  <c r="T633" i="18"/>
  <c r="U632" i="18"/>
  <c r="T632" i="18"/>
  <c r="U631" i="18"/>
  <c r="T631" i="18"/>
  <c r="U630" i="18"/>
  <c r="T630" i="18"/>
  <c r="U629" i="18"/>
  <c r="T629" i="18"/>
  <c r="U628" i="18"/>
  <c r="T628" i="18"/>
  <c r="U627" i="18"/>
  <c r="T627" i="18"/>
  <c r="U626" i="18"/>
  <c r="T626" i="18"/>
  <c r="U625" i="18"/>
  <c r="T625" i="18"/>
  <c r="U624" i="18"/>
  <c r="T624" i="18"/>
  <c r="U623" i="18"/>
  <c r="T623" i="18"/>
  <c r="U622" i="18"/>
  <c r="T622" i="18"/>
  <c r="U621" i="18"/>
  <c r="T621" i="18"/>
  <c r="U620" i="18"/>
  <c r="T620" i="18"/>
  <c r="U619" i="18"/>
  <c r="T619" i="18"/>
  <c r="U618" i="18"/>
  <c r="T618" i="18"/>
  <c r="U617" i="18"/>
  <c r="T617" i="18"/>
  <c r="U616" i="18"/>
  <c r="T616" i="18"/>
  <c r="U615" i="18"/>
  <c r="T615" i="18"/>
  <c r="U614" i="18"/>
  <c r="T614" i="18"/>
  <c r="U613" i="18"/>
  <c r="T613" i="18"/>
  <c r="U612" i="18"/>
  <c r="T612" i="18"/>
  <c r="U611" i="18"/>
  <c r="T611" i="18"/>
  <c r="U610" i="18"/>
  <c r="T610" i="18"/>
  <c r="U609" i="18"/>
  <c r="T609" i="18"/>
  <c r="U608" i="18"/>
  <c r="T608" i="18"/>
  <c r="U607" i="18"/>
  <c r="T607" i="18"/>
  <c r="U606" i="18"/>
  <c r="T606" i="18"/>
  <c r="U605" i="18"/>
  <c r="T605" i="18"/>
  <c r="U604" i="18"/>
  <c r="T604" i="18"/>
  <c r="U603" i="18"/>
  <c r="T603" i="18"/>
  <c r="U602" i="18"/>
  <c r="T602" i="18"/>
  <c r="U601" i="18"/>
  <c r="T601" i="18"/>
  <c r="U600" i="18"/>
  <c r="T600" i="18"/>
  <c r="U599" i="18"/>
  <c r="T599" i="18"/>
  <c r="U598" i="18"/>
  <c r="T598" i="18"/>
  <c r="U597" i="18"/>
  <c r="T597" i="18"/>
  <c r="U596" i="18"/>
  <c r="T596" i="18"/>
  <c r="U595" i="18"/>
  <c r="T595" i="18"/>
  <c r="U594" i="18"/>
  <c r="T594" i="18"/>
  <c r="U593" i="18"/>
  <c r="T593" i="18"/>
  <c r="U592" i="18"/>
  <c r="T592" i="18"/>
  <c r="U591" i="18"/>
  <c r="T591" i="18"/>
  <c r="U590" i="18"/>
  <c r="T590" i="18"/>
  <c r="U589" i="18"/>
  <c r="T589" i="18"/>
  <c r="U588" i="18"/>
  <c r="T588" i="18"/>
  <c r="U587" i="18"/>
  <c r="T587" i="18"/>
  <c r="U586" i="18"/>
  <c r="T586" i="18"/>
  <c r="U585" i="18"/>
  <c r="T585" i="18"/>
  <c r="U584" i="18"/>
  <c r="T584" i="18"/>
  <c r="U583" i="18"/>
  <c r="T583" i="18"/>
  <c r="U582" i="18"/>
  <c r="T582" i="18"/>
  <c r="U581" i="18"/>
  <c r="T581" i="18"/>
  <c r="U580" i="18"/>
  <c r="T580" i="18"/>
  <c r="U579" i="18"/>
  <c r="T579" i="18"/>
  <c r="U578" i="18"/>
  <c r="T578" i="18"/>
  <c r="U577" i="18"/>
  <c r="T577" i="18"/>
  <c r="U576" i="18"/>
  <c r="T576" i="18"/>
  <c r="U575" i="18"/>
  <c r="T575" i="18"/>
  <c r="U574" i="18"/>
  <c r="T574" i="18"/>
  <c r="U573" i="18"/>
  <c r="T573" i="18"/>
  <c r="U572" i="18"/>
  <c r="T572" i="18"/>
  <c r="U571" i="18"/>
  <c r="T571" i="18"/>
  <c r="U570" i="18"/>
  <c r="T570" i="18"/>
  <c r="U569" i="18"/>
  <c r="T569" i="18"/>
  <c r="U568" i="18"/>
  <c r="T568" i="18"/>
  <c r="U567" i="18"/>
  <c r="T567" i="18"/>
  <c r="U566" i="18"/>
  <c r="T566" i="18"/>
  <c r="U565" i="18"/>
  <c r="T565" i="18"/>
  <c r="U564" i="18"/>
  <c r="T564" i="18"/>
  <c r="U563" i="18"/>
  <c r="T563" i="18"/>
  <c r="U562" i="18"/>
  <c r="T562" i="18"/>
  <c r="U561" i="18"/>
  <c r="T561" i="18"/>
  <c r="U560" i="18"/>
  <c r="T560" i="18"/>
  <c r="U559" i="18"/>
  <c r="T559" i="18"/>
  <c r="U558" i="18"/>
  <c r="T558" i="18"/>
  <c r="U557" i="18"/>
  <c r="T557" i="18"/>
  <c r="U556" i="18"/>
  <c r="T556" i="18"/>
  <c r="U555" i="18"/>
  <c r="T555" i="18"/>
  <c r="U554" i="18"/>
  <c r="T554" i="18"/>
  <c r="U553" i="18"/>
  <c r="T553" i="18"/>
  <c r="U552" i="18"/>
  <c r="T552" i="18"/>
  <c r="U551" i="18"/>
  <c r="T551" i="18"/>
  <c r="U550" i="18"/>
  <c r="T550" i="18"/>
  <c r="U549" i="18"/>
  <c r="T549" i="18"/>
  <c r="U548" i="18"/>
  <c r="T548" i="18"/>
  <c r="U547" i="18"/>
  <c r="T547" i="18"/>
  <c r="U546" i="18"/>
  <c r="T546" i="18"/>
  <c r="U545" i="18"/>
  <c r="T545" i="18"/>
  <c r="U544" i="18"/>
  <c r="T544" i="18"/>
  <c r="U543" i="18"/>
  <c r="T543" i="18"/>
  <c r="U542" i="18"/>
  <c r="T542" i="18"/>
  <c r="U541" i="18"/>
  <c r="T541" i="18"/>
  <c r="U540" i="18"/>
  <c r="T540" i="18"/>
  <c r="U539" i="18"/>
  <c r="T539" i="18"/>
  <c r="U538" i="18"/>
  <c r="T538" i="18"/>
  <c r="U537" i="18"/>
  <c r="T537" i="18"/>
  <c r="U536" i="18"/>
  <c r="T536" i="18"/>
  <c r="U535" i="18"/>
  <c r="T535" i="18"/>
  <c r="U534" i="18"/>
  <c r="T534" i="18"/>
  <c r="U533" i="18"/>
  <c r="T533" i="18"/>
  <c r="U532" i="18"/>
  <c r="T532" i="18"/>
  <c r="U531" i="18"/>
  <c r="T531" i="18"/>
  <c r="U530" i="18"/>
  <c r="T530" i="18"/>
  <c r="U529" i="18"/>
  <c r="T529" i="18"/>
  <c r="U528" i="18"/>
  <c r="T528" i="18"/>
  <c r="U527" i="18"/>
  <c r="T527" i="18"/>
  <c r="U526" i="18"/>
  <c r="T526" i="18"/>
  <c r="U525" i="18"/>
  <c r="T525" i="18"/>
  <c r="U524" i="18"/>
  <c r="T524" i="18"/>
  <c r="U523" i="18"/>
  <c r="T523" i="18"/>
  <c r="U522" i="18"/>
  <c r="T522" i="18"/>
  <c r="U521" i="18"/>
  <c r="T521" i="18"/>
  <c r="U520" i="18"/>
  <c r="T520" i="18"/>
  <c r="U519" i="18"/>
  <c r="T519" i="18"/>
  <c r="U518" i="18"/>
  <c r="T518" i="18"/>
  <c r="U517" i="18"/>
  <c r="T517" i="18"/>
  <c r="U516" i="18"/>
  <c r="T516" i="18"/>
  <c r="U515" i="18"/>
  <c r="T515" i="18"/>
  <c r="U514" i="18"/>
  <c r="T514" i="18"/>
  <c r="U513" i="18"/>
  <c r="T513" i="18"/>
  <c r="U512" i="18"/>
  <c r="T512" i="18"/>
  <c r="U511" i="18"/>
  <c r="T511" i="18"/>
  <c r="U510" i="18"/>
  <c r="T510" i="18"/>
  <c r="U509" i="18"/>
  <c r="T509" i="18"/>
  <c r="U508" i="18"/>
  <c r="T508" i="18"/>
  <c r="U507" i="18"/>
  <c r="T507" i="18"/>
  <c r="U506" i="18"/>
  <c r="T506" i="18"/>
  <c r="U505" i="18"/>
  <c r="T505" i="18"/>
  <c r="U504" i="18"/>
  <c r="T504" i="18"/>
  <c r="U503" i="18"/>
  <c r="T503" i="18"/>
  <c r="U502" i="18"/>
  <c r="T502" i="18"/>
  <c r="U501" i="18"/>
  <c r="T501" i="18"/>
  <c r="U500" i="18"/>
  <c r="T500" i="18"/>
  <c r="U499" i="18"/>
  <c r="T499" i="18"/>
  <c r="U498" i="18"/>
  <c r="T498" i="18"/>
  <c r="U497" i="18"/>
  <c r="T497" i="18"/>
  <c r="U496" i="18"/>
  <c r="T496" i="18"/>
  <c r="U495" i="18"/>
  <c r="T495" i="18"/>
  <c r="U494" i="18"/>
  <c r="T494" i="18"/>
  <c r="U493" i="18"/>
  <c r="T493" i="18"/>
  <c r="U492" i="18"/>
  <c r="T492" i="18"/>
  <c r="U491" i="18"/>
  <c r="T491" i="18"/>
  <c r="U490" i="18"/>
  <c r="T490" i="18"/>
  <c r="U489" i="18"/>
  <c r="T489" i="18"/>
  <c r="U488" i="18"/>
  <c r="T488" i="18"/>
  <c r="U487" i="18"/>
  <c r="T487" i="18"/>
  <c r="U486" i="18"/>
  <c r="T486" i="18"/>
  <c r="U485" i="18"/>
  <c r="T485" i="18"/>
  <c r="U484" i="18"/>
  <c r="T484" i="18"/>
  <c r="U483" i="18"/>
  <c r="T483" i="18"/>
  <c r="U482" i="18"/>
  <c r="T482" i="18"/>
  <c r="U481" i="18"/>
  <c r="T481" i="18"/>
  <c r="U480" i="18"/>
  <c r="T480" i="18"/>
  <c r="U479" i="18"/>
  <c r="T479" i="18"/>
  <c r="U478" i="18"/>
  <c r="T478" i="18"/>
  <c r="U477" i="18"/>
  <c r="T477" i="18"/>
  <c r="U476" i="18"/>
  <c r="T476" i="18"/>
  <c r="U475" i="18"/>
  <c r="T475" i="18"/>
  <c r="U474" i="18"/>
  <c r="T474" i="18"/>
  <c r="U473" i="18"/>
  <c r="T473" i="18"/>
  <c r="U472" i="18"/>
  <c r="T472" i="18"/>
  <c r="U471" i="18"/>
  <c r="T471" i="18"/>
  <c r="U470" i="18"/>
  <c r="T470" i="18"/>
  <c r="U469" i="18"/>
  <c r="T469" i="18"/>
  <c r="U468" i="18"/>
  <c r="T468" i="18"/>
  <c r="U467" i="18"/>
  <c r="T467" i="18"/>
  <c r="U466" i="18"/>
  <c r="T466" i="18"/>
  <c r="U465" i="18"/>
  <c r="T465" i="18"/>
  <c r="U464" i="18"/>
  <c r="T464" i="18"/>
  <c r="U463" i="18"/>
  <c r="T463" i="18"/>
  <c r="U462" i="18"/>
  <c r="T462" i="18"/>
  <c r="U461" i="18"/>
  <c r="T461" i="18"/>
  <c r="U460" i="18"/>
  <c r="T460" i="18"/>
  <c r="U459" i="18"/>
  <c r="T459" i="18"/>
  <c r="U458" i="18"/>
  <c r="T458" i="18"/>
  <c r="U457" i="18"/>
  <c r="T457" i="18"/>
  <c r="U456" i="18"/>
  <c r="T456" i="18"/>
  <c r="U455" i="18"/>
  <c r="T455" i="18"/>
  <c r="U454" i="18"/>
  <c r="T454" i="18"/>
  <c r="U453" i="18"/>
  <c r="T453" i="18"/>
  <c r="U452" i="18"/>
  <c r="T452" i="18"/>
  <c r="U451" i="18"/>
  <c r="T451" i="18"/>
  <c r="U450" i="18"/>
  <c r="T450" i="18"/>
  <c r="U449" i="18"/>
  <c r="T449" i="18"/>
  <c r="U448" i="18"/>
  <c r="T448" i="18"/>
  <c r="U447" i="18"/>
  <c r="T447" i="18"/>
  <c r="U446" i="18"/>
  <c r="T446" i="18"/>
  <c r="U445" i="18"/>
  <c r="T445" i="18"/>
  <c r="U444" i="18"/>
  <c r="T444" i="18"/>
  <c r="U443" i="18"/>
  <c r="T443" i="18"/>
  <c r="U442" i="18"/>
  <c r="T442" i="18"/>
  <c r="U441" i="18"/>
  <c r="T441" i="18"/>
  <c r="U440" i="18"/>
  <c r="T440" i="18"/>
  <c r="U439" i="18"/>
  <c r="T439" i="18"/>
  <c r="U438" i="18"/>
  <c r="T438" i="18"/>
  <c r="U437" i="18"/>
  <c r="T437" i="18"/>
  <c r="U436" i="18"/>
  <c r="T436" i="18"/>
  <c r="U435" i="18"/>
  <c r="T435" i="18"/>
  <c r="U434" i="18"/>
  <c r="T434" i="18"/>
  <c r="U433" i="18"/>
  <c r="T433" i="18"/>
  <c r="U432" i="18"/>
  <c r="T432" i="18"/>
  <c r="U431" i="18"/>
  <c r="T431" i="18"/>
  <c r="U430" i="18"/>
  <c r="T430" i="18"/>
  <c r="U429" i="18"/>
  <c r="T429" i="18"/>
  <c r="U428" i="18"/>
  <c r="T428" i="18"/>
  <c r="U427" i="18"/>
  <c r="T427" i="18"/>
  <c r="U426" i="18"/>
  <c r="T426" i="18"/>
  <c r="U425" i="18"/>
  <c r="T425" i="18"/>
  <c r="U424" i="18"/>
  <c r="T424" i="18"/>
  <c r="U423" i="18"/>
  <c r="T423" i="18"/>
  <c r="U422" i="18"/>
  <c r="T422" i="18"/>
  <c r="U421" i="18"/>
  <c r="T421" i="18"/>
  <c r="U420" i="18"/>
  <c r="T420" i="18"/>
  <c r="U419" i="18"/>
  <c r="T419" i="18"/>
  <c r="U418" i="18"/>
  <c r="T418" i="18"/>
  <c r="U417" i="18"/>
  <c r="T417" i="18"/>
  <c r="U416" i="18"/>
  <c r="T416" i="18"/>
  <c r="U415" i="18"/>
  <c r="T415" i="18"/>
  <c r="U414" i="18"/>
  <c r="T414" i="18"/>
  <c r="U413" i="18"/>
  <c r="T413" i="18"/>
  <c r="U412" i="18"/>
  <c r="T412" i="18"/>
  <c r="U411" i="18"/>
  <c r="T411" i="18"/>
  <c r="U410" i="18"/>
  <c r="T410" i="18"/>
  <c r="U409" i="18"/>
  <c r="T409" i="18"/>
  <c r="U408" i="18"/>
  <c r="T408" i="18"/>
  <c r="U407" i="18"/>
  <c r="T407" i="18"/>
  <c r="U406" i="18"/>
  <c r="T406" i="18"/>
  <c r="U405" i="18"/>
  <c r="T405" i="18"/>
  <c r="U404" i="18"/>
  <c r="T404" i="18"/>
  <c r="U403" i="18"/>
  <c r="T403" i="18"/>
  <c r="U402" i="18"/>
  <c r="T402" i="18"/>
  <c r="U401" i="18"/>
  <c r="T401" i="18"/>
  <c r="U400" i="18"/>
  <c r="T400" i="18"/>
  <c r="U399" i="18"/>
  <c r="T399" i="18"/>
  <c r="U398" i="18"/>
  <c r="T398" i="18"/>
  <c r="U397" i="18"/>
  <c r="T397" i="18"/>
  <c r="U396" i="18"/>
  <c r="T396" i="18"/>
  <c r="U395" i="18"/>
  <c r="T395" i="18"/>
  <c r="U394" i="18"/>
  <c r="T394" i="18"/>
  <c r="U393" i="18"/>
  <c r="T393" i="18"/>
  <c r="U392" i="18"/>
  <c r="T392" i="18"/>
  <c r="U391" i="18"/>
  <c r="T391" i="18"/>
  <c r="U390" i="18"/>
  <c r="T390" i="18"/>
  <c r="U389" i="18"/>
  <c r="T389" i="18"/>
  <c r="U388" i="18"/>
  <c r="T388" i="18"/>
  <c r="U387" i="18"/>
  <c r="T387" i="18"/>
  <c r="U386" i="18"/>
  <c r="T386" i="18"/>
  <c r="U385" i="18"/>
  <c r="T385" i="18"/>
  <c r="U384" i="18"/>
  <c r="T384" i="18"/>
  <c r="U383" i="18"/>
  <c r="T383" i="18"/>
  <c r="U382" i="18"/>
  <c r="T382" i="18"/>
  <c r="U381" i="18"/>
  <c r="T381" i="18"/>
  <c r="U380" i="18"/>
  <c r="T380" i="18"/>
  <c r="U379" i="18"/>
  <c r="T379" i="18"/>
  <c r="U378" i="18"/>
  <c r="T378" i="18"/>
  <c r="U377" i="18"/>
  <c r="T377" i="18"/>
  <c r="U376" i="18"/>
  <c r="T376" i="18"/>
  <c r="U375" i="18"/>
  <c r="T375" i="18"/>
  <c r="U374" i="18"/>
  <c r="T374" i="18"/>
  <c r="U373" i="18"/>
  <c r="T373" i="18"/>
  <c r="U372" i="18"/>
  <c r="T372" i="18"/>
  <c r="U371" i="18"/>
  <c r="T371" i="18"/>
  <c r="U370" i="18"/>
  <c r="T370" i="18"/>
  <c r="U369" i="18"/>
  <c r="T369" i="18"/>
  <c r="U368" i="18"/>
  <c r="T368" i="18"/>
  <c r="U367" i="18"/>
  <c r="T367" i="18"/>
  <c r="U366" i="18"/>
  <c r="T366" i="18"/>
  <c r="U365" i="18"/>
  <c r="T365" i="18"/>
  <c r="U364" i="18"/>
  <c r="T364" i="18"/>
  <c r="U363" i="18"/>
  <c r="T363" i="18"/>
  <c r="U362" i="18"/>
  <c r="T362" i="18"/>
  <c r="U361" i="18"/>
  <c r="T361" i="18"/>
  <c r="U360" i="18"/>
  <c r="T360" i="18"/>
  <c r="U359" i="18"/>
  <c r="T359" i="18"/>
  <c r="U358" i="18"/>
  <c r="T358" i="18"/>
  <c r="U357" i="18"/>
  <c r="T357" i="18"/>
  <c r="U356" i="18"/>
  <c r="T356" i="18"/>
  <c r="U355" i="18"/>
  <c r="T355" i="18"/>
  <c r="U354" i="18"/>
  <c r="T354" i="18"/>
  <c r="U353" i="18"/>
  <c r="T353" i="18"/>
  <c r="U352" i="18"/>
  <c r="T352" i="18"/>
  <c r="U351" i="18"/>
  <c r="T351" i="18"/>
  <c r="U350" i="18"/>
  <c r="T350" i="18"/>
  <c r="U349" i="18"/>
  <c r="T349" i="18"/>
  <c r="U348" i="18"/>
  <c r="T348" i="18"/>
  <c r="U347" i="18"/>
  <c r="T347" i="18"/>
  <c r="U346" i="18"/>
  <c r="T346" i="18"/>
  <c r="U345" i="18"/>
  <c r="T345" i="18"/>
  <c r="U344" i="18"/>
  <c r="T344" i="18"/>
  <c r="U343" i="18"/>
  <c r="T343" i="18"/>
  <c r="U342" i="18"/>
  <c r="T342" i="18"/>
  <c r="U341" i="18"/>
  <c r="T341" i="18"/>
  <c r="U340" i="18"/>
  <c r="T340" i="18"/>
  <c r="U339" i="18"/>
  <c r="T339" i="18"/>
  <c r="U338" i="18"/>
  <c r="T338" i="18"/>
  <c r="U337" i="18"/>
  <c r="T337" i="18"/>
  <c r="U336" i="18"/>
  <c r="T336" i="18"/>
  <c r="U335" i="18"/>
  <c r="T335" i="18"/>
  <c r="V2972" i="18" l="1"/>
  <c r="W2972" i="18" s="1"/>
  <c r="V368" i="18"/>
  <c r="W368" i="18" s="1"/>
  <c r="V376" i="18"/>
  <c r="X376" i="18" s="1"/>
  <c r="V384" i="18"/>
  <c r="W384" i="18" s="1"/>
  <c r="V392" i="18"/>
  <c r="W392" i="18" s="1"/>
  <c r="V400" i="18"/>
  <c r="W400" i="18" s="1"/>
  <c r="V408" i="18"/>
  <c r="V416" i="18"/>
  <c r="W416" i="18" s="1"/>
  <c r="V424" i="18"/>
  <c r="V432" i="18"/>
  <c r="X432" i="18" s="1"/>
  <c r="V440" i="18"/>
  <c r="W440" i="18" s="1"/>
  <c r="V456" i="18"/>
  <c r="W456" i="18" s="1"/>
  <c r="V464" i="18"/>
  <c r="W464" i="18" s="1"/>
  <c r="V472" i="18"/>
  <c r="W472" i="18" s="1"/>
  <c r="V486" i="18"/>
  <c r="V500" i="18"/>
  <c r="W500" i="18" s="1"/>
  <c r="V502" i="18"/>
  <c r="V504" i="18"/>
  <c r="W504" i="18" s="1"/>
  <c r="V516" i="18"/>
  <c r="X516" i="18" s="1"/>
  <c r="V518" i="18"/>
  <c r="W518" i="18" s="1"/>
  <c r="V520" i="18"/>
  <c r="W520" i="18" s="1"/>
  <c r="V532" i="18"/>
  <c r="X532" i="18" s="1"/>
  <c r="V534" i="18"/>
  <c r="W534" i="18" s="1"/>
  <c r="V536" i="18"/>
  <c r="V540" i="18"/>
  <c r="V544" i="18"/>
  <c r="X544" i="18" s="1"/>
  <c r="V548" i="18"/>
  <c r="V550" i="18"/>
  <c r="V552" i="18"/>
  <c r="V564" i="18"/>
  <c r="X564" i="18" s="1"/>
  <c r="V566" i="18"/>
  <c r="V568" i="18"/>
  <c r="W568" i="18" s="1"/>
  <c r="V580" i="18"/>
  <c r="W580" i="18" s="1"/>
  <c r="V582" i="18"/>
  <c r="X582" i="18" s="1"/>
  <c r="V592" i="18"/>
  <c r="V596" i="18"/>
  <c r="V600" i="18"/>
  <c r="X600" i="18" s="1"/>
  <c r="V608" i="18"/>
  <c r="W608" i="18" s="1"/>
  <c r="V616" i="18"/>
  <c r="W616" i="18" s="1"/>
  <c r="V618" i="18"/>
  <c r="V624" i="18"/>
  <c r="V628" i="18"/>
  <c r="X628" i="18" s="1"/>
  <c r="V632" i="18"/>
  <c r="V640" i="18"/>
  <c r="V646" i="18"/>
  <c r="W646" i="18" s="1"/>
  <c r="V662" i="18"/>
  <c r="W662" i="18" s="1"/>
  <c r="V682" i="18"/>
  <c r="V686" i="18"/>
  <c r="W686" i="18" s="1"/>
  <c r="V702" i="18"/>
  <c r="V760" i="18"/>
  <c r="Y760" i="18" s="1"/>
  <c r="V764" i="18"/>
  <c r="V792" i="18"/>
  <c r="W792" i="18" s="1"/>
  <c r="V796" i="18"/>
  <c r="V808" i="18"/>
  <c r="W808" i="18" s="1"/>
  <c r="V820" i="18"/>
  <c r="V824" i="18"/>
  <c r="V838" i="18"/>
  <c r="V846" i="18"/>
  <c r="W846" i="18" s="1"/>
  <c r="V854" i="18"/>
  <c r="V870" i="18"/>
  <c r="V890" i="18"/>
  <c r="W890" i="18" s="1"/>
  <c r="V1012" i="18"/>
  <c r="W1012" i="18" s="1"/>
  <c r="V1014" i="18"/>
  <c r="V1018" i="18"/>
  <c r="V1022" i="18"/>
  <c r="W1022" i="18" s="1"/>
  <c r="V1026" i="18"/>
  <c r="X1026" i="18" s="1"/>
  <c r="V1030" i="18"/>
  <c r="V1034" i="18"/>
  <c r="V1036" i="18"/>
  <c r="V1042" i="18"/>
  <c r="W1042" i="18" s="1"/>
  <c r="V1046" i="18"/>
  <c r="V1050" i="18"/>
  <c r="W1050" i="18" s="1"/>
  <c r="V1054" i="18"/>
  <c r="W1054" i="18" s="1"/>
  <c r="V1056" i="18"/>
  <c r="W1056" i="18" s="1"/>
  <c r="V1062" i="18"/>
  <c r="V1066" i="18"/>
  <c r="V1076" i="18"/>
  <c r="V347" i="18"/>
  <c r="X347" i="18" s="1"/>
  <c r="V355" i="18"/>
  <c r="V363" i="18"/>
  <c r="V367" i="18"/>
  <c r="W367" i="18" s="1"/>
  <c r="V371" i="18"/>
  <c r="W371" i="18" s="1"/>
  <c r="V375" i="18"/>
  <c r="V379" i="18"/>
  <c r="V383" i="18"/>
  <c r="V387" i="18"/>
  <c r="W387" i="18" s="1"/>
  <c r="V391" i="18"/>
  <c r="V395" i="18"/>
  <c r="V399" i="18"/>
  <c r="W399" i="18" s="1"/>
  <c r="V403" i="18"/>
  <c r="W403" i="18" s="1"/>
  <c r="V407" i="18"/>
  <c r="V411" i="18"/>
  <c r="V415" i="18"/>
  <c r="W415" i="18" s="1"/>
  <c r="V419" i="18"/>
  <c r="W419" i="18" s="1"/>
  <c r="V423" i="18"/>
  <c r="W423" i="18" s="1"/>
  <c r="V427" i="18"/>
  <c r="V431" i="18"/>
  <c r="W431" i="18" s="1"/>
  <c r="V435" i="18"/>
  <c r="W435" i="18" s="1"/>
  <c r="V439" i="18"/>
  <c r="X439" i="18" s="1"/>
  <c r="V443" i="18"/>
  <c r="V447" i="18"/>
  <c r="W447" i="18" s="1"/>
  <c r="V487" i="18"/>
  <c r="W487" i="18" s="1"/>
  <c r="V491" i="18"/>
  <c r="V495" i="18"/>
  <c r="V499" i="18"/>
  <c r="V501" i="18"/>
  <c r="W501" i="18" s="1"/>
  <c r="V503" i="18"/>
  <c r="V511" i="18"/>
  <c r="W511" i="18" s="1"/>
  <c r="V513" i="18"/>
  <c r="W513" i="18" s="1"/>
  <c r="V515" i="18"/>
  <c r="W515" i="18" s="1"/>
  <c r="V519" i="18"/>
  <c r="V525" i="18"/>
  <c r="W525" i="18" s="1"/>
  <c r="V527" i="18"/>
  <c r="W527" i="18" s="1"/>
  <c r="V529" i="18"/>
  <c r="W529" i="18" s="1"/>
  <c r="V531" i="18"/>
  <c r="W531" i="18" s="1"/>
  <c r="V539" i="18"/>
  <c r="W539" i="18" s="1"/>
  <c r="V559" i="18"/>
  <c r="W559" i="18" s="1"/>
  <c r="V561" i="18"/>
  <c r="W561" i="18" s="1"/>
  <c r="V563" i="18"/>
  <c r="W563" i="18" s="1"/>
  <c r="V571" i="18"/>
  <c r="W571" i="18" s="1"/>
  <c r="V575" i="18"/>
  <c r="W575" i="18" s="1"/>
  <c r="V579" i="18"/>
  <c r="X579" i="18" s="1"/>
  <c r="V673" i="18"/>
  <c r="V675" i="18"/>
  <c r="W675" i="18" s="1"/>
  <c r="V677" i="18"/>
  <c r="V683" i="18"/>
  <c r="X683" i="18" s="1"/>
  <c r="V687" i="18"/>
  <c r="V689" i="18"/>
  <c r="V691" i="18"/>
  <c r="V693" i="18"/>
  <c r="W693" i="18" s="1"/>
  <c r="V697" i="18"/>
  <c r="V699" i="18"/>
  <c r="V703" i="18"/>
  <c r="V705" i="18"/>
  <c r="X705" i="18" s="1"/>
  <c r="V707" i="18"/>
  <c r="V711" i="18"/>
  <c r="W711" i="18" s="1"/>
  <c r="V715" i="18"/>
  <c r="W715" i="18" s="1"/>
  <c r="V717" i="18"/>
  <c r="W717" i="18" s="1"/>
  <c r="V719" i="18"/>
  <c r="V723" i="18"/>
  <c r="W723" i="18" s="1"/>
  <c r="V725" i="18"/>
  <c r="W725" i="18" s="1"/>
  <c r="V727" i="18"/>
  <c r="Y727" i="18" s="1"/>
  <c r="V733" i="18"/>
  <c r="V735" i="18"/>
  <c r="V739" i="18"/>
  <c r="W739" i="18" s="1"/>
  <c r="V743" i="18"/>
  <c r="X743" i="18" s="1"/>
  <c r="V747" i="18"/>
  <c r="X747" i="18" s="1"/>
  <c r="V749" i="18"/>
  <c r="W749" i="18" s="1"/>
  <c r="V751" i="18"/>
  <c r="W751" i="18" s="1"/>
  <c r="V755" i="18"/>
  <c r="Y761" i="18" s="1"/>
  <c r="V757" i="18"/>
  <c r="V761" i="18"/>
  <c r="V765" i="18"/>
  <c r="W765" i="18" s="1"/>
  <c r="V767" i="18"/>
  <c r="V771" i="18"/>
  <c r="V773" i="18"/>
  <c r="V775" i="18"/>
  <c r="V779" i="18"/>
  <c r="X779" i="18" s="1"/>
  <c r="V781" i="18"/>
  <c r="V783" i="18"/>
  <c r="V787" i="18"/>
  <c r="W787" i="18" s="1"/>
  <c r="V789" i="18"/>
  <c r="X789" i="18" s="1"/>
  <c r="V793" i="18"/>
  <c r="W793" i="18" s="1"/>
  <c r="V797" i="18"/>
  <c r="W797" i="18" s="1"/>
  <c r="V799" i="18"/>
  <c r="W799" i="18" s="1"/>
  <c r="V803" i="18"/>
  <c r="X803" i="18" s="1"/>
  <c r="V815" i="18"/>
  <c r="W815" i="18" s="1"/>
  <c r="V821" i="18"/>
  <c r="W821" i="18" s="1"/>
  <c r="V823" i="18"/>
  <c r="W823" i="18" s="1"/>
  <c r="V827" i="18"/>
  <c r="W827" i="18" s="1"/>
  <c r="V833" i="18"/>
  <c r="W833" i="18" s="1"/>
  <c r="V835" i="18"/>
  <c r="W835" i="18" s="1"/>
  <c r="V839" i="18"/>
  <c r="V841" i="18"/>
  <c r="W841" i="18" s="1"/>
  <c r="V843" i="18"/>
  <c r="V853" i="18"/>
  <c r="W853" i="18" s="1"/>
  <c r="V855" i="18"/>
  <c r="W855" i="18" s="1"/>
  <c r="V857" i="18"/>
  <c r="Y857" i="18" s="1"/>
  <c r="V859" i="18"/>
  <c r="V861" i="18"/>
  <c r="W861" i="18" s="1"/>
  <c r="V867" i="18"/>
  <c r="W867" i="18" s="1"/>
  <c r="V869" i="18"/>
  <c r="X869" i="18" s="1"/>
  <c r="V873" i="18"/>
  <c r="X873" i="18" s="1"/>
  <c r="V875" i="18"/>
  <c r="V881" i="18"/>
  <c r="W881" i="18" s="1"/>
  <c r="V889" i="18"/>
  <c r="W889" i="18" s="1"/>
  <c r="V893" i="18"/>
  <c r="W893" i="18" s="1"/>
  <c r="V897" i="18"/>
  <c r="W897" i="18" s="1"/>
  <c r="V899" i="18"/>
  <c r="V901" i="18"/>
  <c r="X901" i="18" s="1"/>
  <c r="V905" i="18"/>
  <c r="W905" i="18" s="1"/>
  <c r="V907" i="18"/>
  <c r="W907" i="18" s="1"/>
  <c r="V909" i="18"/>
  <c r="W909" i="18" s="1"/>
  <c r="V915" i="18"/>
  <c r="X915" i="18" s="1"/>
  <c r="V917" i="18"/>
  <c r="V921" i="18"/>
  <c r="W921" i="18" s="1"/>
  <c r="V923" i="18"/>
  <c r="W923" i="18" s="1"/>
  <c r="V925" i="18"/>
  <c r="W925" i="18" s="1"/>
  <c r="V927" i="18"/>
  <c r="W927" i="18" s="1"/>
  <c r="V929" i="18"/>
  <c r="X929" i="18" s="1"/>
  <c r="V931" i="18"/>
  <c r="V935" i="18"/>
  <c r="W935" i="18" s="1"/>
  <c r="V939" i="18"/>
  <c r="V941" i="18"/>
  <c r="V947" i="18"/>
  <c r="W947" i="18" s="1"/>
  <c r="V953" i="18"/>
  <c r="W953" i="18" s="1"/>
  <c r="V955" i="18"/>
  <c r="V963" i="18"/>
  <c r="W963" i="18" s="1"/>
  <c r="V965" i="18"/>
  <c r="V969" i="18"/>
  <c r="W969" i="18" s="1"/>
  <c r="V973" i="18"/>
  <c r="V979" i="18"/>
  <c r="W979" i="18" s="1"/>
  <c r="V981" i="18"/>
  <c r="W981" i="18" s="1"/>
  <c r="V985" i="18"/>
  <c r="X985" i="18" s="1"/>
  <c r="V989" i="18"/>
  <c r="V997" i="18"/>
  <c r="V1005" i="18"/>
  <c r="W1005" i="18" s="1"/>
  <c r="V1007" i="18"/>
  <c r="W1007" i="18" s="1"/>
  <c r="V1015" i="18"/>
  <c r="W1015" i="18" s="1"/>
  <c r="V1019" i="18"/>
  <c r="V1027" i="18"/>
  <c r="V1031" i="18"/>
  <c r="Y1031" i="18" s="1"/>
  <c r="V1035" i="18"/>
  <c r="W1035" i="18" s="1"/>
  <c r="V1039" i="18"/>
  <c r="W1039" i="18" s="1"/>
  <c r="V1043" i="18"/>
  <c r="W1043" i="18" s="1"/>
  <c r="V1047" i="18"/>
  <c r="W1047" i="18" s="1"/>
  <c r="V1051" i="18"/>
  <c r="V1059" i="18"/>
  <c r="W1059" i="18" s="1"/>
  <c r="V1063" i="18"/>
  <c r="W1063" i="18" s="1"/>
  <c r="V1075" i="18"/>
  <c r="W1075" i="18" s="1"/>
  <c r="V1079" i="18"/>
  <c r="V1081" i="18"/>
  <c r="V1083" i="18"/>
  <c r="V1095" i="18"/>
  <c r="W1095" i="18" s="1"/>
  <c r="V1097" i="18"/>
  <c r="V1101" i="18"/>
  <c r="V1103" i="18"/>
  <c r="W1103" i="18" s="1"/>
  <c r="V1105" i="18"/>
  <c r="W1105" i="18" s="1"/>
  <c r="V1107" i="18"/>
  <c r="W1107" i="18" s="1"/>
  <c r="V1113" i="18"/>
  <c r="W1113" i="18" s="1"/>
  <c r="V1117" i="18"/>
  <c r="W1117" i="18" s="1"/>
  <c r="V1119" i="18"/>
  <c r="Y1119" i="18" s="1"/>
  <c r="V1121" i="18"/>
  <c r="W1121" i="18" s="1"/>
  <c r="V1253" i="18"/>
  <c r="V1257" i="18"/>
  <c r="W1257" i="18" s="1"/>
  <c r="V1301" i="18"/>
  <c r="W1301" i="18" s="1"/>
  <c r="V1329" i="18"/>
  <c r="W1329" i="18" s="1"/>
  <c r="V1331" i="18"/>
  <c r="W1331" i="18" s="1"/>
  <c r="V1333" i="18"/>
  <c r="W1333" i="18" s="1"/>
  <c r="V1337" i="18"/>
  <c r="W1337" i="18" s="1"/>
  <c r="V1341" i="18"/>
  <c r="V1345" i="18"/>
  <c r="W1345" i="18" s="1"/>
  <c r="V1349" i="18"/>
  <c r="V1353" i="18"/>
  <c r="W1353" i="18" s="1"/>
  <c r="V1357" i="18"/>
  <c r="V1359" i="18"/>
  <c r="V1365" i="18"/>
  <c r="V1369" i="18"/>
  <c r="W1369" i="18" s="1"/>
  <c r="V1373" i="18"/>
  <c r="V1377" i="18"/>
  <c r="V1381" i="18"/>
  <c r="W1381" i="18" s="1"/>
  <c r="V1383" i="18"/>
  <c r="X1383" i="18" s="1"/>
  <c r="V1389" i="18"/>
  <c r="W1389" i="18" s="1"/>
  <c r="V1391" i="18"/>
  <c r="X1391" i="18" s="1"/>
  <c r="V1397" i="18"/>
  <c r="W1397" i="18" s="1"/>
  <c r="V1399" i="18"/>
  <c r="W1399" i="18" s="1"/>
  <c r="V1401" i="18"/>
  <c r="V1407" i="18"/>
  <c r="W1407" i="18" s="1"/>
  <c r="V1415" i="18"/>
  <c r="V1417" i="18"/>
  <c r="X1417" i="18" s="1"/>
  <c r="V1419" i="18"/>
  <c r="V1421" i="18"/>
  <c r="V1423" i="18"/>
  <c r="W1423" i="18" s="1"/>
  <c r="V1427" i="18"/>
  <c r="W1427" i="18" s="1"/>
  <c r="V1429" i="18"/>
  <c r="W1429" i="18" s="1"/>
  <c r="V1433" i="18"/>
  <c r="V1435" i="18"/>
  <c r="W1435" i="18" s="1"/>
  <c r="V1437" i="18"/>
  <c r="W1437" i="18" s="1"/>
  <c r="V1439" i="18"/>
  <c r="W1439" i="18" s="1"/>
  <c r="V1443" i="18"/>
  <c r="V1445" i="18"/>
  <c r="V1453" i="18"/>
  <c r="V1457" i="18"/>
  <c r="V1459" i="18"/>
  <c r="V1461" i="18"/>
  <c r="V1463" i="18"/>
  <c r="W1463" i="18" s="1"/>
  <c r="V1465" i="18"/>
  <c r="W1465" i="18" s="1"/>
  <c r="V1469" i="18"/>
  <c r="W1469" i="18" s="1"/>
  <c r="V1473" i="18"/>
  <c r="V1483" i="18"/>
  <c r="W1483" i="18" s="1"/>
  <c r="V1487" i="18"/>
  <c r="V1489" i="18"/>
  <c r="V1491" i="18"/>
  <c r="W1491" i="18" s="1"/>
  <c r="V1493" i="18"/>
  <c r="X1493" i="18" s="1"/>
  <c r="V1499" i="18"/>
  <c r="V1503" i="18"/>
  <c r="X1503" i="18" s="1"/>
  <c r="V1505" i="18"/>
  <c r="W1505" i="18" s="1"/>
  <c r="V1513" i="18"/>
  <c r="W1513" i="18" s="1"/>
  <c r="V1515" i="18"/>
  <c r="W1515" i="18" s="1"/>
  <c r="V1519" i="18"/>
  <c r="V1575" i="18"/>
  <c r="W1575" i="18" s="1"/>
  <c r="V1579" i="18"/>
  <c r="W1579" i="18" s="1"/>
  <c r="V1587" i="18"/>
  <c r="V1603" i="18"/>
  <c r="W1603" i="18" s="1"/>
  <c r="V1623" i="18"/>
  <c r="W1623" i="18" s="1"/>
  <c r="V1627" i="18"/>
  <c r="W1627" i="18" s="1"/>
  <c r="V1635" i="18"/>
  <c r="W1635" i="18" s="1"/>
  <c r="V1639" i="18"/>
  <c r="W1639" i="18" s="1"/>
  <c r="V1641" i="18"/>
  <c r="W1641" i="18" s="1"/>
  <c r="V1643" i="18"/>
  <c r="X1643" i="18" s="1"/>
  <c r="V1647" i="18"/>
  <c r="W1647" i="18" s="1"/>
  <c r="V1649" i="18"/>
  <c r="W1649" i="18" s="1"/>
  <c r="V1651" i="18"/>
  <c r="W1651" i="18" s="1"/>
  <c r="V1655" i="18"/>
  <c r="W1655" i="18" s="1"/>
  <c r="V1657" i="18"/>
  <c r="V1659" i="18"/>
  <c r="W1659" i="18" s="1"/>
  <c r="V1661" i="18"/>
  <c r="W1661" i="18" s="1"/>
  <c r="V1663" i="18"/>
  <c r="X1663" i="18" s="1"/>
  <c r="V1665" i="18"/>
  <c r="W1665" i="18" s="1"/>
  <c r="V1667" i="18"/>
  <c r="W1667" i="18" s="1"/>
  <c r="V1669" i="18"/>
  <c r="W1669" i="18" s="1"/>
  <c r="V1671" i="18"/>
  <c r="X1671" i="18" s="1"/>
  <c r="V1673" i="18"/>
  <c r="W1673" i="18" s="1"/>
  <c r="V1675" i="18"/>
  <c r="W1675" i="18" s="1"/>
  <c r="V1677" i="18"/>
  <c r="W1677" i="18" s="1"/>
  <c r="V1679" i="18"/>
  <c r="W1679" i="18" s="1"/>
  <c r="V1681" i="18"/>
  <c r="W1681" i="18" s="1"/>
  <c r="V1683" i="18"/>
  <c r="W1683" i="18" s="1"/>
  <c r="V1685" i="18"/>
  <c r="V1687" i="18"/>
  <c r="X1687" i="18" s="1"/>
  <c r="V1689" i="18"/>
  <c r="W1689" i="18" s="1"/>
  <c r="V1691" i="18"/>
  <c r="W1691" i="18" s="1"/>
  <c r="V1693" i="18"/>
  <c r="W1693" i="18" s="1"/>
  <c r="V1695" i="18"/>
  <c r="X1695" i="18" s="1"/>
  <c r="V1697" i="18"/>
  <c r="W1697" i="18" s="1"/>
  <c r="V1699" i="18"/>
  <c r="V1701" i="18"/>
  <c r="W1701" i="18" s="1"/>
  <c r="V1703" i="18"/>
  <c r="X1703" i="18" s="1"/>
  <c r="V1705" i="18"/>
  <c r="V1707" i="18"/>
  <c r="W1707" i="18" s="1"/>
  <c r="V1709" i="18"/>
  <c r="W1709" i="18" s="1"/>
  <c r="V1711" i="18"/>
  <c r="X1711" i="18" s="1"/>
  <c r="V1713" i="18"/>
  <c r="V1715" i="18"/>
  <c r="V1717" i="18"/>
  <c r="W1717" i="18" s="1"/>
  <c r="V1719" i="18"/>
  <c r="X1719" i="18" s="1"/>
  <c r="V1721" i="18"/>
  <c r="W1721" i="18" s="1"/>
  <c r="V1723" i="18"/>
  <c r="V1725" i="18"/>
  <c r="W1725" i="18" s="1"/>
  <c r="V1727" i="18"/>
  <c r="X1727" i="18" s="1"/>
  <c r="V1729" i="18"/>
  <c r="W1729" i="18" s="1"/>
  <c r="V1731" i="18"/>
  <c r="W1731" i="18" s="1"/>
  <c r="V1733" i="18"/>
  <c r="W1733" i="18" s="1"/>
  <c r="V1735" i="18"/>
  <c r="W1735" i="18" s="1"/>
  <c r="V1737" i="18"/>
  <c r="W1737" i="18" s="1"/>
  <c r="V1743" i="18"/>
  <c r="W1743" i="18" s="1"/>
  <c r="V1755" i="18"/>
  <c r="V1759" i="18"/>
  <c r="W1759" i="18" s="1"/>
  <c r="V1775" i="18"/>
  <c r="V1787" i="18"/>
  <c r="W1787" i="18" s="1"/>
  <c r="V1791" i="18"/>
  <c r="W1791" i="18" s="1"/>
  <c r="V1807" i="18"/>
  <c r="W1807" i="18" s="1"/>
  <c r="V1819" i="18"/>
  <c r="V1823" i="18"/>
  <c r="W1823" i="18" s="1"/>
  <c r="V1839" i="18"/>
  <c r="V1851" i="18"/>
  <c r="W1851" i="18" s="1"/>
  <c r="V1855" i="18"/>
  <c r="V1857" i="18"/>
  <c r="V1859" i="18"/>
  <c r="W1859" i="18" s="1"/>
  <c r="V1863" i="18"/>
  <c r="W1863" i="18" s="1"/>
  <c r="V1871" i="18"/>
  <c r="V1877" i="18"/>
  <c r="V1879" i="18"/>
  <c r="W1879" i="18" s="1"/>
  <c r="V1883" i="18"/>
  <c r="Y1883" i="18" s="1"/>
  <c r="V1887" i="18"/>
  <c r="W1887" i="18" s="1"/>
  <c r="V1891" i="18"/>
  <c r="W1891" i="18" s="1"/>
  <c r="V1893" i="18"/>
  <c r="W1893" i="18" s="1"/>
  <c r="V1895" i="18"/>
  <c r="X1895" i="18" s="1"/>
  <c r="V1897" i="18"/>
  <c r="V1901" i="18"/>
  <c r="W1901" i="18" s="1"/>
  <c r="V1921" i="18"/>
  <c r="W1921" i="18" s="1"/>
  <c r="V1937" i="18"/>
  <c r="X1937" i="18" s="1"/>
  <c r="V1945" i="18"/>
  <c r="W1945" i="18" s="1"/>
  <c r="V1949" i="18"/>
  <c r="W1949" i="18" s="1"/>
  <c r="V1957" i="18"/>
  <c r="W1957" i="18" s="1"/>
  <c r="V1981" i="18"/>
  <c r="W1981" i="18" s="1"/>
  <c r="V2031" i="18"/>
  <c r="W2031" i="18" s="1"/>
  <c r="V2039" i="18"/>
  <c r="W2039" i="18" s="1"/>
  <c r="V2051" i="18"/>
  <c r="W2051" i="18" s="1"/>
  <c r="V2053" i="18"/>
  <c r="Y2053" i="18" s="1"/>
  <c r="V2055" i="18"/>
  <c r="V2057" i="18"/>
  <c r="V2063" i="18"/>
  <c r="V2065" i="18"/>
  <c r="Y2065" i="18" s="1"/>
  <c r="V2101" i="18"/>
  <c r="V2103" i="18"/>
  <c r="V2107" i="18"/>
  <c r="V2109" i="18"/>
  <c r="Y2109" i="18" s="1"/>
  <c r="V2111" i="18"/>
  <c r="V2113" i="18"/>
  <c r="V2117" i="18"/>
  <c r="W2117" i="18" s="1"/>
  <c r="V2119" i="18"/>
  <c r="X2119" i="18" s="1"/>
  <c r="V2125" i="18"/>
  <c r="W2125" i="18" s="1"/>
  <c r="V2129" i="18"/>
  <c r="W2129" i="18" s="1"/>
  <c r="V2133" i="18"/>
  <c r="V2137" i="18"/>
  <c r="Y2137" i="18" s="1"/>
  <c r="V2141" i="18"/>
  <c r="V2143" i="18"/>
  <c r="W2143" i="18" s="1"/>
  <c r="V2149" i="18"/>
  <c r="W2149" i="18" s="1"/>
  <c r="V2153" i="18"/>
  <c r="Y2153" i="18" s="1"/>
  <c r="V2157" i="18"/>
  <c r="V2159" i="18"/>
  <c r="W2159" i="18" s="1"/>
  <c r="V2163" i="18"/>
  <c r="V2169" i="18"/>
  <c r="Y2175" i="18" s="1"/>
  <c r="V2171" i="18"/>
  <c r="W2171" i="18" s="1"/>
  <c r="V2177" i="18"/>
  <c r="W2177" i="18" s="1"/>
  <c r="V2181" i="18"/>
  <c r="W2181" i="18" s="1"/>
  <c r="V2185" i="18"/>
  <c r="W2185" i="18" s="1"/>
  <c r="V2189" i="18"/>
  <c r="V2193" i="18"/>
  <c r="V2197" i="18"/>
  <c r="W2197" i="18" s="1"/>
  <c r="V2201" i="18"/>
  <c r="W2201" i="18" s="1"/>
  <c r="V2205" i="18"/>
  <c r="V2209" i="18"/>
  <c r="W2209" i="18" s="1"/>
  <c r="V2213" i="18"/>
  <c r="W2213" i="18" s="1"/>
  <c r="V2217" i="18"/>
  <c r="X2217" i="18" s="1"/>
  <c r="V2221" i="18"/>
  <c r="W2221" i="18" s="1"/>
  <c r="V2225" i="18"/>
  <c r="V2229" i="18"/>
  <c r="W2229" i="18" s="1"/>
  <c r="V2317" i="18"/>
  <c r="Y2317" i="18" s="1"/>
  <c r="V2321" i="18"/>
  <c r="W2321" i="18" s="1"/>
  <c r="V2325" i="18"/>
  <c r="W2325" i="18" s="1"/>
  <c r="V2329" i="18"/>
  <c r="V2333" i="18"/>
  <c r="Y2333" i="18" s="1"/>
  <c r="V2337" i="18"/>
  <c r="V2341" i="18"/>
  <c r="W2341" i="18" s="1"/>
  <c r="V2345" i="18"/>
  <c r="W2345" i="18" s="1"/>
  <c r="V2349" i="18"/>
  <c r="Y2349" i="18" s="1"/>
  <c r="V2353" i="18"/>
  <c r="W2353" i="18" s="1"/>
  <c r="V2357" i="18"/>
  <c r="X2357" i="18" s="1"/>
  <c r="V2361" i="18"/>
  <c r="W2361" i="18" s="1"/>
  <c r="V2365" i="18"/>
  <c r="Y2365" i="18" s="1"/>
  <c r="V2369" i="18"/>
  <c r="V2373" i="18"/>
  <c r="W2373" i="18" s="1"/>
  <c r="V2377" i="18"/>
  <c r="W2377" i="18" s="1"/>
  <c r="V2381" i="18"/>
  <c r="Y2381" i="18" s="1"/>
  <c r="V2385" i="18"/>
  <c r="V2389" i="18"/>
  <c r="W2389" i="18" s="1"/>
  <c r="V2393" i="18"/>
  <c r="W2393" i="18" s="1"/>
  <c r="V2397" i="18"/>
  <c r="Y2397" i="18" s="1"/>
  <c r="V2401" i="18"/>
  <c r="W2401" i="18" s="1"/>
  <c r="V2405" i="18"/>
  <c r="W2405" i="18" s="1"/>
  <c r="V2409" i="18"/>
  <c r="W2409" i="18" s="1"/>
  <c r="V2423" i="18"/>
  <c r="W2423" i="18" s="1"/>
  <c r="V2431" i="18"/>
  <c r="W2431" i="18" s="1"/>
  <c r="V2439" i="18"/>
  <c r="W2439" i="18" s="1"/>
  <c r="V2449" i="18"/>
  <c r="W2449" i="18" s="1"/>
  <c r="V2453" i="18"/>
  <c r="W2453" i="18" s="1"/>
  <c r="V2457" i="18"/>
  <c r="W2457" i="18" s="1"/>
  <c r="V2461" i="18"/>
  <c r="W2461" i="18" s="1"/>
  <c r="V2465" i="18"/>
  <c r="W2465" i="18" s="1"/>
  <c r="V2469" i="18"/>
  <c r="X2469" i="18" s="1"/>
  <c r="V2481" i="18"/>
  <c r="V2489" i="18"/>
  <c r="V2497" i="18"/>
  <c r="V2503" i="18"/>
  <c r="W2503" i="18" s="1"/>
  <c r="V2505" i="18"/>
  <c r="W2505" i="18" s="1"/>
  <c r="V2509" i="18"/>
  <c r="W2509" i="18" s="1"/>
  <c r="V2513" i="18"/>
  <c r="W2513" i="18" s="1"/>
  <c r="V2517" i="18"/>
  <c r="W2517" i="18" s="1"/>
  <c r="V2521" i="18"/>
  <c r="W2521" i="18" s="1"/>
  <c r="V2525" i="18"/>
  <c r="V2529" i="18"/>
  <c r="W2529" i="18" s="1"/>
  <c r="V2533" i="18"/>
  <c r="W2533" i="18" s="1"/>
  <c r="V2535" i="18"/>
  <c r="W2535" i="18" s="1"/>
  <c r="V2537" i="18"/>
  <c r="V2543" i="18"/>
  <c r="W2543" i="18" s="1"/>
  <c r="V2547" i="18"/>
  <c r="W2547" i="18" s="1"/>
  <c r="V2551" i="18"/>
  <c r="W2551" i="18" s="1"/>
  <c r="V2553" i="18"/>
  <c r="X2553" i="18" s="1"/>
  <c r="V2559" i="18"/>
  <c r="W2559" i="18" s="1"/>
  <c r="V2563" i="18"/>
  <c r="W2563" i="18" s="1"/>
  <c r="V2573" i="18"/>
  <c r="W2573" i="18" s="1"/>
  <c r="V2577" i="18"/>
  <c r="W2577" i="18" s="1"/>
  <c r="V2607" i="18"/>
  <c r="W2607" i="18" s="1"/>
  <c r="V2613" i="18"/>
  <c r="W2613" i="18" s="1"/>
  <c r="V2617" i="18"/>
  <c r="V2619" i="18"/>
  <c r="V2623" i="18"/>
  <c r="V2629" i="18"/>
  <c r="W2629" i="18" s="1"/>
  <c r="V2633" i="18"/>
  <c r="W2633" i="18" s="1"/>
  <c r="V2635" i="18"/>
  <c r="W2635" i="18" s="1"/>
  <c r="V2639" i="18"/>
  <c r="W2639" i="18" s="1"/>
  <c r="V2777" i="18"/>
  <c r="V2779" i="18"/>
  <c r="W2779" i="18" s="1"/>
  <c r="V2781" i="18"/>
  <c r="V2787" i="18"/>
  <c r="W2787" i="18" s="1"/>
  <c r="V2789" i="18"/>
  <c r="W2789" i="18" s="1"/>
  <c r="V2791" i="18"/>
  <c r="V2793" i="18"/>
  <c r="W2793" i="18" s="1"/>
  <c r="V2797" i="18"/>
  <c r="W2797" i="18" s="1"/>
  <c r="V2799" i="18"/>
  <c r="W2799" i="18" s="1"/>
  <c r="V2803" i="18"/>
  <c r="W2803" i="18" s="1"/>
  <c r="V2811" i="18"/>
  <c r="W2811" i="18" s="1"/>
  <c r="V2815" i="18"/>
  <c r="W2815" i="18" s="1"/>
  <c r="V2817" i="18"/>
  <c r="W2817" i="18" s="1"/>
  <c r="V2821" i="18"/>
  <c r="W2821" i="18" s="1"/>
  <c r="V2827" i="18"/>
  <c r="V2831" i="18"/>
  <c r="V2835" i="18"/>
  <c r="W2835" i="18" s="1"/>
  <c r="V2839" i="18"/>
  <c r="W2839" i="18" s="1"/>
  <c r="V2845" i="18"/>
  <c r="W2845" i="18" s="1"/>
  <c r="V2853" i="18"/>
  <c r="W2853" i="18" s="1"/>
  <c r="V2861" i="18"/>
  <c r="X2861" i="18" s="1"/>
  <c r="V2869" i="18"/>
  <c r="V2877" i="18"/>
  <c r="W2877" i="18" s="1"/>
  <c r="V2881" i="18"/>
  <c r="W2881" i="18" s="1"/>
  <c r="V2885" i="18"/>
  <c r="W2885" i="18" s="1"/>
  <c r="V1092" i="18"/>
  <c r="W1092" i="18" s="1"/>
  <c r="V1178" i="18"/>
  <c r="V1220" i="18"/>
  <c r="V1224" i="18"/>
  <c r="V1226" i="18"/>
  <c r="W1226" i="18" s="1"/>
  <c r="V1228" i="18"/>
  <c r="V1230" i="18"/>
  <c r="X1230" i="18" s="1"/>
  <c r="V1232" i="18"/>
  <c r="V1236" i="18"/>
  <c r="V1240" i="18"/>
  <c r="W1240" i="18" s="1"/>
  <c r="V1334" i="18"/>
  <c r="W1334" i="18" s="1"/>
  <c r="V1338" i="18"/>
  <c r="W1338" i="18" s="1"/>
  <c r="V1346" i="18"/>
  <c r="V1354" i="18"/>
  <c r="V1362" i="18"/>
  <c r="W1362" i="18" s="1"/>
  <c r="V1366" i="18"/>
  <c r="W1366" i="18" s="1"/>
  <c r="V1370" i="18"/>
  <c r="V1378" i="18"/>
  <c r="V1386" i="18"/>
  <c r="W1386" i="18" s="1"/>
  <c r="V1390" i="18"/>
  <c r="W1390" i="18" s="1"/>
  <c r="V1394" i="18"/>
  <c r="W1394" i="18" s="1"/>
  <c r="V1398" i="18"/>
  <c r="V1400" i="18"/>
  <c r="V1410" i="18"/>
  <c r="V1414" i="18"/>
  <c r="V1430" i="18"/>
  <c r="V1434" i="18"/>
  <c r="V1436" i="18"/>
  <c r="W1436" i="18" s="1"/>
  <c r="V1448" i="18"/>
  <c r="W1448" i="18" s="1"/>
  <c r="V1450" i="18"/>
  <c r="V1454" i="18"/>
  <c r="V1462" i="18"/>
  <c r="W1462" i="18" s="1"/>
  <c r="V1464" i="18"/>
  <c r="W1464" i="18" s="1"/>
  <c r="V1510" i="18"/>
  <c r="V1522" i="18"/>
  <c r="V1526" i="18"/>
  <c r="V1534" i="18"/>
  <c r="V1542" i="18"/>
  <c r="W1542" i="18" s="1"/>
  <c r="V1552" i="18"/>
  <c r="V1554" i="18"/>
  <c r="V1560" i="18"/>
  <c r="V1566" i="18"/>
  <c r="V1568" i="18"/>
  <c r="W1568" i="18" s="1"/>
  <c r="V1570" i="18"/>
  <c r="W1570" i="18" s="1"/>
  <c r="V1738" i="18"/>
  <c r="W1738" i="18" s="1"/>
  <c r="V1740" i="18"/>
  <c r="W1740" i="18" s="1"/>
  <c r="V1858" i="18"/>
  <c r="W1858" i="18" s="1"/>
  <c r="V1862" i="18"/>
  <c r="W1862" i="18" s="1"/>
  <c r="V1866" i="18"/>
  <c r="W1866" i="18" s="1"/>
  <c r="V1882" i="18"/>
  <c r="W1882" i="18" s="1"/>
  <c r="V1904" i="18"/>
  <c r="W1904" i="18" s="1"/>
  <c r="V1908" i="18"/>
  <c r="W1908" i="18" s="1"/>
  <c r="V1910" i="18"/>
  <c r="W1910" i="18" s="1"/>
  <c r="V1912" i="18"/>
  <c r="W1912" i="18" s="1"/>
  <c r="V1914" i="18"/>
  <c r="W1914" i="18" s="1"/>
  <c r="V1916" i="18"/>
  <c r="V1918" i="18"/>
  <c r="W1918" i="18" s="1"/>
  <c r="V1926" i="18"/>
  <c r="W1926" i="18" s="1"/>
  <c r="V1930" i="18"/>
  <c r="X1930" i="18" s="1"/>
  <c r="V1932" i="18"/>
  <c r="W1932" i="18" s="1"/>
  <c r="V1934" i="18"/>
  <c r="V1940" i="18"/>
  <c r="W1940" i="18" s="1"/>
  <c r="V1942" i="18"/>
  <c r="V1944" i="18"/>
  <c r="V1952" i="18"/>
  <c r="W1952" i="18" s="1"/>
  <c r="V1956" i="18"/>
  <c r="W1956" i="18" s="1"/>
  <c r="V1958" i="18"/>
  <c r="V1962" i="18"/>
  <c r="V448" i="18"/>
  <c r="W448" i="18" s="1"/>
  <c r="V1965" i="18"/>
  <c r="V451" i="18"/>
  <c r="V455" i="18"/>
  <c r="W455" i="18" s="1"/>
  <c r="V459" i="18"/>
  <c r="W459" i="18" s="1"/>
  <c r="V463" i="18"/>
  <c r="W463" i="18" s="1"/>
  <c r="V467" i="18"/>
  <c r="V471" i="18"/>
  <c r="V475" i="18"/>
  <c r="V477" i="18"/>
  <c r="V483" i="18"/>
  <c r="W483" i="18" s="1"/>
  <c r="V485" i="18"/>
  <c r="W485" i="18" s="1"/>
  <c r="V1968" i="18"/>
  <c r="W1968" i="18" s="1"/>
  <c r="V1970" i="18"/>
  <c r="W1970" i="18" s="1"/>
  <c r="V1976" i="18"/>
  <c r="W1976" i="18" s="1"/>
  <c r="V1978" i="18"/>
  <c r="V1984" i="18"/>
  <c r="V2026" i="18"/>
  <c r="W2026" i="18" s="1"/>
  <c r="V2030" i="18"/>
  <c r="W2030" i="18" s="1"/>
  <c r="V2034" i="18"/>
  <c r="W2034" i="18" s="1"/>
  <c r="V2036" i="18"/>
  <c r="W2036" i="18" s="1"/>
  <c r="V2042" i="18"/>
  <c r="V2044" i="18"/>
  <c r="W2044" i="18" s="1"/>
  <c r="V2048" i="18"/>
  <c r="W2048" i="18" s="1"/>
  <c r="V2050" i="18"/>
  <c r="W2050" i="18" s="1"/>
  <c r="V2052" i="18"/>
  <c r="V2056" i="18"/>
  <c r="V2058" i="18"/>
  <c r="W2058" i="18" s="1"/>
  <c r="V2060" i="18"/>
  <c r="W2060" i="18" s="1"/>
  <c r="V2064" i="18"/>
  <c r="V2066" i="18"/>
  <c r="W2066" i="18" s="1"/>
  <c r="V2068" i="18"/>
  <c r="W2068" i="18" s="1"/>
  <c r="V2070" i="18"/>
  <c r="V2072" i="18"/>
  <c r="W2072" i="18" s="1"/>
  <c r="V2074" i="18"/>
  <c r="W2074" i="18" s="1"/>
  <c r="V2076" i="18"/>
  <c r="W2076" i="18" s="1"/>
  <c r="V2078" i="18"/>
  <c r="V2080" i="18"/>
  <c r="W2080" i="18" s="1"/>
  <c r="V2082" i="18"/>
  <c r="W2082" i="18" s="1"/>
  <c r="V2084" i="18"/>
  <c r="V2086" i="18"/>
  <c r="V2088" i="18"/>
  <c r="W2088" i="18" s="1"/>
  <c r="V2090" i="18"/>
  <c r="W2090" i="18" s="1"/>
  <c r="V2092" i="18"/>
  <c r="V2094" i="18"/>
  <c r="V2096" i="18"/>
  <c r="W2096" i="18" s="1"/>
  <c r="V2098" i="18"/>
  <c r="V2106" i="18"/>
  <c r="W2106" i="18" s="1"/>
  <c r="V2112" i="18"/>
  <c r="V2178" i="18"/>
  <c r="V2182" i="18"/>
  <c r="V2186" i="18"/>
  <c r="W2186" i="18" s="1"/>
  <c r="V2190" i="18"/>
  <c r="W2190" i="18" s="1"/>
  <c r="V2194" i="18"/>
  <c r="V2198" i="18"/>
  <c r="V2202" i="18"/>
  <c r="V2206" i="18"/>
  <c r="V2210" i="18"/>
  <c r="V2214" i="18"/>
  <c r="W2214" i="18" s="1"/>
  <c r="V2218" i="18"/>
  <c r="W2218" i="18" s="1"/>
  <c r="V2222" i="18"/>
  <c r="W2222" i="18" s="1"/>
  <c r="V2226" i="18"/>
  <c r="V2230" i="18"/>
  <c r="W2230" i="18" s="1"/>
  <c r="V2316" i="18"/>
  <c r="W2316" i="18" s="1"/>
  <c r="V2320" i="18"/>
  <c r="W2320" i="18" s="1"/>
  <c r="V2324" i="18"/>
  <c r="W2324" i="18" s="1"/>
  <c r="V2328" i="18"/>
  <c r="W2328" i="18" s="1"/>
  <c r="V2332" i="18"/>
  <c r="W2332" i="18" s="1"/>
  <c r="V2336" i="18"/>
  <c r="V2340" i="18"/>
  <c r="W2340" i="18" s="1"/>
  <c r="V2344" i="18"/>
  <c r="W2344" i="18" s="1"/>
  <c r="V2348" i="18"/>
  <c r="V2352" i="18"/>
  <c r="W2352" i="18" s="1"/>
  <c r="V2356" i="18"/>
  <c r="W2356" i="18" s="1"/>
  <c r="V2360" i="18"/>
  <c r="W2360" i="18" s="1"/>
  <c r="V2364" i="18"/>
  <c r="V2368" i="18"/>
  <c r="W2368" i="18" s="1"/>
  <c r="V2372" i="18"/>
  <c r="W2372" i="18" s="1"/>
  <c r="V2376" i="18"/>
  <c r="W2376" i="18" s="1"/>
  <c r="V2380" i="18"/>
  <c r="W2380" i="18" s="1"/>
  <c r="V2384" i="18"/>
  <c r="W2384" i="18" s="1"/>
  <c r="V2388" i="18"/>
  <c r="V2392" i="18"/>
  <c r="X2392" i="18" s="1"/>
  <c r="V2396" i="18"/>
  <c r="V2400" i="18"/>
  <c r="W2400" i="18" s="1"/>
  <c r="V2404" i="18"/>
  <c r="W2404" i="18" s="1"/>
  <c r="V2408" i="18"/>
  <c r="W2408" i="18" s="1"/>
  <c r="V2414" i="18"/>
  <c r="W2414" i="18" s="1"/>
  <c r="V2416" i="18"/>
  <c r="V2568" i="18"/>
  <c r="V2572" i="18"/>
  <c r="W2572" i="18" s="1"/>
  <c r="V2576" i="18"/>
  <c r="W2576" i="18" s="1"/>
  <c r="V2606" i="18"/>
  <c r="W2606" i="18" s="1"/>
  <c r="V2612" i="18"/>
  <c r="W2612" i="18" s="1"/>
  <c r="V2616" i="18"/>
  <c r="V2618" i="18"/>
  <c r="V2622" i="18"/>
  <c r="W2622" i="18" s="1"/>
  <c r="V2628" i="18"/>
  <c r="V2632" i="18"/>
  <c r="V2634" i="18"/>
  <c r="W2634" i="18" s="1"/>
  <c r="V2638" i="18"/>
  <c r="W2638" i="18" s="1"/>
  <c r="V2644" i="18"/>
  <c r="X2644" i="18" s="1"/>
  <c r="V2650" i="18"/>
  <c r="W2650" i="18" s="1"/>
  <c r="V2652" i="18"/>
  <c r="W2652" i="18" s="1"/>
  <c r="V2658" i="18"/>
  <c r="X2658" i="18" s="1"/>
  <c r="V2660" i="18"/>
  <c r="W2660" i="18" s="1"/>
  <c r="V2666" i="18"/>
  <c r="W2666" i="18" s="1"/>
  <c r="V2668" i="18"/>
  <c r="W2668" i="18" s="1"/>
  <c r="V2680" i="18"/>
  <c r="V2684" i="18"/>
  <c r="W2684" i="18" s="1"/>
  <c r="V2688" i="18"/>
  <c r="W2688" i="18" s="1"/>
  <c r="V2696" i="18"/>
  <c r="W2696" i="18" s="1"/>
  <c r="V2708" i="18"/>
  <c r="V2712" i="18"/>
  <c r="W2712" i="18" s="1"/>
  <c r="V2716" i="18"/>
  <c r="W2716" i="18" s="1"/>
  <c r="V2724" i="18"/>
  <c r="W2724" i="18" s="1"/>
  <c r="V2736" i="18"/>
  <c r="W2736" i="18" s="1"/>
  <c r="V2748" i="18"/>
  <c r="V2752" i="18"/>
  <c r="W2752" i="18" s="1"/>
  <c r="V2764" i="18"/>
  <c r="W2764" i="18" s="1"/>
  <c r="V2768" i="18"/>
  <c r="V2774" i="18"/>
  <c r="W2774" i="18" s="1"/>
  <c r="V2782" i="18"/>
  <c r="W2782" i="18" s="1"/>
  <c r="V2794" i="18"/>
  <c r="W2794" i="18" s="1"/>
  <c r="V2796" i="18"/>
  <c r="V2800" i="18"/>
  <c r="W2800" i="18" s="1"/>
  <c r="V2804" i="18"/>
  <c r="W2804" i="18" s="1"/>
  <c r="V2808" i="18"/>
  <c r="W2808" i="18" s="1"/>
  <c r="V2824" i="18"/>
  <c r="W2824" i="18" s="1"/>
  <c r="V2828" i="18"/>
  <c r="W2828" i="18" s="1"/>
  <c r="V2832" i="18"/>
  <c r="W2832" i="18" s="1"/>
  <c r="V2836" i="18"/>
  <c r="W2836" i="18" s="1"/>
  <c r="V2840" i="18"/>
  <c r="V2844" i="18"/>
  <c r="W2844" i="18" s="1"/>
  <c r="V2848" i="18"/>
  <c r="W2848" i="18" s="1"/>
  <c r="V2852" i="18"/>
  <c r="V2856" i="18"/>
  <c r="W2856" i="18" s="1"/>
  <c r="V2860" i="18"/>
  <c r="V2864" i="18"/>
  <c r="W2864" i="18" s="1"/>
  <c r="V2868" i="18"/>
  <c r="V2872" i="18"/>
  <c r="V2876" i="18"/>
  <c r="W2876" i="18" s="1"/>
  <c r="V2890" i="18"/>
  <c r="V2898" i="18"/>
  <c r="W2898" i="18" s="1"/>
  <c r="V2922" i="18"/>
  <c r="V2928" i="18"/>
  <c r="V2940" i="18"/>
  <c r="W2940" i="18" s="1"/>
  <c r="V2944" i="18"/>
  <c r="W2944" i="18" s="1"/>
  <c r="V2956" i="18"/>
  <c r="W2956" i="18" s="1"/>
  <c r="V2960" i="18"/>
  <c r="W2960" i="18" s="1"/>
  <c r="V1874" i="18"/>
  <c r="V1870" i="18"/>
  <c r="W1870" i="18" s="1"/>
  <c r="V1876" i="18"/>
  <c r="W1876" i="18" s="1"/>
  <c r="V2187" i="18"/>
  <c r="V2504" i="18"/>
  <c r="V2506" i="18"/>
  <c r="W2506" i="18" s="1"/>
  <c r="V2510" i="18"/>
  <c r="W2510" i="18" s="1"/>
  <c r="V468" i="18"/>
  <c r="W468" i="18" s="1"/>
  <c r="V490" i="18"/>
  <c r="X1453" i="18"/>
  <c r="V2174" i="18"/>
  <c r="W2174" i="18" s="1"/>
  <c r="V2176" i="18"/>
  <c r="W2176" i="18" s="1"/>
  <c r="V2180" i="18"/>
  <c r="V2184" i="18"/>
  <c r="W2184" i="18" s="1"/>
  <c r="V2519" i="18"/>
  <c r="V2523" i="18"/>
  <c r="W2523" i="18" s="1"/>
  <c r="V908" i="18"/>
  <c r="V910" i="18"/>
  <c r="W910" i="18" s="1"/>
  <c r="V1259" i="18"/>
  <c r="W1259" i="18" s="1"/>
  <c r="V1261" i="18"/>
  <c r="W1261" i="18" s="1"/>
  <c r="V1263" i="18"/>
  <c r="W1263" i="18" s="1"/>
  <c r="V1265" i="18"/>
  <c r="X1265" i="18" s="1"/>
  <c r="V1267" i="18"/>
  <c r="V2371" i="18"/>
  <c r="V2375" i="18"/>
  <c r="W2375" i="18" s="1"/>
  <c r="V2379" i="18"/>
  <c r="V2566" i="18"/>
  <c r="W2566" i="18" s="1"/>
  <c r="V2570" i="18"/>
  <c r="W2570" i="18" s="1"/>
  <c r="V2383" i="18"/>
  <c r="W2383" i="18" s="1"/>
  <c r="V2399" i="18"/>
  <c r="X2399" i="18" s="1"/>
  <c r="V2579" i="18"/>
  <c r="W2579" i="18" s="1"/>
  <c r="V2581" i="18"/>
  <c r="X2581" i="18" s="1"/>
  <c r="V2583" i="18"/>
  <c r="W2583" i="18" s="1"/>
  <c r="V2585" i="18"/>
  <c r="W2585" i="18" s="1"/>
  <c r="V2587" i="18"/>
  <c r="W2587" i="18" s="1"/>
  <c r="V2589" i="18"/>
  <c r="W2589" i="18" s="1"/>
  <c r="V2591" i="18"/>
  <c r="W2591" i="18" s="1"/>
  <c r="V2593" i="18"/>
  <c r="W2593" i="18" s="1"/>
  <c r="V2595" i="18"/>
  <c r="X2595" i="18" s="1"/>
  <c r="V2597" i="18"/>
  <c r="V2599" i="18"/>
  <c r="W2599" i="18" s="1"/>
  <c r="V2601" i="18"/>
  <c r="V2603" i="18"/>
  <c r="V2857" i="18"/>
  <c r="V1045" i="18"/>
  <c r="V1055" i="18"/>
  <c r="V365" i="18"/>
  <c r="W365" i="18" s="1"/>
  <c r="V521" i="18"/>
  <c r="V708" i="18"/>
  <c r="W708" i="18" s="1"/>
  <c r="V716" i="18"/>
  <c r="V724" i="18"/>
  <c r="W724" i="18" s="1"/>
  <c r="V726" i="18"/>
  <c r="V732" i="18"/>
  <c r="V736" i="18"/>
  <c r="W736" i="18" s="1"/>
  <c r="V943" i="18"/>
  <c r="X943" i="18" s="1"/>
  <c r="V945" i="18"/>
  <c r="V1420" i="18"/>
  <c r="W1420" i="18" s="1"/>
  <c r="V1426" i="18"/>
  <c r="V2670" i="18"/>
  <c r="W2670" i="18" s="1"/>
  <c r="V2769" i="18"/>
  <c r="V2738" i="18"/>
  <c r="V2740" i="18"/>
  <c r="W2740" i="18" s="1"/>
  <c r="V2744" i="18"/>
  <c r="W2744" i="18" s="1"/>
  <c r="V2754" i="18"/>
  <c r="W2754" i="18" s="1"/>
  <c r="V2756" i="18"/>
  <c r="X2756" i="18" s="1"/>
  <c r="V421" i="18"/>
  <c r="V429" i="18"/>
  <c r="V891" i="18"/>
  <c r="W891" i="18" s="1"/>
  <c r="V991" i="18"/>
  <c r="V1009" i="18"/>
  <c r="W1009" i="18" s="1"/>
  <c r="V1516" i="18"/>
  <c r="V2035" i="18"/>
  <c r="X2035" i="18" s="1"/>
  <c r="V2123" i="18"/>
  <c r="W2123" i="18" s="1"/>
  <c r="V2219" i="18"/>
  <c r="V2471" i="18"/>
  <c r="W2471" i="18" s="1"/>
  <c r="V2473" i="18"/>
  <c r="V2475" i="18"/>
  <c r="V2477" i="18"/>
  <c r="V2539" i="18"/>
  <c r="V2545" i="18"/>
  <c r="W2545" i="18" s="1"/>
  <c r="V2555" i="18"/>
  <c r="W2555" i="18" s="1"/>
  <c r="V2701" i="18"/>
  <c r="V2705" i="18"/>
  <c r="W2705" i="18" s="1"/>
  <c r="V2709" i="18"/>
  <c r="W2709" i="18" s="1"/>
  <c r="V2717" i="18"/>
  <c r="W2717" i="18" s="1"/>
  <c r="V2766" i="18"/>
  <c r="W2766" i="18" s="1"/>
  <c r="V2883" i="18"/>
  <c r="W2883" i="18" s="1"/>
  <c r="V404" i="18"/>
  <c r="V642" i="18"/>
  <c r="V800" i="18"/>
  <c r="V804" i="18"/>
  <c r="V812" i="18"/>
  <c r="V814" i="18"/>
  <c r="W814" i="18" s="1"/>
  <c r="V858" i="18"/>
  <c r="V860" i="18"/>
  <c r="W860" i="18" s="1"/>
  <c r="V958" i="18"/>
  <c r="W958" i="18" s="1"/>
  <c r="V964" i="18"/>
  <c r="X964" i="18" s="1"/>
  <c r="V966" i="18"/>
  <c r="W966" i="18" s="1"/>
  <c r="V970" i="18"/>
  <c r="W970" i="18" s="1"/>
  <c r="V978" i="18"/>
  <c r="V1080" i="18"/>
  <c r="W1080" i="18" s="1"/>
  <c r="V1367" i="18"/>
  <c r="W1367" i="18" s="1"/>
  <c r="V1371" i="18"/>
  <c r="W1371" i="18" s="1"/>
  <c r="V1375" i="18"/>
  <c r="W1375" i="18" s="1"/>
  <c r="V1767" i="18"/>
  <c r="W1767" i="18" s="1"/>
  <c r="V1771" i="18"/>
  <c r="W1771" i="18" s="1"/>
  <c r="V1867" i="18"/>
  <c r="V1885" i="18"/>
  <c r="W1885" i="18" s="1"/>
  <c r="V1933" i="18"/>
  <c r="V2530" i="18"/>
  <c r="V2636" i="18"/>
  <c r="W2636" i="18" s="1"/>
  <c r="V2806" i="18"/>
  <c r="W2806" i="18" s="1"/>
  <c r="V2825" i="18"/>
  <c r="W2825" i="18" s="1"/>
  <c r="V2829" i="18"/>
  <c r="W2829" i="18" s="1"/>
  <c r="V2903" i="18"/>
  <c r="V2927" i="18"/>
  <c r="W2927" i="18" s="1"/>
  <c r="V2929" i="18"/>
  <c r="W2929" i="18" s="1"/>
  <c r="V2931" i="18"/>
  <c r="V417" i="18"/>
  <c r="V425" i="18"/>
  <c r="X425" i="18" s="1"/>
  <c r="V887" i="18"/>
  <c r="V987" i="18"/>
  <c r="W987" i="18" s="1"/>
  <c r="V993" i="18"/>
  <c r="W993" i="18" s="1"/>
  <c r="V1013" i="18"/>
  <c r="X1013" i="18" s="1"/>
  <c r="V1024" i="18"/>
  <c r="W1024" i="18" s="1"/>
  <c r="V1501" i="18"/>
  <c r="W1501" i="18" s="1"/>
  <c r="V1514" i="18"/>
  <c r="W1514" i="18" s="1"/>
  <c r="V865" i="18"/>
  <c r="W865" i="18" s="1"/>
  <c r="V983" i="18"/>
  <c r="W983" i="18" s="1"/>
  <c r="V1020" i="18"/>
  <c r="V1068" i="18"/>
  <c r="V1186" i="18"/>
  <c r="W1186" i="18" s="1"/>
  <c r="V1188" i="18"/>
  <c r="X1188" i="18" s="1"/>
  <c r="V1190" i="18"/>
  <c r="W1190" i="18" s="1"/>
  <c r="V1198" i="18"/>
  <c r="W1198" i="18" s="1"/>
  <c r="V1200" i="18"/>
  <c r="W1200" i="18" s="1"/>
  <c r="V1202" i="18"/>
  <c r="V1204" i="18"/>
  <c r="W1204" i="18" s="1"/>
  <c r="V1212" i="18"/>
  <c r="V1214" i="18"/>
  <c r="V1216" i="18"/>
  <c r="V1406" i="18"/>
  <c r="V1438" i="18"/>
  <c r="W1438" i="18" s="1"/>
  <c r="V1440" i="18"/>
  <c r="X1440" i="18" s="1"/>
  <c r="V1456" i="18"/>
  <c r="W1456" i="18" s="1"/>
  <c r="V1458" i="18"/>
  <c r="W1458" i="18" s="1"/>
  <c r="V1536" i="18"/>
  <c r="V1538" i="18"/>
  <c r="V1571" i="18"/>
  <c r="W1571" i="18" s="1"/>
  <c r="V1591" i="18"/>
  <c r="W1591" i="18" s="1"/>
  <c r="V1593" i="18"/>
  <c r="V1595" i="18"/>
  <c r="W1595" i="18" s="1"/>
  <c r="V1777" i="18"/>
  <c r="V1779" i="18"/>
  <c r="V1781" i="18"/>
  <c r="W1781" i="18" s="1"/>
  <c r="V1783" i="18"/>
  <c r="V1795" i="18"/>
  <c r="W1795" i="18" s="1"/>
  <c r="V1797" i="18"/>
  <c r="V1920" i="18"/>
  <c r="W1920" i="18" s="1"/>
  <c r="V1924" i="18"/>
  <c r="W1924" i="18" s="1"/>
  <c r="V1986" i="18"/>
  <c r="V1992" i="18"/>
  <c r="W1992" i="18" s="1"/>
  <c r="V1996" i="18"/>
  <c r="W1996" i="18" s="1"/>
  <c r="V2000" i="18"/>
  <c r="V2008" i="18"/>
  <c r="W2008" i="18" s="1"/>
  <c r="V2016" i="18"/>
  <c r="V2020" i="18"/>
  <c r="V2100" i="18"/>
  <c r="W2100" i="18" s="1"/>
  <c r="V2102" i="18"/>
  <c r="W2102" i="18" s="1"/>
  <c r="V2104" i="18"/>
  <c r="W2104" i="18" s="1"/>
  <c r="V2574" i="18"/>
  <c r="V2892" i="18"/>
  <c r="V2894" i="18"/>
  <c r="W2894" i="18" s="1"/>
  <c r="V412" i="18"/>
  <c r="V570" i="18"/>
  <c r="V602" i="18"/>
  <c r="V625" i="18"/>
  <c r="V774" i="18"/>
  <c r="W774" i="18" s="1"/>
  <c r="V780" i="18"/>
  <c r="W780" i="18" s="1"/>
  <c r="V389" i="18"/>
  <c r="V393" i="18"/>
  <c r="V436" i="18"/>
  <c r="V449" i="18"/>
  <c r="V457" i="18"/>
  <c r="V493" i="18"/>
  <c r="W493" i="18" s="1"/>
  <c r="V506" i="18"/>
  <c r="V537" i="18"/>
  <c r="X537" i="18" s="1"/>
  <c r="V549" i="18"/>
  <c r="W549" i="18" s="1"/>
  <c r="V557" i="18"/>
  <c r="W557" i="18" s="1"/>
  <c r="V612" i="18"/>
  <c r="W612" i="18" s="1"/>
  <c r="V752" i="18"/>
  <c r="V866" i="18"/>
  <c r="V895" i="18"/>
  <c r="V949" i="18"/>
  <c r="W949" i="18" s="1"/>
  <c r="V1128" i="18"/>
  <c r="V1162" i="18"/>
  <c r="V1273" i="18"/>
  <c r="V1474" i="18"/>
  <c r="W1474" i="18" s="1"/>
  <c r="V1827" i="18"/>
  <c r="W1827" i="18" s="1"/>
  <c r="V1829" i="18"/>
  <c r="W1829" i="18" s="1"/>
  <c r="V1943" i="18"/>
  <c r="V2514" i="18"/>
  <c r="W2514" i="18" s="1"/>
  <c r="V344" i="18"/>
  <c r="V352" i="18"/>
  <c r="W352" i="18" s="1"/>
  <c r="V476" i="18"/>
  <c r="W476" i="18" s="1"/>
  <c r="V572" i="18"/>
  <c r="V604" i="18"/>
  <c r="W604" i="18" s="1"/>
  <c r="V772" i="18"/>
  <c r="W772" i="18" s="1"/>
  <c r="V776" i="18"/>
  <c r="V372" i="18"/>
  <c r="W372" i="18" s="1"/>
  <c r="V385" i="18"/>
  <c r="W385" i="18" s="1"/>
  <c r="V397" i="18"/>
  <c r="X397" i="18" s="1"/>
  <c r="V453" i="18"/>
  <c r="X453" i="18" s="1"/>
  <c r="V461" i="18"/>
  <c r="W461" i="18" s="1"/>
  <c r="V508" i="18"/>
  <c r="V512" i="18"/>
  <c r="W512" i="18" s="1"/>
  <c r="V533" i="18"/>
  <c r="W533" i="18" s="1"/>
  <c r="V545" i="18"/>
  <c r="W545" i="18" s="1"/>
  <c r="V553" i="18"/>
  <c r="W553" i="18" s="1"/>
  <c r="V610" i="18"/>
  <c r="W610" i="18" s="1"/>
  <c r="V676" i="18"/>
  <c r="V678" i="18"/>
  <c r="V756" i="18"/>
  <c r="W756" i="18" s="1"/>
  <c r="V1114" i="18"/>
  <c r="V1124" i="18"/>
  <c r="W1124" i="18" s="1"/>
  <c r="V1130" i="18"/>
  <c r="W1130" i="18" s="1"/>
  <c r="V1164" i="18"/>
  <c r="W1164" i="18" s="1"/>
  <c r="V1170" i="18"/>
  <c r="V1238" i="18"/>
  <c r="W1238" i="18" s="1"/>
  <c r="V1269" i="18"/>
  <c r="V1271" i="18"/>
  <c r="W1271" i="18" s="1"/>
  <c r="V1275" i="18"/>
  <c r="W1275" i="18" s="1"/>
  <c r="V1283" i="18"/>
  <c r="W1283" i="18" s="1"/>
  <c r="V1289" i="18"/>
  <c r="V1482" i="18"/>
  <c r="V1547" i="18"/>
  <c r="W1547" i="18" s="1"/>
  <c r="V1553" i="18"/>
  <c r="V1612" i="18"/>
  <c r="W1612" i="18" s="1"/>
  <c r="V357" i="18"/>
  <c r="V359" i="18"/>
  <c r="V361" i="18"/>
  <c r="V380" i="18"/>
  <c r="V444" i="18"/>
  <c r="W444" i="18" s="1"/>
  <c r="V481" i="18"/>
  <c r="X481" i="18" s="1"/>
  <c r="V497" i="18"/>
  <c r="W497" i="18" s="1"/>
  <c r="V526" i="18"/>
  <c r="V528" i="18"/>
  <c r="V542" i="18"/>
  <c r="W542" i="18" s="1"/>
  <c r="V565" i="18"/>
  <c r="V577" i="18"/>
  <c r="W577" i="18" s="1"/>
  <c r="V585" i="18"/>
  <c r="W585" i="18" s="1"/>
  <c r="V593" i="18"/>
  <c r="X593" i="18" s="1"/>
  <c r="V634" i="18"/>
  <c r="V636" i="18"/>
  <c r="V649" i="18"/>
  <c r="V665" i="18"/>
  <c r="W665" i="18" s="1"/>
  <c r="V690" i="18"/>
  <c r="W690" i="18" s="1"/>
  <c r="V692" i="18"/>
  <c r="V694" i="18"/>
  <c r="V698" i="18"/>
  <c r="V777" i="18"/>
  <c r="V829" i="18"/>
  <c r="V845" i="18"/>
  <c r="X845" i="18" s="1"/>
  <c r="V849" i="18"/>
  <c r="W849" i="18" s="1"/>
  <c r="V878" i="18"/>
  <c r="V936" i="18"/>
  <c r="X936" i="18" s="1"/>
  <c r="V975" i="18"/>
  <c r="W975" i="18" s="1"/>
  <c r="V986" i="18"/>
  <c r="V990" i="18"/>
  <c r="V992" i="18"/>
  <c r="V996" i="18"/>
  <c r="V1029" i="18"/>
  <c r="V1040" i="18"/>
  <c r="V1064" i="18"/>
  <c r="W1064" i="18" s="1"/>
  <c r="V1084" i="18"/>
  <c r="V1099" i="18"/>
  <c r="V1180" i="18"/>
  <c r="W1180" i="18" s="1"/>
  <c r="V1184" i="18"/>
  <c r="W1184" i="18" s="1"/>
  <c r="V1242" i="18"/>
  <c r="W1242" i="18" s="1"/>
  <c r="V1374" i="18"/>
  <c r="W1374" i="18" s="1"/>
  <c r="V1523" i="18"/>
  <c r="W1523" i="18" s="1"/>
  <c r="V1528" i="18"/>
  <c r="W1528" i="18" s="1"/>
  <c r="V1530" i="18"/>
  <c r="W1530" i="18" s="1"/>
  <c r="V1580" i="18"/>
  <c r="X1580" i="18" s="1"/>
  <c r="V1584" i="18"/>
  <c r="V1589" i="18"/>
  <c r="W1589" i="18" s="1"/>
  <c r="V1831" i="18"/>
  <c r="W1831" i="18" s="1"/>
  <c r="V1835" i="18"/>
  <c r="W1835" i="18" s="1"/>
  <c r="V1841" i="18"/>
  <c r="W1841" i="18" s="1"/>
  <c r="V1843" i="18"/>
  <c r="W1843" i="18" s="1"/>
  <c r="V1890" i="18"/>
  <c r="W1890" i="18" s="1"/>
  <c r="V1894" i="18"/>
  <c r="W1894" i="18" s="1"/>
  <c r="V1955" i="18"/>
  <c r="W1955" i="18" s="1"/>
  <c r="V2127" i="18"/>
  <c r="V2135" i="18"/>
  <c r="W2135" i="18" s="1"/>
  <c r="V2147" i="18"/>
  <c r="V2155" i="18"/>
  <c r="W2155" i="18" s="1"/>
  <c r="V2208" i="18"/>
  <c r="W2208" i="18" s="1"/>
  <c r="V2212" i="18"/>
  <c r="W2212" i="18" s="1"/>
  <c r="V2216" i="18"/>
  <c r="W2216" i="18" s="1"/>
  <c r="V2235" i="18"/>
  <c r="W2235" i="18" s="1"/>
  <c r="V2245" i="18"/>
  <c r="X2245" i="18" s="1"/>
  <c r="V2251" i="18"/>
  <c r="V2261" i="18"/>
  <c r="W2261" i="18" s="1"/>
  <c r="V2267" i="18"/>
  <c r="W2267" i="18" s="1"/>
  <c r="V2279" i="18"/>
  <c r="W2279" i="18" s="1"/>
  <c r="V2281" i="18"/>
  <c r="V2291" i="18"/>
  <c r="W2291" i="18" s="1"/>
  <c r="V2293" i="18"/>
  <c r="W2293" i="18" s="1"/>
  <c r="V2335" i="18"/>
  <c r="W2335" i="18" s="1"/>
  <c r="V2428" i="18"/>
  <c r="V2430" i="18"/>
  <c r="V2434" i="18"/>
  <c r="V2450" i="18"/>
  <c r="W2450" i="18" s="1"/>
  <c r="V2454" i="18"/>
  <c r="W2454" i="18" s="1"/>
  <c r="V2458" i="18"/>
  <c r="V2462" i="18"/>
  <c r="V2483" i="18"/>
  <c r="V2485" i="18"/>
  <c r="W2485" i="18" s="1"/>
  <c r="V2499" i="18"/>
  <c r="W2499" i="18" s="1"/>
  <c r="V2501" i="18"/>
  <c r="W2501" i="18" s="1"/>
  <c r="V2647" i="18"/>
  <c r="W2647" i="18" s="1"/>
  <c r="V2649" i="18"/>
  <c r="W2649" i="18" s="1"/>
  <c r="V2655" i="18"/>
  <c r="V2657" i="18"/>
  <c r="W2657" i="18" s="1"/>
  <c r="V2663" i="18"/>
  <c r="W2663" i="18" s="1"/>
  <c r="V2665" i="18"/>
  <c r="V2667" i="18"/>
  <c r="W2667" i="18" s="1"/>
  <c r="V2672" i="18"/>
  <c r="V2674" i="18"/>
  <c r="W2674" i="18" s="1"/>
  <c r="V2676" i="18"/>
  <c r="W2676" i="18" s="1"/>
  <c r="V2692" i="18"/>
  <c r="W2692" i="18" s="1"/>
  <c r="V2865" i="18"/>
  <c r="W2865" i="18" s="1"/>
  <c r="V1745" i="18"/>
  <c r="W1745" i="18" s="1"/>
  <c r="V1747" i="18"/>
  <c r="V1749" i="18"/>
  <c r="V1751" i="18"/>
  <c r="W1751" i="18" s="1"/>
  <c r="V1799" i="18"/>
  <c r="W1799" i="18" s="1"/>
  <c r="V1803" i="18"/>
  <c r="V1845" i="18"/>
  <c r="W1845" i="18" s="1"/>
  <c r="V1847" i="18"/>
  <c r="V1903" i="18"/>
  <c r="W1903" i="18" s="1"/>
  <c r="V1911" i="18"/>
  <c r="V1963" i="18"/>
  <c r="V2132" i="18"/>
  <c r="W2132" i="18" s="1"/>
  <c r="V2134" i="18"/>
  <c r="W2134" i="18" s="1"/>
  <c r="V2140" i="18"/>
  <c r="V2192" i="18"/>
  <c r="W2192" i="18" s="1"/>
  <c r="V2196" i="18"/>
  <c r="V2224" i="18"/>
  <c r="V2228" i="18"/>
  <c r="W2228" i="18" s="1"/>
  <c r="V2234" i="18"/>
  <c r="V2246" i="18"/>
  <c r="V2248" i="18"/>
  <c r="W2248" i="18" s="1"/>
  <c r="V2262" i="18"/>
  <c r="W2262" i="18" s="1"/>
  <c r="V2264" i="18"/>
  <c r="W2264" i="18" s="1"/>
  <c r="V2351" i="18"/>
  <c r="W2351" i="18" s="1"/>
  <c r="V2367" i="18"/>
  <c r="W2367" i="18" s="1"/>
  <c r="V2486" i="18"/>
  <c r="W2486" i="18" s="1"/>
  <c r="V2494" i="18"/>
  <c r="V2511" i="18"/>
  <c r="V2515" i="18"/>
  <c r="W2515" i="18" s="1"/>
  <c r="V2526" i="18"/>
  <c r="W2526" i="18" s="1"/>
  <c r="V2630" i="18"/>
  <c r="V2662" i="18"/>
  <c r="W2662" i="18" s="1"/>
  <c r="V2673" i="18"/>
  <c r="W2673" i="18" s="1"/>
  <c r="V2685" i="18"/>
  <c r="W2685" i="18" s="1"/>
  <c r="V2726" i="18"/>
  <c r="W2726" i="18" s="1"/>
  <c r="V2728" i="18"/>
  <c r="V2732" i="18"/>
  <c r="W2732" i="18" s="1"/>
  <c r="V2784" i="18"/>
  <c r="V2786" i="18"/>
  <c r="W2786" i="18" s="1"/>
  <c r="V2788" i="18"/>
  <c r="W2788" i="18" s="1"/>
  <c r="V2813" i="18"/>
  <c r="W2813" i="18" s="1"/>
  <c r="V2849" i="18"/>
  <c r="W2849" i="18" s="1"/>
  <c r="V2962" i="18"/>
  <c r="W2962" i="18" s="1"/>
  <c r="V2964" i="18"/>
  <c r="V2968" i="18"/>
  <c r="W2968" i="18" s="1"/>
  <c r="V1966" i="18"/>
  <c r="V2022" i="18"/>
  <c r="V2028" i="18"/>
  <c r="V2032" i="18"/>
  <c r="W2032" i="18" s="1"/>
  <c r="V2040" i="18"/>
  <c r="W2040" i="18" s="1"/>
  <c r="V2108" i="18"/>
  <c r="W2108" i="18" s="1"/>
  <c r="V2110" i="18"/>
  <c r="W2110" i="18" s="1"/>
  <c r="V2167" i="18"/>
  <c r="W2167" i="18" s="1"/>
  <c r="V2203" i="18"/>
  <c r="V2339" i="18"/>
  <c r="W2339" i="18" s="1"/>
  <c r="V2343" i="18"/>
  <c r="V2347" i="18"/>
  <c r="W2347" i="18" s="1"/>
  <c r="V2403" i="18"/>
  <c r="W2403" i="18" s="1"/>
  <c r="V2407" i="18"/>
  <c r="W2407" i="18" s="1"/>
  <c r="V2411" i="18"/>
  <c r="V2417" i="18"/>
  <c r="V2419" i="18"/>
  <c r="W2419" i="18" s="1"/>
  <c r="V2421" i="18"/>
  <c r="W2421" i="18" s="1"/>
  <c r="V2507" i="18"/>
  <c r="W2507" i="18" s="1"/>
  <c r="V2540" i="18"/>
  <c r="W2540" i="18" s="1"/>
  <c r="V2544" i="18"/>
  <c r="W2544" i="18" s="1"/>
  <c r="V2548" i="18"/>
  <c r="W2548" i="18" s="1"/>
  <c r="V2550" i="18"/>
  <c r="V2556" i="18"/>
  <c r="W2556" i="18" s="1"/>
  <c r="V2567" i="18"/>
  <c r="V2571" i="18"/>
  <c r="W2571" i="18" s="1"/>
  <c r="V2578" i="18"/>
  <c r="W2578" i="18" s="1"/>
  <c r="V2580" i="18"/>
  <c r="W2580" i="18" s="1"/>
  <c r="V2582" i="18"/>
  <c r="W2582" i="18" s="1"/>
  <c r="V2584" i="18"/>
  <c r="V2586" i="18"/>
  <c r="V2588" i="18"/>
  <c r="V2590" i="18"/>
  <c r="W2590" i="18" s="1"/>
  <c r="V2592" i="18"/>
  <c r="W2592" i="18" s="1"/>
  <c r="V2594" i="18"/>
  <c r="W2594" i="18" s="1"/>
  <c r="V2596" i="18"/>
  <c r="W2596" i="18" s="1"/>
  <c r="V2598" i="18"/>
  <c r="V2600" i="18"/>
  <c r="W2600" i="18" s="1"/>
  <c r="V2602" i="18"/>
  <c r="V2604" i="18"/>
  <c r="W2604" i="18" s="1"/>
  <c r="V2608" i="18"/>
  <c r="V2610" i="18"/>
  <c r="W2610" i="18" s="1"/>
  <c r="V2624" i="18"/>
  <c r="W2624" i="18" s="1"/>
  <c r="V2640" i="18"/>
  <c r="W2640" i="18" s="1"/>
  <c r="V2642" i="18"/>
  <c r="W2642" i="18" s="1"/>
  <c r="V2698" i="18"/>
  <c r="W2698" i="18" s="1"/>
  <c r="V2718" i="18"/>
  <c r="W2718" i="18" s="1"/>
  <c r="V2720" i="18"/>
  <c r="W2720" i="18" s="1"/>
  <c r="V2745" i="18"/>
  <c r="V2801" i="18"/>
  <c r="W2801" i="18" s="1"/>
  <c r="V2805" i="18"/>
  <c r="V2887" i="18"/>
  <c r="W2887" i="18" s="1"/>
  <c r="V2900" i="18"/>
  <c r="V2902" i="18"/>
  <c r="V2904" i="18"/>
  <c r="W2904" i="18" s="1"/>
  <c r="V2906" i="18"/>
  <c r="V2912" i="18"/>
  <c r="W2912" i="18" s="1"/>
  <c r="V2914" i="18"/>
  <c r="W2914" i="18" s="1"/>
  <c r="V2924" i="18"/>
  <c r="V2926" i="18"/>
  <c r="W2926" i="18" s="1"/>
  <c r="V2942" i="18"/>
  <c r="W2942" i="18" s="1"/>
  <c r="V2946" i="18"/>
  <c r="W2946" i="18" s="1"/>
  <c r="V2948" i="18"/>
  <c r="W2948" i="18" s="1"/>
  <c r="V2952" i="18"/>
  <c r="V2958" i="18"/>
  <c r="W2958" i="18" s="1"/>
  <c r="V2973" i="18"/>
  <c r="X2973" i="18" s="1"/>
  <c r="V343" i="18"/>
  <c r="W343" i="18" s="1"/>
  <c r="V360" i="18"/>
  <c r="V388" i="18"/>
  <c r="W388" i="18" s="1"/>
  <c r="V405" i="18"/>
  <c r="W405" i="18" s="1"/>
  <c r="V420" i="18"/>
  <c r="V433" i="18"/>
  <c r="W433" i="18" s="1"/>
  <c r="V469" i="18"/>
  <c r="V480" i="18"/>
  <c r="W480" i="18" s="1"/>
  <c r="V484" i="18"/>
  <c r="W484" i="18" s="1"/>
  <c r="V492" i="18"/>
  <c r="V509" i="18"/>
  <c r="X509" i="18" s="1"/>
  <c r="V554" i="18"/>
  <c r="W554" i="18" s="1"/>
  <c r="V560" i="18"/>
  <c r="V594" i="18"/>
  <c r="V620" i="18"/>
  <c r="V652" i="18"/>
  <c r="W652" i="18" s="1"/>
  <c r="V658" i="18"/>
  <c r="W658" i="18" s="1"/>
  <c r="V740" i="18"/>
  <c r="V753" i="18"/>
  <c r="W753" i="18" s="1"/>
  <c r="V882" i="18"/>
  <c r="V886" i="18"/>
  <c r="V913" i="18"/>
  <c r="W913" i="18" s="1"/>
  <c r="V940" i="18"/>
  <c r="V961" i="18"/>
  <c r="V1044" i="18"/>
  <c r="V1052" i="18"/>
  <c r="V1335" i="18"/>
  <c r="V1498" i="18"/>
  <c r="W1498" i="18" s="1"/>
  <c r="V1987" i="18"/>
  <c r="W1987" i="18" s="1"/>
  <c r="V1991" i="18"/>
  <c r="V1995" i="18"/>
  <c r="W1995" i="18" s="1"/>
  <c r="V2003" i="18"/>
  <c r="W2003" i="18" s="1"/>
  <c r="V2011" i="18"/>
  <c r="V2013" i="18"/>
  <c r="W2013" i="18" s="1"/>
  <c r="V2015" i="18"/>
  <c r="V2017" i="18"/>
  <c r="W2017" i="18" s="1"/>
  <c r="V2148" i="18"/>
  <c r="W2148" i="18" s="1"/>
  <c r="V2150" i="18"/>
  <c r="W2150" i="18" s="1"/>
  <c r="V2152" i="18"/>
  <c r="W2152" i="18" s="1"/>
  <c r="V2156" i="18"/>
  <c r="W2156" i="18" s="1"/>
  <c r="V2158" i="18"/>
  <c r="W2158" i="18" s="1"/>
  <c r="V2200" i="18"/>
  <c r="W2200" i="18" s="1"/>
  <c r="V2833" i="18"/>
  <c r="X2833" i="18" s="1"/>
  <c r="V2837" i="18"/>
  <c r="V2941" i="18"/>
  <c r="W2941" i="18" s="1"/>
  <c r="V2943" i="18"/>
  <c r="V2945" i="18"/>
  <c r="X2945" i="18" s="1"/>
  <c r="V2947" i="18"/>
  <c r="W2947" i="18" s="1"/>
  <c r="V2957" i="18"/>
  <c r="W2957" i="18" s="1"/>
  <c r="V2959" i="18"/>
  <c r="V349" i="18"/>
  <c r="V351" i="18"/>
  <c r="W351" i="18" s="1"/>
  <c r="V353" i="18"/>
  <c r="W353" i="18" s="1"/>
  <c r="V377" i="18"/>
  <c r="W377" i="18" s="1"/>
  <c r="V381" i="18"/>
  <c r="V396" i="18"/>
  <c r="W396" i="18" s="1"/>
  <c r="V409" i="18"/>
  <c r="V413" i="18"/>
  <c r="V428" i="18"/>
  <c r="W428" i="18" s="1"/>
  <c r="V441" i="18"/>
  <c r="W441" i="18" s="1"/>
  <c r="V445" i="18"/>
  <c r="V460" i="18"/>
  <c r="V473" i="18"/>
  <c r="V489" i="18"/>
  <c r="V496" i="18"/>
  <c r="W496" i="18" s="1"/>
  <c r="V517" i="18"/>
  <c r="V522" i="18"/>
  <c r="V524" i="18"/>
  <c r="W524" i="18" s="1"/>
  <c r="V541" i="18"/>
  <c r="W541" i="18" s="1"/>
  <c r="V573" i="18"/>
  <c r="V598" i="18"/>
  <c r="V630" i="18"/>
  <c r="V666" i="18"/>
  <c r="W666" i="18" s="1"/>
  <c r="V668" i="18"/>
  <c r="W668" i="18" s="1"/>
  <c r="V670" i="18"/>
  <c r="V672" i="18"/>
  <c r="W672" i="18" s="1"/>
  <c r="V704" i="18"/>
  <c r="V768" i="18"/>
  <c r="V785" i="18"/>
  <c r="W785" i="18" s="1"/>
  <c r="V801" i="18"/>
  <c r="W801" i="18" s="1"/>
  <c r="V1109" i="18"/>
  <c r="W1109" i="18" s="1"/>
  <c r="V1115" i="18"/>
  <c r="V1636" i="18"/>
  <c r="V2037" i="18"/>
  <c r="W2037" i="18" s="1"/>
  <c r="V2270" i="18"/>
  <c r="W2270" i="18" s="1"/>
  <c r="V2272" i="18"/>
  <c r="W2272" i="18" s="1"/>
  <c r="V2295" i="18"/>
  <c r="W2295" i="18" s="1"/>
  <c r="V2297" i="18"/>
  <c r="W2297" i="18" s="1"/>
  <c r="V2303" i="18"/>
  <c r="W2303" i="18" s="1"/>
  <c r="V2305" i="18"/>
  <c r="V2311" i="18"/>
  <c r="W2311" i="18" s="1"/>
  <c r="V2313" i="18"/>
  <c r="V345" i="18"/>
  <c r="V369" i="18"/>
  <c r="X369" i="18" s="1"/>
  <c r="V373" i="18"/>
  <c r="W373" i="18" s="1"/>
  <c r="V401" i="18"/>
  <c r="V437" i="18"/>
  <c r="V452" i="18"/>
  <c r="W452" i="18" s="1"/>
  <c r="V465" i="18"/>
  <c r="W465" i="18" s="1"/>
  <c r="V482" i="18"/>
  <c r="W482" i="18" s="1"/>
  <c r="V505" i="18"/>
  <c r="W505" i="18" s="1"/>
  <c r="V538" i="18"/>
  <c r="V556" i="18"/>
  <c r="W556" i="18" s="1"/>
  <c r="V569" i="18"/>
  <c r="W569" i="18" s="1"/>
  <c r="V576" i="18"/>
  <c r="V588" i="18"/>
  <c r="W588" i="18" s="1"/>
  <c r="V626" i="18"/>
  <c r="V650" i="18"/>
  <c r="W650" i="18" s="1"/>
  <c r="V654" i="18"/>
  <c r="W654" i="18" s="1"/>
  <c r="V884" i="18"/>
  <c r="W884" i="18" s="1"/>
  <c r="V942" i="18"/>
  <c r="W942" i="18" s="1"/>
  <c r="V957" i="18"/>
  <c r="X957" i="18" s="1"/>
  <c r="V1339" i="18"/>
  <c r="V1343" i="18"/>
  <c r="W1343" i="18" s="1"/>
  <c r="V1356" i="18"/>
  <c r="V1358" i="18"/>
  <c r="W1358" i="18" s="1"/>
  <c r="V1494" i="18"/>
  <c r="W1494" i="18" s="1"/>
  <c r="V1555" i="18"/>
  <c r="W1555" i="18" s="1"/>
  <c r="V748" i="18"/>
  <c r="V769" i="18"/>
  <c r="V784" i="18"/>
  <c r="V788" i="18"/>
  <c r="W788" i="18" s="1"/>
  <c r="V809" i="18"/>
  <c r="V811" i="18"/>
  <c r="V830" i="18"/>
  <c r="W830" i="18" s="1"/>
  <c r="V832" i="18"/>
  <c r="W832" i="18" s="1"/>
  <c r="V834" i="18"/>
  <c r="W834" i="18" s="1"/>
  <c r="V844" i="18"/>
  <c r="V868" i="18"/>
  <c r="W868" i="18" s="1"/>
  <c r="V877" i="18"/>
  <c r="V898" i="18"/>
  <c r="W898" i="18" s="1"/>
  <c r="V902" i="18"/>
  <c r="W902" i="18" s="1"/>
  <c r="V930" i="18"/>
  <c r="V937" i="18"/>
  <c r="V950" i="18"/>
  <c r="V952" i="18"/>
  <c r="V967" i="18"/>
  <c r="V971" i="18"/>
  <c r="X971" i="18" s="1"/>
  <c r="V982" i="18"/>
  <c r="V999" i="18"/>
  <c r="X999" i="18" s="1"/>
  <c r="V1093" i="18"/>
  <c r="V1100" i="18"/>
  <c r="W1100" i="18" s="1"/>
  <c r="V1168" i="18"/>
  <c r="V1183" i="18"/>
  <c r="W1183" i="18" s="1"/>
  <c r="V1222" i="18"/>
  <c r="V1234" i="18"/>
  <c r="V1251" i="18"/>
  <c r="X1251" i="18" s="1"/>
  <c r="V1274" i="18"/>
  <c r="V1294" i="18"/>
  <c r="V1351" i="18"/>
  <c r="W1351" i="18" s="1"/>
  <c r="V1388" i="18"/>
  <c r="V1444" i="18"/>
  <c r="V1452" i="18"/>
  <c r="W1452" i="18" s="1"/>
  <c r="V1479" i="18"/>
  <c r="W1479" i="18" s="1"/>
  <c r="V1511" i="18"/>
  <c r="W1511" i="18" s="1"/>
  <c r="V1527" i="18"/>
  <c r="W1527" i="18" s="1"/>
  <c r="V1529" i="18"/>
  <c r="W1529" i="18" s="1"/>
  <c r="V1531" i="18"/>
  <c r="V1544" i="18"/>
  <c r="W1544" i="18" s="1"/>
  <c r="V1546" i="18"/>
  <c r="W1546" i="18" s="1"/>
  <c r="V1550" i="18"/>
  <c r="W1550" i="18" s="1"/>
  <c r="V1563" i="18"/>
  <c r="W1563" i="18" s="1"/>
  <c r="V1565" i="18"/>
  <c r="V1567" i="18"/>
  <c r="W1567" i="18" s="1"/>
  <c r="V1572" i="18"/>
  <c r="V1581" i="18"/>
  <c r="V1583" i="18"/>
  <c r="W1583" i="18" s="1"/>
  <c r="V1605" i="18"/>
  <c r="W1605" i="18" s="1"/>
  <c r="V1607" i="18"/>
  <c r="W1607" i="18" s="1"/>
  <c r="V1613" i="18"/>
  <c r="V1624" i="18"/>
  <c r="W1624" i="18" s="1"/>
  <c r="V1631" i="18"/>
  <c r="W1631" i="18" s="1"/>
  <c r="V1653" i="18"/>
  <c r="W1653" i="18" s="1"/>
  <c r="V1763" i="18"/>
  <c r="V1765" i="18"/>
  <c r="W1765" i="18" s="1"/>
  <c r="V1809" i="18"/>
  <c r="W1809" i="18" s="1"/>
  <c r="V1811" i="18"/>
  <c r="X1811" i="18" s="1"/>
  <c r="V1813" i="18"/>
  <c r="W1813" i="18" s="1"/>
  <c r="V1815" i="18"/>
  <c r="W1815" i="18" s="1"/>
  <c r="V1899" i="18"/>
  <c r="V1906" i="18"/>
  <c r="W1906" i="18" s="1"/>
  <c r="V1919" i="18"/>
  <c r="V1950" i="18"/>
  <c r="W1950" i="18" s="1"/>
  <c r="V1969" i="18"/>
  <c r="W1969" i="18" s="1"/>
  <c r="V1971" i="18"/>
  <c r="V1973" i="18"/>
  <c r="W1973" i="18" s="1"/>
  <c r="V1975" i="18"/>
  <c r="W1975" i="18" s="1"/>
  <c r="V1977" i="18"/>
  <c r="W1977" i="18" s="1"/>
  <c r="V2023" i="18"/>
  <c r="V2027" i="18"/>
  <c r="W2027" i="18" s="1"/>
  <c r="V2029" i="18"/>
  <c r="V2041" i="18"/>
  <c r="W2041" i="18" s="1"/>
  <c r="V2045" i="18"/>
  <c r="W2045" i="18" s="1"/>
  <c r="V2047" i="18"/>
  <c r="V2116" i="18"/>
  <c r="W2116" i="18" s="1"/>
  <c r="V2118" i="18"/>
  <c r="W2118" i="18" s="1"/>
  <c r="V2139" i="18"/>
  <c r="W2139" i="18" s="1"/>
  <c r="V2168" i="18"/>
  <c r="V2170" i="18"/>
  <c r="V2179" i="18"/>
  <c r="W2179" i="18" s="1"/>
  <c r="V2188" i="18"/>
  <c r="W2188" i="18" s="1"/>
  <c r="V2195" i="18"/>
  <c r="W2195" i="18" s="1"/>
  <c r="V2204" i="18"/>
  <c r="W2204" i="18" s="1"/>
  <c r="V2211" i="18"/>
  <c r="V2220" i="18"/>
  <c r="W2220" i="18" s="1"/>
  <c r="V2227" i="18"/>
  <c r="W2227" i="18" s="1"/>
  <c r="V2238" i="18"/>
  <c r="V2240" i="18"/>
  <c r="V2253" i="18"/>
  <c r="W2253" i="18" s="1"/>
  <c r="V2259" i="18"/>
  <c r="V2282" i="18"/>
  <c r="W2282" i="18" s="1"/>
  <c r="V2284" i="18"/>
  <c r="W2284" i="18" s="1"/>
  <c r="V2286" i="18"/>
  <c r="W2286" i="18" s="1"/>
  <c r="V2288" i="18"/>
  <c r="V2319" i="18"/>
  <c r="W2319" i="18" s="1"/>
  <c r="V2425" i="18"/>
  <c r="W2425" i="18" s="1"/>
  <c r="V2429" i="18"/>
  <c r="V2433" i="18"/>
  <c r="W2433" i="18" s="1"/>
  <c r="V2498" i="18"/>
  <c r="V2646" i="18"/>
  <c r="V2648" i="18"/>
  <c r="W2648" i="18" s="1"/>
  <c r="V2693" i="18"/>
  <c r="V2700" i="18"/>
  <c r="V2710" i="18"/>
  <c r="W2710" i="18" s="1"/>
  <c r="V2757" i="18"/>
  <c r="W2757" i="18" s="1"/>
  <c r="V2761" i="18"/>
  <c r="W2761" i="18" s="1"/>
  <c r="V2770" i="18"/>
  <c r="V1403" i="18"/>
  <c r="V1468" i="18"/>
  <c r="X1468" i="18" s="1"/>
  <c r="V1485" i="18"/>
  <c r="W1485" i="18" s="1"/>
  <c r="V1495" i="18"/>
  <c r="W1495" i="18" s="1"/>
  <c r="V1506" i="18"/>
  <c r="W1506" i="18" s="1"/>
  <c r="V1517" i="18"/>
  <c r="V1524" i="18"/>
  <c r="V1539" i="18"/>
  <c r="W1539" i="18" s="1"/>
  <c r="V1556" i="18"/>
  <c r="W1556" i="18" s="1"/>
  <c r="V1558" i="18"/>
  <c r="W1558" i="18" s="1"/>
  <c r="V1576" i="18"/>
  <c r="W1576" i="18" s="1"/>
  <c r="V1600" i="18"/>
  <c r="V1615" i="18"/>
  <c r="V1617" i="18"/>
  <c r="W1617" i="18" s="1"/>
  <c r="V1619" i="18"/>
  <c r="V1621" i="18"/>
  <c r="W1621" i="18" s="1"/>
  <c r="V1650" i="18"/>
  <c r="V2232" i="18"/>
  <c r="V2237" i="18"/>
  <c r="W2237" i="18" s="1"/>
  <c r="V2243" i="18"/>
  <c r="W2243" i="18" s="1"/>
  <c r="V2254" i="18"/>
  <c r="W2254" i="18" s="1"/>
  <c r="V2256" i="18"/>
  <c r="W2256" i="18" s="1"/>
  <c r="V2269" i="18"/>
  <c r="V2275" i="18"/>
  <c r="W2275" i="18" s="1"/>
  <c r="V2277" i="18"/>
  <c r="W2277" i="18" s="1"/>
  <c r="V2294" i="18"/>
  <c r="V2296" i="18"/>
  <c r="V2302" i="18"/>
  <c r="W2302" i="18" s="1"/>
  <c r="V2304" i="18"/>
  <c r="W2304" i="18" s="1"/>
  <c r="V2310" i="18"/>
  <c r="V2312" i="18"/>
  <c r="V2323" i="18"/>
  <c r="W2323" i="18" s="1"/>
  <c r="V2327" i="18"/>
  <c r="V2331" i="18"/>
  <c r="V2355" i="18"/>
  <c r="W2355" i="18" s="1"/>
  <c r="V2359" i="18"/>
  <c r="W2359" i="18" s="1"/>
  <c r="V2363" i="18"/>
  <c r="W2363" i="18" s="1"/>
  <c r="V2387" i="18"/>
  <c r="V2391" i="18"/>
  <c r="W2391" i="18" s="1"/>
  <c r="V2395" i="18"/>
  <c r="W2395" i="18" s="1"/>
  <c r="V2412" i="18"/>
  <c r="W2412" i="18" s="1"/>
  <c r="V2420" i="18"/>
  <c r="V2437" i="18"/>
  <c r="W2437" i="18" s="1"/>
  <c r="V2441" i="18"/>
  <c r="V2443" i="18"/>
  <c r="V2445" i="18"/>
  <c r="V2447" i="18"/>
  <c r="W2447" i="18" s="1"/>
  <c r="V2466" i="18"/>
  <c r="V2470" i="18"/>
  <c r="W2470" i="18" s="1"/>
  <c r="V2478" i="18"/>
  <c r="W2478" i="18" s="1"/>
  <c r="V2491" i="18"/>
  <c r="W2491" i="18" s="1"/>
  <c r="V2493" i="18"/>
  <c r="V2502" i="18"/>
  <c r="W2502" i="18" s="1"/>
  <c r="V2518" i="18"/>
  <c r="V2522" i="18"/>
  <c r="V2527" i="18"/>
  <c r="W2527" i="18" s="1"/>
  <c r="V2531" i="18"/>
  <c r="W2531" i="18" s="1"/>
  <c r="V2549" i="18"/>
  <c r="W2549" i="18" s="1"/>
  <c r="V2560" i="18"/>
  <c r="V2562" i="18"/>
  <c r="V2575" i="18"/>
  <c r="V2614" i="18"/>
  <c r="W2614" i="18" s="1"/>
  <c r="V2654" i="18"/>
  <c r="W2654" i="18" s="1"/>
  <c r="V2686" i="18"/>
  <c r="X2686" i="18" s="1"/>
  <c r="V2714" i="18"/>
  <c r="V2725" i="18"/>
  <c r="W2725" i="18" s="1"/>
  <c r="V2750" i="18"/>
  <c r="V2785" i="18"/>
  <c r="V2798" i="18"/>
  <c r="V2809" i="18"/>
  <c r="W2809" i="18" s="1"/>
  <c r="V2816" i="18"/>
  <c r="W2816" i="18" s="1"/>
  <c r="V2818" i="18"/>
  <c r="V2820" i="18"/>
  <c r="V2841" i="18"/>
  <c r="V2873" i="18"/>
  <c r="W2873" i="18" s="1"/>
  <c r="V2895" i="18"/>
  <c r="W2895" i="18" s="1"/>
  <c r="V2930" i="18"/>
  <c r="W2930" i="18" s="1"/>
  <c r="V2932" i="18"/>
  <c r="W2932" i="18" s="1"/>
  <c r="V2936" i="18"/>
  <c r="W2936" i="18" s="1"/>
  <c r="V2961" i="18"/>
  <c r="W2961" i="18" s="1"/>
  <c r="V2963" i="18"/>
  <c r="W2963" i="18" s="1"/>
  <c r="V479" i="18"/>
  <c r="V488" i="18"/>
  <c r="V507" i="18"/>
  <c r="W507" i="18" s="1"/>
  <c r="V510" i="18"/>
  <c r="V523" i="18"/>
  <c r="V530" i="18"/>
  <c r="V535" i="18"/>
  <c r="V543" i="18"/>
  <c r="V547" i="18"/>
  <c r="V551" i="18"/>
  <c r="V555" i="18"/>
  <c r="W555" i="18" s="1"/>
  <c r="V558" i="18"/>
  <c r="V567" i="18"/>
  <c r="W567" i="18" s="1"/>
  <c r="V581" i="18"/>
  <c r="W581" i="18" s="1"/>
  <c r="V601" i="18"/>
  <c r="W601" i="18" s="1"/>
  <c r="V606" i="18"/>
  <c r="V633" i="18"/>
  <c r="W633" i="18" s="1"/>
  <c r="V638" i="18"/>
  <c r="V653" i="18"/>
  <c r="V656" i="18"/>
  <c r="V669" i="18"/>
  <c r="W669" i="18" s="1"/>
  <c r="V674" i="18"/>
  <c r="V681" i="18"/>
  <c r="V688" i="18"/>
  <c r="W688" i="18" s="1"/>
  <c r="V709" i="18"/>
  <c r="V712" i="18"/>
  <c r="X712" i="18" s="1"/>
  <c r="V731" i="18"/>
  <c r="V734" i="18"/>
  <c r="V741" i="18"/>
  <c r="V744" i="18"/>
  <c r="V750" i="18"/>
  <c r="V759" i="18"/>
  <c r="W759" i="18" s="1"/>
  <c r="V763" i="18"/>
  <c r="V782" i="18"/>
  <c r="X782" i="18" s="1"/>
  <c r="V791" i="18"/>
  <c r="W791" i="18" s="1"/>
  <c r="V795" i="18"/>
  <c r="V817" i="18"/>
  <c r="X817" i="18" s="1"/>
  <c r="V819" i="18"/>
  <c r="V831" i="18"/>
  <c r="X831" i="18" s="1"/>
  <c r="V842" i="18"/>
  <c r="W842" i="18" s="1"/>
  <c r="V863" i="18"/>
  <c r="V874" i="18"/>
  <c r="V879" i="18"/>
  <c r="V885" i="18"/>
  <c r="W885" i="18" s="1"/>
  <c r="V918" i="18"/>
  <c r="W918" i="18" s="1"/>
  <c r="V933" i="18"/>
  <c r="W933" i="18" s="1"/>
  <c r="V954" i="18"/>
  <c r="V959" i="18"/>
  <c r="V995" i="18"/>
  <c r="W995" i="18" s="1"/>
  <c r="V1085" i="18"/>
  <c r="W1085" i="18" s="1"/>
  <c r="V1087" i="18"/>
  <c r="W1087" i="18" s="1"/>
  <c r="V1108" i="18"/>
  <c r="V1150" i="18"/>
  <c r="V1152" i="18"/>
  <c r="V1154" i="18"/>
  <c r="W1154" i="18" s="1"/>
  <c r="V1156" i="18"/>
  <c r="W1156" i="18" s="1"/>
  <c r="V1158" i="18"/>
  <c r="V1160" i="18"/>
  <c r="X1160" i="18" s="1"/>
  <c r="V1206" i="18"/>
  <c r="V1208" i="18"/>
  <c r="V1210" i="18"/>
  <c r="V1218" i="18"/>
  <c r="W1218" i="18" s="1"/>
  <c r="V1285" i="18"/>
  <c r="V1303" i="18"/>
  <c r="V1305" i="18"/>
  <c r="W1305" i="18" s="1"/>
  <c r="V1348" i="18"/>
  <c r="W1348" i="18" s="1"/>
  <c r="V1350" i="18"/>
  <c r="W1350" i="18" s="1"/>
  <c r="V1385" i="18"/>
  <c r="W1385" i="18" s="1"/>
  <c r="V1395" i="18"/>
  <c r="W1395" i="18" s="1"/>
  <c r="V1432" i="18"/>
  <c r="V1442" i="18"/>
  <c r="V1451" i="18"/>
  <c r="V1478" i="18"/>
  <c r="V1507" i="18"/>
  <c r="W1507" i="18" s="1"/>
  <c r="V1509" i="18"/>
  <c r="W1509" i="18" s="1"/>
  <c r="V1548" i="18"/>
  <c r="V1599" i="18"/>
  <c r="W1599" i="18" s="1"/>
  <c r="V339" i="18"/>
  <c r="Y339" i="18" s="1"/>
  <c r="V362" i="18"/>
  <c r="X362" i="18" s="1"/>
  <c r="V394" i="18"/>
  <c r="V434" i="18"/>
  <c r="V450" i="18"/>
  <c r="W450" i="18" s="1"/>
  <c r="V466" i="18"/>
  <c r="W466" i="18" s="1"/>
  <c r="V474" i="18"/>
  <c r="V341" i="18"/>
  <c r="V386" i="18"/>
  <c r="V410" i="18"/>
  <c r="V418" i="18"/>
  <c r="V458" i="18"/>
  <c r="V574" i="18"/>
  <c r="V590" i="18"/>
  <c r="V617" i="18"/>
  <c r="W617" i="18" s="1"/>
  <c r="V645" i="18"/>
  <c r="W645" i="18" s="1"/>
  <c r="V766" i="18"/>
  <c r="V972" i="18"/>
  <c r="W972" i="18" s="1"/>
  <c r="V1011" i="18"/>
  <c r="W1011" i="18" s="1"/>
  <c r="V1138" i="18"/>
  <c r="W1138" i="18" s="1"/>
  <c r="V1363" i="18"/>
  <c r="V1380" i="18"/>
  <c r="V1382" i="18"/>
  <c r="V1481" i="18"/>
  <c r="W1481" i="18" s="1"/>
  <c r="V1860" i="18"/>
  <c r="V1936" i="18"/>
  <c r="V1954" i="18"/>
  <c r="V346" i="18"/>
  <c r="W346" i="18" s="1"/>
  <c r="V354" i="18"/>
  <c r="W354" i="18" s="1"/>
  <c r="V370" i="18"/>
  <c r="V378" i="18"/>
  <c r="W378" i="18" s="1"/>
  <c r="V402" i="18"/>
  <c r="V426" i="18"/>
  <c r="W426" i="18" s="1"/>
  <c r="V442" i="18"/>
  <c r="V348" i="18"/>
  <c r="V356" i="18"/>
  <c r="V364" i="18"/>
  <c r="W364" i="18" s="1"/>
  <c r="V494" i="18"/>
  <c r="W494" i="18" s="1"/>
  <c r="V622" i="18"/>
  <c r="V648" i="18"/>
  <c r="W648" i="18" s="1"/>
  <c r="V661" i="18"/>
  <c r="W661" i="18" s="1"/>
  <c r="V664" i="18"/>
  <c r="W664" i="18" s="1"/>
  <c r="V684" i="18"/>
  <c r="V706" i="18"/>
  <c r="V718" i="18"/>
  <c r="V728" i="18"/>
  <c r="V798" i="18"/>
  <c r="W798" i="18" s="1"/>
  <c r="V825" i="18"/>
  <c r="W825" i="18" s="1"/>
  <c r="V871" i="18"/>
  <c r="W871" i="18" s="1"/>
  <c r="V906" i="18"/>
  <c r="V946" i="18"/>
  <c r="V951" i="18"/>
  <c r="V980" i="18"/>
  <c r="V1032" i="18"/>
  <c r="V1134" i="18"/>
  <c r="W1134" i="18" s="1"/>
  <c r="V1136" i="18"/>
  <c r="W1136" i="18" s="1"/>
  <c r="V1140" i="18"/>
  <c r="V1192" i="18"/>
  <c r="W1192" i="18" s="1"/>
  <c r="V1194" i="18"/>
  <c r="W1194" i="18" s="1"/>
  <c r="V1258" i="18"/>
  <c r="V335" i="18"/>
  <c r="Y341" i="18" s="1"/>
  <c r="V336" i="18"/>
  <c r="X336" i="18" s="1"/>
  <c r="V338" i="18"/>
  <c r="X338" i="18" s="1"/>
  <c r="V342" i="18"/>
  <c r="V350" i="18"/>
  <c r="V358" i="18"/>
  <c r="W358" i="18" s="1"/>
  <c r="V366" i="18"/>
  <c r="W366" i="18" s="1"/>
  <c r="V374" i="18"/>
  <c r="V382" i="18"/>
  <c r="W382" i="18" s="1"/>
  <c r="V390" i="18"/>
  <c r="X390" i="18" s="1"/>
  <c r="V398" i="18"/>
  <c r="W398" i="18" s="1"/>
  <c r="V406" i="18"/>
  <c r="W406" i="18" s="1"/>
  <c r="V414" i="18"/>
  <c r="W414" i="18" s="1"/>
  <c r="V422" i="18"/>
  <c r="W422" i="18" s="1"/>
  <c r="V430" i="18"/>
  <c r="V438" i="18"/>
  <c r="V446" i="18"/>
  <c r="V454" i="18"/>
  <c r="W454" i="18" s="1"/>
  <c r="V462" i="18"/>
  <c r="W462" i="18" s="1"/>
  <c r="V470" i="18"/>
  <c r="V478" i="18"/>
  <c r="W478" i="18" s="1"/>
  <c r="V546" i="18"/>
  <c r="W546" i="18" s="1"/>
  <c r="V609" i="18"/>
  <c r="V614" i="18"/>
  <c r="X614" i="18" s="1"/>
  <c r="V641" i="18"/>
  <c r="V644" i="18"/>
  <c r="W644" i="18" s="1"/>
  <c r="V657" i="18"/>
  <c r="W657" i="18" s="1"/>
  <c r="V660" i="18"/>
  <c r="W660" i="18" s="1"/>
  <c r="V700" i="18"/>
  <c r="W700" i="18" s="1"/>
  <c r="V710" i="18"/>
  <c r="W710" i="18" s="1"/>
  <c r="V720" i="18"/>
  <c r="V742" i="18"/>
  <c r="V758" i="18"/>
  <c r="V790" i="18"/>
  <c r="W790" i="18" s="1"/>
  <c r="V810" i="18"/>
  <c r="V813" i="18"/>
  <c r="W813" i="18" s="1"/>
  <c r="V850" i="18"/>
  <c r="W850" i="18" s="1"/>
  <c r="V892" i="18"/>
  <c r="W892" i="18" s="1"/>
  <c r="V916" i="18"/>
  <c r="V1001" i="18"/>
  <c r="W1001" i="18" s="1"/>
  <c r="V1016" i="18"/>
  <c r="W1016" i="18" s="1"/>
  <c r="V1023" i="18"/>
  <c r="W1023" i="18" s="1"/>
  <c r="V1060" i="18"/>
  <c r="W1060" i="18" s="1"/>
  <c r="V1072" i="18"/>
  <c r="V1077" i="18"/>
  <c r="W1077" i="18" s="1"/>
  <c r="V1104" i="18"/>
  <c r="V1111" i="18"/>
  <c r="V1166" i="18"/>
  <c r="V1255" i="18"/>
  <c r="W1255" i="18" s="1"/>
  <c r="V1342" i="18"/>
  <c r="V1404" i="18"/>
  <c r="W1404" i="18" s="1"/>
  <c r="V1422" i="18"/>
  <c r="W1422" i="18" s="1"/>
  <c r="V1470" i="18"/>
  <c r="W1470" i="18" s="1"/>
  <c r="V1562" i="18"/>
  <c r="V1642" i="18"/>
  <c r="W1642" i="18" s="1"/>
  <c r="V1645" i="18"/>
  <c r="W1645" i="18" s="1"/>
  <c r="V1917" i="18"/>
  <c r="W1917" i="18" s="1"/>
  <c r="V828" i="18"/>
  <c r="W828" i="18" s="1"/>
  <c r="V847" i="18"/>
  <c r="V894" i="18"/>
  <c r="V903" i="18"/>
  <c r="V919" i="18"/>
  <c r="V934" i="18"/>
  <c r="W934" i="18" s="1"/>
  <c r="V948" i="18"/>
  <c r="W948" i="18" s="1"/>
  <c r="V960" i="18"/>
  <c r="V974" i="18"/>
  <c r="W974" i="18" s="1"/>
  <c r="V977" i="18"/>
  <c r="W977" i="18" s="1"/>
  <c r="V984" i="18"/>
  <c r="W984" i="18" s="1"/>
  <c r="V998" i="18"/>
  <c r="V1003" i="18"/>
  <c r="V1028" i="18"/>
  <c r="W1028" i="18" s="1"/>
  <c r="V1038" i="18"/>
  <c r="W1038" i="18" s="1"/>
  <c r="V1048" i="18"/>
  <c r="X1048" i="18" s="1"/>
  <c r="V1058" i="18"/>
  <c r="V1061" i="18"/>
  <c r="V1067" i="18"/>
  <c r="V1088" i="18"/>
  <c r="W1088" i="18" s="1"/>
  <c r="V1096" i="18"/>
  <c r="W1096" i="18" s="1"/>
  <c r="V1112" i="18"/>
  <c r="V1123" i="18"/>
  <c r="W1123" i="18" s="1"/>
  <c r="V1126" i="18"/>
  <c r="V1142" i="18"/>
  <c r="W1142" i="18" s="1"/>
  <c r="V1144" i="18"/>
  <c r="V1146" i="18"/>
  <c r="V1167" i="18"/>
  <c r="V1182" i="18"/>
  <c r="V1245" i="18"/>
  <c r="V1247" i="18"/>
  <c r="V1249" i="18"/>
  <c r="W1249" i="18" s="1"/>
  <c r="V1287" i="18"/>
  <c r="W1287" i="18" s="1"/>
  <c r="V1306" i="18"/>
  <c r="W1306" i="18" s="1"/>
  <c r="V1330" i="18"/>
  <c r="V1332" i="18"/>
  <c r="W1332" i="18" s="1"/>
  <c r="V1347" i="18"/>
  <c r="V1361" i="18"/>
  <c r="V1364" i="18"/>
  <c r="W1364" i="18" s="1"/>
  <c r="V1379" i="18"/>
  <c r="V1393" i="18"/>
  <c r="V1396" i="18"/>
  <c r="V1408" i="18"/>
  <c r="W1408" i="18" s="1"/>
  <c r="V1411" i="18"/>
  <c r="V1425" i="18"/>
  <c r="V1431" i="18"/>
  <c r="V1455" i="18"/>
  <c r="W1455" i="18" s="1"/>
  <c r="V1471" i="18"/>
  <c r="V1475" i="18"/>
  <c r="V1477" i="18"/>
  <c r="W1477" i="18" s="1"/>
  <c r="V1484" i="18"/>
  <c r="W1484" i="18" s="1"/>
  <c r="V1497" i="18"/>
  <c r="V1521" i="18"/>
  <c r="W1521" i="18" s="1"/>
  <c r="V1559" i="18"/>
  <c r="V1564" i="18"/>
  <c r="W1564" i="18" s="1"/>
  <c r="V1604" i="18"/>
  <c r="W1604" i="18" s="1"/>
  <c r="V1609" i="18"/>
  <c r="W1609" i="18" s="1"/>
  <c r="V1611" i="18"/>
  <c r="W1611" i="18" s="1"/>
  <c r="V1629" i="18"/>
  <c r="V1646" i="18"/>
  <c r="V1881" i="18"/>
  <c r="X1881" i="18" s="1"/>
  <c r="V1884" i="18"/>
  <c r="W1884" i="18" s="1"/>
  <c r="V1964" i="18"/>
  <c r="W1964" i="18" s="1"/>
  <c r="V1278" i="18"/>
  <c r="V1291" i="18"/>
  <c r="V1293" i="18"/>
  <c r="X1293" i="18" s="1"/>
  <c r="V1295" i="18"/>
  <c r="W1295" i="18" s="1"/>
  <c r="V1297" i="18"/>
  <c r="W1297" i="18" s="1"/>
  <c r="V1299" i="18"/>
  <c r="W1299" i="18" s="1"/>
  <c r="V1340" i="18"/>
  <c r="W1340" i="18" s="1"/>
  <c r="V1355" i="18"/>
  <c r="W1355" i="18" s="1"/>
  <c r="V1372" i="18"/>
  <c r="V1387" i="18"/>
  <c r="W1387" i="18" s="1"/>
  <c r="V1412" i="18"/>
  <c r="V1460" i="18"/>
  <c r="V1543" i="18"/>
  <c r="V1545" i="18"/>
  <c r="V1592" i="18"/>
  <c r="W1592" i="18" s="1"/>
  <c r="V1597" i="18"/>
  <c r="W1597" i="18" s="1"/>
  <c r="V1632" i="18"/>
  <c r="W1632" i="18" s="1"/>
  <c r="V1761" i="18"/>
  <c r="V1793" i="18"/>
  <c r="W1793" i="18" s="1"/>
  <c r="V1825" i="18"/>
  <c r="V1875" i="18"/>
  <c r="W1875" i="18" s="1"/>
  <c r="V1889" i="18"/>
  <c r="W1889" i="18" s="1"/>
  <c r="V1898" i="18"/>
  <c r="W1898" i="18" s="1"/>
  <c r="V1974" i="18"/>
  <c r="V1983" i="18"/>
  <c r="W1983" i="18" s="1"/>
  <c r="V1988" i="18"/>
  <c r="W1988" i="18" s="1"/>
  <c r="V2005" i="18"/>
  <c r="W2005" i="18" s="1"/>
  <c r="V2010" i="18"/>
  <c r="W2010" i="18" s="1"/>
  <c r="V1658" i="18"/>
  <c r="V1660" i="18"/>
  <c r="V1662" i="18"/>
  <c r="V1664" i="18"/>
  <c r="V1666" i="18"/>
  <c r="W1666" i="18" s="1"/>
  <c r="V1668" i="18"/>
  <c r="W1668" i="18" s="1"/>
  <c r="V1670" i="18"/>
  <c r="V1672" i="18"/>
  <c r="V1674" i="18"/>
  <c r="W1674" i="18" s="1"/>
  <c r="V1676" i="18"/>
  <c r="V1678" i="18"/>
  <c r="V1680" i="18"/>
  <c r="W1680" i="18" s="1"/>
  <c r="V1682" i="18"/>
  <c r="W1682" i="18" s="1"/>
  <c r="V1684" i="18"/>
  <c r="W1684" i="18" s="1"/>
  <c r="V1686" i="18"/>
  <c r="W1686" i="18" s="1"/>
  <c r="V1688" i="18"/>
  <c r="W1688" i="18" s="1"/>
  <c r="V1690" i="18"/>
  <c r="V1692" i="18"/>
  <c r="X1692" i="18" s="1"/>
  <c r="V1694" i="18"/>
  <c r="W1694" i="18" s="1"/>
  <c r="V1696" i="18"/>
  <c r="W1696" i="18" s="1"/>
  <c r="V1698" i="18"/>
  <c r="W1698" i="18" s="1"/>
  <c r="V1700" i="18"/>
  <c r="V1702" i="18"/>
  <c r="W1702" i="18" s="1"/>
  <c r="V1704" i="18"/>
  <c r="W1704" i="18" s="1"/>
  <c r="V1706" i="18"/>
  <c r="V1708" i="18"/>
  <c r="V1710" i="18"/>
  <c r="V1712" i="18"/>
  <c r="W1712" i="18" s="1"/>
  <c r="V1714" i="18"/>
  <c r="V1716" i="18"/>
  <c r="W1716" i="18" s="1"/>
  <c r="V1718" i="18"/>
  <c r="W1718" i="18" s="1"/>
  <c r="V1720" i="18"/>
  <c r="X1720" i="18" s="1"/>
  <c r="V1722" i="18"/>
  <c r="W1722" i="18" s="1"/>
  <c r="V1724" i="18"/>
  <c r="W1724" i="18" s="1"/>
  <c r="V1726" i="18"/>
  <c r="W1726" i="18" s="1"/>
  <c r="V1728" i="18"/>
  <c r="V1730" i="18"/>
  <c r="W1730" i="18" s="1"/>
  <c r="V1732" i="18"/>
  <c r="V1734" i="18"/>
  <c r="V1736" i="18"/>
  <c r="W1736" i="18" s="1"/>
  <c r="V1739" i="18"/>
  <c r="V1757" i="18"/>
  <c r="W1757" i="18" s="1"/>
  <c r="V1773" i="18"/>
  <c r="W1773" i="18" s="1"/>
  <c r="V1789" i="18"/>
  <c r="V1805" i="18"/>
  <c r="V1821" i="18"/>
  <c r="V1837" i="18"/>
  <c r="W1837" i="18" s="1"/>
  <c r="V1853" i="18"/>
  <c r="V1878" i="18"/>
  <c r="W1878" i="18" s="1"/>
  <c r="V1886" i="18"/>
  <c r="V1925" i="18"/>
  <c r="V1935" i="18"/>
  <c r="W1935" i="18" s="1"/>
  <c r="V1951" i="18"/>
  <c r="X1951" i="18" s="1"/>
  <c r="V1959" i="18"/>
  <c r="V1961" i="18"/>
  <c r="W1961" i="18" s="1"/>
  <c r="V1985" i="18"/>
  <c r="V1997" i="18"/>
  <c r="V2002" i="18"/>
  <c r="W2002" i="18" s="1"/>
  <c r="V2007" i="18"/>
  <c r="V2012" i="18"/>
  <c r="W2012" i="18" s="1"/>
  <c r="V583" i="18"/>
  <c r="W583" i="18" s="1"/>
  <c r="V587" i="18"/>
  <c r="W587" i="18" s="1"/>
  <c r="V595" i="18"/>
  <c r="V603" i="18"/>
  <c r="V611" i="18"/>
  <c r="V619" i="18"/>
  <c r="W619" i="18" s="1"/>
  <c r="V627" i="18"/>
  <c r="V635" i="18"/>
  <c r="X635" i="18" s="1"/>
  <c r="V671" i="18"/>
  <c r="W671" i="18" s="1"/>
  <c r="V679" i="18"/>
  <c r="V680" i="18"/>
  <c r="W680" i="18" s="1"/>
  <c r="V685" i="18"/>
  <c r="V695" i="18"/>
  <c r="V696" i="18"/>
  <c r="V701" i="18"/>
  <c r="V713" i="18"/>
  <c r="V714" i="18"/>
  <c r="W714" i="18" s="1"/>
  <c r="V721" i="18"/>
  <c r="V722" i="18"/>
  <c r="W722" i="18" s="1"/>
  <c r="V729" i="18"/>
  <c r="V730" i="18"/>
  <c r="V737" i="18"/>
  <c r="V738" i="18"/>
  <c r="V745" i="18"/>
  <c r="V746" i="18"/>
  <c r="W746" i="18" s="1"/>
  <c r="V805" i="18"/>
  <c r="V807" i="18"/>
  <c r="V816" i="18"/>
  <c r="V818" i="18"/>
  <c r="V837" i="18"/>
  <c r="W837" i="18" s="1"/>
  <c r="V851" i="18"/>
  <c r="W851" i="18" s="1"/>
  <c r="V862" i="18"/>
  <c r="W862" i="18" s="1"/>
  <c r="V864" i="18"/>
  <c r="W864" i="18" s="1"/>
  <c r="V876" i="18"/>
  <c r="W876" i="18" s="1"/>
  <c r="V883" i="18"/>
  <c r="W883" i="18" s="1"/>
  <c r="V911" i="18"/>
  <c r="V914" i="18"/>
  <c r="V920" i="18"/>
  <c r="W920" i="18" s="1"/>
  <c r="V922" i="18"/>
  <c r="V924" i="18"/>
  <c r="W924" i="18" s="1"/>
  <c r="V926" i="18"/>
  <c r="W926" i="18" s="1"/>
  <c r="V928" i="18"/>
  <c r="W928" i="18" s="1"/>
  <c r="V932" i="18"/>
  <c r="V938" i="18"/>
  <c r="W938" i="18" s="1"/>
  <c r="V944" i="18"/>
  <c r="V956" i="18"/>
  <c r="W956" i="18" s="1"/>
  <c r="V962" i="18"/>
  <c r="V968" i="18"/>
  <c r="V976" i="18"/>
  <c r="W976" i="18" s="1"/>
  <c r="V988" i="18"/>
  <c r="W988" i="18" s="1"/>
  <c r="V994" i="18"/>
  <c r="W994" i="18" s="1"/>
  <c r="V1021" i="18"/>
  <c r="V1037" i="18"/>
  <c r="V1053" i="18"/>
  <c r="W1053" i="18" s="1"/>
  <c r="V1071" i="18"/>
  <c r="W1071" i="18" s="1"/>
  <c r="V1073" i="18"/>
  <c r="W1073" i="18" s="1"/>
  <c r="V1082" i="18"/>
  <c r="W1082" i="18" s="1"/>
  <c r="V1089" i="18"/>
  <c r="V1091" i="18"/>
  <c r="W1091" i="18" s="1"/>
  <c r="V1098" i="18"/>
  <c r="V1116" i="18"/>
  <c r="W1116" i="18" s="1"/>
  <c r="V1120" i="18"/>
  <c r="V1132" i="18"/>
  <c r="V1135" i="18"/>
  <c r="W1135" i="18" s="1"/>
  <c r="V1139" i="18"/>
  <c r="V1148" i="18"/>
  <c r="W1148" i="18" s="1"/>
  <c r="V1151" i="18"/>
  <c r="W1151" i="18" s="1"/>
  <c r="V1159" i="18"/>
  <c r="W1159" i="18" s="1"/>
  <c r="V1172" i="18"/>
  <c r="W1172" i="18" s="1"/>
  <c r="V1174" i="18"/>
  <c r="V1176" i="18"/>
  <c r="W1176" i="18" s="1"/>
  <c r="V1196" i="18"/>
  <c r="W1196" i="18" s="1"/>
  <c r="V1199" i="18"/>
  <c r="W1199" i="18" s="1"/>
  <c r="V1203" i="18"/>
  <c r="V1246" i="18"/>
  <c r="V1277" i="18"/>
  <c r="V1279" i="18"/>
  <c r="V1281" i="18"/>
  <c r="W1281" i="18" s="1"/>
  <c r="V1290" i="18"/>
  <c r="V1302" i="18"/>
  <c r="W1302" i="18" s="1"/>
  <c r="V1307" i="18"/>
  <c r="X1307" i="18" s="1"/>
  <c r="V1309" i="18"/>
  <c r="W1309" i="18" s="1"/>
  <c r="V1311" i="18"/>
  <c r="W1311" i="18" s="1"/>
  <c r="V1313" i="18"/>
  <c r="V1315" i="18"/>
  <c r="W1315" i="18" s="1"/>
  <c r="V1317" i="18"/>
  <c r="W1317" i="18" s="1"/>
  <c r="V1319" i="18"/>
  <c r="V1321" i="18"/>
  <c r="X1321" i="18" s="1"/>
  <c r="V1323" i="18"/>
  <c r="W1323" i="18" s="1"/>
  <c r="V1325" i="18"/>
  <c r="V1327" i="18"/>
  <c r="V1336" i="18"/>
  <c r="V1344" i="18"/>
  <c r="V1352" i="18"/>
  <c r="W1352" i="18" s="1"/>
  <c r="V1360" i="18"/>
  <c r="V1368" i="18"/>
  <c r="W1368" i="18" s="1"/>
  <c r="V1376" i="18"/>
  <c r="W1376" i="18" s="1"/>
  <c r="V1384" i="18"/>
  <c r="V1392" i="18"/>
  <c r="V1402" i="18"/>
  <c r="W1402" i="18" s="1"/>
  <c r="V1405" i="18"/>
  <c r="V1409" i="18"/>
  <c r="V1413" i="18"/>
  <c r="W1413" i="18" s="1"/>
  <c r="V1416" i="18"/>
  <c r="W1416" i="18" s="1"/>
  <c r="V1418" i="18"/>
  <c r="W1418" i="18" s="1"/>
  <c r="V1441" i="18"/>
  <c r="W1441" i="18" s="1"/>
  <c r="V1447" i="18"/>
  <c r="V1467" i="18"/>
  <c r="W1467" i="18" s="1"/>
  <c r="V1502" i="18"/>
  <c r="W1502" i="18" s="1"/>
  <c r="V1540" i="18"/>
  <c r="V1549" i="18"/>
  <c r="V1561" i="18"/>
  <c r="W1561" i="18" s="1"/>
  <c r="V1573" i="18"/>
  <c r="V1588" i="18"/>
  <c r="W1588" i="18" s="1"/>
  <c r="V1616" i="18"/>
  <c r="V1628" i="18"/>
  <c r="V1633" i="18"/>
  <c r="W1633" i="18" s="1"/>
  <c r="V1638" i="18"/>
  <c r="W1638" i="18" s="1"/>
  <c r="V1654" i="18"/>
  <c r="V1753" i="18"/>
  <c r="W1753" i="18" s="1"/>
  <c r="V1769" i="18"/>
  <c r="V1785" i="18"/>
  <c r="W1785" i="18" s="1"/>
  <c r="V1801" i="18"/>
  <c r="V1817" i="18"/>
  <c r="V1833" i="18"/>
  <c r="V1849" i="18"/>
  <c r="W1849" i="18" s="1"/>
  <c r="V1865" i="18"/>
  <c r="V1868" i="18"/>
  <c r="V1888" i="18"/>
  <c r="V1902" i="18"/>
  <c r="V1905" i="18"/>
  <c r="W1905" i="18" s="1"/>
  <c r="V1913" i="18"/>
  <c r="W1913" i="18" s="1"/>
  <c r="V1922" i="18"/>
  <c r="W1922" i="18" s="1"/>
  <c r="V1929" i="18"/>
  <c r="V1953" i="18"/>
  <c r="W1953" i="18" s="1"/>
  <c r="V1979" i="18"/>
  <c r="X1979" i="18" s="1"/>
  <c r="V1982" i="18"/>
  <c r="W1982" i="18" s="1"/>
  <c r="V1989" i="18"/>
  <c r="V1994" i="18"/>
  <c r="W1994" i="18" s="1"/>
  <c r="V1999" i="18"/>
  <c r="V2004" i="18"/>
  <c r="W2004" i="18" s="1"/>
  <c r="V2025" i="18"/>
  <c r="W2025" i="18" s="1"/>
  <c r="V2046" i="18"/>
  <c r="W2046" i="18" s="1"/>
  <c r="V2059" i="18"/>
  <c r="W2059" i="18" s="1"/>
  <c r="V2061" i="18"/>
  <c r="W2061" i="18" s="1"/>
  <c r="V2114" i="18"/>
  <c r="W2114" i="18" s="1"/>
  <c r="V2120" i="18"/>
  <c r="V2131" i="18"/>
  <c r="W2131" i="18" s="1"/>
  <c r="V2175" i="18"/>
  <c r="V2191" i="18"/>
  <c r="V2207" i="18"/>
  <c r="W2207" i="18" s="1"/>
  <c r="V2223" i="18"/>
  <c r="V1424" i="18"/>
  <c r="W1424" i="18" s="1"/>
  <c r="V1428" i="18"/>
  <c r="V1446" i="18"/>
  <c r="V1449" i="18"/>
  <c r="W1449" i="18" s="1"/>
  <c r="V1466" i="18"/>
  <c r="W1466" i="18" s="1"/>
  <c r="V1486" i="18"/>
  <c r="W1486" i="18" s="1"/>
  <c r="V1488" i="18"/>
  <c r="V1490" i="18"/>
  <c r="W1490" i="18" s="1"/>
  <c r="V1500" i="18"/>
  <c r="W1500" i="18" s="1"/>
  <c r="V1518" i="18"/>
  <c r="V1520" i="18"/>
  <c r="V1532" i="18"/>
  <c r="V1535" i="18"/>
  <c r="V1537" i="18"/>
  <c r="V1551" i="18"/>
  <c r="W1551" i="18" s="1"/>
  <c r="V1557" i="18"/>
  <c r="V1569" i="18"/>
  <c r="V1577" i="18"/>
  <c r="V1585" i="18"/>
  <c r="W1585" i="18" s="1"/>
  <c r="V1596" i="18"/>
  <c r="V1601" i="18"/>
  <c r="V1608" i="18"/>
  <c r="V1620" i="18"/>
  <c r="V1625" i="18"/>
  <c r="W1625" i="18" s="1"/>
  <c r="V1637" i="18"/>
  <c r="V1640" i="18"/>
  <c r="W1640" i="18" s="1"/>
  <c r="V1644" i="18"/>
  <c r="V1648" i="18"/>
  <c r="V1652" i="18"/>
  <c r="V1656" i="18"/>
  <c r="W1656" i="18" s="1"/>
  <c r="V1741" i="18"/>
  <c r="V1861" i="18"/>
  <c r="V1869" i="18"/>
  <c r="W1869" i="18" s="1"/>
  <c r="V1873" i="18"/>
  <c r="V1900" i="18"/>
  <c r="W1900" i="18" s="1"/>
  <c r="V1909" i="18"/>
  <c r="X1909" i="18" s="1"/>
  <c r="V1928" i="18"/>
  <c r="W1928" i="18" s="1"/>
  <c r="V1938" i="18"/>
  <c r="V1941" i="18"/>
  <c r="W1941" i="18" s="1"/>
  <c r="V1946" i="18"/>
  <c r="V1948" i="18"/>
  <c r="W1948" i="18" s="1"/>
  <c r="V1960" i="18"/>
  <c r="V1967" i="18"/>
  <c r="V1972" i="18"/>
  <c r="X1972" i="18" s="1"/>
  <c r="V1980" i="18"/>
  <c r="W1980" i="18" s="1"/>
  <c r="V1990" i="18"/>
  <c r="W1990" i="18" s="1"/>
  <c r="V1993" i="18"/>
  <c r="V1998" i="18"/>
  <c r="V2001" i="18"/>
  <c r="V2006" i="18"/>
  <c r="V2009" i="18"/>
  <c r="V2014" i="18"/>
  <c r="V2019" i="18"/>
  <c r="W2019" i="18" s="1"/>
  <c r="V2024" i="18"/>
  <c r="W2024" i="18" s="1"/>
  <c r="V2043" i="18"/>
  <c r="W2043" i="18" s="1"/>
  <c r="V2151" i="18"/>
  <c r="W2151" i="18" s="1"/>
  <c r="V2183" i="18"/>
  <c r="V2199" i="18"/>
  <c r="V2215" i="18"/>
  <c r="W2215" i="18" s="1"/>
  <c r="V2124" i="18"/>
  <c r="W2124" i="18" s="1"/>
  <c r="V2136" i="18"/>
  <c r="V2142" i="18"/>
  <c r="V2154" i="18"/>
  <c r="V2160" i="18"/>
  <c r="V2162" i="18"/>
  <c r="V2239" i="18"/>
  <c r="V2242" i="18"/>
  <c r="W2242" i="18" s="1"/>
  <c r="V2247" i="18"/>
  <c r="W2247" i="18" s="1"/>
  <c r="V2250" i="18"/>
  <c r="W2250" i="18" s="1"/>
  <c r="V2255" i="18"/>
  <c r="V2258" i="18"/>
  <c r="W2258" i="18" s="1"/>
  <c r="V2263" i="18"/>
  <c r="V2266" i="18"/>
  <c r="V2271" i="18"/>
  <c r="W2271" i="18" s="1"/>
  <c r="V2274" i="18"/>
  <c r="W2274" i="18" s="1"/>
  <c r="V2276" i="18"/>
  <c r="W2276" i="18" s="1"/>
  <c r="V2283" i="18"/>
  <c r="W2283" i="18" s="1"/>
  <c r="V2285" i="18"/>
  <c r="V2290" i="18"/>
  <c r="V2126" i="18"/>
  <c r="V2138" i="18"/>
  <c r="W2138" i="18" s="1"/>
  <c r="V2144" i="18"/>
  <c r="W2144" i="18" s="1"/>
  <c r="V2146" i="18"/>
  <c r="V2161" i="18"/>
  <c r="V2164" i="18"/>
  <c r="V2166" i="18"/>
  <c r="V2172" i="18"/>
  <c r="W2172" i="18" s="1"/>
  <c r="V2236" i="18"/>
  <c r="W2236" i="18" s="1"/>
  <c r="V2241" i="18"/>
  <c r="V2244" i="18"/>
  <c r="V2249" i="18"/>
  <c r="W2249" i="18" s="1"/>
  <c r="V2252" i="18"/>
  <c r="V2257" i="18"/>
  <c r="V2260" i="18"/>
  <c r="V2265" i="18"/>
  <c r="V2268" i="18"/>
  <c r="V2273" i="18"/>
  <c r="V2278" i="18"/>
  <c r="V2280" i="18"/>
  <c r="V2287" i="18"/>
  <c r="X2287" i="18" s="1"/>
  <c r="V2289" i="18"/>
  <c r="V2298" i="18"/>
  <c r="W2298" i="18" s="1"/>
  <c r="V2300" i="18"/>
  <c r="W2300" i="18" s="1"/>
  <c r="V2307" i="18"/>
  <c r="W2307" i="18" s="1"/>
  <c r="V2309" i="18"/>
  <c r="W2309" i="18" s="1"/>
  <c r="V2018" i="18"/>
  <c r="W2018" i="18" s="1"/>
  <c r="V2021" i="18"/>
  <c r="X2021" i="18" s="1"/>
  <c r="V2033" i="18"/>
  <c r="W2033" i="18" s="1"/>
  <c r="V2038" i="18"/>
  <c r="W2038" i="18" s="1"/>
  <c r="V2049" i="18"/>
  <c r="V2054" i="18"/>
  <c r="V2062" i="18"/>
  <c r="W2062" i="18" s="1"/>
  <c r="V2067" i="18"/>
  <c r="V2069" i="18"/>
  <c r="W2069" i="18" s="1"/>
  <c r="V2071" i="18"/>
  <c r="W2071" i="18" s="1"/>
  <c r="V2073" i="18"/>
  <c r="W2073" i="18" s="1"/>
  <c r="V2075" i="18"/>
  <c r="V2077" i="18"/>
  <c r="V2079" i="18"/>
  <c r="W2079" i="18" s="1"/>
  <c r="V2081" i="18"/>
  <c r="V2083" i="18"/>
  <c r="V2085" i="18"/>
  <c r="V2087" i="18"/>
  <c r="W2087" i="18" s="1"/>
  <c r="V2089" i="18"/>
  <c r="W2089" i="18" s="1"/>
  <c r="V2091" i="18"/>
  <c r="V2093" i="18"/>
  <c r="W2093" i="18" s="1"/>
  <c r="V2095" i="18"/>
  <c r="W2095" i="18" s="1"/>
  <c r="V2097" i="18"/>
  <c r="V2099" i="18"/>
  <c r="W2099" i="18" s="1"/>
  <c r="V2105" i="18"/>
  <c r="V2115" i="18"/>
  <c r="W2115" i="18" s="1"/>
  <c r="V2121" i="18"/>
  <c r="W2121" i="18" s="1"/>
  <c r="V2122" i="18"/>
  <c r="V2128" i="18"/>
  <c r="V2130" i="18"/>
  <c r="W2130" i="18" s="1"/>
  <c r="V2145" i="18"/>
  <c r="W2145" i="18" s="1"/>
  <c r="V2165" i="18"/>
  <c r="W2165" i="18" s="1"/>
  <c r="V2173" i="18"/>
  <c r="W2173" i="18" s="1"/>
  <c r="V2314" i="18"/>
  <c r="W2314" i="18" s="1"/>
  <c r="V2318" i="18"/>
  <c r="W2318" i="18" s="1"/>
  <c r="V2326" i="18"/>
  <c r="W2326" i="18" s="1"/>
  <c r="V2334" i="18"/>
  <c r="V2342" i="18"/>
  <c r="W2342" i="18" s="1"/>
  <c r="V2350" i="18"/>
  <c r="V2358" i="18"/>
  <c r="V2366" i="18"/>
  <c r="W2366" i="18" s="1"/>
  <c r="V2374" i="18"/>
  <c r="W2374" i="18" s="1"/>
  <c r="V2382" i="18"/>
  <c r="W2382" i="18" s="1"/>
  <c r="V2390" i="18"/>
  <c r="V2398" i="18"/>
  <c r="W2398" i="18" s="1"/>
  <c r="V2406" i="18"/>
  <c r="V2418" i="18"/>
  <c r="V2422" i="18"/>
  <c r="W2422" i="18" s="1"/>
  <c r="V2426" i="18"/>
  <c r="V2436" i="18"/>
  <c r="V2438" i="18"/>
  <c r="W2438" i="18" s="1"/>
  <c r="V2442" i="18"/>
  <c r="W2442" i="18" s="1"/>
  <c r="V2451" i="18"/>
  <c r="V2459" i="18"/>
  <c r="V2467" i="18"/>
  <c r="V2474" i="18"/>
  <c r="W2474" i="18" s="1"/>
  <c r="V2487" i="18"/>
  <c r="W2487" i="18" s="1"/>
  <c r="V2490" i="18"/>
  <c r="V2512" i="18"/>
  <c r="W2512" i="18" s="1"/>
  <c r="V2520" i="18"/>
  <c r="W2520" i="18" s="1"/>
  <c r="V2528" i="18"/>
  <c r="W2528" i="18" s="1"/>
  <c r="V2536" i="18"/>
  <c r="V2541" i="18"/>
  <c r="V2558" i="18"/>
  <c r="W2558" i="18" s="1"/>
  <c r="V2564" i="18"/>
  <c r="W2564" i="18" s="1"/>
  <c r="V2620" i="18"/>
  <c r="W2620" i="18" s="1"/>
  <c r="V2626" i="18"/>
  <c r="W2626" i="18" s="1"/>
  <c r="V2656" i="18"/>
  <c r="W2656" i="18" s="1"/>
  <c r="V2292" i="18"/>
  <c r="W2292" i="18" s="1"/>
  <c r="V2299" i="18"/>
  <c r="W2299" i="18" s="1"/>
  <c r="V2301" i="18"/>
  <c r="V2306" i="18"/>
  <c r="V2308" i="18"/>
  <c r="V2315" i="18"/>
  <c r="X2315" i="18" s="1"/>
  <c r="V2322" i="18"/>
  <c r="V2330" i="18"/>
  <c r="V2338" i="18"/>
  <c r="W2338" i="18" s="1"/>
  <c r="V2346" i="18"/>
  <c r="W2346" i="18" s="1"/>
  <c r="V2354" i="18"/>
  <c r="V2362" i="18"/>
  <c r="V2370" i="18"/>
  <c r="V2378" i="18"/>
  <c r="V2386" i="18"/>
  <c r="V2394" i="18"/>
  <c r="V2402" i="18"/>
  <c r="V2410" i="18"/>
  <c r="V2413" i="18"/>
  <c r="V2415" i="18"/>
  <c r="V2427" i="18"/>
  <c r="V2435" i="18"/>
  <c r="V2446" i="18"/>
  <c r="V2455" i="18"/>
  <c r="V2463" i="18"/>
  <c r="W2463" i="18" s="1"/>
  <c r="V2479" i="18"/>
  <c r="W2479" i="18" s="1"/>
  <c r="V2482" i="18"/>
  <c r="V2495" i="18"/>
  <c r="V2508" i="18"/>
  <c r="W2508" i="18" s="1"/>
  <c r="V2516" i="18"/>
  <c r="W2516" i="18" s="1"/>
  <c r="V2524" i="18"/>
  <c r="W2524" i="18" s="1"/>
  <c r="V2532" i="18"/>
  <c r="V2542" i="18"/>
  <c r="V2552" i="18"/>
  <c r="W2552" i="18" s="1"/>
  <c r="V2557" i="18"/>
  <c r="V2569" i="18"/>
  <c r="W2569" i="18" s="1"/>
  <c r="V2651" i="18"/>
  <c r="V2659" i="18"/>
  <c r="W2659" i="18" s="1"/>
  <c r="V2664" i="18"/>
  <c r="V2690" i="18"/>
  <c r="V2697" i="18"/>
  <c r="W2697" i="18" s="1"/>
  <c r="V2702" i="18"/>
  <c r="W2702" i="18" s="1"/>
  <c r="V2704" i="18"/>
  <c r="W2704" i="18" s="1"/>
  <c r="V2733" i="18"/>
  <c r="V2742" i="18"/>
  <c r="V2749" i="18"/>
  <c r="X2749" i="18" s="1"/>
  <c r="V2758" i="18"/>
  <c r="W2758" i="18" s="1"/>
  <c r="V2760" i="18"/>
  <c r="W2760" i="18" s="1"/>
  <c r="V2534" i="18"/>
  <c r="W2534" i="18" s="1"/>
  <c r="V2538" i="18"/>
  <c r="W2538" i="18" s="1"/>
  <c r="V2546" i="18"/>
  <c r="V2554" i="18"/>
  <c r="V2561" i="18"/>
  <c r="W2561" i="18" s="1"/>
  <c r="V2565" i="18"/>
  <c r="V2609" i="18"/>
  <c r="V2615" i="18"/>
  <c r="W2615" i="18" s="1"/>
  <c r="V2625" i="18"/>
  <c r="V2631" i="18"/>
  <c r="W2631" i="18" s="1"/>
  <c r="V2641" i="18"/>
  <c r="W2641" i="18" s="1"/>
  <c r="V2645" i="18"/>
  <c r="W2645" i="18" s="1"/>
  <c r="V2653" i="18"/>
  <c r="W2653" i="18" s="1"/>
  <c r="V2661" i="18"/>
  <c r="V2678" i="18"/>
  <c r="W2678" i="18" s="1"/>
  <c r="V2682" i="18"/>
  <c r="W2682" i="18" s="1"/>
  <c r="V2694" i="18"/>
  <c r="W2694" i="18" s="1"/>
  <c r="V2721" i="18"/>
  <c r="V2730" i="18"/>
  <c r="W2730" i="18" s="1"/>
  <c r="V2737" i="18"/>
  <c r="W2737" i="18" s="1"/>
  <c r="V2746" i="18"/>
  <c r="W2746" i="18" s="1"/>
  <c r="V2776" i="18"/>
  <c r="W2776" i="18" s="1"/>
  <c r="V2605" i="18"/>
  <c r="W2605" i="18" s="1"/>
  <c r="V2611" i="18"/>
  <c r="V2621" i="18"/>
  <c r="W2621" i="18" s="1"/>
  <c r="V2627" i="18"/>
  <c r="W2627" i="18" s="1"/>
  <c r="V2637" i="18"/>
  <c r="V2643" i="18"/>
  <c r="V2772" i="18"/>
  <c r="V2780" i="18"/>
  <c r="W2780" i="18" s="1"/>
  <c r="V2783" i="18"/>
  <c r="W2783" i="18" s="1"/>
  <c r="V2669" i="18"/>
  <c r="V2677" i="18"/>
  <c r="V2681" i="18"/>
  <c r="V2689" i="18"/>
  <c r="V2706" i="18"/>
  <c r="W2706" i="18" s="1"/>
  <c r="V2713" i="18"/>
  <c r="W2713" i="18" s="1"/>
  <c r="V2722" i="18"/>
  <c r="V2729" i="18"/>
  <c r="W2729" i="18" s="1"/>
  <c r="V2734" i="18"/>
  <c r="W2734" i="18" s="1"/>
  <c r="V2741" i="18"/>
  <c r="V2753" i="18"/>
  <c r="V2762" i="18"/>
  <c r="W2762" i="18" s="1"/>
  <c r="V2765" i="18"/>
  <c r="W2765" i="18" s="1"/>
  <c r="V2773" i="18"/>
  <c r="W2773" i="18" s="1"/>
  <c r="V2775" i="18"/>
  <c r="V2778" i="18"/>
  <c r="W2778" i="18" s="1"/>
  <c r="V2790" i="18"/>
  <c r="W2790" i="18" s="1"/>
  <c r="V2792" i="18"/>
  <c r="V2802" i="18"/>
  <c r="V2807" i="18"/>
  <c r="V2812" i="18"/>
  <c r="V2826" i="18"/>
  <c r="V2838" i="18"/>
  <c r="V2843" i="18"/>
  <c r="W2843" i="18" s="1"/>
  <c r="V2847" i="18"/>
  <c r="V2851" i="18"/>
  <c r="W2851" i="18" s="1"/>
  <c r="V2855" i="18"/>
  <c r="V2859" i="18"/>
  <c r="W2859" i="18" s="1"/>
  <c r="V2863" i="18"/>
  <c r="V2867" i="18"/>
  <c r="V2871" i="18"/>
  <c r="V2875" i="18"/>
  <c r="V2879" i="18"/>
  <c r="V2908" i="18"/>
  <c r="W2908" i="18" s="1"/>
  <c r="V2910" i="18"/>
  <c r="V2916" i="18"/>
  <c r="W2916" i="18" s="1"/>
  <c r="V2918" i="18"/>
  <c r="W2918" i="18" s="1"/>
  <c r="V2920" i="18"/>
  <c r="W2920" i="18" s="1"/>
  <c r="V2933" i="18"/>
  <c r="V2935" i="18"/>
  <c r="W2935" i="18" s="1"/>
  <c r="V2938" i="18"/>
  <c r="V2950" i="18"/>
  <c r="V2953" i="18"/>
  <c r="W2953" i="18" s="1"/>
  <c r="V2955" i="18"/>
  <c r="W2955" i="18" s="1"/>
  <c r="V2965" i="18"/>
  <c r="V2967" i="18"/>
  <c r="V2970" i="18"/>
  <c r="W2970" i="18" s="1"/>
  <c r="V2795" i="18"/>
  <c r="W2795" i="18" s="1"/>
  <c r="V2810" i="18"/>
  <c r="W2810" i="18" s="1"/>
  <c r="V2819" i="18"/>
  <c r="V2823" i="18"/>
  <c r="W2823" i="18" s="1"/>
  <c r="V2834" i="18"/>
  <c r="V2842" i="18"/>
  <c r="V2850" i="18"/>
  <c r="V2858" i="18"/>
  <c r="W2858" i="18" s="1"/>
  <c r="V2866" i="18"/>
  <c r="W2866" i="18" s="1"/>
  <c r="V2874" i="18"/>
  <c r="W2874" i="18" s="1"/>
  <c r="V2896" i="18"/>
  <c r="V2911" i="18"/>
  <c r="V2919" i="18"/>
  <c r="W2919" i="18" s="1"/>
  <c r="V2934" i="18"/>
  <c r="W2934" i="18" s="1"/>
  <c r="V2937" i="18"/>
  <c r="W2937" i="18" s="1"/>
  <c r="V2939" i="18"/>
  <c r="V2949" i="18"/>
  <c r="V2951" i="18"/>
  <c r="V2954" i="18"/>
  <c r="W2954" i="18" s="1"/>
  <c r="V2966" i="18"/>
  <c r="V2969" i="18"/>
  <c r="W2969" i="18" s="1"/>
  <c r="V2971" i="18"/>
  <c r="V337" i="18"/>
  <c r="V340" i="18"/>
  <c r="X340" i="18" s="1"/>
  <c r="V2771" i="18"/>
  <c r="W2771" i="18" s="1"/>
  <c r="V2814" i="18"/>
  <c r="W2814" i="18" s="1"/>
  <c r="V2846" i="18"/>
  <c r="W2846" i="18" s="1"/>
  <c r="V2854" i="18"/>
  <c r="V2862" i="18"/>
  <c r="W2862" i="18" s="1"/>
  <c r="V2870" i="18"/>
  <c r="W2870" i="18" s="1"/>
  <c r="V2878" i="18"/>
  <c r="W2878" i="18" s="1"/>
  <c r="V2671" i="18"/>
  <c r="W2671" i="18" s="1"/>
  <c r="V2675" i="18"/>
  <c r="W2675" i="18" s="1"/>
  <c r="V2679" i="18"/>
  <c r="V2683" i="18"/>
  <c r="W2683" i="18" s="1"/>
  <c r="V2687" i="18"/>
  <c r="W2687" i="18" s="1"/>
  <c r="V2691" i="18"/>
  <c r="W2691" i="18" s="1"/>
  <c r="V2695" i="18"/>
  <c r="W2695" i="18" s="1"/>
  <c r="V2699" i="18"/>
  <c r="W2699" i="18" s="1"/>
  <c r="V2703" i="18"/>
  <c r="W2703" i="18" s="1"/>
  <c r="V2707" i="18"/>
  <c r="V2711" i="18"/>
  <c r="W2711" i="18" s="1"/>
  <c r="V2715" i="18"/>
  <c r="W2715" i="18" s="1"/>
  <c r="V2719" i="18"/>
  <c r="W2719" i="18" s="1"/>
  <c r="V2723" i="18"/>
  <c r="W2723" i="18" s="1"/>
  <c r="V2727" i="18"/>
  <c r="W2727" i="18" s="1"/>
  <c r="V2731" i="18"/>
  <c r="W2731" i="18" s="1"/>
  <c r="V2735" i="18"/>
  <c r="V2739" i="18"/>
  <c r="W2739" i="18" s="1"/>
  <c r="V2743" i="18"/>
  <c r="W2743" i="18" s="1"/>
  <c r="V2747" i="18"/>
  <c r="W2747" i="18" s="1"/>
  <c r="V2751" i="18"/>
  <c r="W2751" i="18" s="1"/>
  <c r="V2755" i="18"/>
  <c r="W2755" i="18" s="1"/>
  <c r="V2759" i="18"/>
  <c r="W2759" i="18" s="1"/>
  <c r="V2763" i="18"/>
  <c r="V2767" i="18"/>
  <c r="W2767" i="18" s="1"/>
  <c r="V2822" i="18"/>
  <c r="W2822" i="18" s="1"/>
  <c r="V2830" i="18"/>
  <c r="W2830" i="18" s="1"/>
  <c r="V2891" i="18"/>
  <c r="W2891" i="18" s="1"/>
  <c r="V2899" i="18"/>
  <c r="W2899" i="18" s="1"/>
  <c r="V2907" i="18"/>
  <c r="W2907" i="18" s="1"/>
  <c r="V2915" i="18"/>
  <c r="W2915" i="18" s="1"/>
  <c r="V2923" i="18"/>
  <c r="W2923" i="18" s="1"/>
  <c r="V2880" i="18"/>
  <c r="W2880" i="18" s="1"/>
  <c r="V2882" i="18"/>
  <c r="V2884" i="18"/>
  <c r="W2884" i="18" s="1"/>
  <c r="V2886" i="18"/>
  <c r="W2886" i="18" s="1"/>
  <c r="V2888" i="18"/>
  <c r="W2888" i="18" s="1"/>
  <c r="V2889" i="18"/>
  <c r="V2893" i="18"/>
  <c r="W2893" i="18" s="1"/>
  <c r="V2897" i="18"/>
  <c r="W2897" i="18" s="1"/>
  <c r="V2901" i="18"/>
  <c r="W2901" i="18" s="1"/>
  <c r="V2905" i="18"/>
  <c r="W2905" i="18" s="1"/>
  <c r="V2909" i="18"/>
  <c r="W2909" i="18" s="1"/>
  <c r="V2913" i="18"/>
  <c r="W2913" i="18" s="1"/>
  <c r="V2917" i="18"/>
  <c r="V2921" i="18"/>
  <c r="W2921" i="18" s="1"/>
  <c r="V2925" i="18"/>
  <c r="W2925" i="18" s="1"/>
  <c r="V2424" i="18"/>
  <c r="W2424" i="18" s="1"/>
  <c r="V2440" i="18"/>
  <c r="W2440" i="18" s="1"/>
  <c r="V2432" i="18"/>
  <c r="W2432" i="18" s="1"/>
  <c r="V2444" i="18"/>
  <c r="W2444" i="18" s="1"/>
  <c r="V2448" i="18"/>
  <c r="V2452" i="18"/>
  <c r="W2452" i="18" s="1"/>
  <c r="V2456" i="18"/>
  <c r="W2456" i="18" s="1"/>
  <c r="V2460" i="18"/>
  <c r="W2460" i="18" s="1"/>
  <c r="V2464" i="18"/>
  <c r="W2464" i="18" s="1"/>
  <c r="V2468" i="18"/>
  <c r="W2468" i="18" s="1"/>
  <c r="V2472" i="18"/>
  <c r="W2472" i="18" s="1"/>
  <c r="V2476" i="18"/>
  <c r="V2480" i="18"/>
  <c r="W2480" i="18" s="1"/>
  <c r="V2484" i="18"/>
  <c r="W2484" i="18" s="1"/>
  <c r="V2488" i="18"/>
  <c r="W2488" i="18" s="1"/>
  <c r="V2492" i="18"/>
  <c r="W2492" i="18" s="1"/>
  <c r="V2496" i="18"/>
  <c r="W2496" i="18" s="1"/>
  <c r="V2500" i="18"/>
  <c r="W2500" i="18" s="1"/>
  <c r="V2231" i="18"/>
  <c r="V2233" i="18"/>
  <c r="W2233" i="18" s="1"/>
  <c r="X1693" i="18"/>
  <c r="V1892" i="18"/>
  <c r="W1892" i="18" s="1"/>
  <c r="V1923" i="18"/>
  <c r="V1742" i="18"/>
  <c r="W1742" i="18" s="1"/>
  <c r="V1744" i="18"/>
  <c r="W1744" i="18" s="1"/>
  <c r="V1746" i="18"/>
  <c r="W1746" i="18" s="1"/>
  <c r="V1748" i="18"/>
  <c r="V1750" i="18"/>
  <c r="W1750" i="18" s="1"/>
  <c r="V1752" i="18"/>
  <c r="W1752" i="18" s="1"/>
  <c r="V1754" i="18"/>
  <c r="W1754" i="18" s="1"/>
  <c r="V1756" i="18"/>
  <c r="W1756" i="18" s="1"/>
  <c r="V1758" i="18"/>
  <c r="W1758" i="18" s="1"/>
  <c r="V1760" i="18"/>
  <c r="W1760" i="18" s="1"/>
  <c r="V1762" i="18"/>
  <c r="V1764" i="18"/>
  <c r="W1764" i="18" s="1"/>
  <c r="V1766" i="18"/>
  <c r="W1766" i="18" s="1"/>
  <c r="V1768" i="18"/>
  <c r="W1768" i="18" s="1"/>
  <c r="V1770" i="18"/>
  <c r="W1770" i="18" s="1"/>
  <c r="V1772" i="18"/>
  <c r="W1772" i="18" s="1"/>
  <c r="V1774" i="18"/>
  <c r="W1774" i="18" s="1"/>
  <c r="V1776" i="18"/>
  <c r="V1778" i="18"/>
  <c r="W1778" i="18" s="1"/>
  <c r="V1780" i="18"/>
  <c r="W1780" i="18" s="1"/>
  <c r="V1782" i="18"/>
  <c r="W1782" i="18" s="1"/>
  <c r="V1784" i="18"/>
  <c r="W1784" i="18" s="1"/>
  <c r="V1786" i="18"/>
  <c r="W1786" i="18" s="1"/>
  <c r="V1788" i="18"/>
  <c r="W1788" i="18" s="1"/>
  <c r="V1790" i="18"/>
  <c r="V1792" i="18"/>
  <c r="W1792" i="18" s="1"/>
  <c r="V1794" i="18"/>
  <c r="W1794" i="18" s="1"/>
  <c r="V1796" i="18"/>
  <c r="W1796" i="18" s="1"/>
  <c r="V1798" i="18"/>
  <c r="W1798" i="18" s="1"/>
  <c r="V1800" i="18"/>
  <c r="W1800" i="18" s="1"/>
  <c r="V1802" i="18"/>
  <c r="W1802" i="18" s="1"/>
  <c r="V1804" i="18"/>
  <c r="V1806" i="18"/>
  <c r="W1806" i="18" s="1"/>
  <c r="V1808" i="18"/>
  <c r="W1808" i="18" s="1"/>
  <c r="V1810" i="18"/>
  <c r="W1810" i="18" s="1"/>
  <c r="V1812" i="18"/>
  <c r="W1812" i="18" s="1"/>
  <c r="V1814" i="18"/>
  <c r="W1814" i="18" s="1"/>
  <c r="V1816" i="18"/>
  <c r="W1816" i="18" s="1"/>
  <c r="V1818" i="18"/>
  <c r="V1820" i="18"/>
  <c r="W1820" i="18" s="1"/>
  <c r="V1822" i="18"/>
  <c r="W1822" i="18" s="1"/>
  <c r="V1824" i="18"/>
  <c r="W1824" i="18" s="1"/>
  <c r="V1826" i="18"/>
  <c r="W1826" i="18" s="1"/>
  <c r="V1828" i="18"/>
  <c r="W1828" i="18" s="1"/>
  <c r="V1830" i="18"/>
  <c r="W1830" i="18" s="1"/>
  <c r="V1832" i="18"/>
  <c r="V1834" i="18"/>
  <c r="W1834" i="18" s="1"/>
  <c r="V1836" i="18"/>
  <c r="W1836" i="18" s="1"/>
  <c r="V1838" i="18"/>
  <c r="W1838" i="18" s="1"/>
  <c r="V1840" i="18"/>
  <c r="W1840" i="18" s="1"/>
  <c r="V1842" i="18"/>
  <c r="W1842" i="18" s="1"/>
  <c r="V1844" i="18"/>
  <c r="W1844" i="18" s="1"/>
  <c r="V1846" i="18"/>
  <c r="V1848" i="18"/>
  <c r="W1848" i="18" s="1"/>
  <c r="V1850" i="18"/>
  <c r="W1850" i="18" s="1"/>
  <c r="V1852" i="18"/>
  <c r="W1852" i="18" s="1"/>
  <c r="V1854" i="18"/>
  <c r="W1854" i="18" s="1"/>
  <c r="V1856" i="18"/>
  <c r="W1856" i="18" s="1"/>
  <c r="V1864" i="18"/>
  <c r="W1864" i="18" s="1"/>
  <c r="V1872" i="18"/>
  <c r="W1872" i="18" s="1"/>
  <c r="V1880" i="18"/>
  <c r="W1880" i="18" s="1"/>
  <c r="V1896" i="18"/>
  <c r="W1896" i="18" s="1"/>
  <c r="V1907" i="18"/>
  <c r="W1907" i="18" s="1"/>
  <c r="V1927" i="18"/>
  <c r="W1927" i="18" s="1"/>
  <c r="V1915" i="18"/>
  <c r="W1915" i="18" s="1"/>
  <c r="V1931" i="18"/>
  <c r="W1931" i="18" s="1"/>
  <c r="V1947" i="18"/>
  <c r="W1947" i="18" s="1"/>
  <c r="V1939" i="18"/>
  <c r="W1939" i="18" s="1"/>
  <c r="V1472" i="18"/>
  <c r="W1472" i="18" s="1"/>
  <c r="V1504" i="18"/>
  <c r="W1504" i="18" s="1"/>
  <c r="V1480" i="18"/>
  <c r="W1480" i="18" s="1"/>
  <c r="V1496" i="18"/>
  <c r="V1512" i="18"/>
  <c r="W1512" i="18" s="1"/>
  <c r="V1533" i="18"/>
  <c r="W1533" i="18" s="1"/>
  <c r="V1476" i="18"/>
  <c r="W1476" i="18" s="1"/>
  <c r="V1492" i="18"/>
  <c r="W1492" i="18" s="1"/>
  <c r="V1508" i="18"/>
  <c r="W1508" i="18" s="1"/>
  <c r="V1525" i="18"/>
  <c r="W1525" i="18" s="1"/>
  <c r="V1541" i="18"/>
  <c r="W1541" i="18" s="1"/>
  <c r="V1574" i="18"/>
  <c r="W1574" i="18" s="1"/>
  <c r="V1578" i="18"/>
  <c r="W1578" i="18" s="1"/>
  <c r="V1582" i="18"/>
  <c r="W1582" i="18" s="1"/>
  <c r="V1586" i="18"/>
  <c r="W1586" i="18" s="1"/>
  <c r="V1590" i="18"/>
  <c r="W1590" i="18" s="1"/>
  <c r="V1594" i="18"/>
  <c r="V1598" i="18"/>
  <c r="W1598" i="18" s="1"/>
  <c r="V1602" i="18"/>
  <c r="W1602" i="18" s="1"/>
  <c r="V1606" i="18"/>
  <c r="W1606" i="18" s="1"/>
  <c r="V1610" i="18"/>
  <c r="W1610" i="18" s="1"/>
  <c r="V1614" i="18"/>
  <c r="W1614" i="18" s="1"/>
  <c r="V1618" i="18"/>
  <c r="W1618" i="18" s="1"/>
  <c r="V1622" i="18"/>
  <c r="V1626" i="18"/>
  <c r="W1626" i="18" s="1"/>
  <c r="V1630" i="18"/>
  <c r="W1630" i="18" s="1"/>
  <c r="V1634" i="18"/>
  <c r="W1634" i="18" s="1"/>
  <c r="V1002" i="18"/>
  <c r="W1002" i="18" s="1"/>
  <c r="V1006" i="18"/>
  <c r="V1010" i="18"/>
  <c r="W1010" i="18" s="1"/>
  <c r="V1065" i="18"/>
  <c r="W1065" i="18" s="1"/>
  <c r="V1069" i="18"/>
  <c r="V1000" i="18"/>
  <c r="W1000" i="18" s="1"/>
  <c r="V1004" i="18"/>
  <c r="W1004" i="18" s="1"/>
  <c r="V1008" i="18"/>
  <c r="W1008" i="18" s="1"/>
  <c r="V1017" i="18"/>
  <c r="W1017" i="18" s="1"/>
  <c r="V1025" i="18"/>
  <c r="W1025" i="18" s="1"/>
  <c r="V1033" i="18"/>
  <c r="W1033" i="18" s="1"/>
  <c r="V1041" i="18"/>
  <c r="V1049" i="18"/>
  <c r="W1049" i="18" s="1"/>
  <c r="V1057" i="18"/>
  <c r="W1057" i="18" s="1"/>
  <c r="V1143" i="18"/>
  <c r="W1143" i="18" s="1"/>
  <c r="V1207" i="18"/>
  <c r="W1207" i="18" s="1"/>
  <c r="V1078" i="18"/>
  <c r="W1078" i="18" s="1"/>
  <c r="V1094" i="18"/>
  <c r="W1094" i="18" s="1"/>
  <c r="V1110" i="18"/>
  <c r="W1110" i="18" s="1"/>
  <c r="V1155" i="18"/>
  <c r="W1155" i="18" s="1"/>
  <c r="V1175" i="18"/>
  <c r="W1175" i="18" s="1"/>
  <c r="V1070" i="18"/>
  <c r="W1070" i="18" s="1"/>
  <c r="V1086" i="18"/>
  <c r="W1086" i="18" s="1"/>
  <c r="V1102" i="18"/>
  <c r="W1102" i="18" s="1"/>
  <c r="V1118" i="18"/>
  <c r="V1187" i="18"/>
  <c r="W1187" i="18" s="1"/>
  <c r="V1074" i="18"/>
  <c r="W1074" i="18" s="1"/>
  <c r="V1090" i="18"/>
  <c r="V1106" i="18"/>
  <c r="W1106" i="18" s="1"/>
  <c r="V1122" i="18"/>
  <c r="W1122" i="18" s="1"/>
  <c r="V1127" i="18"/>
  <c r="W1127" i="18" s="1"/>
  <c r="V1171" i="18"/>
  <c r="W1171" i="18" s="1"/>
  <c r="V1191" i="18"/>
  <c r="W1191" i="18" s="1"/>
  <c r="V1131" i="18"/>
  <c r="W1131" i="18" s="1"/>
  <c r="V1147" i="18"/>
  <c r="W1147" i="18" s="1"/>
  <c r="V1163" i="18"/>
  <c r="W1163" i="18" s="1"/>
  <c r="V1179" i="18"/>
  <c r="W1179" i="18" s="1"/>
  <c r="V1195" i="18"/>
  <c r="V1262" i="18"/>
  <c r="W1262" i="18" s="1"/>
  <c r="V1125" i="18"/>
  <c r="V1129" i="18"/>
  <c r="W1129" i="18" s="1"/>
  <c r="V1133" i="18"/>
  <c r="W1133" i="18" s="1"/>
  <c r="V1137" i="18"/>
  <c r="W1137" i="18" s="1"/>
  <c r="V1141" i="18"/>
  <c r="W1141" i="18" s="1"/>
  <c r="V1145" i="18"/>
  <c r="W1145" i="18" s="1"/>
  <c r="V1149" i="18"/>
  <c r="W1149" i="18" s="1"/>
  <c r="V1153" i="18"/>
  <c r="V1157" i="18"/>
  <c r="W1157" i="18" s="1"/>
  <c r="V1161" i="18"/>
  <c r="W1161" i="18" s="1"/>
  <c r="V1165" i="18"/>
  <c r="W1165" i="18" s="1"/>
  <c r="V1169" i="18"/>
  <c r="W1169" i="18" s="1"/>
  <c r="V1173" i="18"/>
  <c r="W1173" i="18" s="1"/>
  <c r="V1177" i="18"/>
  <c r="W1177" i="18" s="1"/>
  <c r="V1181" i="18"/>
  <c r="V1185" i="18"/>
  <c r="W1185" i="18" s="1"/>
  <c r="V1189" i="18"/>
  <c r="W1189" i="18" s="1"/>
  <c r="V1193" i="18"/>
  <c r="W1193" i="18" s="1"/>
  <c r="V1197" i="18"/>
  <c r="W1197" i="18" s="1"/>
  <c r="V1201" i="18"/>
  <c r="W1201" i="18" s="1"/>
  <c r="V1205" i="18"/>
  <c r="W1205" i="18" s="1"/>
  <c r="V1209" i="18"/>
  <c r="V1211" i="18"/>
  <c r="W1211" i="18" s="1"/>
  <c r="V1213" i="18"/>
  <c r="W1213" i="18" s="1"/>
  <c r="V1215" i="18"/>
  <c r="W1215" i="18" s="1"/>
  <c r="V1217" i="18"/>
  <c r="W1217" i="18" s="1"/>
  <c r="V1219" i="18"/>
  <c r="W1219" i="18" s="1"/>
  <c r="V1221" i="18"/>
  <c r="W1221" i="18" s="1"/>
  <c r="V1223" i="18"/>
  <c r="V1225" i="18"/>
  <c r="W1225" i="18" s="1"/>
  <c r="V1227" i="18"/>
  <c r="W1227" i="18" s="1"/>
  <c r="V1229" i="18"/>
  <c r="W1229" i="18" s="1"/>
  <c r="V1231" i="18"/>
  <c r="W1231" i="18" s="1"/>
  <c r="V1233" i="18"/>
  <c r="W1233" i="18" s="1"/>
  <c r="V1235" i="18"/>
  <c r="W1235" i="18" s="1"/>
  <c r="V1237" i="18"/>
  <c r="V1239" i="18"/>
  <c r="W1239" i="18" s="1"/>
  <c r="V1241" i="18"/>
  <c r="W1241" i="18" s="1"/>
  <c r="V1243" i="18"/>
  <c r="W1243" i="18" s="1"/>
  <c r="V1254" i="18"/>
  <c r="W1254" i="18" s="1"/>
  <c r="V1270" i="18"/>
  <c r="W1270" i="18" s="1"/>
  <c r="V1286" i="18"/>
  <c r="V1250" i="18"/>
  <c r="W1250" i="18" s="1"/>
  <c r="V1266" i="18"/>
  <c r="W1266" i="18" s="1"/>
  <c r="V1282" i="18"/>
  <c r="W1282" i="18" s="1"/>
  <c r="V1298" i="18"/>
  <c r="W1298" i="18" s="1"/>
  <c r="V1308" i="18"/>
  <c r="W1308" i="18" s="1"/>
  <c r="V1310" i="18"/>
  <c r="W1310" i="18" s="1"/>
  <c r="V1312" i="18"/>
  <c r="W1312" i="18" s="1"/>
  <c r="V1314" i="18"/>
  <c r="V1316" i="18"/>
  <c r="W1316" i="18" s="1"/>
  <c r="V1318" i="18"/>
  <c r="W1318" i="18" s="1"/>
  <c r="V1320" i="18"/>
  <c r="W1320" i="18" s="1"/>
  <c r="V1322" i="18"/>
  <c r="W1322" i="18" s="1"/>
  <c r="V1324" i="18"/>
  <c r="W1324" i="18" s="1"/>
  <c r="V1326" i="18"/>
  <c r="W1326" i="18" s="1"/>
  <c r="V1328" i="18"/>
  <c r="V1244" i="18"/>
  <c r="V1248" i="18"/>
  <c r="W1248" i="18" s="1"/>
  <c r="V1252" i="18"/>
  <c r="W1252" i="18" s="1"/>
  <c r="V1256" i="18"/>
  <c r="W1256" i="18" s="1"/>
  <c r="V1260" i="18"/>
  <c r="W1260" i="18" s="1"/>
  <c r="V1264" i="18"/>
  <c r="W1264" i="18" s="1"/>
  <c r="V1268" i="18"/>
  <c r="W1268" i="18" s="1"/>
  <c r="V1272" i="18"/>
  <c r="V1276" i="18"/>
  <c r="W1276" i="18" s="1"/>
  <c r="V1280" i="18"/>
  <c r="W1280" i="18" s="1"/>
  <c r="V1284" i="18"/>
  <c r="W1284" i="18" s="1"/>
  <c r="V1288" i="18"/>
  <c r="W1288" i="18" s="1"/>
  <c r="V1292" i="18"/>
  <c r="W1292" i="18" s="1"/>
  <c r="V1296" i="18"/>
  <c r="W1296" i="18" s="1"/>
  <c r="V1300" i="18"/>
  <c r="V1304" i="18"/>
  <c r="W1304" i="18" s="1"/>
  <c r="V754" i="18"/>
  <c r="V762" i="18"/>
  <c r="W762" i="18" s="1"/>
  <c r="V770" i="18"/>
  <c r="W770" i="18" s="1"/>
  <c r="V778" i="18"/>
  <c r="W778" i="18" s="1"/>
  <c r="V786" i="18"/>
  <c r="W786" i="18" s="1"/>
  <c r="V794" i="18"/>
  <c r="W794" i="18" s="1"/>
  <c r="V802" i="18"/>
  <c r="W802" i="18" s="1"/>
  <c r="V848" i="18"/>
  <c r="W848" i="18" s="1"/>
  <c r="V912" i="18"/>
  <c r="W912" i="18" s="1"/>
  <c r="V806" i="18"/>
  <c r="W806" i="18" s="1"/>
  <c r="V822" i="18"/>
  <c r="W822" i="18" s="1"/>
  <c r="V852" i="18"/>
  <c r="V896" i="18"/>
  <c r="W896" i="18" s="1"/>
  <c r="V826" i="18"/>
  <c r="W826" i="18" s="1"/>
  <c r="V836" i="18"/>
  <c r="W836" i="18" s="1"/>
  <c r="V880" i="18"/>
  <c r="V900" i="18"/>
  <c r="W900" i="18" s="1"/>
  <c r="V840" i="18"/>
  <c r="W840" i="18" s="1"/>
  <c r="V856" i="18"/>
  <c r="W856" i="18" s="1"/>
  <c r="V872" i="18"/>
  <c r="W872" i="18" s="1"/>
  <c r="V888" i="18"/>
  <c r="W888" i="18" s="1"/>
  <c r="V904" i="18"/>
  <c r="W904" i="18" s="1"/>
  <c r="V498" i="18"/>
  <c r="W498" i="18" s="1"/>
  <c r="V562" i="18"/>
  <c r="W562" i="18" s="1"/>
  <c r="V589" i="18"/>
  <c r="W589" i="18" s="1"/>
  <c r="V605" i="18"/>
  <c r="W605" i="18" s="1"/>
  <c r="V621" i="18"/>
  <c r="V637" i="18"/>
  <c r="W637" i="18" s="1"/>
  <c r="V643" i="18"/>
  <c r="W643" i="18" s="1"/>
  <c r="V651" i="18"/>
  <c r="W651" i="18" s="1"/>
  <c r="V663" i="18"/>
  <c r="V514" i="18"/>
  <c r="W514" i="18" s="1"/>
  <c r="V578" i="18"/>
  <c r="W578" i="18" s="1"/>
  <c r="V597" i="18"/>
  <c r="W597" i="18" s="1"/>
  <c r="V613" i="18"/>
  <c r="W613" i="18" s="1"/>
  <c r="V629" i="18"/>
  <c r="W629" i="18" s="1"/>
  <c r="V647" i="18"/>
  <c r="W647" i="18" s="1"/>
  <c r="V655" i="18"/>
  <c r="W655" i="18" s="1"/>
  <c r="V659" i="18"/>
  <c r="W659" i="18" s="1"/>
  <c r="V667" i="18"/>
  <c r="W667" i="18" s="1"/>
  <c r="V584" i="18"/>
  <c r="W584" i="18" s="1"/>
  <c r="V586" i="18"/>
  <c r="V591" i="18"/>
  <c r="W591" i="18" s="1"/>
  <c r="V599" i="18"/>
  <c r="W599" i="18" s="1"/>
  <c r="V607" i="18"/>
  <c r="V615" i="18"/>
  <c r="W615" i="18" s="1"/>
  <c r="V623" i="18"/>
  <c r="W623" i="18" s="1"/>
  <c r="V631" i="18"/>
  <c r="W631" i="18" s="1"/>
  <c r="V639" i="18"/>
  <c r="W639" i="18" s="1"/>
  <c r="Y947" i="18" l="1"/>
  <c r="Y1797" i="18"/>
  <c r="Y2972" i="18"/>
  <c r="Y392" i="18"/>
  <c r="X923" i="18"/>
  <c r="X2972" i="18"/>
  <c r="X513" i="18"/>
  <c r="X392" i="18"/>
  <c r="Y1117" i="18"/>
  <c r="X1879" i="18"/>
  <c r="Y1056" i="18"/>
  <c r="Y387" i="18"/>
  <c r="Y1427" i="18"/>
  <c r="X1012" i="18"/>
  <c r="Y1463" i="18"/>
  <c r="X2563" i="18"/>
  <c r="Y2539" i="18"/>
  <c r="Y2371" i="18"/>
  <c r="Y561" i="18"/>
  <c r="Y425" i="18"/>
  <c r="Y935" i="18"/>
  <c r="Y1095" i="18"/>
  <c r="Y1048" i="18"/>
  <c r="X1353" i="18"/>
  <c r="Y2185" i="18"/>
  <c r="Y2453" i="18"/>
  <c r="Y662" i="18"/>
  <c r="Y515" i="18"/>
  <c r="X368" i="18"/>
  <c r="Y435" i="18"/>
  <c r="Y1301" i="18"/>
  <c r="Y1125" i="18"/>
  <c r="X1042" i="18"/>
  <c r="Y1111" i="18"/>
  <c r="X1483" i="18"/>
  <c r="X2423" i="18"/>
  <c r="X1651" i="18"/>
  <c r="Y501" i="18"/>
  <c r="Y400" i="18"/>
  <c r="X472" i="18"/>
  <c r="Y403" i="18"/>
  <c r="Y1075" i="18"/>
  <c r="Y1655" i="18"/>
  <c r="Y1579" i="18"/>
  <c r="X1627" i="18"/>
  <c r="Y1399" i="18"/>
  <c r="X1337" i="18"/>
  <c r="X2201" i="18"/>
  <c r="Y2517" i="18"/>
  <c r="Y2553" i="18"/>
  <c r="X2885" i="18"/>
  <c r="Y1013" i="18"/>
  <c r="Y608" i="18"/>
  <c r="Y529" i="18"/>
  <c r="X487" i="18"/>
  <c r="Y368" i="18"/>
  <c r="X419" i="18"/>
  <c r="Y371" i="18"/>
  <c r="X1301" i="18"/>
  <c r="Y1007" i="18"/>
  <c r="Y1047" i="18"/>
  <c r="Y1489" i="18"/>
  <c r="Y1513" i="18"/>
  <c r="X1369" i="18"/>
  <c r="Y1685" i="18"/>
  <c r="Y2629" i="18"/>
  <c r="X2789" i="18"/>
  <c r="Y2817" i="18"/>
  <c r="X608" i="18"/>
  <c r="X501" i="18"/>
  <c r="X529" i="18"/>
  <c r="X515" i="18"/>
  <c r="X400" i="18"/>
  <c r="Y472" i="18"/>
  <c r="X403" i="18"/>
  <c r="X371" i="18"/>
  <c r="X953" i="18"/>
  <c r="Y852" i="18"/>
  <c r="Y827" i="18"/>
  <c r="Y1307" i="18"/>
  <c r="X1007" i="18"/>
  <c r="X1075" i="18"/>
  <c r="Y1062" i="18"/>
  <c r="X1655" i="18"/>
  <c r="X1463" i="18"/>
  <c r="Y1405" i="18"/>
  <c r="X1427" i="18"/>
  <c r="Y1353" i="18"/>
  <c r="Y1807" i="18"/>
  <c r="X1863" i="18"/>
  <c r="X2185" i="18"/>
  <c r="Y2201" i="18"/>
  <c r="Y2613" i="18"/>
  <c r="X2517" i="18"/>
  <c r="X2453" i="18"/>
  <c r="X2547" i="18"/>
  <c r="Y2789" i="18"/>
  <c r="Y2835" i="18"/>
  <c r="Y693" i="18"/>
  <c r="Y504" i="18"/>
  <c r="Y841" i="18"/>
  <c r="X662" i="18"/>
  <c r="Y614" i="18"/>
  <c r="X561" i="18"/>
  <c r="X504" i="18"/>
  <c r="Y487" i="18"/>
  <c r="Y419" i="18"/>
  <c r="X387" i="18"/>
  <c r="X435" i="18"/>
  <c r="Y755" i="18"/>
  <c r="X693" i="18"/>
  <c r="X1105" i="18"/>
  <c r="Y1012" i="18"/>
  <c r="X1095" i="18"/>
  <c r="X1047" i="18"/>
  <c r="Y1105" i="18"/>
  <c r="X1056" i="18"/>
  <c r="Y1042" i="18"/>
  <c r="X1579" i="18"/>
  <c r="Y1627" i="18"/>
  <c r="Y1483" i="18"/>
  <c r="X1399" i="18"/>
  <c r="X1513" i="18"/>
  <c r="Y1433" i="18"/>
  <c r="Y1369" i="18"/>
  <c r="Y1337" i="18"/>
  <c r="X1759" i="18"/>
  <c r="X1735" i="18"/>
  <c r="Y2169" i="18"/>
  <c r="X2629" i="18"/>
  <c r="Y2563" i="18"/>
  <c r="X2533" i="18"/>
  <c r="Y2503" i="18"/>
  <c r="Y2423" i="18"/>
  <c r="Y2805" i="18"/>
  <c r="Y2885" i="18"/>
  <c r="X889" i="18"/>
  <c r="Y733" i="18"/>
  <c r="Y846" i="18"/>
  <c r="X925" i="18"/>
  <c r="Y969" i="18"/>
  <c r="X808" i="18"/>
  <c r="X846" i="18"/>
  <c r="X935" i="18"/>
  <c r="X969" i="18"/>
  <c r="X827" i="18"/>
  <c r="Y925" i="18"/>
  <c r="Y953" i="18"/>
  <c r="Y889" i="18"/>
  <c r="X841" i="18"/>
  <c r="X717" i="18"/>
  <c r="Y808" i="18"/>
  <c r="Y446" i="18"/>
  <c r="X1981" i="18"/>
  <c r="X1851" i="18"/>
  <c r="Y1759" i="18"/>
  <c r="Y1735" i="18"/>
  <c r="Y1679" i="18"/>
  <c r="X1807" i="18"/>
  <c r="X1679" i="18"/>
  <c r="Y1863" i="18"/>
  <c r="X604" i="18"/>
  <c r="Y585" i="18"/>
  <c r="Y1121" i="18"/>
  <c r="Y1851" i="18"/>
  <c r="Y1741" i="18"/>
  <c r="Y1981" i="18"/>
  <c r="X2613" i="18"/>
  <c r="Y2533" i="18"/>
  <c r="X2503" i="18"/>
  <c r="Y2547" i="18"/>
  <c r="Y2799" i="18"/>
  <c r="X2817" i="18"/>
  <c r="X2835" i="18"/>
  <c r="X2799" i="18"/>
  <c r="Y717" i="18"/>
  <c r="Y1437" i="18"/>
  <c r="X1460" i="18"/>
  <c r="W1460" i="18"/>
  <c r="Y1330" i="18"/>
  <c r="W1330" i="18"/>
  <c r="X1067" i="18"/>
  <c r="W1067" i="18"/>
  <c r="X742" i="18"/>
  <c r="W742" i="18"/>
  <c r="X430" i="18"/>
  <c r="W430" i="18"/>
  <c r="X946" i="18"/>
  <c r="W946" i="18"/>
  <c r="Y376" i="18"/>
  <c r="W370" i="18"/>
  <c r="Y410" i="18"/>
  <c r="W410" i="18"/>
  <c r="X819" i="18"/>
  <c r="W819" i="18"/>
  <c r="Y2296" i="18"/>
  <c r="W2296" i="18"/>
  <c r="X1619" i="18"/>
  <c r="W1619" i="18"/>
  <c r="Y2288" i="18"/>
  <c r="W2288" i="18"/>
  <c r="X1763" i="18"/>
  <c r="W1763" i="18"/>
  <c r="Y1234" i="18"/>
  <c r="W1234" i="18"/>
  <c r="Y937" i="18"/>
  <c r="W937" i="18"/>
  <c r="X517" i="18"/>
  <c r="W517" i="18"/>
  <c r="Y413" i="18"/>
  <c r="W413" i="18"/>
  <c r="X2943" i="18"/>
  <c r="W2943" i="18"/>
  <c r="Y2906" i="18"/>
  <c r="W2906" i="18"/>
  <c r="X2967" i="18"/>
  <c r="W2967" i="18"/>
  <c r="Y2677" i="18"/>
  <c r="W2677" i="18"/>
  <c r="X2410" i="18"/>
  <c r="W2410" i="18"/>
  <c r="X2459" i="18"/>
  <c r="W2459" i="18"/>
  <c r="Y2146" i="18"/>
  <c r="W2146" i="18"/>
  <c r="Y2290" i="18"/>
  <c r="W2290" i="18"/>
  <c r="Y1644" i="18"/>
  <c r="W1644" i="18"/>
  <c r="Y1865" i="18"/>
  <c r="W1865" i="18"/>
  <c r="Y1616" i="18"/>
  <c r="W1616" i="18"/>
  <c r="Y1327" i="18"/>
  <c r="W1327" i="18"/>
  <c r="Y1290" i="18"/>
  <c r="W1290" i="18"/>
  <c r="X962" i="18"/>
  <c r="W962" i="18"/>
  <c r="Y738" i="18"/>
  <c r="W738" i="18"/>
  <c r="X701" i="18"/>
  <c r="W701" i="18"/>
  <c r="Y627" i="18"/>
  <c r="W627" i="18"/>
  <c r="Y1431" i="18"/>
  <c r="W1431" i="18"/>
  <c r="X1144" i="18"/>
  <c r="W1144" i="18"/>
  <c r="X1061" i="18"/>
  <c r="W1061" i="18"/>
  <c r="X916" i="18"/>
  <c r="W916" i="18"/>
  <c r="X641" i="18"/>
  <c r="W641" i="18"/>
  <c r="Y906" i="18"/>
  <c r="W906" i="18"/>
  <c r="Y628" i="18"/>
  <c r="W622" i="18"/>
  <c r="Y574" i="18"/>
  <c r="W574" i="18"/>
  <c r="Y1432" i="18"/>
  <c r="W1432" i="18"/>
  <c r="X1285" i="18"/>
  <c r="W1285" i="18"/>
  <c r="X959" i="18"/>
  <c r="W959" i="18"/>
  <c r="Y863" i="18"/>
  <c r="W863" i="18"/>
  <c r="Y747" i="18"/>
  <c r="W741" i="18"/>
  <c r="Y2310" i="18"/>
  <c r="W2310" i="18"/>
  <c r="Y2429" i="18"/>
  <c r="W2429" i="18"/>
  <c r="Y2023" i="18"/>
  <c r="W2023" i="18"/>
  <c r="Y1971" i="18"/>
  <c r="W1971" i="18"/>
  <c r="X1572" i="18"/>
  <c r="W1572" i="18"/>
  <c r="Y1300" i="18"/>
  <c r="W1294" i="18"/>
  <c r="X1222" i="18"/>
  <c r="W1222" i="18"/>
  <c r="Y1093" i="18"/>
  <c r="W1093" i="18"/>
  <c r="X967" i="18"/>
  <c r="W967" i="18"/>
  <c r="Y930" i="18"/>
  <c r="W930" i="18"/>
  <c r="X784" i="18"/>
  <c r="W784" i="18"/>
  <c r="Y576" i="18"/>
  <c r="W576" i="18"/>
  <c r="Y437" i="18"/>
  <c r="W437" i="18"/>
  <c r="X704" i="18"/>
  <c r="W704" i="18"/>
  <c r="Y445" i="18"/>
  <c r="W445" i="18"/>
  <c r="X886" i="18"/>
  <c r="W886" i="18"/>
  <c r="X2964" i="18"/>
  <c r="W2964" i="18"/>
  <c r="X1584" i="18"/>
  <c r="W1584" i="18"/>
  <c r="Y990" i="18"/>
  <c r="W990" i="18"/>
  <c r="Y1559" i="18"/>
  <c r="W1553" i="18"/>
  <c r="X776" i="18"/>
  <c r="W776" i="18"/>
  <c r="Y1943" i="18"/>
  <c r="W1943" i="18"/>
  <c r="Y895" i="18"/>
  <c r="W895" i="18"/>
  <c r="Y625" i="18"/>
  <c r="W625" i="18"/>
  <c r="Y2475" i="18"/>
  <c r="W2475" i="18"/>
  <c r="X2379" i="18"/>
  <c r="W2379" i="18"/>
  <c r="Y2396" i="18"/>
  <c r="W2396" i="18"/>
  <c r="X2202" i="18"/>
  <c r="W2202" i="18"/>
  <c r="Y2949" i="18"/>
  <c r="W2949" i="18"/>
  <c r="Y2834" i="18"/>
  <c r="W2834" i="18"/>
  <c r="X2807" i="18"/>
  <c r="W2807" i="18"/>
  <c r="X2689" i="18"/>
  <c r="W2689" i="18"/>
  <c r="Y2664" i="18"/>
  <c r="W2664" i="18"/>
  <c r="X2495" i="18"/>
  <c r="W2495" i="18"/>
  <c r="X2415" i="18"/>
  <c r="W2415" i="18"/>
  <c r="X2394" i="18"/>
  <c r="W2394" i="18"/>
  <c r="X2362" i="18"/>
  <c r="W2362" i="18"/>
  <c r="Y2330" i="18"/>
  <c r="W2330" i="18"/>
  <c r="Y2306" i="18"/>
  <c r="W2306" i="18"/>
  <c r="X2390" i="18"/>
  <c r="W2390" i="18"/>
  <c r="X2358" i="18"/>
  <c r="W2358" i="18"/>
  <c r="X2122" i="18"/>
  <c r="W2122" i="18"/>
  <c r="X2083" i="18"/>
  <c r="W2083" i="18"/>
  <c r="Y2075" i="18"/>
  <c r="W2075" i="18"/>
  <c r="Y2067" i="18"/>
  <c r="W2067" i="18"/>
  <c r="X2289" i="18"/>
  <c r="W2289" i="18"/>
  <c r="X2257" i="18"/>
  <c r="W2257" i="18"/>
  <c r="Y2241" i="18"/>
  <c r="W2241" i="18"/>
  <c r="Y2164" i="18"/>
  <c r="W2164" i="18"/>
  <c r="Y2162" i="18"/>
  <c r="W2162" i="18"/>
  <c r="X2136" i="18"/>
  <c r="W2136" i="18"/>
  <c r="Y2183" i="18"/>
  <c r="W2183" i="18"/>
  <c r="Y2007" i="18"/>
  <c r="W2001" i="18"/>
  <c r="Y1652" i="18"/>
  <c r="W1652" i="18"/>
  <c r="Y1637" i="18"/>
  <c r="W1637" i="18"/>
  <c r="X1569" i="18"/>
  <c r="W1569" i="18"/>
  <c r="X1535" i="18"/>
  <c r="W1535" i="18"/>
  <c r="Y1833" i="18"/>
  <c r="W1833" i="18"/>
  <c r="Y1344" i="18"/>
  <c r="W1344" i="18"/>
  <c r="Y1037" i="18"/>
  <c r="W1037" i="18"/>
  <c r="Y950" i="18"/>
  <c r="W944" i="18"/>
  <c r="Y914" i="18"/>
  <c r="W914" i="18"/>
  <c r="Y818" i="18"/>
  <c r="W818" i="18"/>
  <c r="Y730" i="18"/>
  <c r="W730" i="18"/>
  <c r="X695" i="18"/>
  <c r="W695" i="18"/>
  <c r="X611" i="18"/>
  <c r="W611" i="18"/>
  <c r="X1997" i="18"/>
  <c r="W1997" i="18"/>
  <c r="Y1805" i="18"/>
  <c r="W1805" i="18"/>
  <c r="Y1739" i="18"/>
  <c r="W1739" i="18"/>
  <c r="Y1720" i="18"/>
  <c r="W1714" i="18"/>
  <c r="Y1690" i="18"/>
  <c r="W1690" i="18"/>
  <c r="Y1658" i="18"/>
  <c r="W1658" i="18"/>
  <c r="X1543" i="18"/>
  <c r="W1543" i="18"/>
  <c r="X1372" i="18"/>
  <c r="W1372" i="18"/>
  <c r="Y1278" i="18"/>
  <c r="W1278" i="18"/>
  <c r="Y1646" i="18"/>
  <c r="W1646" i="18"/>
  <c r="Y1497" i="18"/>
  <c r="W1497" i="18"/>
  <c r="X1471" i="18"/>
  <c r="W1471" i="18"/>
  <c r="X1411" i="18"/>
  <c r="W1411" i="18"/>
  <c r="Y1379" i="18"/>
  <c r="W1379" i="18"/>
  <c r="Y1126" i="18"/>
  <c r="W1126" i="18"/>
  <c r="Y998" i="18"/>
  <c r="W998" i="18"/>
  <c r="X960" i="18"/>
  <c r="W960" i="18"/>
  <c r="X903" i="18"/>
  <c r="W903" i="18"/>
  <c r="Y758" i="18"/>
  <c r="W758" i="18"/>
  <c r="X609" i="18"/>
  <c r="W609" i="18"/>
  <c r="X470" i="18"/>
  <c r="W470" i="18"/>
  <c r="X438" i="18"/>
  <c r="W438" i="18"/>
  <c r="X374" i="18"/>
  <c r="W374" i="18"/>
  <c r="X342" i="18"/>
  <c r="W342" i="18"/>
  <c r="X951" i="18"/>
  <c r="W951" i="18"/>
  <c r="Y718" i="18"/>
  <c r="W718" i="18"/>
  <c r="Y1954" i="18"/>
  <c r="W1954" i="18"/>
  <c r="X1382" i="18"/>
  <c r="W1382" i="18"/>
  <c r="X394" i="18"/>
  <c r="W394" i="18"/>
  <c r="Y1548" i="18"/>
  <c r="W1548" i="18"/>
  <c r="X1451" i="18"/>
  <c r="W1451" i="18"/>
  <c r="Y1210" i="18"/>
  <c r="W1210" i="18"/>
  <c r="Y1158" i="18"/>
  <c r="W1158" i="18"/>
  <c r="Y1150" i="18"/>
  <c r="W1150" i="18"/>
  <c r="X879" i="18"/>
  <c r="W879" i="18"/>
  <c r="Y750" i="18"/>
  <c r="W750" i="18"/>
  <c r="X731" i="18"/>
  <c r="W731" i="18"/>
  <c r="X681" i="18"/>
  <c r="W681" i="18"/>
  <c r="Y653" i="18"/>
  <c r="W653" i="18"/>
  <c r="X535" i="18"/>
  <c r="W535" i="18"/>
  <c r="Y2818" i="18"/>
  <c r="W2818" i="18"/>
  <c r="X2785" i="18"/>
  <c r="W2785" i="18"/>
  <c r="X2562" i="18"/>
  <c r="W2562" i="18"/>
  <c r="X2493" i="18"/>
  <c r="W2493" i="18"/>
  <c r="X2466" i="18"/>
  <c r="W2466" i="18"/>
  <c r="X1600" i="18"/>
  <c r="W1600" i="18"/>
  <c r="Y2498" i="18"/>
  <c r="W2498" i="18"/>
  <c r="Y2170" i="18"/>
  <c r="W2170" i="18"/>
  <c r="X2029" i="18"/>
  <c r="W2029" i="18"/>
  <c r="X1565" i="18"/>
  <c r="W1565" i="18"/>
  <c r="Y1388" i="18"/>
  <c r="W1388" i="18"/>
  <c r="X1168" i="18"/>
  <c r="W1168" i="18"/>
  <c r="X982" i="18"/>
  <c r="W982" i="18"/>
  <c r="Y809" i="18"/>
  <c r="W809" i="18"/>
  <c r="Y748" i="18"/>
  <c r="W748" i="18"/>
  <c r="Y626" i="18"/>
  <c r="W626" i="18"/>
  <c r="Y598" i="18"/>
  <c r="W598" i="18"/>
  <c r="Y522" i="18"/>
  <c r="W522" i="18"/>
  <c r="Y473" i="18"/>
  <c r="W473" i="18"/>
  <c r="Y381" i="18"/>
  <c r="W381" i="18"/>
  <c r="Y355" i="18"/>
  <c r="W349" i="18"/>
  <c r="Y2015" i="18"/>
  <c r="W2015" i="18"/>
  <c r="X940" i="18"/>
  <c r="W940" i="18"/>
  <c r="X620" i="18"/>
  <c r="W620" i="18"/>
  <c r="Y469" i="18"/>
  <c r="W469" i="18"/>
  <c r="X2900" i="18"/>
  <c r="W2900" i="18"/>
  <c r="X2745" i="18"/>
  <c r="W2745" i="18"/>
  <c r="Y2608" i="18"/>
  <c r="W2608" i="18"/>
  <c r="Y2598" i="18"/>
  <c r="W2598" i="18"/>
  <c r="X1966" i="18"/>
  <c r="W1966" i="18"/>
  <c r="X1911" i="18"/>
  <c r="W1911" i="18"/>
  <c r="Y1803" i="18"/>
  <c r="W1803" i="18"/>
  <c r="X1747" i="18"/>
  <c r="W1747" i="18"/>
  <c r="X2428" i="18"/>
  <c r="W2428" i="18"/>
  <c r="Y2281" i="18"/>
  <c r="W2281" i="18"/>
  <c r="Y2251" i="18"/>
  <c r="W2251" i="18"/>
  <c r="Y1090" i="18"/>
  <c r="W1084" i="18"/>
  <c r="X996" i="18"/>
  <c r="W996" i="18"/>
  <c r="Y694" i="18"/>
  <c r="W694" i="18"/>
  <c r="X528" i="18"/>
  <c r="W528" i="18"/>
  <c r="X357" i="18"/>
  <c r="W357" i="18"/>
  <c r="X508" i="18"/>
  <c r="W508" i="18"/>
  <c r="X344" i="18"/>
  <c r="W344" i="18"/>
  <c r="X1128" i="18"/>
  <c r="W1128" i="18"/>
  <c r="X752" i="18"/>
  <c r="W752" i="18"/>
  <c r="Y449" i="18"/>
  <c r="W449" i="18"/>
  <c r="Y570" i="18"/>
  <c r="W570" i="18"/>
  <c r="Y2020" i="18"/>
  <c r="W2020" i="18"/>
  <c r="X1593" i="18"/>
  <c r="W1593" i="18"/>
  <c r="X1536" i="18"/>
  <c r="W1536" i="18"/>
  <c r="X1212" i="18"/>
  <c r="W1212" i="18"/>
  <c r="X1068" i="18"/>
  <c r="W1068" i="18"/>
  <c r="Y417" i="18"/>
  <c r="W417" i="18"/>
  <c r="X804" i="18"/>
  <c r="W804" i="18"/>
  <c r="X1516" i="18"/>
  <c r="W1516" i="18"/>
  <c r="Y429" i="18"/>
  <c r="W429" i="18"/>
  <c r="Y521" i="18"/>
  <c r="W521" i="18"/>
  <c r="X2857" i="18"/>
  <c r="W2857" i="18"/>
  <c r="X2597" i="18"/>
  <c r="W2597" i="18"/>
  <c r="X2187" i="18"/>
  <c r="W2187" i="18"/>
  <c r="Y2928" i="18"/>
  <c r="W2928" i="18"/>
  <c r="Y2860" i="18"/>
  <c r="W2860" i="18"/>
  <c r="Y2748" i="18"/>
  <c r="W2748" i="18"/>
  <c r="Y2628" i="18"/>
  <c r="W2628" i="18"/>
  <c r="Y2574" i="18"/>
  <c r="W2568" i="18"/>
  <c r="X2388" i="18"/>
  <c r="W2388" i="18"/>
  <c r="X2226" i="18"/>
  <c r="W2226" i="18"/>
  <c r="X2194" i="18"/>
  <c r="W2194" i="18"/>
  <c r="X2178" i="18"/>
  <c r="W2178" i="18"/>
  <c r="Y2064" i="18"/>
  <c r="W2064" i="18"/>
  <c r="Y2052" i="18"/>
  <c r="W2052" i="18"/>
  <c r="Y477" i="18"/>
  <c r="W477" i="18"/>
  <c r="X1450" i="18"/>
  <c r="W1450" i="18"/>
  <c r="Y1430" i="18"/>
  <c r="W1430" i="18"/>
  <c r="Y1384" i="18"/>
  <c r="W1378" i="18"/>
  <c r="Y1354" i="18"/>
  <c r="W1354" i="18"/>
  <c r="X1228" i="18"/>
  <c r="W1228" i="18"/>
  <c r="Y1178" i="18"/>
  <c r="W1178" i="18"/>
  <c r="Y2833" i="18"/>
  <c r="W2827" i="18"/>
  <c r="Y2781" i="18"/>
  <c r="W2781" i="18"/>
  <c r="Y2619" i="18"/>
  <c r="W2619" i="18"/>
  <c r="Y2537" i="18"/>
  <c r="W2537" i="18"/>
  <c r="Y2489" i="18"/>
  <c r="W2489" i="18"/>
  <c r="X2225" i="18"/>
  <c r="W2225" i="18"/>
  <c r="X2193" i="18"/>
  <c r="W2193" i="18"/>
  <c r="Y2113" i="18"/>
  <c r="W2113" i="18"/>
  <c r="X2103" i="18"/>
  <c r="W2103" i="18"/>
  <c r="Y2057" i="18"/>
  <c r="W2057" i="18"/>
  <c r="Y1877" i="18"/>
  <c r="W1877" i="18"/>
  <c r="X1857" i="18"/>
  <c r="W1857" i="18"/>
  <c r="Y1723" i="18"/>
  <c r="W1723" i="18"/>
  <c r="Y1715" i="18"/>
  <c r="W1715" i="18"/>
  <c r="Y1519" i="18"/>
  <c r="W1519" i="18"/>
  <c r="X1459" i="18"/>
  <c r="W1459" i="18"/>
  <c r="X1443" i="18"/>
  <c r="W1443" i="18"/>
  <c r="Y1421" i="18"/>
  <c r="W1421" i="18"/>
  <c r="Y1359" i="18"/>
  <c r="W1359" i="18"/>
  <c r="Y1253" i="18"/>
  <c r="W1253" i="18"/>
  <c r="X1101" i="18"/>
  <c r="W1101" i="18"/>
  <c r="Y1081" i="18"/>
  <c r="W1081" i="18"/>
  <c r="Y1019" i="18"/>
  <c r="W1019" i="18"/>
  <c r="Y997" i="18"/>
  <c r="W997" i="18"/>
  <c r="X941" i="18"/>
  <c r="W941" i="18"/>
  <c r="Y875" i="18"/>
  <c r="W875" i="18"/>
  <c r="Y789" i="18"/>
  <c r="W783" i="18"/>
  <c r="X773" i="18"/>
  <c r="W773" i="18"/>
  <c r="Y735" i="18"/>
  <c r="W735" i="18"/>
  <c r="Y705" i="18"/>
  <c r="W699" i="18"/>
  <c r="X689" i="18"/>
  <c r="W689" i="18"/>
  <c r="X443" i="18"/>
  <c r="W443" i="18"/>
  <c r="X427" i="18"/>
  <c r="W427" i="18"/>
  <c r="Y395" i="18"/>
  <c r="W395" i="18"/>
  <c r="X379" i="18"/>
  <c r="W379" i="18"/>
  <c r="X363" i="18"/>
  <c r="W363" i="18"/>
  <c r="X1066" i="18"/>
  <c r="W1066" i="18"/>
  <c r="Y1018" i="18"/>
  <c r="W1018" i="18"/>
  <c r="X870" i="18"/>
  <c r="W870" i="18"/>
  <c r="Y640" i="18"/>
  <c r="W640" i="18"/>
  <c r="X618" i="18"/>
  <c r="W618" i="18"/>
  <c r="Y596" i="18"/>
  <c r="W596" i="18"/>
  <c r="Y550" i="18"/>
  <c r="W550" i="18"/>
  <c r="Y536" i="18"/>
  <c r="W536" i="18"/>
  <c r="X2871" i="18"/>
  <c r="W2871" i="18"/>
  <c r="Y2802" i="18"/>
  <c r="W2802" i="18"/>
  <c r="X2775" i="18"/>
  <c r="W2775" i="18"/>
  <c r="X2681" i="18"/>
  <c r="W2681" i="18"/>
  <c r="X2565" i="18"/>
  <c r="W2565" i="18"/>
  <c r="X2482" i="18"/>
  <c r="W2482" i="18"/>
  <c r="X2386" i="18"/>
  <c r="W2386" i="18"/>
  <c r="Y2541" i="18"/>
  <c r="W2541" i="18"/>
  <c r="Y1557" i="18"/>
  <c r="W1557" i="18"/>
  <c r="Y2223" i="18"/>
  <c r="W2223" i="18"/>
  <c r="X1999" i="18"/>
  <c r="W1999" i="18"/>
  <c r="X1336" i="18"/>
  <c r="W1336" i="18"/>
  <c r="X1313" i="18"/>
  <c r="W1313" i="18"/>
  <c r="X1277" i="18"/>
  <c r="W1277" i="18"/>
  <c r="X729" i="18"/>
  <c r="W729" i="18"/>
  <c r="Y719" i="18"/>
  <c r="W713" i="18"/>
  <c r="Y603" i="18"/>
  <c r="W603" i="18"/>
  <c r="Y829" i="18"/>
  <c r="W829" i="18"/>
  <c r="Y692" i="18"/>
  <c r="W692" i="18"/>
  <c r="Y642" i="18"/>
  <c r="W636" i="18"/>
  <c r="X526" i="18"/>
  <c r="W526" i="18"/>
  <c r="X380" i="18"/>
  <c r="W380" i="18"/>
  <c r="X1289" i="18"/>
  <c r="W1289" i="18"/>
  <c r="X1269" i="18"/>
  <c r="W1269" i="18"/>
  <c r="X678" i="18"/>
  <c r="W678" i="18"/>
  <c r="Y506" i="18"/>
  <c r="W506" i="18"/>
  <c r="Y436" i="18"/>
  <c r="W436" i="18"/>
  <c r="X412" i="18"/>
  <c r="W412" i="18"/>
  <c r="X2016" i="18"/>
  <c r="W2016" i="18"/>
  <c r="Y1779" i="18"/>
  <c r="W1779" i="18"/>
  <c r="Y1406" i="18"/>
  <c r="W1406" i="18"/>
  <c r="X2530" i="18"/>
  <c r="W2530" i="18"/>
  <c r="X858" i="18"/>
  <c r="W858" i="18"/>
  <c r="X800" i="18"/>
  <c r="W800" i="18"/>
  <c r="Y2707" i="18"/>
  <c r="W2701" i="18"/>
  <c r="Y2477" i="18"/>
  <c r="W2477" i="18"/>
  <c r="X2219" i="18"/>
  <c r="W2219" i="18"/>
  <c r="X421" i="18"/>
  <c r="W421" i="18"/>
  <c r="Y2609" i="18"/>
  <c r="W2603" i="18"/>
  <c r="Y1267" i="18"/>
  <c r="W1267" i="18"/>
  <c r="Y2519" i="18"/>
  <c r="W2519" i="18"/>
  <c r="X2922" i="18"/>
  <c r="W2922" i="18"/>
  <c r="X2872" i="18"/>
  <c r="W2872" i="18"/>
  <c r="X2796" i="18"/>
  <c r="W2796" i="18"/>
  <c r="Y2768" i="18"/>
  <c r="W2768" i="18"/>
  <c r="Y2714" i="18"/>
  <c r="W2708" i="18"/>
  <c r="Y2680" i="18"/>
  <c r="W2680" i="18"/>
  <c r="Y2416" i="18"/>
  <c r="W2416" i="18"/>
  <c r="Y2206" i="18"/>
  <c r="W2206" i="18"/>
  <c r="X2094" i="18"/>
  <c r="W2094" i="18"/>
  <c r="Y2086" i="18"/>
  <c r="W2086" i="18"/>
  <c r="Y2078" i="18"/>
  <c r="W2078" i="18"/>
  <c r="X1984" i="18"/>
  <c r="W1984" i="18"/>
  <c r="Y475" i="18"/>
  <c r="W475" i="18"/>
  <c r="Y1934" i="18"/>
  <c r="W1934" i="18"/>
  <c r="X1560" i="18"/>
  <c r="W1560" i="18"/>
  <c r="Y1534" i="18"/>
  <c r="W1534" i="18"/>
  <c r="Y1414" i="18"/>
  <c r="W1414" i="18"/>
  <c r="X1346" i="18"/>
  <c r="W1346" i="18"/>
  <c r="X1236" i="18"/>
  <c r="W1236" i="18"/>
  <c r="Y2875" i="18"/>
  <c r="W2869" i="18"/>
  <c r="X2617" i="18"/>
  <c r="W2617" i="18"/>
  <c r="Y2481" i="18"/>
  <c r="W2481" i="18"/>
  <c r="Y2369" i="18"/>
  <c r="W2369" i="18"/>
  <c r="Y2337" i="18"/>
  <c r="W2337" i="18"/>
  <c r="Y2205" i="18"/>
  <c r="W2205" i="18"/>
  <c r="Y2157" i="18"/>
  <c r="W2157" i="18"/>
  <c r="Y2141" i="18"/>
  <c r="W2141" i="18"/>
  <c r="X2111" i="18"/>
  <c r="W2111" i="18"/>
  <c r="Y2101" i="18"/>
  <c r="W2101" i="18"/>
  <c r="X2055" i="18"/>
  <c r="W2055" i="18"/>
  <c r="X1897" i="18"/>
  <c r="W1897" i="18"/>
  <c r="X1871" i="18"/>
  <c r="W1871" i="18"/>
  <c r="Y1855" i="18"/>
  <c r="W1855" i="18"/>
  <c r="Y1819" i="18"/>
  <c r="W1819" i="18"/>
  <c r="X1775" i="18"/>
  <c r="W1775" i="18"/>
  <c r="Y1705" i="18"/>
  <c r="W1705" i="18"/>
  <c r="Y1499" i="18"/>
  <c r="W1499" i="18"/>
  <c r="X1487" i="18"/>
  <c r="W1487" i="18"/>
  <c r="X1457" i="18"/>
  <c r="W1457" i="18"/>
  <c r="X1401" i="18"/>
  <c r="W1401" i="18"/>
  <c r="Y1373" i="18"/>
  <c r="W1373" i="18"/>
  <c r="Y1357" i="18"/>
  <c r="W1357" i="18"/>
  <c r="Y1341" i="18"/>
  <c r="W1341" i="18"/>
  <c r="Y1079" i="18"/>
  <c r="W1079" i="18"/>
  <c r="Y1051" i="18"/>
  <c r="W1051" i="18"/>
  <c r="Y989" i="18"/>
  <c r="W989" i="18"/>
  <c r="Y973" i="18"/>
  <c r="W973" i="18"/>
  <c r="Y955" i="18"/>
  <c r="W955" i="18"/>
  <c r="X939" i="18"/>
  <c r="W939" i="18"/>
  <c r="X917" i="18"/>
  <c r="W917" i="18"/>
  <c r="Y843" i="18"/>
  <c r="W843" i="18"/>
  <c r="X781" i="18"/>
  <c r="W781" i="18"/>
  <c r="X771" i="18"/>
  <c r="W771" i="18"/>
  <c r="X757" i="18"/>
  <c r="W757" i="18"/>
  <c r="X707" i="18"/>
  <c r="W707" i="18"/>
  <c r="X697" i="18"/>
  <c r="W697" i="18"/>
  <c r="X687" i="18"/>
  <c r="W687" i="18"/>
  <c r="Y673" i="18"/>
  <c r="W673" i="18"/>
  <c r="X519" i="18"/>
  <c r="W519" i="18"/>
  <c r="Y503" i="18"/>
  <c r="W503" i="18"/>
  <c r="X491" i="18"/>
  <c r="W491" i="18"/>
  <c r="X407" i="18"/>
  <c r="W407" i="18"/>
  <c r="Y391" i="18"/>
  <c r="W391" i="18"/>
  <c r="Y375" i="18"/>
  <c r="W375" i="18"/>
  <c r="Y1046" i="18"/>
  <c r="W1046" i="18"/>
  <c r="X1030" i="18"/>
  <c r="W1030" i="18"/>
  <c r="Y1020" i="18"/>
  <c r="W1014" i="18"/>
  <c r="Y854" i="18"/>
  <c r="W854" i="18"/>
  <c r="X820" i="18"/>
  <c r="W820" i="18"/>
  <c r="Y764" i="18"/>
  <c r="W764" i="18"/>
  <c r="X682" i="18"/>
  <c r="W682" i="18"/>
  <c r="Y632" i="18"/>
  <c r="W632" i="18"/>
  <c r="Y592" i="18"/>
  <c r="W592" i="18"/>
  <c r="Y566" i="18"/>
  <c r="W566" i="18"/>
  <c r="Y548" i="18"/>
  <c r="W548" i="18"/>
  <c r="X486" i="18"/>
  <c r="W486" i="18"/>
  <c r="X408" i="18"/>
  <c r="W408" i="18"/>
  <c r="Y2911" i="18"/>
  <c r="W2911" i="18"/>
  <c r="Y2838" i="18"/>
  <c r="W2838" i="18"/>
  <c r="Y2722" i="18"/>
  <c r="W2722" i="18"/>
  <c r="Y2661" i="18"/>
  <c r="W2661" i="18"/>
  <c r="Y2557" i="18"/>
  <c r="W2557" i="18"/>
  <c r="X2446" i="18"/>
  <c r="W2446" i="18"/>
  <c r="X2354" i="18"/>
  <c r="W2354" i="18"/>
  <c r="X2418" i="18"/>
  <c r="W2418" i="18"/>
  <c r="X2097" i="18"/>
  <c r="W2097" i="18"/>
  <c r="X2081" i="18"/>
  <c r="W2081" i="18"/>
  <c r="Y2268" i="18"/>
  <c r="W2268" i="18"/>
  <c r="X1946" i="18"/>
  <c r="W1946" i="18"/>
  <c r="Y1648" i="18"/>
  <c r="W1648" i="18"/>
  <c r="Y1538" i="18"/>
  <c r="W1532" i="18"/>
  <c r="X1817" i="18"/>
  <c r="W1817" i="18"/>
  <c r="X1021" i="18"/>
  <c r="W1021" i="18"/>
  <c r="Y816" i="18"/>
  <c r="W816" i="18"/>
  <c r="Y691" i="18"/>
  <c r="W685" i="18"/>
  <c r="X1247" i="18"/>
  <c r="W1247" i="18"/>
  <c r="X1166" i="18"/>
  <c r="W1166" i="18"/>
  <c r="Y706" i="18"/>
  <c r="W706" i="18"/>
  <c r="Y442" i="18"/>
  <c r="W442" i="18"/>
  <c r="Y1380" i="18"/>
  <c r="W1380" i="18"/>
  <c r="X590" i="18"/>
  <c r="W590" i="18"/>
  <c r="Y1303" i="18"/>
  <c r="W1303" i="18"/>
  <c r="Y1108" i="18"/>
  <c r="W1108" i="18"/>
  <c r="Y880" i="18"/>
  <c r="W874" i="18"/>
  <c r="Y744" i="18"/>
  <c r="W744" i="18"/>
  <c r="Y638" i="18"/>
  <c r="W638" i="18"/>
  <c r="X1919" i="18"/>
  <c r="W1919" i="18"/>
  <c r="Y1613" i="18"/>
  <c r="W1613" i="18"/>
  <c r="Y1115" i="18"/>
  <c r="W1115" i="18"/>
  <c r="X573" i="18"/>
  <c r="W573" i="18"/>
  <c r="X1052" i="18"/>
  <c r="W1052" i="18"/>
  <c r="X594" i="18"/>
  <c r="W594" i="18"/>
  <c r="X360" i="18"/>
  <c r="W360" i="18"/>
  <c r="Y2417" i="18"/>
  <c r="W2417" i="18"/>
  <c r="X2741" i="18"/>
  <c r="W2741" i="18"/>
  <c r="X2772" i="18"/>
  <c r="W2772" i="18"/>
  <c r="Y2265" i="18"/>
  <c r="W2265" i="18"/>
  <c r="X2009" i="18"/>
  <c r="W2009" i="18"/>
  <c r="X1967" i="18"/>
  <c r="W1967" i="18"/>
  <c r="X1488" i="18"/>
  <c r="W1488" i="18"/>
  <c r="X2120" i="18"/>
  <c r="W2120" i="18"/>
  <c r="X1654" i="18"/>
  <c r="W1654" i="18"/>
  <c r="X1360" i="18"/>
  <c r="W1360" i="18"/>
  <c r="X1319" i="18"/>
  <c r="W1319" i="18"/>
  <c r="X1246" i="18"/>
  <c r="W1246" i="18"/>
  <c r="Y595" i="18"/>
  <c r="W595" i="18"/>
  <c r="Y1670" i="18"/>
  <c r="W1670" i="18"/>
  <c r="Y1361" i="18"/>
  <c r="W1361" i="18"/>
  <c r="Y1112" i="18"/>
  <c r="W1112" i="18"/>
  <c r="Y766" i="18"/>
  <c r="W766" i="18"/>
  <c r="X1206" i="18"/>
  <c r="W1206" i="18"/>
  <c r="X763" i="18"/>
  <c r="W763" i="18"/>
  <c r="Y547" i="18"/>
  <c r="W547" i="18"/>
  <c r="Y2847" i="18"/>
  <c r="W2841" i="18"/>
  <c r="Y2387" i="18"/>
  <c r="W2387" i="18"/>
  <c r="Y1339" i="18"/>
  <c r="W1339" i="18"/>
  <c r="Y471" i="18"/>
  <c r="W471" i="18"/>
  <c r="Y1962" i="18"/>
  <c r="W1962" i="18"/>
  <c r="Y1554" i="18"/>
  <c r="W1554" i="18"/>
  <c r="X1526" i="18"/>
  <c r="W1526" i="18"/>
  <c r="X1410" i="18"/>
  <c r="W1410" i="18"/>
  <c r="Y1232" i="18"/>
  <c r="W1232" i="18"/>
  <c r="Y1230" i="18"/>
  <c r="W1224" i="18"/>
  <c r="X2397" i="18"/>
  <c r="W2397" i="18"/>
  <c r="X2381" i="18"/>
  <c r="W2381" i="18"/>
  <c r="X2365" i="18"/>
  <c r="W2365" i="18"/>
  <c r="X2349" i="18"/>
  <c r="W2349" i="18"/>
  <c r="X2333" i="18"/>
  <c r="W2333" i="18"/>
  <c r="X2317" i="18"/>
  <c r="W2317" i="18"/>
  <c r="X2169" i="18"/>
  <c r="W2169" i="18"/>
  <c r="X2153" i="18"/>
  <c r="W2153" i="18"/>
  <c r="X2137" i="18"/>
  <c r="W2137" i="18"/>
  <c r="X2109" i="18"/>
  <c r="W2109" i="18"/>
  <c r="X2065" i="18"/>
  <c r="W2065" i="18"/>
  <c r="X2053" i="18"/>
  <c r="W2053" i="18"/>
  <c r="X1883" i="18"/>
  <c r="W1883" i="18"/>
  <c r="Y1719" i="18"/>
  <c r="W1719" i="18"/>
  <c r="Y1711" i="18"/>
  <c r="W1711" i="18"/>
  <c r="Y1703" i="18"/>
  <c r="W1703" i="18"/>
  <c r="Y1695" i="18"/>
  <c r="W1695" i="18"/>
  <c r="Y1687" i="18"/>
  <c r="W1687" i="18"/>
  <c r="Y1663" i="18"/>
  <c r="W1663" i="18"/>
  <c r="Y1493" i="18"/>
  <c r="W1493" i="18"/>
  <c r="Y1453" i="18"/>
  <c r="W1453" i="18"/>
  <c r="Y1417" i="18"/>
  <c r="W1417" i="18"/>
  <c r="Y1383" i="18"/>
  <c r="W1383" i="18"/>
  <c r="X1119" i="18"/>
  <c r="W1119" i="18"/>
  <c r="X1031" i="18"/>
  <c r="W1031" i="18"/>
  <c r="Y869" i="18"/>
  <c r="W869" i="18"/>
  <c r="X857" i="18"/>
  <c r="W857" i="18"/>
  <c r="Y779" i="18"/>
  <c r="W779" i="18"/>
  <c r="X767" i="18"/>
  <c r="W767" i="18"/>
  <c r="X755" i="18"/>
  <c r="W755" i="18"/>
  <c r="Y743" i="18"/>
  <c r="W743" i="18"/>
  <c r="X727" i="18"/>
  <c r="W727" i="18"/>
  <c r="Y683" i="18"/>
  <c r="W683" i="18"/>
  <c r="Y347" i="18"/>
  <c r="W347" i="18"/>
  <c r="Y1026" i="18"/>
  <c r="W1026" i="18"/>
  <c r="X760" i="18"/>
  <c r="W760" i="18"/>
  <c r="Y582" i="18"/>
  <c r="W582" i="18"/>
  <c r="Y564" i="18"/>
  <c r="W564" i="18"/>
  <c r="Y532" i="18"/>
  <c r="W532" i="18"/>
  <c r="Y2945" i="18"/>
  <c r="W2939" i="18"/>
  <c r="X2933" i="18"/>
  <c r="W2933" i="18"/>
  <c r="Y2855" i="18"/>
  <c r="W2855" i="18"/>
  <c r="X2753" i="18"/>
  <c r="W2753" i="18"/>
  <c r="Y2467" i="18"/>
  <c r="W2467" i="18"/>
  <c r="Y2263" i="18"/>
  <c r="W2263" i="18"/>
  <c r="Y2160" i="18"/>
  <c r="W2160" i="18"/>
  <c r="X1998" i="18"/>
  <c r="W1998" i="18"/>
  <c r="Y1861" i="18"/>
  <c r="W1861" i="18"/>
  <c r="X1596" i="18"/>
  <c r="W1596" i="18"/>
  <c r="Y1874" i="18"/>
  <c r="W1868" i="18"/>
  <c r="X1628" i="18"/>
  <c r="W1628" i="18"/>
  <c r="Y1098" i="18"/>
  <c r="W1098" i="18"/>
  <c r="Y968" i="18"/>
  <c r="W968" i="18"/>
  <c r="X911" i="18"/>
  <c r="W911" i="18"/>
  <c r="X745" i="18"/>
  <c r="W745" i="18"/>
  <c r="X1985" i="18"/>
  <c r="W1985" i="18"/>
  <c r="Y1789" i="18"/>
  <c r="W1789" i="18"/>
  <c r="X1728" i="18"/>
  <c r="W1728" i="18"/>
  <c r="X1672" i="18"/>
  <c r="W1672" i="18"/>
  <c r="Y1974" i="18"/>
  <c r="W1974" i="18"/>
  <c r="X1072" i="18"/>
  <c r="W1072" i="18"/>
  <c r="X356" i="18"/>
  <c r="W356" i="18"/>
  <c r="X1936" i="18"/>
  <c r="W1936" i="18"/>
  <c r="X1442" i="18"/>
  <c r="W1442" i="18"/>
  <c r="Y1208" i="18"/>
  <c r="W1208" i="18"/>
  <c r="X674" i="18"/>
  <c r="W674" i="18"/>
  <c r="X2750" i="18"/>
  <c r="W2750" i="18"/>
  <c r="Y2522" i="18"/>
  <c r="W2522" i="18"/>
  <c r="Y2312" i="18"/>
  <c r="W2312" i="18"/>
  <c r="X2269" i="18"/>
  <c r="W2269" i="18"/>
  <c r="X2047" i="18"/>
  <c r="W2047" i="18"/>
  <c r="Y1581" i="18"/>
  <c r="W1581" i="18"/>
  <c r="Y877" i="18"/>
  <c r="W877" i="18"/>
  <c r="Y538" i="18"/>
  <c r="W538" i="18"/>
  <c r="Y2305" i="18"/>
  <c r="W2305" i="18"/>
  <c r="Y1991" i="18"/>
  <c r="W1991" i="18"/>
  <c r="X492" i="18"/>
  <c r="W492" i="18"/>
  <c r="Y2127" i="18"/>
  <c r="W2127" i="18"/>
  <c r="Y2850" i="18"/>
  <c r="W2850" i="18"/>
  <c r="X2950" i="18"/>
  <c r="W2950" i="18"/>
  <c r="X2867" i="18"/>
  <c r="W2867" i="18"/>
  <c r="X2792" i="18"/>
  <c r="W2792" i="18"/>
  <c r="X2625" i="18"/>
  <c r="W2625" i="18"/>
  <c r="X2435" i="18"/>
  <c r="W2435" i="18"/>
  <c r="Y2536" i="18"/>
  <c r="W2536" i="18"/>
  <c r="X2436" i="18"/>
  <c r="W2436" i="18"/>
  <c r="Y2054" i="18"/>
  <c r="W2054" i="18"/>
  <c r="X1620" i="18"/>
  <c r="W1620" i="18"/>
  <c r="Y1520" i="18"/>
  <c r="W1520" i="18"/>
  <c r="X1446" i="18"/>
  <c r="W1446" i="18"/>
  <c r="X1801" i="18"/>
  <c r="W1801" i="18"/>
  <c r="X1549" i="18"/>
  <c r="W1549" i="18"/>
  <c r="X1392" i="18"/>
  <c r="W1392" i="18"/>
  <c r="X932" i="18"/>
  <c r="W932" i="18"/>
  <c r="X807" i="18"/>
  <c r="W807" i="18"/>
  <c r="Y1925" i="18"/>
  <c r="W1925" i="18"/>
  <c r="Y1710" i="18"/>
  <c r="W1710" i="18"/>
  <c r="Y1662" i="18"/>
  <c r="W1662" i="18"/>
  <c r="Y1396" i="18"/>
  <c r="W1396" i="18"/>
  <c r="X1245" i="18"/>
  <c r="W1245" i="18"/>
  <c r="Y847" i="18"/>
  <c r="W847" i="18"/>
  <c r="Y726" i="18"/>
  <c r="W720" i="18"/>
  <c r="X1032" i="18"/>
  <c r="W1032" i="18"/>
  <c r="Y386" i="18"/>
  <c r="W386" i="18"/>
  <c r="X709" i="18"/>
  <c r="W709" i="18"/>
  <c r="Y479" i="18"/>
  <c r="W479" i="18"/>
  <c r="Y2445" i="18"/>
  <c r="W2445" i="18"/>
  <c r="Y2331" i="18"/>
  <c r="W2331" i="18"/>
  <c r="Y2238" i="18"/>
  <c r="W2232" i="18"/>
  <c r="Y345" i="18"/>
  <c r="W345" i="18"/>
  <c r="Y409" i="18"/>
  <c r="W409" i="18"/>
  <c r="X2011" i="18"/>
  <c r="W2011" i="18"/>
  <c r="X1044" i="18"/>
  <c r="W1044" i="18"/>
  <c r="Y560" i="18"/>
  <c r="W560" i="18"/>
  <c r="Y420" i="18"/>
  <c r="W420" i="18"/>
  <c r="Y2586" i="18"/>
  <c r="W2586" i="18"/>
  <c r="X2550" i="18"/>
  <c r="W2550" i="18"/>
  <c r="X2411" i="18"/>
  <c r="W2411" i="18"/>
  <c r="X2246" i="18"/>
  <c r="W2246" i="18"/>
  <c r="Y1847" i="18"/>
  <c r="W1847" i="18"/>
  <c r="Y1040" i="18"/>
  <c r="W1040" i="18"/>
  <c r="X878" i="18"/>
  <c r="W878" i="18"/>
  <c r="Y777" i="18"/>
  <c r="W777" i="18"/>
  <c r="Y634" i="18"/>
  <c r="W634" i="18"/>
  <c r="Y361" i="18"/>
  <c r="W361" i="18"/>
  <c r="Y676" i="18"/>
  <c r="W676" i="18"/>
  <c r="Y1273" i="18"/>
  <c r="W1273" i="18"/>
  <c r="X393" i="18"/>
  <c r="W393" i="18"/>
  <c r="Y1783" i="18"/>
  <c r="W1777" i="18"/>
  <c r="Y1933" i="18"/>
  <c r="W1933" i="18"/>
  <c r="Y991" i="18"/>
  <c r="W991" i="18"/>
  <c r="Y2738" i="18"/>
  <c r="W2738" i="18"/>
  <c r="Y716" i="18"/>
  <c r="W716" i="18"/>
  <c r="Y2601" i="18"/>
  <c r="W2601" i="18"/>
  <c r="Y2852" i="18"/>
  <c r="W2852" i="18"/>
  <c r="X2618" i="18"/>
  <c r="W2618" i="18"/>
  <c r="Y2348" i="18"/>
  <c r="W2348" i="18"/>
  <c r="Y2098" i="18"/>
  <c r="W2092" i="18"/>
  <c r="Y1978" i="18"/>
  <c r="W1978" i="18"/>
  <c r="X2971" i="18"/>
  <c r="W2971" i="18"/>
  <c r="X2951" i="18"/>
  <c r="W2951" i="18"/>
  <c r="X2842" i="18"/>
  <c r="W2842" i="18"/>
  <c r="X2965" i="18"/>
  <c r="W2965" i="18"/>
  <c r="X2879" i="18"/>
  <c r="W2879" i="18"/>
  <c r="X2863" i="18"/>
  <c r="W2863" i="18"/>
  <c r="X2669" i="18"/>
  <c r="W2669" i="18"/>
  <c r="X2643" i="18"/>
  <c r="W2643" i="18"/>
  <c r="X2611" i="18"/>
  <c r="W2611" i="18"/>
  <c r="X2554" i="18"/>
  <c r="W2554" i="18"/>
  <c r="Y2733" i="18"/>
  <c r="W2733" i="18"/>
  <c r="X2690" i="18"/>
  <c r="W2690" i="18"/>
  <c r="X2542" i="18"/>
  <c r="W2542" i="18"/>
  <c r="Y2402" i="18"/>
  <c r="W2402" i="18"/>
  <c r="Y2370" i="18"/>
  <c r="W2370" i="18"/>
  <c r="X2451" i="18"/>
  <c r="W2451" i="18"/>
  <c r="X2426" i="18"/>
  <c r="W2426" i="18"/>
  <c r="X2334" i="18"/>
  <c r="W2334" i="18"/>
  <c r="X2128" i="18"/>
  <c r="W2128" i="18"/>
  <c r="X2085" i="18"/>
  <c r="W2085" i="18"/>
  <c r="Y2278" i="18"/>
  <c r="W2278" i="18"/>
  <c r="X2260" i="18"/>
  <c r="W2260" i="18"/>
  <c r="Y2244" i="18"/>
  <c r="W2244" i="18"/>
  <c r="Y2166" i="18"/>
  <c r="W2166" i="18"/>
  <c r="X2285" i="18"/>
  <c r="W2285" i="18"/>
  <c r="X2255" i="18"/>
  <c r="W2255" i="18"/>
  <c r="X2239" i="18"/>
  <c r="W2239" i="18"/>
  <c r="Y2142" i="18"/>
  <c r="W2142" i="18"/>
  <c r="X2199" i="18"/>
  <c r="W2199" i="18"/>
  <c r="Y2006" i="18"/>
  <c r="W2006" i="18"/>
  <c r="X1960" i="18"/>
  <c r="W1960" i="18"/>
  <c r="Y1938" i="18"/>
  <c r="W1938" i="18"/>
  <c r="Y1873" i="18"/>
  <c r="W1873" i="18"/>
  <c r="Y1577" i="18"/>
  <c r="W1577" i="18"/>
  <c r="Y1537" i="18"/>
  <c r="W1537" i="18"/>
  <c r="Y1518" i="18"/>
  <c r="W1518" i="18"/>
  <c r="Y1428" i="18"/>
  <c r="W1428" i="18"/>
  <c r="X2191" i="18"/>
  <c r="W2191" i="18"/>
  <c r="X1989" i="18"/>
  <c r="W1989" i="18"/>
  <c r="X1929" i="18"/>
  <c r="W1929" i="18"/>
  <c r="X1540" i="18"/>
  <c r="W1540" i="18"/>
  <c r="X1409" i="18"/>
  <c r="W1409" i="18"/>
  <c r="Y1325" i="18"/>
  <c r="W1325" i="18"/>
  <c r="X1203" i="18"/>
  <c r="W1203" i="18"/>
  <c r="X1120" i="18"/>
  <c r="W1120" i="18"/>
  <c r="Y1089" i="18"/>
  <c r="W1089" i="18"/>
  <c r="X805" i="18"/>
  <c r="W805" i="18"/>
  <c r="X737" i="18"/>
  <c r="W737" i="18"/>
  <c r="X721" i="18"/>
  <c r="W721" i="18"/>
  <c r="X696" i="18"/>
  <c r="W696" i="18"/>
  <c r="X679" i="18"/>
  <c r="W679" i="18"/>
  <c r="X1959" i="18"/>
  <c r="W1959" i="18"/>
  <c r="X1886" i="18"/>
  <c r="W1886" i="18"/>
  <c r="X1821" i="18"/>
  <c r="W1821" i="18"/>
  <c r="Y1732" i="18"/>
  <c r="W1732" i="18"/>
  <c r="Y1708" i="18"/>
  <c r="W1708" i="18"/>
  <c r="Y1700" i="18"/>
  <c r="W1700" i="18"/>
  <c r="Y1676" i="18"/>
  <c r="W1676" i="18"/>
  <c r="Y1660" i="18"/>
  <c r="W1660" i="18"/>
  <c r="X1761" i="18"/>
  <c r="W1761" i="18"/>
  <c r="X1291" i="18"/>
  <c r="W1291" i="18"/>
  <c r="X1425" i="18"/>
  <c r="W1425" i="18"/>
  <c r="Y1393" i="18"/>
  <c r="W1393" i="18"/>
  <c r="X1347" i="18"/>
  <c r="W1347" i="18"/>
  <c r="X1182" i="18"/>
  <c r="W1182" i="18"/>
  <c r="Y1058" i="18"/>
  <c r="W1058" i="18"/>
  <c r="X1003" i="18"/>
  <c r="W1003" i="18"/>
  <c r="Y919" i="18"/>
  <c r="W919" i="18"/>
  <c r="Y1562" i="18"/>
  <c r="W1562" i="18"/>
  <c r="X350" i="18"/>
  <c r="W350" i="18"/>
  <c r="Y1140" i="18"/>
  <c r="W1140" i="18"/>
  <c r="X980" i="18"/>
  <c r="W980" i="18"/>
  <c r="Y728" i="18"/>
  <c r="W728" i="18"/>
  <c r="X402" i="18"/>
  <c r="W402" i="18"/>
  <c r="Y458" i="18"/>
  <c r="W458" i="18"/>
  <c r="Y434" i="18"/>
  <c r="W434" i="18"/>
  <c r="X1478" i="18"/>
  <c r="W1478" i="18"/>
  <c r="X1152" i="18"/>
  <c r="W1152" i="18"/>
  <c r="X954" i="18"/>
  <c r="W954" i="18"/>
  <c r="X795" i="18"/>
  <c r="W795" i="18"/>
  <c r="Y740" i="18"/>
  <c r="W734" i="18"/>
  <c r="Y606" i="18"/>
  <c r="W606" i="18"/>
  <c r="X543" i="18"/>
  <c r="W543" i="18"/>
  <c r="Y516" i="18"/>
  <c r="W510" i="18"/>
  <c r="Y2820" i="18"/>
  <c r="W2820" i="18"/>
  <c r="X2575" i="18"/>
  <c r="W2575" i="18"/>
  <c r="Y2443" i="18"/>
  <c r="W2443" i="18"/>
  <c r="Y2327" i="18"/>
  <c r="W2327" i="18"/>
  <c r="Y1403" i="18"/>
  <c r="W1403" i="18"/>
  <c r="Y2646" i="18"/>
  <c r="W2646" i="18"/>
  <c r="X2240" i="18"/>
  <c r="W2240" i="18"/>
  <c r="Y2217" i="18"/>
  <c r="W2211" i="18"/>
  <c r="Y1899" i="18"/>
  <c r="W1899" i="18"/>
  <c r="Y1444" i="18"/>
  <c r="W1444" i="18"/>
  <c r="Y1274" i="18"/>
  <c r="W1274" i="18"/>
  <c r="Y952" i="18"/>
  <c r="W952" i="18"/>
  <c r="Y844" i="18"/>
  <c r="W844" i="18"/>
  <c r="Y817" i="18"/>
  <c r="W811" i="18"/>
  <c r="Y775" i="18"/>
  <c r="W769" i="18"/>
  <c r="Y401" i="18"/>
  <c r="W401" i="18"/>
  <c r="Y2313" i="18"/>
  <c r="W2313" i="18"/>
  <c r="X630" i="18"/>
  <c r="W630" i="18"/>
  <c r="X489" i="18"/>
  <c r="W489" i="18"/>
  <c r="Y2837" i="18"/>
  <c r="W2837" i="18"/>
  <c r="Y961" i="18"/>
  <c r="W961" i="18"/>
  <c r="X882" i="18"/>
  <c r="W882" i="18"/>
  <c r="Y2902" i="18"/>
  <c r="W2902" i="18"/>
  <c r="X2584" i="18"/>
  <c r="W2584" i="18"/>
  <c r="Y2022" i="18"/>
  <c r="W2022" i="18"/>
  <c r="Y2494" i="18"/>
  <c r="W2494" i="18"/>
  <c r="X2234" i="18"/>
  <c r="W2234" i="18"/>
  <c r="Y1963" i="18"/>
  <c r="W1963" i="18"/>
  <c r="X1749" i="18"/>
  <c r="W1749" i="18"/>
  <c r="Y2655" i="18"/>
  <c r="W2655" i="18"/>
  <c r="X2458" i="18"/>
  <c r="W2458" i="18"/>
  <c r="X2430" i="18"/>
  <c r="W2430" i="18"/>
  <c r="X1099" i="18"/>
  <c r="W1099" i="18"/>
  <c r="Y1029" i="18"/>
  <c r="W1029" i="18"/>
  <c r="X986" i="18"/>
  <c r="W986" i="18"/>
  <c r="Y359" i="18"/>
  <c r="W359" i="18"/>
  <c r="Y1170" i="18"/>
  <c r="W1170" i="18"/>
  <c r="X1114" i="18"/>
  <c r="W1114" i="18"/>
  <c r="Y1162" i="18"/>
  <c r="W1162" i="18"/>
  <c r="Y457" i="18"/>
  <c r="W457" i="18"/>
  <c r="Y389" i="18"/>
  <c r="W389" i="18"/>
  <c r="Y602" i="18"/>
  <c r="W602" i="18"/>
  <c r="X2892" i="18"/>
  <c r="W2892" i="18"/>
  <c r="Y1214" i="18"/>
  <c r="W1214" i="18"/>
  <c r="X812" i="18"/>
  <c r="W812" i="18"/>
  <c r="X2473" i="18"/>
  <c r="W2473" i="18"/>
  <c r="X2769" i="18"/>
  <c r="W2769" i="18"/>
  <c r="X945" i="18"/>
  <c r="W945" i="18"/>
  <c r="Y732" i="18"/>
  <c r="W732" i="18"/>
  <c r="Y1045" i="18"/>
  <c r="W1045" i="18"/>
  <c r="X2180" i="18"/>
  <c r="W2180" i="18"/>
  <c r="Y490" i="18"/>
  <c r="W490" i="18"/>
  <c r="X2890" i="18"/>
  <c r="W2890" i="18"/>
  <c r="Y2632" i="18"/>
  <c r="W2632" i="18"/>
  <c r="X2198" i="18"/>
  <c r="W2198" i="18"/>
  <c r="Y451" i="18"/>
  <c r="W451" i="18"/>
  <c r="Y1942" i="18"/>
  <c r="W1942" i="18"/>
  <c r="Y1522" i="18"/>
  <c r="W1522" i="18"/>
  <c r="Y1434" i="18"/>
  <c r="W1434" i="18"/>
  <c r="Y1400" i="18"/>
  <c r="W1400" i="18"/>
  <c r="Y1220" i="18"/>
  <c r="W1220" i="18"/>
  <c r="Y2831" i="18"/>
  <c r="W2831" i="18"/>
  <c r="Y2163" i="18"/>
  <c r="W2163" i="18"/>
  <c r="Y2107" i="18"/>
  <c r="W2107" i="18"/>
  <c r="Y1473" i="18"/>
  <c r="W1473" i="18"/>
  <c r="X1445" i="18"/>
  <c r="W1445" i="18"/>
  <c r="Y1415" i="18"/>
  <c r="W1415" i="18"/>
  <c r="Y1365" i="18"/>
  <c r="W1365" i="18"/>
  <c r="X965" i="18"/>
  <c r="W965" i="18"/>
  <c r="Y931" i="18"/>
  <c r="W931" i="18"/>
  <c r="X899" i="18"/>
  <c r="W899" i="18"/>
  <c r="Y839" i="18"/>
  <c r="W839" i="18"/>
  <c r="X703" i="18"/>
  <c r="W703" i="18"/>
  <c r="Y499" i="18"/>
  <c r="W499" i="18"/>
  <c r="Y1036" i="18"/>
  <c r="W1036" i="18"/>
  <c r="X702" i="18"/>
  <c r="W702" i="18"/>
  <c r="Y624" i="18"/>
  <c r="W624" i="18"/>
  <c r="Y558" i="18"/>
  <c r="W552" i="18"/>
  <c r="Y540" i="18"/>
  <c r="W540" i="18"/>
  <c r="Y424" i="18"/>
  <c r="W424" i="18"/>
  <c r="X955" i="18"/>
  <c r="X905" i="18"/>
  <c r="X989" i="18"/>
  <c r="X448" i="18"/>
  <c r="Y1560" i="18"/>
  <c r="X459" i="18"/>
  <c r="Y459" i="18"/>
  <c r="X972" i="18"/>
  <c r="Y384" i="18"/>
  <c r="Y397" i="18"/>
  <c r="X843" i="18"/>
  <c r="Y757" i="18"/>
  <c r="X1249" i="18"/>
  <c r="X1126" i="18"/>
  <c r="Y1635" i="18"/>
  <c r="Y2111" i="18"/>
  <c r="X1437" i="18"/>
  <c r="X384" i="18"/>
  <c r="Y390" i="18"/>
  <c r="Y432" i="18"/>
  <c r="X354" i="18"/>
  <c r="Y767" i="18"/>
  <c r="X2777" i="18"/>
  <c r="Y572" i="18"/>
  <c r="X355" i="18"/>
  <c r="X1015" i="18"/>
  <c r="Y1951" i="18"/>
  <c r="X616" i="18"/>
  <c r="Y426" i="18"/>
  <c r="Y939" i="18"/>
  <c r="X1587" i="18"/>
  <c r="X548" i="18"/>
  <c r="X531" i="18"/>
  <c r="Y563" i="18"/>
  <c r="X370" i="18"/>
  <c r="Y354" i="18"/>
  <c r="Y682" i="18"/>
  <c r="X1370" i="18"/>
  <c r="X1414" i="18"/>
  <c r="X733" i="18"/>
  <c r="Y616" i="18"/>
  <c r="Y423" i="18"/>
  <c r="Y820" i="18"/>
  <c r="Y793" i="18"/>
  <c r="Y903" i="18"/>
  <c r="Y905" i="18"/>
  <c r="X1635" i="18"/>
  <c r="X1341" i="18"/>
  <c r="X2205" i="18"/>
  <c r="Y609" i="18"/>
  <c r="X657" i="18"/>
  <c r="Y519" i="18"/>
  <c r="Y833" i="18"/>
  <c r="Y1249" i="18"/>
  <c r="Y1014" i="18"/>
  <c r="Y1092" i="18"/>
  <c r="X1497" i="18"/>
  <c r="X2031" i="18"/>
  <c r="Y2869" i="18"/>
  <c r="X1566" i="18"/>
  <c r="Y2877" i="18"/>
  <c r="X1603" i="18"/>
  <c r="X1377" i="18"/>
  <c r="Y723" i="18"/>
  <c r="X723" i="18"/>
  <c r="Y1050" i="18"/>
  <c r="X1050" i="18"/>
  <c r="X395" i="18"/>
  <c r="Y2796" i="18"/>
  <c r="Y2622" i="18"/>
  <c r="Y2056" i="18"/>
  <c r="X1952" i="18"/>
  <c r="X1934" i="18"/>
  <c r="X1910" i="18"/>
  <c r="Y1910" i="18"/>
  <c r="Y1454" i="18"/>
  <c r="Y1236" i="18"/>
  <c r="Y1226" i="18"/>
  <c r="X1226" i="18"/>
  <c r="X2791" i="18"/>
  <c r="Y2617" i="18"/>
  <c r="Y2623" i="18"/>
  <c r="Y2551" i="18"/>
  <c r="X2481" i="18"/>
  <c r="X2221" i="18"/>
  <c r="Y2221" i="18"/>
  <c r="X2189" i="18"/>
  <c r="Y1945" i="18"/>
  <c r="X1945" i="18"/>
  <c r="Y1871" i="18"/>
  <c r="X1819" i="18"/>
  <c r="Y1825" i="18"/>
  <c r="X1737" i="18"/>
  <c r="Y1737" i="18"/>
  <c r="Y1721" i="18"/>
  <c r="Y1727" i="18"/>
  <c r="X1721" i="18"/>
  <c r="X1713" i="18"/>
  <c r="Y1689" i="18"/>
  <c r="X1689" i="18"/>
  <c r="Y1673" i="18"/>
  <c r="X1673" i="18"/>
  <c r="X1515" i="18"/>
  <c r="X1419" i="18"/>
  <c r="X1121" i="18"/>
  <c r="X1051" i="18"/>
  <c r="Y1041" i="18"/>
  <c r="Y1035" i="18"/>
  <c r="X1062" i="18"/>
  <c r="Y486" i="18"/>
  <c r="X440" i="18"/>
  <c r="X632" i="18"/>
  <c r="X592" i="18"/>
  <c r="Y363" i="18"/>
  <c r="Y531" i="18"/>
  <c r="Y407" i="18"/>
  <c r="X927" i="18"/>
  <c r="X815" i="18"/>
  <c r="X1534" i="18"/>
  <c r="X1439" i="18"/>
  <c r="X1918" i="18"/>
  <c r="Y2031" i="18"/>
  <c r="X2551" i="18"/>
  <c r="Y2872" i="18"/>
  <c r="X1657" i="18"/>
  <c r="X710" i="18"/>
  <c r="Y710" i="18"/>
  <c r="X719" i="18"/>
  <c r="Y500" i="18"/>
  <c r="X500" i="18"/>
  <c r="X640" i="18"/>
  <c r="Y2080" i="18"/>
  <c r="Y2352" i="18"/>
  <c r="Y2060" i="18"/>
  <c r="X475" i="18"/>
  <c r="Y481" i="18"/>
  <c r="X1866" i="18"/>
  <c r="Y1866" i="18"/>
  <c r="Y1566" i="18"/>
  <c r="X1394" i="18"/>
  <c r="Y1346" i="18"/>
  <c r="X2633" i="18"/>
  <c r="Y2633" i="18"/>
  <c r="Y2573" i="18"/>
  <c r="X2573" i="18"/>
  <c r="Y2535" i="18"/>
  <c r="Y2511" i="18"/>
  <c r="Y2505" i="18"/>
  <c r="X2505" i="18"/>
  <c r="X2457" i="18"/>
  <c r="Y2457" i="18"/>
  <c r="X2171" i="18"/>
  <c r="X2125" i="18"/>
  <c r="X2101" i="18"/>
  <c r="Y1897" i="18"/>
  <c r="Y1887" i="18"/>
  <c r="X1855" i="18"/>
  <c r="Y1775" i="18"/>
  <c r="Y1729" i="18"/>
  <c r="Y1697" i="18"/>
  <c r="X1697" i="18"/>
  <c r="Y1681" i="18"/>
  <c r="Y1671" i="18"/>
  <c r="X1665" i="18"/>
  <c r="Y1647" i="18"/>
  <c r="X1647" i="18"/>
  <c r="Y1487" i="18"/>
  <c r="Y1457" i="18"/>
  <c r="Y1429" i="18"/>
  <c r="Y1401" i="18"/>
  <c r="Y1389" i="18"/>
  <c r="X1389" i="18"/>
  <c r="X1357" i="18"/>
  <c r="Y1363" i="18"/>
  <c r="Y1329" i="18"/>
  <c r="Y1335" i="18"/>
  <c r="Y1107" i="18"/>
  <c r="Y707" i="18"/>
  <c r="X503" i="18"/>
  <c r="Y1030" i="18"/>
  <c r="Y408" i="18"/>
  <c r="X566" i="18"/>
  <c r="Y534" i="18"/>
  <c r="X534" i="18"/>
  <c r="Y448" i="18"/>
  <c r="X854" i="18"/>
  <c r="Y870" i="18"/>
  <c r="X893" i="18"/>
  <c r="X1097" i="18"/>
  <c r="X1079" i="18"/>
  <c r="Y1394" i="18"/>
  <c r="Y1464" i="18"/>
  <c r="Y1448" i="18"/>
  <c r="X1373" i="18"/>
  <c r="Y1952" i="18"/>
  <c r="Y1918" i="18"/>
  <c r="X1705" i="18"/>
  <c r="X416" i="18"/>
  <c r="Y537" i="18"/>
  <c r="X563" i="18"/>
  <c r="Y509" i="18"/>
  <c r="Y440" i="18"/>
  <c r="X423" i="18"/>
  <c r="X391" i="18"/>
  <c r="X375" i="18"/>
  <c r="Y927" i="18"/>
  <c r="X997" i="18"/>
  <c r="Y917" i="18"/>
  <c r="X793" i="18"/>
  <c r="Y815" i="18"/>
  <c r="X764" i="18"/>
  <c r="X673" i="18"/>
  <c r="X973" i="18"/>
  <c r="Y781" i="18"/>
  <c r="X833" i="18"/>
  <c r="Y893" i="18"/>
  <c r="X1107" i="18"/>
  <c r="X1035" i="18"/>
  <c r="X1092" i="18"/>
  <c r="Y1015" i="18"/>
  <c r="Y1603" i="18"/>
  <c r="Y1515" i="18"/>
  <c r="X1429" i="18"/>
  <c r="X1499" i="18"/>
  <c r="Y1439" i="18"/>
  <c r="X1464" i="18"/>
  <c r="X1448" i="18"/>
  <c r="X1329" i="18"/>
  <c r="Y1958" i="18"/>
  <c r="Y1916" i="18"/>
  <c r="X1887" i="18"/>
  <c r="X1729" i="18"/>
  <c r="X1681" i="18"/>
  <c r="Y2125" i="18"/>
  <c r="Y2171" i="18"/>
  <c r="Y2055" i="18"/>
  <c r="X2535" i="18"/>
  <c r="X2400" i="18"/>
  <c r="X596" i="18"/>
  <c r="Y992" i="18"/>
  <c r="X921" i="18"/>
  <c r="X839" i="18"/>
  <c r="Y849" i="18"/>
  <c r="Y545" i="18"/>
  <c r="Y338" i="18"/>
  <c r="X648" i="18"/>
  <c r="Y618" i="18"/>
  <c r="X568" i="18"/>
  <c r="Y525" i="18"/>
  <c r="X550" i="18"/>
  <c r="X431" i="18"/>
  <c r="X411" i="18"/>
  <c r="Y979" i="18"/>
  <c r="X796" i="18"/>
  <c r="Y686" i="18"/>
  <c r="X2877" i="18"/>
  <c r="X813" i="18"/>
  <c r="Y813" i="18"/>
  <c r="X1474" i="18"/>
  <c r="Y1474" i="18"/>
  <c r="X612" i="18"/>
  <c r="X2853" i="18"/>
  <c r="Y2853" i="18"/>
  <c r="Y2797" i="18"/>
  <c r="X2639" i="18"/>
  <c r="Y2639" i="18"/>
  <c r="X2607" i="18"/>
  <c r="Y2607" i="18"/>
  <c r="Y2543" i="18"/>
  <c r="X2543" i="18"/>
  <c r="Y2513" i="18"/>
  <c r="X2513" i="18"/>
  <c r="X2465" i="18"/>
  <c r="Y2465" i="18"/>
  <c r="X2409" i="18"/>
  <c r="Y2409" i="18"/>
  <c r="X2377" i="18"/>
  <c r="Y2377" i="18"/>
  <c r="X2345" i="18"/>
  <c r="Y2345" i="18"/>
  <c r="Y2229" i="18"/>
  <c r="X2229" i="18"/>
  <c r="X2213" i="18"/>
  <c r="Y2213" i="18"/>
  <c r="Y2181" i="18"/>
  <c r="X2181" i="18"/>
  <c r="Y2149" i="18"/>
  <c r="X2149" i="18"/>
  <c r="X2117" i="18"/>
  <c r="Y2117" i="18"/>
  <c r="X2063" i="18"/>
  <c r="Y1957" i="18"/>
  <c r="X1957" i="18"/>
  <c r="X1893" i="18"/>
  <c r="X1859" i="18"/>
  <c r="Y1859" i="18"/>
  <c r="Y1791" i="18"/>
  <c r="X1791" i="18"/>
  <c r="Y1733" i="18"/>
  <c r="X1733" i="18"/>
  <c r="Y1717" i="18"/>
  <c r="X1717" i="18"/>
  <c r="Y1693" i="18"/>
  <c r="Y1677" i="18"/>
  <c r="X1677" i="18"/>
  <c r="Y1669" i="18"/>
  <c r="X1669" i="18"/>
  <c r="Y1661" i="18"/>
  <c r="X1661" i="18"/>
  <c r="X1641" i="18"/>
  <c r="X1575" i="18"/>
  <c r="Y1575" i="18"/>
  <c r="X1491" i="18"/>
  <c r="Y1491" i="18"/>
  <c r="X1461" i="18"/>
  <c r="Y1435" i="18"/>
  <c r="X1435" i="18"/>
  <c r="X1415" i="18"/>
  <c r="X1381" i="18"/>
  <c r="Y1381" i="18"/>
  <c r="X1349" i="18"/>
  <c r="Y1333" i="18"/>
  <c r="X1333" i="18"/>
  <c r="X1117" i="18"/>
  <c r="X1083" i="18"/>
  <c r="X1043" i="18"/>
  <c r="Y1043" i="18"/>
  <c r="X1005" i="18"/>
  <c r="Y1005" i="18"/>
  <c r="Y929" i="18"/>
  <c r="Y923" i="18"/>
  <c r="Y867" i="18"/>
  <c r="Y873" i="18"/>
  <c r="Y845" i="18"/>
  <c r="Y799" i="18"/>
  <c r="X799" i="18"/>
  <c r="X775" i="18"/>
  <c r="Y751" i="18"/>
  <c r="X751" i="18"/>
  <c r="X725" i="18"/>
  <c r="Y725" i="18"/>
  <c r="Y703" i="18"/>
  <c r="X691" i="18"/>
  <c r="Y575" i="18"/>
  <c r="X575" i="18"/>
  <c r="Y527" i="18"/>
  <c r="Y513" i="18"/>
  <c r="Y447" i="18"/>
  <c r="X447" i="18"/>
  <c r="Y1054" i="18"/>
  <c r="X1054" i="18"/>
  <c r="Y1022" i="18"/>
  <c r="X1022" i="18"/>
  <c r="X838" i="18"/>
  <c r="Y702" i="18"/>
  <c r="Y586" i="18"/>
  <c r="X540" i="18"/>
  <c r="Y520" i="18"/>
  <c r="X520" i="18"/>
  <c r="Y464" i="18"/>
  <c r="X624" i="18"/>
  <c r="X464" i="18"/>
  <c r="Y431" i="18"/>
  <c r="X399" i="18"/>
  <c r="Y899" i="18"/>
  <c r="X499" i="18"/>
  <c r="Y399" i="18"/>
  <c r="X367" i="18"/>
  <c r="X890" i="18"/>
  <c r="X583" i="18"/>
  <c r="X677" i="18"/>
  <c r="X2881" i="18"/>
  <c r="Y2881" i="18"/>
  <c r="X2831" i="18"/>
  <c r="X2815" i="18"/>
  <c r="X2787" i="18"/>
  <c r="Y2787" i="18"/>
  <c r="X2623" i="18"/>
  <c r="Y2559" i="18"/>
  <c r="X2559" i="18"/>
  <c r="X2529" i="18"/>
  <c r="Y2529" i="18"/>
  <c r="X2497" i="18"/>
  <c r="Y2455" i="18"/>
  <c r="X2449" i="18"/>
  <c r="Y2449" i="18"/>
  <c r="X2393" i="18"/>
  <c r="Y2399" i="18"/>
  <c r="X2361" i="18"/>
  <c r="Y2361" i="18"/>
  <c r="X2329" i="18"/>
  <c r="Y2197" i="18"/>
  <c r="X2197" i="18"/>
  <c r="Y2203" i="18"/>
  <c r="X2163" i="18"/>
  <c r="X2133" i="18"/>
  <c r="X2107" i="18"/>
  <c r="X2051" i="18"/>
  <c r="Y2051" i="18"/>
  <c r="Y1921" i="18"/>
  <c r="X1921" i="18"/>
  <c r="Y1879" i="18"/>
  <c r="X1839" i="18"/>
  <c r="X1755" i="18"/>
  <c r="Y1725" i="18"/>
  <c r="X1725" i="18"/>
  <c r="Y1709" i="18"/>
  <c r="X1709" i="18"/>
  <c r="Y1701" i="18"/>
  <c r="X1701" i="18"/>
  <c r="X1685" i="18"/>
  <c r="Y1657" i="18"/>
  <c r="Y1651" i="18"/>
  <c r="X1623" i="18"/>
  <c r="Y1629" i="18"/>
  <c r="Y1623" i="18"/>
  <c r="X1505" i="18"/>
  <c r="Y1505" i="18"/>
  <c r="X1473" i="18"/>
  <c r="Y1445" i="18"/>
  <c r="Y1423" i="18"/>
  <c r="X1423" i="18"/>
  <c r="Y1397" i="18"/>
  <c r="X1397" i="18"/>
  <c r="X1365" i="18"/>
  <c r="X1257" i="18"/>
  <c r="Y1257" i="18"/>
  <c r="X1103" i="18"/>
  <c r="Y1103" i="18"/>
  <c r="X1063" i="18"/>
  <c r="Y1069" i="18"/>
  <c r="X1027" i="18"/>
  <c r="Y981" i="18"/>
  <c r="X981" i="18"/>
  <c r="Y971" i="18"/>
  <c r="Y965" i="18"/>
  <c r="X931" i="18"/>
  <c r="X909" i="18"/>
  <c r="Y915" i="18"/>
  <c r="Y909" i="18"/>
  <c r="X881" i="18"/>
  <c r="Y887" i="18"/>
  <c r="Y881" i="18"/>
  <c r="X855" i="18"/>
  <c r="Y855" i="18"/>
  <c r="Y823" i="18"/>
  <c r="X823" i="18"/>
  <c r="Y787" i="18"/>
  <c r="X787" i="18"/>
  <c r="X765" i="18"/>
  <c r="Y765" i="18"/>
  <c r="Y739" i="18"/>
  <c r="X739" i="18"/>
  <c r="Y715" i="18"/>
  <c r="X715" i="18"/>
  <c r="X559" i="18"/>
  <c r="Y565" i="18"/>
  <c r="Y559" i="18"/>
  <c r="Y415" i="18"/>
  <c r="X415" i="18"/>
  <c r="X383" i="18"/>
  <c r="X1076" i="18"/>
  <c r="X1036" i="18"/>
  <c r="X646" i="18"/>
  <c r="X552" i="18"/>
  <c r="Y552" i="18"/>
  <c r="X424" i="18"/>
  <c r="Y646" i="18"/>
  <c r="Y580" i="18"/>
  <c r="X502" i="18"/>
  <c r="Y453" i="18"/>
  <c r="Y1063" i="18"/>
  <c r="Y2393" i="18"/>
  <c r="X2797" i="18"/>
  <c r="X1060" i="18"/>
  <c r="X527" i="18"/>
  <c r="X461" i="18"/>
  <c r="X580" i="18"/>
  <c r="Y367" i="18"/>
  <c r="X947" i="18"/>
  <c r="Y890" i="18"/>
  <c r="X867" i="18"/>
  <c r="Y1641" i="18"/>
  <c r="Y1893" i="18"/>
  <c r="Y1699" i="18"/>
  <c r="Y2815" i="18"/>
  <c r="X1912" i="18"/>
  <c r="Y1940" i="18"/>
  <c r="X1940" i="18"/>
  <c r="X1398" i="18"/>
  <c r="X2525" i="18"/>
  <c r="Y2509" i="18"/>
  <c r="X2509" i="18"/>
  <c r="Y2159" i="18"/>
  <c r="X2159" i="18"/>
  <c r="Y1345" i="18"/>
  <c r="X1331" i="18"/>
  <c r="Y1331" i="18"/>
  <c r="X1039" i="18"/>
  <c r="Y1039" i="18"/>
  <c r="Y821" i="18"/>
  <c r="X821" i="18"/>
  <c r="Y803" i="18"/>
  <c r="X783" i="18"/>
  <c r="Y783" i="18"/>
  <c r="X824" i="18"/>
  <c r="X456" i="18"/>
  <c r="X426" i="18"/>
  <c r="Y985" i="18"/>
  <c r="X749" i="18"/>
  <c r="X1649" i="18"/>
  <c r="X1359" i="18"/>
  <c r="Y1378" i="18"/>
  <c r="Y1407" i="18"/>
  <c r="Y1956" i="18"/>
  <c r="X1956" i="18"/>
  <c r="Y1740" i="18"/>
  <c r="X1542" i="18"/>
  <c r="Y1542" i="18"/>
  <c r="X1430" i="18"/>
  <c r="Y2577" i="18"/>
  <c r="X2577" i="18"/>
  <c r="X2209" i="18"/>
  <c r="Y2209" i="18"/>
  <c r="X2177" i="18"/>
  <c r="X1891" i="18"/>
  <c r="X1787" i="18"/>
  <c r="Y1787" i="18"/>
  <c r="Y1731" i="18"/>
  <c r="X1731" i="18"/>
  <c r="Y1475" i="18"/>
  <c r="Y1469" i="18"/>
  <c r="X525" i="18"/>
  <c r="Y443" i="18"/>
  <c r="Y379" i="18"/>
  <c r="Y941" i="18"/>
  <c r="X875" i="18"/>
  <c r="Y897" i="18"/>
  <c r="X853" i="18"/>
  <c r="Y749" i="18"/>
  <c r="Y1101" i="18"/>
  <c r="X1489" i="18"/>
  <c r="Y1882" i="18"/>
  <c r="X2845" i="18"/>
  <c r="X1034" i="18"/>
  <c r="Y2882" i="18"/>
  <c r="X2844" i="18"/>
  <c r="X2324" i="18"/>
  <c r="X2210" i="18"/>
  <c r="X1510" i="18"/>
  <c r="X1378" i="18"/>
  <c r="Y1240" i="18"/>
  <c r="X2793" i="18"/>
  <c r="X2635" i="18"/>
  <c r="Y2635" i="18"/>
  <c r="X2537" i="18"/>
  <c r="X2461" i="18"/>
  <c r="Y2461" i="18"/>
  <c r="X2405" i="18"/>
  <c r="Y2405" i="18"/>
  <c r="X2373" i="18"/>
  <c r="Y2373" i="18"/>
  <c r="X2341" i="18"/>
  <c r="Y2341" i="18"/>
  <c r="Y2225" i="18"/>
  <c r="Y2193" i="18"/>
  <c r="X2129" i="18"/>
  <c r="Y2129" i="18"/>
  <c r="Y2039" i="18"/>
  <c r="X2039" i="18"/>
  <c r="X1823" i="18"/>
  <c r="Y1743" i="18"/>
  <c r="Y1683" i="18"/>
  <c r="Y1667" i="18"/>
  <c r="X1667" i="18"/>
  <c r="X1469" i="18"/>
  <c r="Y1443" i="18"/>
  <c r="X1421" i="18"/>
  <c r="X1253" i="18"/>
  <c r="X1113" i="18"/>
  <c r="X1081" i="18"/>
  <c r="X1059" i="18"/>
  <c r="Y1059" i="18"/>
  <c r="X1019" i="18"/>
  <c r="X907" i="18"/>
  <c r="Y907" i="18"/>
  <c r="Y861" i="18"/>
  <c r="X835" i="18"/>
  <c r="Y835" i="18"/>
  <c r="X699" i="18"/>
  <c r="Y689" i="18"/>
  <c r="Y675" i="18"/>
  <c r="Y571" i="18"/>
  <c r="X571" i="18"/>
  <c r="Y539" i="18"/>
  <c r="X539" i="18"/>
  <c r="Y511" i="18"/>
  <c r="X511" i="18"/>
  <c r="X495" i="18"/>
  <c r="Y369" i="18"/>
  <c r="Y1066" i="18"/>
  <c r="X792" i="18"/>
  <c r="Y792" i="18"/>
  <c r="X536" i="18"/>
  <c r="Y518" i="18"/>
  <c r="X518" i="18"/>
  <c r="Y456" i="18"/>
  <c r="Y416" i="18"/>
  <c r="Y463" i="18"/>
  <c r="X963" i="18"/>
  <c r="Y921" i="18"/>
  <c r="X861" i="18"/>
  <c r="X735" i="18"/>
  <c r="X897" i="18"/>
  <c r="Y853" i="18"/>
  <c r="X797" i="18"/>
  <c r="X686" i="18"/>
  <c r="X1303" i="18"/>
  <c r="Y1261" i="18"/>
  <c r="Y1113" i="18"/>
  <c r="X1208" i="18"/>
  <c r="X1018" i="18"/>
  <c r="Y1649" i="18"/>
  <c r="X1519" i="18"/>
  <c r="X1345" i="18"/>
  <c r="Y1450" i="18"/>
  <c r="Y1912" i="18"/>
  <c r="Y1891" i="18"/>
  <c r="X1901" i="18"/>
  <c r="X1707" i="18"/>
  <c r="X1740" i="18"/>
  <c r="Y1707" i="18"/>
  <c r="Y2231" i="18"/>
  <c r="Y2177" i="18"/>
  <c r="X2628" i="18"/>
  <c r="Y2845" i="18"/>
  <c r="Y2827" i="18"/>
  <c r="X2811" i="18"/>
  <c r="X2827" i="18"/>
  <c r="Y2774" i="18"/>
  <c r="X2042" i="18"/>
  <c r="X1926" i="18"/>
  <c r="Y1926" i="18"/>
  <c r="X1882" i="18"/>
  <c r="Y1888" i="18"/>
  <c r="X1354" i="18"/>
  <c r="Y1228" i="18"/>
  <c r="X1178" i="18"/>
  <c r="X2781" i="18"/>
  <c r="X2619" i="18"/>
  <c r="Y2439" i="18"/>
  <c r="X2439" i="18"/>
  <c r="X2389" i="18"/>
  <c r="Y2389" i="18"/>
  <c r="X2325" i="18"/>
  <c r="Y2325" i="18"/>
  <c r="X2143" i="18"/>
  <c r="Y2143" i="18"/>
  <c r="X2113" i="18"/>
  <c r="X2057" i="18"/>
  <c r="Y2063" i="18"/>
  <c r="Y1949" i="18"/>
  <c r="X1949" i="18"/>
  <c r="X1877" i="18"/>
  <c r="X1699" i="18"/>
  <c r="Y1691" i="18"/>
  <c r="X1691" i="18"/>
  <c r="Y1675" i="18"/>
  <c r="Y1659" i="18"/>
  <c r="X1659" i="18"/>
  <c r="X1639" i="18"/>
  <c r="Y1459" i="18"/>
  <c r="X1433" i="18"/>
  <c r="Y711" i="18"/>
  <c r="Y427" i="18"/>
  <c r="X979" i="18"/>
  <c r="Y963" i="18"/>
  <c r="X761" i="18"/>
  <c r="Y699" i="18"/>
  <c r="X711" i="18"/>
  <c r="X675" i="18"/>
  <c r="Y859" i="18"/>
  <c r="Y797" i="18"/>
  <c r="Y773" i="18"/>
  <c r="X1240" i="18"/>
  <c r="Y1639" i="18"/>
  <c r="X1407" i="18"/>
  <c r="X1965" i="18"/>
  <c r="Y1823" i="18"/>
  <c r="X1743" i="18"/>
  <c r="Y1901" i="18"/>
  <c r="X1723" i="18"/>
  <c r="X1715" i="18"/>
  <c r="X1683" i="18"/>
  <c r="X1675" i="18"/>
  <c r="Y1713" i="18"/>
  <c r="Y1857" i="18"/>
  <c r="Y2103" i="18"/>
  <c r="Y2119" i="18"/>
  <c r="X2096" i="18"/>
  <c r="Y2793" i="18"/>
  <c r="Y2811" i="18"/>
  <c r="X2489" i="18"/>
  <c r="Y568" i="18"/>
  <c r="Y2692" i="18"/>
  <c r="X2692" i="18"/>
  <c r="Y2956" i="18"/>
  <c r="X2956" i="18"/>
  <c r="Y2736" i="18"/>
  <c r="X2708" i="18"/>
  <c r="Y2384" i="18"/>
  <c r="X2384" i="18"/>
  <c r="X2112" i="18"/>
  <c r="X2086" i="18"/>
  <c r="Y1738" i="18"/>
  <c r="X1738" i="18"/>
  <c r="X2869" i="18"/>
  <c r="X2839" i="18"/>
  <c r="Y2839" i="18"/>
  <c r="X2821" i="18"/>
  <c r="Y2821" i="18"/>
  <c r="X2803" i="18"/>
  <c r="Y2803" i="18"/>
  <c r="X2779" i="18"/>
  <c r="Y2779" i="18"/>
  <c r="X2521" i="18"/>
  <c r="Y2521" i="18"/>
  <c r="Y2431" i="18"/>
  <c r="X2431" i="18"/>
  <c r="X2401" i="18"/>
  <c r="Y2401" i="18"/>
  <c r="X2385" i="18"/>
  <c r="X2369" i="18"/>
  <c r="X2353" i="18"/>
  <c r="Y2353" i="18"/>
  <c r="X2337" i="18"/>
  <c r="Y2343" i="18"/>
  <c r="X2321" i="18"/>
  <c r="Y2321" i="18"/>
  <c r="X2157" i="18"/>
  <c r="X2141" i="18"/>
  <c r="Y2147" i="18"/>
  <c r="Y1665" i="18"/>
  <c r="X1465" i="18"/>
  <c r="Y1465" i="18"/>
  <c r="X859" i="18"/>
  <c r="Y771" i="18"/>
  <c r="Y697" i="18"/>
  <c r="Y687" i="18"/>
  <c r="Y491" i="18"/>
  <c r="X1046" i="18"/>
  <c r="X1014" i="18"/>
  <c r="X468" i="18"/>
  <c r="Y468" i="18"/>
  <c r="X463" i="18"/>
  <c r="X410" i="18"/>
  <c r="Y370" i="18"/>
  <c r="Y590" i="18"/>
  <c r="X477" i="18"/>
  <c r="Y510" i="18"/>
  <c r="X522" i="18"/>
  <c r="X930" i="18"/>
  <c r="Y967" i="18"/>
  <c r="X1224" i="18"/>
  <c r="Y713" i="18"/>
  <c r="X1093" i="18"/>
  <c r="Y862" i="18"/>
  <c r="Y1285" i="18"/>
  <c r="X1653" i="18"/>
  <c r="X1969" i="18"/>
  <c r="X668" i="18"/>
  <c r="X588" i="18"/>
  <c r="Y533" i="18"/>
  <c r="Y544" i="18"/>
  <c r="Y652" i="18"/>
  <c r="Y455" i="18"/>
  <c r="X636" i="18"/>
  <c r="Y573" i="18"/>
  <c r="X381" i="18"/>
  <c r="Y414" i="18"/>
  <c r="Y505" i="18"/>
  <c r="X811" i="18"/>
  <c r="X769" i="18"/>
  <c r="X2541" i="18"/>
  <c r="X1220" i="18"/>
  <c r="X1422" i="18"/>
  <c r="W339" i="18"/>
  <c r="Y1706" i="18"/>
  <c r="Y2237" i="18"/>
  <c r="X581" i="18"/>
  <c r="X476" i="18"/>
  <c r="Y842" i="18"/>
  <c r="Y1422" i="18"/>
  <c r="X617" i="18"/>
  <c r="X428" i="18"/>
  <c r="Y940" i="18"/>
  <c r="X758" i="18"/>
  <c r="Y972" i="18"/>
  <c r="Y704" i="18"/>
  <c r="X1084" i="18"/>
  <c r="X1486" i="18"/>
  <c r="X2306" i="18"/>
  <c r="X866" i="18"/>
  <c r="Y620" i="18"/>
  <c r="Y1640" i="18"/>
  <c r="X437" i="18"/>
  <c r="Y476" i="18"/>
  <c r="X345" i="18"/>
  <c r="Y528" i="18"/>
  <c r="Y945" i="18"/>
  <c r="Y741" i="18"/>
  <c r="X952" i="18"/>
  <c r="Y674" i="18"/>
  <c r="Y1216" i="18"/>
  <c r="Y1084" i="18"/>
  <c r="Y1486" i="18"/>
  <c r="Y1890" i="18"/>
  <c r="X1873" i="18"/>
  <c r="Y1960" i="18"/>
  <c r="X1656" i="18"/>
  <c r="X1577" i="18"/>
  <c r="X2236" i="18"/>
  <c r="X1518" i="18"/>
  <c r="X1640" i="18"/>
  <c r="Y1524" i="18"/>
  <c r="X1475" i="18"/>
  <c r="X1938" i="18"/>
  <c r="Y2199" i="18"/>
  <c r="X2006" i="18"/>
  <c r="X2522" i="18"/>
  <c r="Y622" i="18"/>
  <c r="Y938" i="18"/>
  <c r="X1202" i="18"/>
  <c r="Y1656" i="18"/>
  <c r="X1434" i="18"/>
  <c r="Y1985" i="18"/>
  <c r="X1724" i="18"/>
  <c r="X1668" i="18"/>
  <c r="X490" i="18"/>
  <c r="X434" i="18"/>
  <c r="Y483" i="18"/>
  <c r="X348" i="18"/>
  <c r="X968" i="18"/>
  <c r="Y879" i="18"/>
  <c r="Y685" i="18"/>
  <c r="Y858" i="18"/>
  <c r="X842" i="18"/>
  <c r="X862" i="18"/>
  <c r="Y1478" i="18"/>
  <c r="X1428" i="18"/>
  <c r="Y1944" i="18"/>
  <c r="X1732" i="18"/>
  <c r="X1660" i="18"/>
  <c r="Y2245" i="18"/>
  <c r="X2270" i="18"/>
  <c r="X2077" i="18"/>
  <c r="X938" i="18"/>
  <c r="Y1302" i="18"/>
  <c r="X1416" i="18"/>
  <c r="Y1724" i="18"/>
  <c r="X622" i="18"/>
  <c r="X603" i="18"/>
  <c r="X451" i="18"/>
  <c r="X1552" i="18"/>
  <c r="X1942" i="18"/>
  <c r="Y1668" i="18"/>
  <c r="X483" i="18"/>
  <c r="Y911" i="18"/>
  <c r="X816" i="18"/>
  <c r="Y1072" i="18"/>
  <c r="X1537" i="18"/>
  <c r="Y1402" i="18"/>
  <c r="X1400" i="18"/>
  <c r="Y2085" i="18"/>
  <c r="X1889" i="18"/>
  <c r="X688" i="18"/>
  <c r="Y688" i="18"/>
  <c r="Y439" i="18"/>
  <c r="X433" i="18"/>
  <c r="Y993" i="18"/>
  <c r="Y999" i="18"/>
  <c r="X2034" i="18"/>
  <c r="X1916" i="18"/>
  <c r="X1862" i="18"/>
  <c r="Y1338" i="18"/>
  <c r="X1338" i="18"/>
  <c r="X669" i="18"/>
  <c r="X1210" i="18"/>
  <c r="X1436" i="18"/>
  <c r="X2396" i="18"/>
  <c r="Y1442" i="18"/>
  <c r="Y1391" i="18"/>
  <c r="Y1385" i="18"/>
  <c r="Y1501" i="18"/>
  <c r="X1501" i="18"/>
  <c r="X891" i="18"/>
  <c r="X2599" i="18"/>
  <c r="Y2599" i="18"/>
  <c r="X1263" i="18"/>
  <c r="X1874" i="18"/>
  <c r="Y2360" i="18"/>
  <c r="X2360" i="18"/>
  <c r="Y2214" i="18"/>
  <c r="X2214" i="18"/>
  <c r="X2056" i="18"/>
  <c r="Y1914" i="18"/>
  <c r="X1858" i="18"/>
  <c r="Y1858" i="18"/>
  <c r="X1454" i="18"/>
  <c r="X339" i="18"/>
  <c r="X633" i="18"/>
  <c r="Y617" i="18"/>
  <c r="X418" i="18"/>
  <c r="X991" i="18"/>
  <c r="X1158" i="18"/>
  <c r="Y1570" i="18"/>
  <c r="Y2858" i="18"/>
  <c r="X2858" i="18"/>
  <c r="Y2953" i="18"/>
  <c r="X1551" i="18"/>
  <c r="X1561" i="18"/>
  <c r="Y1561" i="18"/>
  <c r="Y1467" i="18"/>
  <c r="Y1368" i="18"/>
  <c r="Y1342" i="18"/>
  <c r="Y1336" i="18"/>
  <c r="Y1202" i="18"/>
  <c r="X1196" i="18"/>
  <c r="X1159" i="18"/>
  <c r="Y1104" i="18"/>
  <c r="Y1886" i="18"/>
  <c r="X1789" i="18"/>
  <c r="X1716" i="18"/>
  <c r="Y1716" i="18"/>
  <c r="X1708" i="18"/>
  <c r="X1700" i="18"/>
  <c r="X1684" i="18"/>
  <c r="Y1684" i="18"/>
  <c r="X1676" i="18"/>
  <c r="X1944" i="18"/>
  <c r="X1287" i="18"/>
  <c r="Y1293" i="18"/>
  <c r="X1111" i="18"/>
  <c r="X406" i="18"/>
  <c r="Y348" i="18"/>
  <c r="X442" i="18"/>
  <c r="X1522" i="18"/>
  <c r="X1629" i="18"/>
  <c r="X479" i="18"/>
  <c r="X834" i="18"/>
  <c r="Y834" i="18"/>
  <c r="Y2186" i="18"/>
  <c r="X1962" i="18"/>
  <c r="X1932" i="18"/>
  <c r="Y1932" i="18"/>
  <c r="X1908" i="18"/>
  <c r="X1462" i="18"/>
  <c r="Y1410" i="18"/>
  <c r="Y1390" i="18"/>
  <c r="Y1366" i="18"/>
  <c r="X510" i="18"/>
  <c r="Y959" i="18"/>
  <c r="Y734" i="18"/>
  <c r="X1570" i="18"/>
  <c r="Y1889" i="18"/>
  <c r="Y1908" i="18"/>
  <c r="Y1156" i="18"/>
  <c r="X1538" i="18"/>
  <c r="X1771" i="18"/>
  <c r="X1904" i="18"/>
  <c r="Y1568" i="18"/>
  <c r="X1568" i="18"/>
  <c r="Y1440" i="18"/>
  <c r="Y1386" i="18"/>
  <c r="X1386" i="18"/>
  <c r="Y1362" i="18"/>
  <c r="X1362" i="18"/>
  <c r="X1334" i="18"/>
  <c r="X455" i="18"/>
  <c r="X467" i="18"/>
  <c r="Y450" i="18"/>
  <c r="X750" i="18"/>
  <c r="Y874" i="18"/>
  <c r="X1232" i="18"/>
  <c r="X1156" i="18"/>
  <c r="Y1116" i="18"/>
  <c r="X1150" i="18"/>
  <c r="X1108" i="18"/>
  <c r="Y1526" i="18"/>
  <c r="X1366" i="18"/>
  <c r="Y1462" i="18"/>
  <c r="X1914" i="18"/>
  <c r="Y1895" i="18"/>
  <c r="Y1862" i="18"/>
  <c r="Y633" i="18"/>
  <c r="X450" i="18"/>
  <c r="Y1564" i="18"/>
  <c r="X1554" i="18"/>
  <c r="Y1334" i="18"/>
  <c r="Y1436" i="18"/>
  <c r="X1390" i="18"/>
  <c r="Y1468" i="18"/>
  <c r="X1385" i="18"/>
  <c r="Y1904" i="18"/>
  <c r="X1958" i="18"/>
  <c r="X998" i="18"/>
  <c r="X462" i="18"/>
  <c r="Y1224" i="18"/>
  <c r="Y1558" i="18"/>
  <c r="Y2259" i="18"/>
  <c r="X2253" i="18"/>
  <c r="X2045" i="18"/>
  <c r="Y2045" i="18"/>
  <c r="Y1294" i="18"/>
  <c r="X1294" i="18"/>
  <c r="Y1222" i="18"/>
  <c r="Y868" i="18"/>
  <c r="X868" i="18"/>
  <c r="Y1555" i="18"/>
  <c r="X1555" i="18"/>
  <c r="Y884" i="18"/>
  <c r="X2600" i="18"/>
  <c r="Y2600" i="18"/>
  <c r="X2592" i="18"/>
  <c r="Y2592" i="18"/>
  <c r="X2571" i="18"/>
  <c r="Y2264" i="18"/>
  <c r="X1845" i="18"/>
  <c r="X2147" i="18"/>
  <c r="Y1835" i="18"/>
  <c r="X1374" i="18"/>
  <c r="X1553" i="18"/>
  <c r="Y1553" i="18"/>
  <c r="Y1238" i="18"/>
  <c r="X1238" i="18"/>
  <c r="X1186" i="18"/>
  <c r="X2931" i="18"/>
  <c r="X2545" i="18"/>
  <c r="Y2545" i="18"/>
  <c r="X2754" i="18"/>
  <c r="Y2754" i="18"/>
  <c r="X2583" i="18"/>
  <c r="X2944" i="18"/>
  <c r="Y2944" i="18"/>
  <c r="X2836" i="18"/>
  <c r="Y2836" i="18"/>
  <c r="Y2794" i="18"/>
  <c r="X2794" i="18"/>
  <c r="Y2724" i="18"/>
  <c r="X2724" i="18"/>
  <c r="Y2668" i="18"/>
  <c r="X2668" i="18"/>
  <c r="Y2634" i="18"/>
  <c r="X2634" i="18"/>
  <c r="X2576" i="18"/>
  <c r="Y2576" i="18"/>
  <c r="X2316" i="18"/>
  <c r="Y2322" i="18"/>
  <c r="Y2202" i="18"/>
  <c r="Y2106" i="18"/>
  <c r="X2106" i="18"/>
  <c r="X2084" i="18"/>
  <c r="X2058" i="18"/>
  <c r="Y2058" i="18"/>
  <c r="Y2048" i="18"/>
  <c r="X2048" i="18"/>
  <c r="X1978" i="18"/>
  <c r="Y588" i="18"/>
  <c r="Y579" i="18"/>
  <c r="X538" i="18"/>
  <c r="X361" i="18"/>
  <c r="X404" i="18"/>
  <c r="Y752" i="18"/>
  <c r="Y891" i="18"/>
  <c r="Y1529" i="18"/>
  <c r="Y1374" i="18"/>
  <c r="Y1536" i="18"/>
  <c r="X1963" i="18"/>
  <c r="Y2034" i="18"/>
  <c r="Y2316" i="18"/>
  <c r="X2504" i="18"/>
  <c r="X2308" i="18"/>
  <c r="Y2873" i="18"/>
  <c r="X2873" i="18"/>
  <c r="Y2816" i="18"/>
  <c r="X2816" i="18"/>
  <c r="Y2654" i="18"/>
  <c r="X2654" i="18"/>
  <c r="Y2447" i="18"/>
  <c r="X2447" i="18"/>
  <c r="Y1556" i="18"/>
  <c r="X1556" i="18"/>
  <c r="X1403" i="18"/>
  <c r="X2284" i="18"/>
  <c r="Y2284" i="18"/>
  <c r="Y2211" i="18"/>
  <c r="X2211" i="18"/>
  <c r="X2179" i="18"/>
  <c r="Y2179" i="18"/>
  <c r="X2041" i="18"/>
  <c r="Y1977" i="18"/>
  <c r="X1977" i="18"/>
  <c r="X1899" i="18"/>
  <c r="X1631" i="18"/>
  <c r="Y1631" i="18"/>
  <c r="X1567" i="18"/>
  <c r="Y1567" i="18"/>
  <c r="X1527" i="18"/>
  <c r="X1617" i="18"/>
  <c r="Y1906" i="18"/>
  <c r="X1550" i="18"/>
  <c r="Y1550" i="18"/>
  <c r="Y830" i="18"/>
  <c r="X830" i="18"/>
  <c r="X1343" i="18"/>
  <c r="X740" i="18"/>
  <c r="X2914" i="18"/>
  <c r="Y2801" i="18"/>
  <c r="X2801" i="18"/>
  <c r="Y2610" i="18"/>
  <c r="Y2616" i="18"/>
  <c r="X2610" i="18"/>
  <c r="Y2108" i="18"/>
  <c r="X2108" i="18"/>
  <c r="Y2962" i="18"/>
  <c r="X2962" i="18"/>
  <c r="Y2786" i="18"/>
  <c r="X2786" i="18"/>
  <c r="Y2192" i="18"/>
  <c r="X2192" i="18"/>
  <c r="Y1755" i="18"/>
  <c r="Y1749" i="18"/>
  <c r="X2291" i="18"/>
  <c r="X2216" i="18"/>
  <c r="Y2216" i="18"/>
  <c r="X1894" i="18"/>
  <c r="Y1894" i="18"/>
  <c r="Y1099" i="18"/>
  <c r="Y1283" i="18"/>
  <c r="Y1124" i="18"/>
  <c r="X1124" i="18"/>
  <c r="X1920" i="18"/>
  <c r="Y1920" i="18"/>
  <c r="Y987" i="18"/>
  <c r="Y1367" i="18"/>
  <c r="X966" i="18"/>
  <c r="Y966" i="18"/>
  <c r="Y2709" i="18"/>
  <c r="X2709" i="18"/>
  <c r="Y2473" i="18"/>
  <c r="Y2769" i="18"/>
  <c r="X2591" i="18"/>
  <c r="Y2591" i="18"/>
  <c r="X2383" i="18"/>
  <c r="X2375" i="18"/>
  <c r="Y2375" i="18"/>
  <c r="X908" i="18"/>
  <c r="Y1870" i="18"/>
  <c r="X1870" i="18"/>
  <c r="X2898" i="18"/>
  <c r="Y2898" i="18"/>
  <c r="X2852" i="18"/>
  <c r="X2808" i="18"/>
  <c r="Y2764" i="18"/>
  <c r="Y2770" i="18"/>
  <c r="X2764" i="18"/>
  <c r="Y2696" i="18"/>
  <c r="Y2658" i="18"/>
  <c r="Y2652" i="18"/>
  <c r="X2652" i="18"/>
  <c r="Y2618" i="18"/>
  <c r="Y2414" i="18"/>
  <c r="X2414" i="18"/>
  <c r="Y2420" i="18"/>
  <c r="Y2380" i="18"/>
  <c r="X2380" i="18"/>
  <c r="X2364" i="18"/>
  <c r="X2332" i="18"/>
  <c r="Y2332" i="18"/>
  <c r="Y2224" i="18"/>
  <c r="Y2218" i="18"/>
  <c r="X2218" i="18"/>
  <c r="Y2092" i="18"/>
  <c r="X2092" i="18"/>
  <c r="Y2076" i="18"/>
  <c r="X2076" i="18"/>
  <c r="Y668" i="18"/>
  <c r="X649" i="18"/>
  <c r="Y551" i="18"/>
  <c r="Y452" i="18"/>
  <c r="Y372" i="18"/>
  <c r="Y461" i="18"/>
  <c r="X471" i="18"/>
  <c r="Y936" i="18"/>
  <c r="X732" i="18"/>
  <c r="X1367" i="18"/>
  <c r="X2868" i="18"/>
  <c r="X2463" i="18"/>
  <c r="Y2936" i="18"/>
  <c r="Y2756" i="18"/>
  <c r="Y2750" i="18"/>
  <c r="Y2491" i="18"/>
  <c r="Y2497" i="18"/>
  <c r="X2491" i="18"/>
  <c r="X2437" i="18"/>
  <c r="Y2437" i="18"/>
  <c r="X2355" i="18"/>
  <c r="X2312" i="18"/>
  <c r="X1615" i="18"/>
  <c r="X1506" i="18"/>
  <c r="Y1506" i="18"/>
  <c r="X2425" i="18"/>
  <c r="Y2425" i="18"/>
  <c r="Y2240" i="18"/>
  <c r="X2118" i="18"/>
  <c r="Y2118" i="18"/>
  <c r="X1809" i="18"/>
  <c r="Y1809" i="18"/>
  <c r="Y1605" i="18"/>
  <c r="Y1546" i="18"/>
  <c r="X1444" i="18"/>
  <c r="X1183" i="18"/>
  <c r="Y1183" i="18"/>
  <c r="X1494" i="18"/>
  <c r="X2303" i="18"/>
  <c r="Y2303" i="18"/>
  <c r="Y1109" i="18"/>
  <c r="X1530" i="18"/>
  <c r="Y1530" i="18"/>
  <c r="X975" i="18"/>
  <c r="Y975" i="18"/>
  <c r="Y2808" i="18"/>
  <c r="X887" i="18"/>
  <c r="Y1767" i="18"/>
  <c r="X2705" i="18"/>
  <c r="Y1516" i="18"/>
  <c r="Y2857" i="18"/>
  <c r="X2589" i="18"/>
  <c r="Y2589" i="18"/>
  <c r="Y2570" i="18"/>
  <c r="X2176" i="18"/>
  <c r="Y2176" i="18"/>
  <c r="Y2182" i="18"/>
  <c r="Y2896" i="18"/>
  <c r="Y2890" i="18"/>
  <c r="Y2848" i="18"/>
  <c r="Y2854" i="18"/>
  <c r="X2848" i="18"/>
  <c r="Y2804" i="18"/>
  <c r="X2804" i="18"/>
  <c r="X2752" i="18"/>
  <c r="Y2752" i="18"/>
  <c r="X2688" i="18"/>
  <c r="Y2688" i="18"/>
  <c r="X2650" i="18"/>
  <c r="X2616" i="18"/>
  <c r="X2408" i="18"/>
  <c r="Y2408" i="18"/>
  <c r="X2376" i="18"/>
  <c r="Y2376" i="18"/>
  <c r="Y2350" i="18"/>
  <c r="Y2344" i="18"/>
  <c r="X2344" i="18"/>
  <c r="Y2230" i="18"/>
  <c r="Y2198" i="18"/>
  <c r="Y2090" i="18"/>
  <c r="X2090" i="18"/>
  <c r="Y2074" i="18"/>
  <c r="X2074" i="18"/>
  <c r="X2066" i="18"/>
  <c r="Y2066" i="18"/>
  <c r="Y2044" i="18"/>
  <c r="X2044" i="18"/>
  <c r="Y2030" i="18"/>
  <c r="X2030" i="18"/>
  <c r="Y1976" i="18"/>
  <c r="X1976" i="18"/>
  <c r="X666" i="18"/>
  <c r="X654" i="18"/>
  <c r="X638" i="18"/>
  <c r="Y581" i="18"/>
  <c r="X473" i="18"/>
  <c r="Y349" i="18"/>
  <c r="X452" i="18"/>
  <c r="X388" i="18"/>
  <c r="X576" i="18"/>
  <c r="X521" i="18"/>
  <c r="Y784" i="18"/>
  <c r="Y819" i="18"/>
  <c r="Y708" i="18"/>
  <c r="X1261" i="18"/>
  <c r="X1045" i="18"/>
  <c r="X1029" i="18"/>
  <c r="X1546" i="18"/>
  <c r="Y1573" i="18"/>
  <c r="X1529" i="18"/>
  <c r="Y1494" i="18"/>
  <c r="X1650" i="18"/>
  <c r="Y1969" i="18"/>
  <c r="X1835" i="18"/>
  <c r="Y2234" i="18"/>
  <c r="X2296" i="18"/>
  <c r="Y2180" i="18"/>
  <c r="X2068" i="18"/>
  <c r="Y2041" i="18"/>
  <c r="Y2584" i="18"/>
  <c r="Y2383" i="18"/>
  <c r="Y2355" i="18"/>
  <c r="X2348" i="18"/>
  <c r="X2936" i="18"/>
  <c r="Y2705" i="18"/>
  <c r="Y2650" i="18"/>
  <c r="X2823" i="18"/>
  <c r="X2970" i="18"/>
  <c r="Y2970" i="18"/>
  <c r="X2910" i="18"/>
  <c r="X2455" i="18"/>
  <c r="Y908" i="18"/>
  <c r="X902" i="18"/>
  <c r="Y902" i="18"/>
  <c r="Y2152" i="18"/>
  <c r="X2152" i="18"/>
  <c r="Y1995" i="18"/>
  <c r="X1995" i="18"/>
  <c r="X1335" i="18"/>
  <c r="X2203" i="18"/>
  <c r="X2676" i="18"/>
  <c r="Y2676" i="18"/>
  <c r="Y1242" i="18"/>
  <c r="X1242" i="18"/>
  <c r="X1547" i="18"/>
  <c r="Y1547" i="18"/>
  <c r="Y949" i="18"/>
  <c r="Y1024" i="18"/>
  <c r="X1024" i="18"/>
  <c r="X1080" i="18"/>
  <c r="X814" i="18"/>
  <c r="Y2889" i="18"/>
  <c r="X2539" i="18"/>
  <c r="X2744" i="18"/>
  <c r="X726" i="18"/>
  <c r="X2371" i="18"/>
  <c r="Y2523" i="18"/>
  <c r="X2523" i="18"/>
  <c r="X2940" i="18"/>
  <c r="Y2864" i="18"/>
  <c r="X2864" i="18"/>
  <c r="Y2832" i="18"/>
  <c r="X2832" i="18"/>
  <c r="Y2782" i="18"/>
  <c r="X2782" i="18"/>
  <c r="Y2716" i="18"/>
  <c r="X2716" i="18"/>
  <c r="Y2672" i="18"/>
  <c r="X2666" i="18"/>
  <c r="Y2666" i="18"/>
  <c r="X2632" i="18"/>
  <c r="Y2572" i="18"/>
  <c r="X2572" i="18"/>
  <c r="Y2328" i="18"/>
  <c r="X2328" i="18"/>
  <c r="X2182" i="18"/>
  <c r="X2098" i="18"/>
  <c r="Y2082" i="18"/>
  <c r="X2082" i="18"/>
  <c r="X570" i="18"/>
  <c r="Y412" i="18"/>
  <c r="Y388" i="18"/>
  <c r="X480" i="18"/>
  <c r="Y467" i="18"/>
  <c r="X987" i="18"/>
  <c r="Y800" i="18"/>
  <c r="Y769" i="18"/>
  <c r="X780" i="18"/>
  <c r="Y811" i="18"/>
  <c r="Y678" i="18"/>
  <c r="Y1244" i="18"/>
  <c r="Y666" i="18"/>
  <c r="Y654" i="18"/>
  <c r="X585" i="18"/>
  <c r="X545" i="18"/>
  <c r="X505" i="18"/>
  <c r="X469" i="18"/>
  <c r="X429" i="18"/>
  <c r="Y474" i="18"/>
  <c r="X488" i="18"/>
  <c r="Y480" i="18"/>
  <c r="Y428" i="18"/>
  <c r="X349" i="18"/>
  <c r="X372" i="18"/>
  <c r="Y986" i="18"/>
  <c r="Y882" i="18"/>
  <c r="X884" i="18"/>
  <c r="X777" i="18"/>
  <c r="Y780" i="18"/>
  <c r="X694" i="18"/>
  <c r="Y684" i="18"/>
  <c r="X849" i="18"/>
  <c r="X708" i="18"/>
  <c r="Y698" i="18"/>
  <c r="Y1263" i="18"/>
  <c r="X1214" i="18"/>
  <c r="X1274" i="18"/>
  <c r="X1109" i="18"/>
  <c r="X1605" i="18"/>
  <c r="Y1552" i="18"/>
  <c r="X1339" i="18"/>
  <c r="Y1349" i="18"/>
  <c r="Y1527" i="18"/>
  <c r="Y1966" i="18"/>
  <c r="Y1771" i="18"/>
  <c r="X2237" i="18"/>
  <c r="X2264" i="18"/>
  <c r="Y2112" i="18"/>
  <c r="X2230" i="18"/>
  <c r="X2186" i="18"/>
  <c r="Y2068" i="18"/>
  <c r="X2020" i="18"/>
  <c r="X2022" i="18"/>
  <c r="Y2583" i="18"/>
  <c r="X2560" i="18"/>
  <c r="Y2548" i="18"/>
  <c r="X2494" i="18"/>
  <c r="Y2407" i="18"/>
  <c r="Y2940" i="18"/>
  <c r="X2696" i="18"/>
  <c r="Y2012" i="18"/>
  <c r="Y1988" i="18"/>
  <c r="X1988" i="18"/>
  <c r="X994" i="18"/>
  <c r="Y994" i="18"/>
  <c r="X1698" i="18"/>
  <c r="Y922" i="18"/>
  <c r="Y916" i="18"/>
  <c r="X398" i="18"/>
  <c r="Y398" i="18"/>
  <c r="X1194" i="18"/>
  <c r="Y1194" i="18"/>
  <c r="X950" i="18"/>
  <c r="X2969" i="18"/>
  <c r="Y2969" i="18"/>
  <c r="Y1097" i="18"/>
  <c r="X851" i="18"/>
  <c r="Y851" i="18"/>
  <c r="X722" i="18"/>
  <c r="Y722" i="18"/>
  <c r="Y680" i="18"/>
  <c r="X680" i="18"/>
  <c r="Y1611" i="18"/>
  <c r="X1611" i="18"/>
  <c r="X366" i="18"/>
  <c r="Y366" i="18"/>
  <c r="X1259" i="18"/>
  <c r="Y2966" i="18"/>
  <c r="Y2960" i="18"/>
  <c r="Y2712" i="18"/>
  <c r="Y2660" i="18"/>
  <c r="X2660" i="18"/>
  <c r="Y2612" i="18"/>
  <c r="X2612" i="18"/>
  <c r="Y2404" i="18"/>
  <c r="X2404" i="18"/>
  <c r="Y2372" i="18"/>
  <c r="Y2340" i="18"/>
  <c r="Y2070" i="18"/>
  <c r="Y523" i="18"/>
  <c r="X1071" i="18"/>
  <c r="X1865" i="18"/>
  <c r="Y2096" i="18"/>
  <c r="Y2568" i="18"/>
  <c r="X1305" i="18"/>
  <c r="X2100" i="18"/>
  <c r="Y2100" i="18"/>
  <c r="Y1930" i="18"/>
  <c r="Y983" i="18"/>
  <c r="Y1514" i="18"/>
  <c r="Y2636" i="18"/>
  <c r="X1371" i="18"/>
  <c r="X970" i="18"/>
  <c r="Y860" i="18"/>
  <c r="X2717" i="18"/>
  <c r="Y2717" i="18"/>
  <c r="Y2555" i="18"/>
  <c r="Y2123" i="18"/>
  <c r="X2123" i="18"/>
  <c r="Y1420" i="18"/>
  <c r="Y1426" i="18"/>
  <c r="X736" i="18"/>
  <c r="Y736" i="18"/>
  <c r="X910" i="18"/>
  <c r="X2184" i="18"/>
  <c r="Y2184" i="18"/>
  <c r="Y2506" i="18"/>
  <c r="X2506" i="18"/>
  <c r="X1876" i="18"/>
  <c r="Y2856" i="18"/>
  <c r="X2840" i="18"/>
  <c r="X2768" i="18"/>
  <c r="Y2742" i="18"/>
  <c r="X2736" i="18"/>
  <c r="Y2644" i="18"/>
  <c r="Y2638" i="18"/>
  <c r="Y2406" i="18"/>
  <c r="Y2400" i="18"/>
  <c r="X2368" i="18"/>
  <c r="Y2368" i="18"/>
  <c r="X2336" i="18"/>
  <c r="X2222" i="18"/>
  <c r="X2206" i="18"/>
  <c r="X2190" i="18"/>
  <c r="X2078" i="18"/>
  <c r="X2050" i="18"/>
  <c r="Y2050" i="18"/>
  <c r="X2036" i="18"/>
  <c r="Y2042" i="18"/>
  <c r="Y2036" i="18"/>
  <c r="Y1984" i="18"/>
  <c r="Y1968" i="18"/>
  <c r="X1968" i="18"/>
  <c r="X602" i="18"/>
  <c r="Y663" i="18"/>
  <c r="Y607" i="18"/>
  <c r="X549" i="18"/>
  <c r="X389" i="18"/>
  <c r="Y462" i="18"/>
  <c r="Y430" i="18"/>
  <c r="X983" i="18"/>
  <c r="Y866" i="18"/>
  <c r="X1420" i="18"/>
  <c r="Y1371" i="18"/>
  <c r="X1970" i="18"/>
  <c r="X1773" i="18"/>
  <c r="Y1924" i="18"/>
  <c r="Y2226" i="18"/>
  <c r="Y2190" i="18"/>
  <c r="Y2178" i="18"/>
  <c r="Y2094" i="18"/>
  <c r="Y2084" i="18"/>
  <c r="X2070" i="18"/>
  <c r="X2064" i="18"/>
  <c r="X2606" i="18"/>
  <c r="X2475" i="18"/>
  <c r="X2416" i="18"/>
  <c r="Y2388" i="18"/>
  <c r="X2372" i="18"/>
  <c r="Y2356" i="18"/>
  <c r="X2352" i="18"/>
  <c r="X2320" i="18"/>
  <c r="X2928" i="18"/>
  <c r="X2856" i="18"/>
  <c r="X2712" i="18"/>
  <c r="X2824" i="18"/>
  <c r="X2609" i="18"/>
  <c r="Y2495" i="18"/>
  <c r="X2115" i="18"/>
  <c r="X2087" i="18"/>
  <c r="Y2087" i="18"/>
  <c r="X2309" i="18"/>
  <c r="Y2315" i="18"/>
  <c r="Y2289" i="18"/>
  <c r="X1151" i="18"/>
  <c r="Y883" i="18"/>
  <c r="X883" i="18"/>
  <c r="Y494" i="18"/>
  <c r="X494" i="18"/>
  <c r="Y2187" i="18"/>
  <c r="X2860" i="18"/>
  <c r="X2828" i="18"/>
  <c r="Y2828" i="18"/>
  <c r="Y2800" i="18"/>
  <c r="X2800" i="18"/>
  <c r="X2748" i="18"/>
  <c r="X2684" i="18"/>
  <c r="Y2684" i="18"/>
  <c r="X2568" i="18"/>
  <c r="Y2088" i="18"/>
  <c r="Y2072" i="18"/>
  <c r="X2052" i="18"/>
  <c r="Y2026" i="18"/>
  <c r="X2026" i="18"/>
  <c r="W338" i="18"/>
  <c r="X664" i="18"/>
  <c r="Y657" i="18"/>
  <c r="X530" i="18"/>
  <c r="X1104" i="18"/>
  <c r="Y2194" i="18"/>
  <c r="X2072" i="18"/>
  <c r="X1162" i="18"/>
  <c r="X2000" i="18"/>
  <c r="Y1601" i="18"/>
  <c r="X1595" i="18"/>
  <c r="Y1595" i="18"/>
  <c r="Y2686" i="18"/>
  <c r="X2680" i="18"/>
  <c r="Y650" i="18"/>
  <c r="Y645" i="18"/>
  <c r="Y549" i="18"/>
  <c r="Y404" i="18"/>
  <c r="Y942" i="18"/>
  <c r="X716" i="18"/>
  <c r="Y1319" i="18"/>
  <c r="Y1377" i="18"/>
  <c r="X1548" i="18"/>
  <c r="Y1970" i="18"/>
  <c r="X1983" i="18"/>
  <c r="Y2222" i="18"/>
  <c r="Y2196" i="18"/>
  <c r="X2088" i="18"/>
  <c r="X2080" i="18"/>
  <c r="X2060" i="18"/>
  <c r="X2636" i="18"/>
  <c r="X2638" i="18"/>
  <c r="X2622" i="18"/>
  <c r="Y2606" i="18"/>
  <c r="Y2378" i="18"/>
  <c r="X2356" i="18"/>
  <c r="X2340" i="18"/>
  <c r="Y2324" i="18"/>
  <c r="Y2320" i="18"/>
  <c r="X2960" i="18"/>
  <c r="Y2876" i="18"/>
  <c r="Y2922" i="18"/>
  <c r="Y2844" i="18"/>
  <c r="X2774" i="18"/>
  <c r="Y2824" i="18"/>
  <c r="Y2708" i="18"/>
  <c r="X2876" i="18"/>
  <c r="Y2637" i="18"/>
  <c r="Y2552" i="18"/>
  <c r="X2552" i="18"/>
  <c r="X2413" i="18"/>
  <c r="Y485" i="18"/>
  <c r="X485" i="18"/>
  <c r="Y594" i="18"/>
  <c r="Y360" i="18"/>
  <c r="Y2611" i="18"/>
  <c r="Y2809" i="18"/>
  <c r="W340" i="18"/>
  <c r="Y600" i="18"/>
  <c r="X653" i="18"/>
  <c r="X457" i="18"/>
  <c r="X417" i="18"/>
  <c r="X546" i="18"/>
  <c r="Y541" i="18"/>
  <c r="Y433" i="18"/>
  <c r="X558" i="18"/>
  <c r="Y382" i="18"/>
  <c r="X993" i="18"/>
  <c r="Y910" i="18"/>
  <c r="X1216" i="18"/>
  <c r="Y1174" i="18"/>
  <c r="Y1052" i="18"/>
  <c r="X1055" i="18"/>
  <c r="Y1358" i="18"/>
  <c r="X1514" i="18"/>
  <c r="X1867" i="18"/>
  <c r="Y1827" i="18"/>
  <c r="Y1876" i="18"/>
  <c r="X1924" i="18"/>
  <c r="X2288" i="18"/>
  <c r="Y2525" i="18"/>
  <c r="Y2379" i="18"/>
  <c r="Y2933" i="18"/>
  <c r="Y2861" i="18"/>
  <c r="X2939" i="18"/>
  <c r="X2802" i="18"/>
  <c r="Y340" i="18"/>
  <c r="X541" i="18"/>
  <c r="Y2643" i="18"/>
  <c r="Y2959" i="18"/>
  <c r="Y2823" i="18"/>
  <c r="Y2775" i="18"/>
  <c r="X2838" i="18"/>
  <c r="X341" i="18"/>
  <c r="Y658" i="18"/>
  <c r="X650" i="18"/>
  <c r="Y630" i="18"/>
  <c r="X645" i="18"/>
  <c r="Y601" i="18"/>
  <c r="X413" i="18"/>
  <c r="X446" i="18"/>
  <c r="X382" i="18"/>
  <c r="Y488" i="18"/>
  <c r="Y982" i="18"/>
  <c r="Y970" i="18"/>
  <c r="X942" i="18"/>
  <c r="X860" i="18"/>
  <c r="Y804" i="18"/>
  <c r="X744" i="18"/>
  <c r="Y1305" i="18"/>
  <c r="X1142" i="18"/>
  <c r="X1827" i="18"/>
  <c r="Y2385" i="18"/>
  <c r="X2953" i="18"/>
  <c r="Y2917" i="18"/>
  <c r="Y2939" i="18"/>
  <c r="Y2753" i="18"/>
  <c r="X2722" i="18"/>
  <c r="Y2681" i="18"/>
  <c r="Y2338" i="18"/>
  <c r="X2338" i="18"/>
  <c r="X1922" i="18"/>
  <c r="Y1922" i="18"/>
  <c r="X1199" i="18"/>
  <c r="Y1011" i="18"/>
  <c r="Y641" i="18"/>
  <c r="X547" i="18"/>
  <c r="Y546" i="18"/>
  <c r="Y977" i="18"/>
  <c r="Y944" i="18"/>
  <c r="Y1142" i="18"/>
  <c r="Y1032" i="18"/>
  <c r="Y1650" i="18"/>
  <c r="X1581" i="18"/>
  <c r="Y1551" i="18"/>
  <c r="X1670" i="18"/>
  <c r="X2310" i="18"/>
  <c r="X2932" i="18"/>
  <c r="Y2299" i="18"/>
  <c r="X2299" i="18"/>
  <c r="Y1016" i="18"/>
  <c r="Y790" i="18"/>
  <c r="Y422" i="18"/>
  <c r="Y1154" i="18"/>
  <c r="X606" i="18"/>
  <c r="X978" i="18"/>
  <c r="X2174" i="18"/>
  <c r="Y2174" i="18"/>
  <c r="Y2773" i="18"/>
  <c r="X2773" i="18"/>
  <c r="X2292" i="18"/>
  <c r="Y1967" i="18"/>
  <c r="X864" i="18"/>
  <c r="Y864" i="18"/>
  <c r="Y1297" i="18"/>
  <c r="X1297" i="18"/>
  <c r="X1521" i="18"/>
  <c r="X1393" i="18"/>
  <c r="Y1003" i="18"/>
  <c r="X974" i="18"/>
  <c r="Y974" i="18"/>
  <c r="Y828" i="18"/>
  <c r="X828" i="18"/>
  <c r="Y1642" i="18"/>
  <c r="X1642" i="18"/>
  <c r="Y1023" i="18"/>
  <c r="X850" i="18"/>
  <c r="Y850" i="18"/>
  <c r="Y742" i="18"/>
  <c r="X478" i="18"/>
  <c r="Y478" i="18"/>
  <c r="X906" i="18"/>
  <c r="X728" i="18"/>
  <c r="X706" i="18"/>
  <c r="Y362" i="18"/>
  <c r="Y356" i="18"/>
  <c r="X378" i="18"/>
  <c r="X1954" i="18"/>
  <c r="Y1382" i="18"/>
  <c r="Y466" i="18"/>
  <c r="Y1507" i="18"/>
  <c r="X1507" i="18"/>
  <c r="Y1451" i="18"/>
  <c r="Y1395" i="18"/>
  <c r="X1395" i="18"/>
  <c r="Y1218" i="18"/>
  <c r="X1218" i="18"/>
  <c r="X1085" i="18"/>
  <c r="Y1085" i="18"/>
  <c r="X995" i="18"/>
  <c r="Y995" i="18"/>
  <c r="Y918" i="18"/>
  <c r="X918" i="18"/>
  <c r="X863" i="18"/>
  <c r="Y1485" i="18"/>
  <c r="X1100" i="18"/>
  <c r="X937" i="18"/>
  <c r="Y832" i="18"/>
  <c r="Y788" i="18"/>
  <c r="X1356" i="18"/>
  <c r="X626" i="18"/>
  <c r="X556" i="18"/>
  <c r="Y465" i="18"/>
  <c r="X465" i="18"/>
  <c r="Y373" i="18"/>
  <c r="Y502" i="18"/>
  <c r="Y496" i="18"/>
  <c r="X665" i="18"/>
  <c r="Y542" i="18"/>
  <c r="Y497" i="18"/>
  <c r="X1384" i="18"/>
  <c r="X1309" i="18"/>
  <c r="Y619" i="18"/>
  <c r="Y871" i="18"/>
  <c r="Y798" i="18"/>
  <c r="X386" i="18"/>
  <c r="Y933" i="18"/>
  <c r="X933" i="18"/>
  <c r="X567" i="18"/>
  <c r="Y567" i="18"/>
  <c r="X2725" i="18"/>
  <c r="Y2725" i="18"/>
  <c r="X2238" i="18"/>
  <c r="X2102" i="18"/>
  <c r="X958" i="18"/>
  <c r="Y812" i="18"/>
  <c r="Y1009" i="18"/>
  <c r="Y421" i="18"/>
  <c r="Y724" i="18"/>
  <c r="X724" i="18"/>
  <c r="Y365" i="18"/>
  <c r="X365" i="18"/>
  <c r="X2579" i="18"/>
  <c r="Y2579" i="18"/>
  <c r="Y2566" i="18"/>
  <c r="X2566" i="18"/>
  <c r="X1267" i="18"/>
  <c r="Y1265" i="18"/>
  <c r="Y1259" i="18"/>
  <c r="X2519" i="18"/>
  <c r="Y958" i="18"/>
  <c r="X2427" i="18"/>
  <c r="Y1446" i="18"/>
  <c r="X1278" i="18"/>
  <c r="Y1347" i="18"/>
  <c r="Y1188" i="18"/>
  <c r="Y1096" i="18"/>
  <c r="X1096" i="18"/>
  <c r="Y648" i="18"/>
  <c r="X601" i="18"/>
  <c r="X414" i="18"/>
  <c r="Y350" i="18"/>
  <c r="Y364" i="18"/>
  <c r="Y378" i="18"/>
  <c r="Y964" i="18"/>
  <c r="Y838" i="18"/>
  <c r="X790" i="18"/>
  <c r="Y712" i="18"/>
  <c r="X919" i="18"/>
  <c r="X720" i="18"/>
  <c r="Y1166" i="18"/>
  <c r="X1023" i="18"/>
  <c r="Y1182" i="18"/>
  <c r="X1058" i="18"/>
  <c r="X1011" i="18"/>
  <c r="Y1521" i="18"/>
  <c r="Y2292" i="18"/>
  <c r="Y2926" i="18"/>
  <c r="X2510" i="18"/>
  <c r="Y2510" i="18"/>
  <c r="X2809" i="18"/>
  <c r="Y2938" i="18"/>
  <c r="X2841" i="18"/>
  <c r="X2700" i="18"/>
  <c r="Y2730" i="18"/>
  <c r="X2615" i="18"/>
  <c r="Y2760" i="18"/>
  <c r="Y2124" i="18"/>
  <c r="X2124" i="18"/>
  <c r="Y1460" i="18"/>
  <c r="Y1964" i="18"/>
  <c r="X1964" i="18"/>
  <c r="X1470" i="18"/>
  <c r="Y1077" i="18"/>
  <c r="X1077" i="18"/>
  <c r="X644" i="18"/>
  <c r="Y460" i="18"/>
  <c r="X454" i="18"/>
  <c r="Y336" i="18"/>
  <c r="W336" i="18"/>
  <c r="X1134" i="18"/>
  <c r="Y1134" i="18"/>
  <c r="X661" i="18"/>
  <c r="X1138" i="18"/>
  <c r="X574" i="18"/>
  <c r="Y1599" i="18"/>
  <c r="X1599" i="18"/>
  <c r="X1348" i="18"/>
  <c r="X1087" i="18"/>
  <c r="Y1087" i="18"/>
  <c r="Y2614" i="18"/>
  <c r="X2614" i="18"/>
  <c r="X2549" i="18"/>
  <c r="Y2549" i="18"/>
  <c r="X2478" i="18"/>
  <c r="X2420" i="18"/>
  <c r="X2232" i="18"/>
  <c r="Y1600" i="18"/>
  <c r="X1495" i="18"/>
  <c r="Y1495" i="18"/>
  <c r="X2770" i="18"/>
  <c r="X2319" i="18"/>
  <c r="Y2319" i="18"/>
  <c r="X2204" i="18"/>
  <c r="Y2204" i="18"/>
  <c r="X2116" i="18"/>
  <c r="Y2116" i="18"/>
  <c r="Y2029" i="18"/>
  <c r="Y1975" i="18"/>
  <c r="X1975" i="18"/>
  <c r="X1950" i="18"/>
  <c r="Y1950" i="18"/>
  <c r="X1765" i="18"/>
  <c r="Y1765" i="18"/>
  <c r="X1624" i="18"/>
  <c r="X1583" i="18"/>
  <c r="Y1544" i="18"/>
  <c r="Y1517" i="18"/>
  <c r="X1511" i="18"/>
  <c r="X1388" i="18"/>
  <c r="Y898" i="18"/>
  <c r="X2037" i="18"/>
  <c r="Y2037" i="18"/>
  <c r="Y672" i="18"/>
  <c r="Y517" i="18"/>
  <c r="Y377" i="18"/>
  <c r="X2959" i="18"/>
  <c r="X2200" i="18"/>
  <c r="Y2200" i="18"/>
  <c r="Y2150" i="18"/>
  <c r="X2150" i="18"/>
  <c r="X2013" i="18"/>
  <c r="Y2013" i="18"/>
  <c r="Y913" i="18"/>
  <c r="X690" i="18"/>
  <c r="Y610" i="18"/>
  <c r="Y1068" i="18"/>
  <c r="X2929" i="18"/>
  <c r="Y2825" i="18"/>
  <c r="X2825" i="18"/>
  <c r="Y656" i="18"/>
  <c r="X569" i="18"/>
  <c r="Y526" i="18"/>
  <c r="X506" i="18"/>
  <c r="X401" i="18"/>
  <c r="X377" i="18"/>
  <c r="Y346" i="18"/>
  <c r="Y454" i="18"/>
  <c r="X358" i="18"/>
  <c r="Y482" i="18"/>
  <c r="X785" i="18"/>
  <c r="Y754" i="18"/>
  <c r="X898" i="18"/>
  <c r="Y1348" i="18"/>
  <c r="X2297" i="18"/>
  <c r="Y2442" i="18"/>
  <c r="X2442" i="18"/>
  <c r="Y2130" i="18"/>
  <c r="Y2095" i="18"/>
  <c r="X2095" i="18"/>
  <c r="X2079" i="18"/>
  <c r="Y2079" i="18"/>
  <c r="Y2071" i="18"/>
  <c r="Y2077" i="18"/>
  <c r="X2054" i="18"/>
  <c r="Y2478" i="18"/>
  <c r="X2215" i="18"/>
  <c r="Y2215" i="18"/>
  <c r="X2043" i="18"/>
  <c r="X1941" i="18"/>
  <c r="Y1941" i="18"/>
  <c r="X1741" i="18"/>
  <c r="X1644" i="18"/>
  <c r="Y1620" i="18"/>
  <c r="X1585" i="18"/>
  <c r="Y1585" i="18"/>
  <c r="X1520" i="18"/>
  <c r="Y1488" i="18"/>
  <c r="X2172" i="18"/>
  <c r="Y2172" i="18"/>
  <c r="Y593" i="18"/>
  <c r="Y1736" i="18"/>
  <c r="X1736" i="18"/>
  <c r="Y1597" i="18"/>
  <c r="Y1387" i="18"/>
  <c r="X1387" i="18"/>
  <c r="Y1291" i="18"/>
  <c r="X1609" i="18"/>
  <c r="Y1609" i="18"/>
  <c r="X684" i="18"/>
  <c r="Y1206" i="18"/>
  <c r="Y1160" i="18"/>
  <c r="X1154" i="18"/>
  <c r="X2518" i="18"/>
  <c r="X2256" i="18"/>
  <c r="Y2256" i="18"/>
  <c r="Y1621" i="18"/>
  <c r="X1621" i="18"/>
  <c r="Y2282" i="18"/>
  <c r="Y644" i="18"/>
  <c r="Y569" i="18"/>
  <c r="X460" i="18"/>
  <c r="Y492" i="18"/>
  <c r="Y383" i="18"/>
  <c r="X474" i="18"/>
  <c r="X482" i="18"/>
  <c r="Y394" i="18"/>
  <c r="Y785" i="18"/>
  <c r="X809" i="18"/>
  <c r="X748" i="18"/>
  <c r="X913" i="18"/>
  <c r="Y892" i="18"/>
  <c r="X718" i="18"/>
  <c r="X672" i="18"/>
  <c r="Y1624" i="18"/>
  <c r="Y1583" i="18"/>
  <c r="X1597" i="18"/>
  <c r="Y1565" i="18"/>
  <c r="X1544" i="18"/>
  <c r="X1358" i="18"/>
  <c r="Y1511" i="18"/>
  <c r="X1815" i="18"/>
  <c r="X2294" i="18"/>
  <c r="Y2297" i="18"/>
  <c r="Y2210" i="18"/>
  <c r="Y2929" i="18"/>
  <c r="Y2386" i="18"/>
  <c r="Y2392" i="18"/>
  <c r="X2322" i="18"/>
  <c r="X2626" i="18"/>
  <c r="Y2626" i="18"/>
  <c r="X1933" i="18"/>
  <c r="Y2471" i="18"/>
  <c r="Y2670" i="18"/>
  <c r="Y814" i="18"/>
  <c r="Y1080" i="18"/>
  <c r="X1767" i="18"/>
  <c r="Y2597" i="18"/>
  <c r="Y2595" i="18"/>
  <c r="X2570" i="18"/>
  <c r="X2471" i="18"/>
  <c r="X2370" i="18"/>
  <c r="Y2744" i="18"/>
  <c r="Y2883" i="18"/>
  <c r="Y2758" i="18"/>
  <c r="Y2963" i="18"/>
  <c r="X2670" i="18"/>
  <c r="X2883" i="18"/>
  <c r="Y2955" i="18"/>
  <c r="X2621" i="18"/>
  <c r="X2402" i="18"/>
  <c r="X2099" i="18"/>
  <c r="Y2099" i="18"/>
  <c r="X1905" i="18"/>
  <c r="Y1905" i="18"/>
  <c r="X1722" i="18"/>
  <c r="X1875" i="18"/>
  <c r="Y1881" i="18"/>
  <c r="X1576" i="18"/>
  <c r="Y2701" i="18"/>
  <c r="X892" i="18"/>
  <c r="X700" i="18"/>
  <c r="X1306" i="18"/>
  <c r="X1192" i="18"/>
  <c r="Y1100" i="18"/>
  <c r="X1016" i="18"/>
  <c r="Y1083" i="18"/>
  <c r="X1531" i="18"/>
  <c r="Y1470" i="18"/>
  <c r="X1426" i="18"/>
  <c r="X1485" i="18"/>
  <c r="Y1479" i="18"/>
  <c r="X1361" i="18"/>
  <c r="X2254" i="18"/>
  <c r="Y2531" i="18"/>
  <c r="Y2934" i="18"/>
  <c r="X2934" i="18"/>
  <c r="X2812" i="18"/>
  <c r="X2721" i="18"/>
  <c r="Y2479" i="18"/>
  <c r="X2479" i="18"/>
  <c r="X2378" i="18"/>
  <c r="X1860" i="18"/>
  <c r="X1363" i="18"/>
  <c r="X1678" i="18"/>
  <c r="X1431" i="18"/>
  <c r="Y2826" i="18"/>
  <c r="X2820" i="18"/>
  <c r="X2798" i="18"/>
  <c r="X2714" i="18"/>
  <c r="Y2575" i="18"/>
  <c r="X2502" i="18"/>
  <c r="Y2502" i="18"/>
  <c r="Y2476" i="18"/>
  <c r="X2470" i="18"/>
  <c r="Y2412" i="18"/>
  <c r="X2412" i="18"/>
  <c r="X2363" i="18"/>
  <c r="Y2363" i="18"/>
  <c r="X2277" i="18"/>
  <c r="Y2277" i="18"/>
  <c r="X1524" i="18"/>
  <c r="X2693" i="18"/>
  <c r="Y2294" i="18"/>
  <c r="X2227" i="18"/>
  <c r="Y2227" i="18"/>
  <c r="Y2195" i="18"/>
  <c r="X2168" i="18"/>
  <c r="X2027" i="18"/>
  <c r="Y1979" i="18"/>
  <c r="Y1973" i="18"/>
  <c r="Y1813" i="18"/>
  <c r="X1813" i="18"/>
  <c r="Y1763" i="18"/>
  <c r="Y1769" i="18"/>
  <c r="Y1351" i="18"/>
  <c r="X1351" i="18"/>
  <c r="X2311" i="18"/>
  <c r="X2805" i="18"/>
  <c r="X2196" i="18"/>
  <c r="Y1955" i="18"/>
  <c r="X1955" i="18"/>
  <c r="X1986" i="18"/>
  <c r="Y1571" i="18"/>
  <c r="Y1456" i="18"/>
  <c r="X2927" i="18"/>
  <c r="Y2927" i="18"/>
  <c r="Y2812" i="18"/>
  <c r="X2806" i="18"/>
  <c r="Y2806" i="18"/>
  <c r="X1885" i="18"/>
  <c r="Y1885" i="18"/>
  <c r="Y1375" i="18"/>
  <c r="X1375" i="18"/>
  <c r="X642" i="18"/>
  <c r="X2766" i="18"/>
  <c r="Y2766" i="18"/>
  <c r="X2701" i="18"/>
  <c r="Y2483" i="18"/>
  <c r="Y2219" i="18"/>
  <c r="Y2740" i="18"/>
  <c r="X2740" i="18"/>
  <c r="X2603" i="18"/>
  <c r="Y2603" i="18"/>
  <c r="X2587" i="18"/>
  <c r="Y2587" i="18"/>
  <c r="Y1418" i="18"/>
  <c r="X2327" i="18"/>
  <c r="X346" i="18"/>
  <c r="X877" i="18"/>
  <c r="X832" i="18"/>
  <c r="X766" i="18"/>
  <c r="Y943" i="18"/>
  <c r="X871" i="18"/>
  <c r="X788" i="18"/>
  <c r="Y720" i="18"/>
  <c r="Y878" i="18"/>
  <c r="Y700" i="18"/>
  <c r="X1020" i="18"/>
  <c r="X1009" i="18"/>
  <c r="Y1138" i="18"/>
  <c r="Y1061" i="18"/>
  <c r="Y1576" i="18"/>
  <c r="Y1619" i="18"/>
  <c r="Y1563" i="18"/>
  <c r="Y1898" i="18"/>
  <c r="X1718" i="18"/>
  <c r="X2283" i="18"/>
  <c r="Y2304" i="18"/>
  <c r="Y2027" i="18"/>
  <c r="Y2470" i="18"/>
  <c r="X2963" i="18"/>
  <c r="X2434" i="18"/>
  <c r="Y2276" i="18"/>
  <c r="X2276" i="18"/>
  <c r="X2263" i="18"/>
  <c r="X2247" i="18"/>
  <c r="Y2247" i="18"/>
  <c r="X2160" i="18"/>
  <c r="X2477" i="18"/>
  <c r="X1636" i="18"/>
  <c r="Y2562" i="18"/>
  <c r="Y2329" i="18"/>
  <c r="Y2323" i="18"/>
  <c r="X2302" i="18"/>
  <c r="Y2275" i="18"/>
  <c r="X2275" i="18"/>
  <c r="X1517" i="18"/>
  <c r="X1607" i="18"/>
  <c r="Y1607" i="18"/>
  <c r="X1452" i="18"/>
  <c r="Y1452" i="18"/>
  <c r="Y2250" i="18"/>
  <c r="X2250" i="18"/>
  <c r="Y1726" i="18"/>
  <c r="Y1702" i="18"/>
  <c r="Y1793" i="18"/>
  <c r="X1793" i="18"/>
  <c r="X1481" i="18"/>
  <c r="Y1481" i="18"/>
  <c r="Y2930" i="18"/>
  <c r="X2930" i="18"/>
  <c r="Y2761" i="18"/>
  <c r="Y661" i="18"/>
  <c r="X422" i="18"/>
  <c r="Y358" i="18"/>
  <c r="X364" i="18"/>
  <c r="Y402" i="18"/>
  <c r="X373" i="18"/>
  <c r="Y556" i="18"/>
  <c r="Y611" i="18"/>
  <c r="Y946" i="18"/>
  <c r="X977" i="18"/>
  <c r="X798" i="18"/>
  <c r="Y796" i="18"/>
  <c r="X934" i="18"/>
  <c r="X1234" i="18"/>
  <c r="Y1192" i="18"/>
  <c r="Y1199" i="18"/>
  <c r="X1028" i="18"/>
  <c r="Y1289" i="18"/>
  <c r="X1082" i="18"/>
  <c r="X1613" i="18"/>
  <c r="Y1587" i="18"/>
  <c r="X1563" i="18"/>
  <c r="X1479" i="18"/>
  <c r="X1973" i="18"/>
  <c r="X1898" i="18"/>
  <c r="X1710" i="18"/>
  <c r="Y2283" i="18"/>
  <c r="X2266" i="18"/>
  <c r="X2304" i="18"/>
  <c r="X2195" i="18"/>
  <c r="Y2254" i="18"/>
  <c r="Y2047" i="18"/>
  <c r="Y2581" i="18"/>
  <c r="X2443" i="18"/>
  <c r="X2531" i="18"/>
  <c r="X2761" i="18"/>
  <c r="X2474" i="18"/>
  <c r="Y2474" i="18"/>
  <c r="Y2390" i="18"/>
  <c r="Y2364" i="18"/>
  <c r="Y2358" i="18"/>
  <c r="X2326" i="18"/>
  <c r="Y2326" i="18"/>
  <c r="Y2128" i="18"/>
  <c r="X2093" i="18"/>
  <c r="Y2093" i="18"/>
  <c r="Y2091" i="18"/>
  <c r="Y2069" i="18"/>
  <c r="X2069" i="18"/>
  <c r="X2049" i="18"/>
  <c r="Y2018" i="18"/>
  <c r="X2018" i="18"/>
  <c r="Y1845" i="18"/>
  <c r="Y2291" i="18"/>
  <c r="Y2261" i="18"/>
  <c r="Y2028" i="18"/>
  <c r="X2630" i="18"/>
  <c r="Y2571" i="18"/>
  <c r="X2555" i="18"/>
  <c r="Y2914" i="18"/>
  <c r="Y2892" i="18"/>
  <c r="X2667" i="18"/>
  <c r="X2738" i="18"/>
  <c r="X2713" i="18"/>
  <c r="Y2713" i="18"/>
  <c r="Y2554" i="18"/>
  <c r="X2733" i="18"/>
  <c r="Y2354" i="18"/>
  <c r="Y2024" i="18"/>
  <c r="X2024" i="18"/>
  <c r="Y1990" i="18"/>
  <c r="X1990" i="18"/>
  <c r="X1283" i="18"/>
  <c r="Y810" i="18"/>
  <c r="Y2946" i="18"/>
  <c r="Y2952" i="18"/>
  <c r="X2902" i="18"/>
  <c r="Y2698" i="18"/>
  <c r="Y2427" i="18"/>
  <c r="Y2421" i="18"/>
  <c r="X2421" i="18"/>
  <c r="X2407" i="18"/>
  <c r="Y2413" i="18"/>
  <c r="X2339" i="18"/>
  <c r="Y2339" i="18"/>
  <c r="X2726" i="18"/>
  <c r="Y2726" i="18"/>
  <c r="X2655" i="18"/>
  <c r="X2499" i="18"/>
  <c r="Y2499" i="18"/>
  <c r="Y2458" i="18"/>
  <c r="Y2430" i="18"/>
  <c r="X572" i="18"/>
  <c r="X2514" i="18"/>
  <c r="Y2514" i="18"/>
  <c r="X1783" i="18"/>
  <c r="X2903" i="18"/>
  <c r="X2601" i="18"/>
  <c r="X2593" i="18"/>
  <c r="Y2593" i="18"/>
  <c r="X2585" i="18"/>
  <c r="Y2585" i="18"/>
  <c r="X2261" i="18"/>
  <c r="X2548" i="18"/>
  <c r="X2946" i="18"/>
  <c r="X2698" i="18"/>
  <c r="Y2667" i="18"/>
  <c r="X2966" i="18"/>
  <c r="X1616" i="18"/>
  <c r="X1625" i="18"/>
  <c r="Y1419" i="18"/>
  <c r="Y1596" i="18"/>
  <c r="X1532" i="18"/>
  <c r="X1380" i="18"/>
  <c r="Y1867" i="18"/>
  <c r="Y1983" i="18"/>
  <c r="Y1946" i="18"/>
  <c r="Y1773" i="18"/>
  <c r="Y1722" i="18"/>
  <c r="Y1698" i="18"/>
  <c r="X2574" i="18"/>
  <c r="Y2428" i="18"/>
  <c r="Y2900" i="18"/>
  <c r="X2665" i="18"/>
  <c r="Y2971" i="18"/>
  <c r="Y2874" i="18"/>
  <c r="X2874" i="18"/>
  <c r="Y2842" i="18"/>
  <c r="Y2810" i="18"/>
  <c r="X2810" i="18"/>
  <c r="Y2965" i="18"/>
  <c r="Y2918" i="18"/>
  <c r="X2918" i="18"/>
  <c r="Y2790" i="18"/>
  <c r="X2765" i="18"/>
  <c r="Y2765" i="18"/>
  <c r="Y2734" i="18"/>
  <c r="X2734" i="18"/>
  <c r="Y2706" i="18"/>
  <c r="X2706" i="18"/>
  <c r="Y2669" i="18"/>
  <c r="X2780" i="18"/>
  <c r="X2627" i="18"/>
  <c r="Y2627" i="18"/>
  <c r="Y2300" i="18"/>
  <c r="X2300" i="18"/>
  <c r="X2265" i="18"/>
  <c r="Y2249" i="18"/>
  <c r="X2249" i="18"/>
  <c r="X2146" i="18"/>
  <c r="Y2191" i="18"/>
  <c r="Y2114" i="18"/>
  <c r="X1994" i="18"/>
  <c r="Y1953" i="18"/>
  <c r="X1953" i="18"/>
  <c r="X1913" i="18"/>
  <c r="Y1913" i="18"/>
  <c r="Y1868" i="18"/>
  <c r="Y1817" i="18"/>
  <c r="X1753" i="18"/>
  <c r="Y1753" i="18"/>
  <c r="Y1628" i="18"/>
  <c r="X1135" i="18"/>
  <c r="X1073" i="18"/>
  <c r="Y1027" i="18"/>
  <c r="Y1021" i="18"/>
  <c r="Y782" i="18"/>
  <c r="X2961" i="18"/>
  <c r="Y2961" i="18"/>
  <c r="Y2785" i="18"/>
  <c r="Y2791" i="18"/>
  <c r="X2527" i="18"/>
  <c r="Y2527" i="18"/>
  <c r="X2395" i="18"/>
  <c r="Y2395" i="18"/>
  <c r="Y2243" i="18"/>
  <c r="X2243" i="18"/>
  <c r="Y2757" i="18"/>
  <c r="X2757" i="18"/>
  <c r="Y2286" i="18"/>
  <c r="X2220" i="18"/>
  <c r="Y2220" i="18"/>
  <c r="X2188" i="18"/>
  <c r="Y2188" i="18"/>
  <c r="X2139" i="18"/>
  <c r="Y2139" i="18"/>
  <c r="X1971" i="18"/>
  <c r="Y1572" i="18"/>
  <c r="X2151" i="18"/>
  <c r="Y2151" i="18"/>
  <c r="X2014" i="18"/>
  <c r="X1557" i="18"/>
  <c r="X1490" i="18"/>
  <c r="Y1496" i="18"/>
  <c r="Y1961" i="18"/>
  <c r="X1730" i="18"/>
  <c r="X1714" i="18"/>
  <c r="X1674" i="18"/>
  <c r="X1658" i="18"/>
  <c r="Y1592" i="18"/>
  <c r="Y1411" i="18"/>
  <c r="X1332" i="18"/>
  <c r="Y1332" i="18"/>
  <c r="X1140" i="18"/>
  <c r="X1432" i="18"/>
  <c r="Y2958" i="18"/>
  <c r="X2958" i="18"/>
  <c r="Y2642" i="18"/>
  <c r="X2642" i="18"/>
  <c r="X2590" i="18"/>
  <c r="X2567" i="18"/>
  <c r="X2403" i="18"/>
  <c r="Y2403" i="18"/>
  <c r="Y2040" i="18"/>
  <c r="X2040" i="18"/>
  <c r="X2849" i="18"/>
  <c r="Y2849" i="18"/>
  <c r="X2526" i="18"/>
  <c r="Y2532" i="18"/>
  <c r="Y2262" i="18"/>
  <c r="X2262" i="18"/>
  <c r="Y1911" i="18"/>
  <c r="X2649" i="18"/>
  <c r="Y2454" i="18"/>
  <c r="Y2287" i="18"/>
  <c r="Y2135" i="18"/>
  <c r="X1831" i="18"/>
  <c r="Y2271" i="18"/>
  <c r="X2271" i="18"/>
  <c r="Y1996" i="18"/>
  <c r="X1996" i="18"/>
  <c r="X577" i="18"/>
  <c r="X551" i="18"/>
  <c r="Y438" i="18"/>
  <c r="Y776" i="18"/>
  <c r="X874" i="18"/>
  <c r="X692" i="18"/>
  <c r="Y1275" i="18"/>
  <c r="Y1246" i="18"/>
  <c r="Y1128" i="18"/>
  <c r="Y1146" i="18"/>
  <c r="X1170" i="18"/>
  <c r="Y1060" i="18"/>
  <c r="Y1001" i="18"/>
  <c r="Y1313" i="18"/>
  <c r="Y1186" i="18"/>
  <c r="X1091" i="18"/>
  <c r="Y1151" i="18"/>
  <c r="X1327" i="18"/>
  <c r="Y1311" i="18"/>
  <c r="X1648" i="18"/>
  <c r="Y1625" i="18"/>
  <c r="Y1615" i="18"/>
  <c r="Y1549" i="18"/>
  <c r="Y1593" i="18"/>
  <c r="Y1654" i="18"/>
  <c r="X1646" i="18"/>
  <c r="Y1532" i="18"/>
  <c r="X1402" i="18"/>
  <c r="Y1837" i="18"/>
  <c r="X1706" i="18"/>
  <c r="X1690" i="18"/>
  <c r="Y1666" i="18"/>
  <c r="Y1664" i="18"/>
  <c r="Y1674" i="18"/>
  <c r="X2280" i="18"/>
  <c r="Y2590" i="18"/>
  <c r="Y2924" i="18"/>
  <c r="Y2780" i="18"/>
  <c r="X2790" i="18"/>
  <c r="Y2746" i="18"/>
  <c r="X2746" i="18"/>
  <c r="Y2694" i="18"/>
  <c r="Y2700" i="18"/>
  <c r="X2661" i="18"/>
  <c r="X2631" i="18"/>
  <c r="Y2631" i="18"/>
  <c r="Y2565" i="18"/>
  <c r="Y2538" i="18"/>
  <c r="X2538" i="18"/>
  <c r="X2702" i="18"/>
  <c r="Y2702" i="18"/>
  <c r="Y2665" i="18"/>
  <c r="X2659" i="18"/>
  <c r="Y2298" i="18"/>
  <c r="Y1998" i="18"/>
  <c r="X2061" i="18"/>
  <c r="Y2061" i="18"/>
  <c r="Y1801" i="18"/>
  <c r="Y1398" i="18"/>
  <c r="Y1392" i="18"/>
  <c r="Y1360" i="18"/>
  <c r="X1290" i="18"/>
  <c r="Y1176" i="18"/>
  <c r="X1176" i="18"/>
  <c r="X2007" i="18"/>
  <c r="X1925" i="18"/>
  <c r="Y1878" i="18"/>
  <c r="X1878" i="18"/>
  <c r="X1682" i="18"/>
  <c r="Y1682" i="18"/>
  <c r="Y1875" i="18"/>
  <c r="Y1503" i="18"/>
  <c r="X1088" i="18"/>
  <c r="Y1088" i="18"/>
  <c r="Y1917" i="18"/>
  <c r="Y1923" i="18"/>
  <c r="X1917" i="18"/>
  <c r="Y1404" i="18"/>
  <c r="X1404" i="18"/>
  <c r="X2942" i="18"/>
  <c r="Y2942" i="18"/>
  <c r="X2912" i="18"/>
  <c r="Y2912" i="18"/>
  <c r="Y2745" i="18"/>
  <c r="X2598" i="18"/>
  <c r="X2582" i="18"/>
  <c r="Y2588" i="18"/>
  <c r="Y2582" i="18"/>
  <c r="X2544" i="18"/>
  <c r="Y2544" i="18"/>
  <c r="Y2419" i="18"/>
  <c r="X2419" i="18"/>
  <c r="Y1972" i="18"/>
  <c r="X2784" i="18"/>
  <c r="Y2685" i="18"/>
  <c r="X2685" i="18"/>
  <c r="Y2486" i="18"/>
  <c r="X2486" i="18"/>
  <c r="X2228" i="18"/>
  <c r="X2140" i="18"/>
  <c r="X1803" i="18"/>
  <c r="Y1747" i="18"/>
  <c r="Y2485" i="18"/>
  <c r="X2485" i="18"/>
  <c r="Y2434" i="18"/>
  <c r="X2251" i="18"/>
  <c r="Y2212" i="18"/>
  <c r="X2212" i="18"/>
  <c r="X1781" i="18"/>
  <c r="Y1781" i="18"/>
  <c r="X1200" i="18"/>
  <c r="Y2829" i="18"/>
  <c r="X2829" i="18"/>
  <c r="Y2530" i="18"/>
  <c r="X660" i="18"/>
  <c r="Y636" i="18"/>
  <c r="Y669" i="18"/>
  <c r="X449" i="18"/>
  <c r="X627" i="18"/>
  <c r="X595" i="18"/>
  <c r="Y470" i="18"/>
  <c r="Y406" i="18"/>
  <c r="Y374" i="18"/>
  <c r="Y342" i="18"/>
  <c r="Y954" i="18"/>
  <c r="Y960" i="18"/>
  <c r="Y996" i="18"/>
  <c r="Y978" i="18"/>
  <c r="X865" i="18"/>
  <c r="Y660" i="18"/>
  <c r="X533" i="18"/>
  <c r="Y577" i="18"/>
  <c r="Y535" i="18"/>
  <c r="X359" i="18"/>
  <c r="Y962" i="18"/>
  <c r="Y980" i="18"/>
  <c r="Y932" i="18"/>
  <c r="Y865" i="18"/>
  <c r="X738" i="18"/>
  <c r="X734" i="18"/>
  <c r="X676" i="18"/>
  <c r="X1302" i="18"/>
  <c r="X1275" i="18"/>
  <c r="Y1277" i="18"/>
  <c r="Y1200" i="18"/>
  <c r="Y1135" i="18"/>
  <c r="Y1159" i="18"/>
  <c r="Y1073" i="18"/>
  <c r="X1001" i="18"/>
  <c r="X1098" i="18"/>
  <c r="Y1152" i="18"/>
  <c r="Y1114" i="18"/>
  <c r="Y1091" i="18"/>
  <c r="X1311" i="18"/>
  <c r="Y1071" i="18"/>
  <c r="Y1653" i="18"/>
  <c r="X1592" i="18"/>
  <c r="X1564" i="18"/>
  <c r="Y1617" i="18"/>
  <c r="X1558" i="18"/>
  <c r="Y1471" i="18"/>
  <c r="X1379" i="18"/>
  <c r="Y1343" i="18"/>
  <c r="X1467" i="18"/>
  <c r="Y1413" i="18"/>
  <c r="Y1356" i="18"/>
  <c r="Y1350" i="18"/>
  <c r="X1350" i="18"/>
  <c r="Y1490" i="18"/>
  <c r="Y1416" i="18"/>
  <c r="X1368" i="18"/>
  <c r="Y1372" i="18"/>
  <c r="X1906" i="18"/>
  <c r="X1961" i="18"/>
  <c r="X1837" i="18"/>
  <c r="Y1831" i="18"/>
  <c r="X1890" i="18"/>
  <c r="X1868" i="18"/>
  <c r="Y1730" i="18"/>
  <c r="Y1714" i="18"/>
  <c r="X1666" i="18"/>
  <c r="X2286" i="18"/>
  <c r="X2281" i="18"/>
  <c r="X2175" i="18"/>
  <c r="Y2228" i="18"/>
  <c r="X2135" i="18"/>
  <c r="X2114" i="18"/>
  <c r="X2608" i="18"/>
  <c r="X2454" i="18"/>
  <c r="X2938" i="18"/>
  <c r="X2694" i="18"/>
  <c r="Y2659" i="18"/>
  <c r="Y2649" i="18"/>
  <c r="X2737" i="18"/>
  <c r="Y2737" i="18"/>
  <c r="Y2446" i="18"/>
  <c r="X2313" i="18"/>
  <c r="Y2943" i="18"/>
  <c r="X1991" i="18"/>
  <c r="X2012" i="18"/>
  <c r="Y2615" i="18"/>
  <c r="Y2560" i="18"/>
  <c r="X2911" i="18"/>
  <c r="X2760" i="18"/>
  <c r="X2730" i="18"/>
  <c r="Y2728" i="18"/>
  <c r="Y2131" i="18"/>
  <c r="X2131" i="18"/>
  <c r="X1785" i="18"/>
  <c r="Y1588" i="18"/>
  <c r="Y1447" i="18"/>
  <c r="Y1441" i="18"/>
  <c r="X1325" i="18"/>
  <c r="X1089" i="18"/>
  <c r="X1053" i="18"/>
  <c r="Y956" i="18"/>
  <c r="X837" i="18"/>
  <c r="Y837" i="18"/>
  <c r="Y1959" i="18"/>
  <c r="X1704" i="18"/>
  <c r="Y1704" i="18"/>
  <c r="Y2010" i="18"/>
  <c r="Y1295" i="18"/>
  <c r="Y553" i="18"/>
  <c r="Y1484" i="18"/>
  <c r="X1484" i="18"/>
  <c r="X1364" i="18"/>
  <c r="Y1370" i="18"/>
  <c r="X894" i="18"/>
  <c r="X1562" i="18"/>
  <c r="X1136" i="18"/>
  <c r="X825" i="18"/>
  <c r="Y831" i="18"/>
  <c r="Y2295" i="18"/>
  <c r="Y2301" i="18"/>
  <c r="X768" i="18"/>
  <c r="Y2957" i="18"/>
  <c r="X2158" i="18"/>
  <c r="Y2158" i="18"/>
  <c r="Y2154" i="18"/>
  <c r="X2148" i="18"/>
  <c r="Y2148" i="18"/>
  <c r="X1987" i="18"/>
  <c r="Y1993" i="18"/>
  <c r="Y1987" i="18"/>
  <c r="Y753" i="18"/>
  <c r="X753" i="18"/>
  <c r="X420" i="18"/>
  <c r="X2887" i="18"/>
  <c r="Y2887" i="18"/>
  <c r="Y2640" i="18"/>
  <c r="X2596" i="18"/>
  <c r="Y2602" i="18"/>
  <c r="Y2596" i="18"/>
  <c r="X2580" i="18"/>
  <c r="Y2580" i="18"/>
  <c r="X2540" i="18"/>
  <c r="Y2540" i="18"/>
  <c r="Y2167" i="18"/>
  <c r="X2167" i="18"/>
  <c r="X2968" i="18"/>
  <c r="Y2732" i="18"/>
  <c r="X2732" i="18"/>
  <c r="Y2515" i="18"/>
  <c r="X2248" i="18"/>
  <c r="Y2248" i="18"/>
  <c r="Y2134" i="18"/>
  <c r="Y2140" i="18"/>
  <c r="X2134" i="18"/>
  <c r="Y2674" i="18"/>
  <c r="X2674" i="18"/>
  <c r="Y2647" i="18"/>
  <c r="X2647" i="18"/>
  <c r="Y2450" i="18"/>
  <c r="X2450" i="18"/>
  <c r="X2279" i="18"/>
  <c r="Y2208" i="18"/>
  <c r="X1843" i="18"/>
  <c r="X1528" i="18"/>
  <c r="Y1064" i="18"/>
  <c r="X565" i="18"/>
  <c r="X444" i="18"/>
  <c r="X1164" i="18"/>
  <c r="Y1164" i="18"/>
  <c r="X352" i="18"/>
  <c r="Y352" i="18"/>
  <c r="Y774" i="18"/>
  <c r="X774" i="18"/>
  <c r="X2104" i="18"/>
  <c r="Y1992" i="18"/>
  <c r="X1992" i="18"/>
  <c r="X1779" i="18"/>
  <c r="X1458" i="18"/>
  <c r="Y1458" i="18"/>
  <c r="Y1438" i="18"/>
  <c r="X1198" i="18"/>
  <c r="Y1198" i="18"/>
  <c r="Y664" i="18"/>
  <c r="X634" i="18"/>
  <c r="X598" i="18"/>
  <c r="X587" i="18"/>
  <c r="X949" i="18"/>
  <c r="Y825" i="18"/>
  <c r="Y1120" i="18"/>
  <c r="Y1591" i="18"/>
  <c r="X1545" i="18"/>
  <c r="X1902" i="18"/>
  <c r="X2295" i="18"/>
  <c r="X2010" i="18"/>
  <c r="Y2546" i="18"/>
  <c r="X2926" i="18"/>
  <c r="X2588" i="18"/>
  <c r="X2382" i="18"/>
  <c r="Y2318" i="18"/>
  <c r="X2318" i="18"/>
  <c r="Y2165" i="18"/>
  <c r="X2165" i="18"/>
  <c r="Y2280" i="18"/>
  <c r="X2274" i="18"/>
  <c r="Y2274" i="18"/>
  <c r="Y2242" i="18"/>
  <c r="X2242" i="18"/>
  <c r="X1601" i="18"/>
  <c r="X1466" i="18"/>
  <c r="Y2207" i="18"/>
  <c r="Y1839" i="18"/>
  <c r="X1633" i="18"/>
  <c r="Y1633" i="18"/>
  <c r="Y1502" i="18"/>
  <c r="X1502" i="18"/>
  <c r="X1344" i="18"/>
  <c r="X1315" i="18"/>
  <c r="X1172" i="18"/>
  <c r="Y1172" i="18"/>
  <c r="X1139" i="18"/>
  <c r="X976" i="18"/>
  <c r="Y976" i="18"/>
  <c r="X746" i="18"/>
  <c r="X714" i="18"/>
  <c r="Y1997" i="18"/>
  <c r="X1805" i="18"/>
  <c r="Y1811" i="18"/>
  <c r="X1734" i="18"/>
  <c r="Y1692" i="18"/>
  <c r="Y1686" i="18"/>
  <c r="Y2005" i="18"/>
  <c r="X2005" i="18"/>
  <c r="X1632" i="18"/>
  <c r="X1412" i="18"/>
  <c r="X1340" i="18"/>
  <c r="Y1340" i="18"/>
  <c r="Y1144" i="18"/>
  <c r="X847" i="18"/>
  <c r="X2272" i="18"/>
  <c r="Y2272" i="18"/>
  <c r="Y801" i="18"/>
  <c r="X801" i="18"/>
  <c r="Y441" i="18"/>
  <c r="Y351" i="18"/>
  <c r="X351" i="18"/>
  <c r="X2837" i="18"/>
  <c r="Y2003" i="18"/>
  <c r="X2003" i="18"/>
  <c r="Y554" i="18"/>
  <c r="X554" i="18"/>
  <c r="X2948" i="18"/>
  <c r="Y2948" i="18"/>
  <c r="X2904" i="18"/>
  <c r="Y2904" i="18"/>
  <c r="Y2910" i="18"/>
  <c r="X2718" i="18"/>
  <c r="X2602" i="18"/>
  <c r="X2586" i="18"/>
  <c r="X2578" i="18"/>
  <c r="Y2578" i="18"/>
  <c r="Y2507" i="18"/>
  <c r="X2507" i="18"/>
  <c r="X2343" i="18"/>
  <c r="X2028" i="18"/>
  <c r="Y2788" i="18"/>
  <c r="X2788" i="18"/>
  <c r="X2728" i="18"/>
  <c r="X2511" i="18"/>
  <c r="X2351" i="18"/>
  <c r="Y2351" i="18"/>
  <c r="Y2357" i="18"/>
  <c r="Y2252" i="18"/>
  <c r="Y2246" i="18"/>
  <c r="X2132" i="18"/>
  <c r="Y2132" i="18"/>
  <c r="Y1751" i="18"/>
  <c r="X2672" i="18"/>
  <c r="X2501" i="18"/>
  <c r="Y2501" i="18"/>
  <c r="Y2293" i="18"/>
  <c r="X2293" i="18"/>
  <c r="Y2235" i="18"/>
  <c r="Y2161" i="18"/>
  <c r="Y2155" i="18"/>
  <c r="Y1841" i="18"/>
  <c r="Y1584" i="18"/>
  <c r="Y1523" i="18"/>
  <c r="X1523" i="18"/>
  <c r="X1180" i="18"/>
  <c r="Y1180" i="18"/>
  <c r="X990" i="18"/>
  <c r="Y380" i="18"/>
  <c r="Y1612" i="18"/>
  <c r="X1612" i="18"/>
  <c r="Y1269" i="18"/>
  <c r="X1130" i="18"/>
  <c r="Y1130" i="18"/>
  <c r="Y385" i="18"/>
  <c r="Y344" i="18"/>
  <c r="X1829" i="18"/>
  <c r="X895" i="18"/>
  <c r="Y901" i="18"/>
  <c r="X557" i="18"/>
  <c r="X493" i="18"/>
  <c r="Y393" i="18"/>
  <c r="Y2894" i="18"/>
  <c r="X2894" i="18"/>
  <c r="Y2014" i="18"/>
  <c r="Y2008" i="18"/>
  <c r="X2008" i="18"/>
  <c r="X1795" i="18"/>
  <c r="Y1795" i="18"/>
  <c r="Y1777" i="18"/>
  <c r="Y1412" i="18"/>
  <c r="X1204" i="18"/>
  <c r="Y1204" i="18"/>
  <c r="Y670" i="18"/>
  <c r="X610" i="18"/>
  <c r="Y604" i="18"/>
  <c r="Y665" i="18"/>
  <c r="X625" i="18"/>
  <c r="Y583" i="18"/>
  <c r="X560" i="18"/>
  <c r="Y508" i="18"/>
  <c r="X445" i="18"/>
  <c r="X409" i="18"/>
  <c r="X524" i="18"/>
  <c r="Y405" i="18"/>
  <c r="Y587" i="18"/>
  <c r="X542" i="18"/>
  <c r="Y530" i="18"/>
  <c r="X512" i="18"/>
  <c r="Y444" i="18"/>
  <c r="X466" i="18"/>
  <c r="X956" i="18"/>
  <c r="X984" i="18"/>
  <c r="Y934" i="18"/>
  <c r="Y746" i="18"/>
  <c r="X988" i="18"/>
  <c r="Y1306" i="18"/>
  <c r="X1279" i="18"/>
  <c r="Y1247" i="18"/>
  <c r="X1064" i="18"/>
  <c r="Y1044" i="18"/>
  <c r="Y1067" i="18"/>
  <c r="X1040" i="18"/>
  <c r="Y1082" i="18"/>
  <c r="Y1315" i="18"/>
  <c r="X1037" i="18"/>
  <c r="X1645" i="18"/>
  <c r="X1591" i="18"/>
  <c r="X1559" i="18"/>
  <c r="X1438" i="18"/>
  <c r="X1406" i="18"/>
  <c r="X1588" i="18"/>
  <c r="X1456" i="18"/>
  <c r="X1498" i="18"/>
  <c r="X1982" i="18"/>
  <c r="X1948" i="18"/>
  <c r="Y1928" i="18"/>
  <c r="Y1843" i="18"/>
  <c r="Y1799" i="18"/>
  <c r="X1777" i="18"/>
  <c r="X1751" i="18"/>
  <c r="X1702" i="18"/>
  <c r="Y1688" i="18"/>
  <c r="X1712" i="18"/>
  <c r="X1686" i="18"/>
  <c r="Y1680" i="18"/>
  <c r="X2290" i="18"/>
  <c r="Y2311" i="18"/>
  <c r="Y2279" i="18"/>
  <c r="Y2120" i="18"/>
  <c r="X2155" i="18"/>
  <c r="X2483" i="18"/>
  <c r="Y2411" i="18"/>
  <c r="Y2718" i="18"/>
  <c r="Y2564" i="18"/>
  <c r="X2564" i="18"/>
  <c r="Y2459" i="18"/>
  <c r="X2406" i="18"/>
  <c r="Y2374" i="18"/>
  <c r="X2374" i="18"/>
  <c r="Y2342" i="18"/>
  <c r="X2342" i="18"/>
  <c r="Y2314" i="18"/>
  <c r="X2314" i="18"/>
  <c r="X2145" i="18"/>
  <c r="Y2145" i="18"/>
  <c r="X2121" i="18"/>
  <c r="Y2121" i="18"/>
  <c r="Y2097" i="18"/>
  <c r="Y2089" i="18"/>
  <c r="X2089" i="18"/>
  <c r="Y2081" i="18"/>
  <c r="X2073" i="18"/>
  <c r="Y2073" i="18"/>
  <c r="X2062" i="18"/>
  <c r="Y2062" i="18"/>
  <c r="Y2033" i="18"/>
  <c r="X2033" i="18"/>
  <c r="Y2307" i="18"/>
  <c r="X2307" i="18"/>
  <c r="X2268" i="18"/>
  <c r="X2252" i="18"/>
  <c r="X2161" i="18"/>
  <c r="X2223" i="18"/>
  <c r="X2059" i="18"/>
  <c r="Y2059" i="18"/>
  <c r="Y2004" i="18"/>
  <c r="X2004" i="18"/>
  <c r="X1849" i="18"/>
  <c r="Y1849" i="18"/>
  <c r="Y1638" i="18"/>
  <c r="X1638" i="18"/>
  <c r="Y1540" i="18"/>
  <c r="X1352" i="18"/>
  <c r="Y1352" i="18"/>
  <c r="X1317" i="18"/>
  <c r="Y1317" i="18"/>
  <c r="X1281" i="18"/>
  <c r="Y1209" i="18"/>
  <c r="Y876" i="18"/>
  <c r="X876" i="18"/>
  <c r="Y805" i="18"/>
  <c r="Y696" i="18"/>
  <c r="Y2002" i="18"/>
  <c r="X2002" i="18"/>
  <c r="Y1821" i="18"/>
  <c r="Y1757" i="18"/>
  <c r="Y1728" i="18"/>
  <c r="X1696" i="18"/>
  <c r="Y1672" i="18"/>
  <c r="X1664" i="18"/>
  <c r="X1974" i="18"/>
  <c r="Y1761" i="18"/>
  <c r="Y1355" i="18"/>
  <c r="X1355" i="18"/>
  <c r="X1455" i="18"/>
  <c r="Y1461" i="18"/>
  <c r="Y1455" i="18"/>
  <c r="X1408" i="18"/>
  <c r="X1330" i="18"/>
  <c r="X1146" i="18"/>
  <c r="X948" i="18"/>
  <c r="Y948" i="18"/>
  <c r="X1342" i="18"/>
  <c r="Y957" i="18"/>
  <c r="Y951" i="18"/>
  <c r="X670" i="18"/>
  <c r="Y353" i="18"/>
  <c r="X353" i="18"/>
  <c r="Y2941" i="18"/>
  <c r="X2941" i="18"/>
  <c r="Y2011" i="18"/>
  <c r="X484" i="18"/>
  <c r="Y343" i="18"/>
  <c r="X343" i="18"/>
  <c r="X2952" i="18"/>
  <c r="X2906" i="18"/>
  <c r="Y2720" i="18"/>
  <c r="X2720" i="18"/>
  <c r="Y2604" i="18"/>
  <c r="X2604" i="18"/>
  <c r="X2556" i="18"/>
  <c r="X2417" i="18"/>
  <c r="X2347" i="18"/>
  <c r="Y2347" i="18"/>
  <c r="Y2032" i="18"/>
  <c r="Y2819" i="18"/>
  <c r="Y2813" i="18"/>
  <c r="X2813" i="18"/>
  <c r="Y2679" i="18"/>
  <c r="Y2673" i="18"/>
  <c r="X2367" i="18"/>
  <c r="Y2367" i="18"/>
  <c r="X2224" i="18"/>
  <c r="X1903" i="18"/>
  <c r="Y1909" i="18"/>
  <c r="X1745" i="18"/>
  <c r="Y1745" i="18"/>
  <c r="X2663" i="18"/>
  <c r="Y2663" i="18"/>
  <c r="X2335" i="18"/>
  <c r="Y2335" i="18"/>
  <c r="X2127" i="18"/>
  <c r="Y1589" i="18"/>
  <c r="X1589" i="18"/>
  <c r="X1184" i="18"/>
  <c r="Y1184" i="18"/>
  <c r="X992" i="18"/>
  <c r="Y357" i="18"/>
  <c r="Y1271" i="18"/>
  <c r="X1271" i="18"/>
  <c r="X756" i="18"/>
  <c r="Y756" i="18"/>
  <c r="X772" i="18"/>
  <c r="Y772" i="18"/>
  <c r="X1943" i="18"/>
  <c r="Y1279" i="18"/>
  <c r="X1273" i="18"/>
  <c r="X436" i="18"/>
  <c r="Y418" i="18"/>
  <c r="Y2016" i="18"/>
  <c r="X1797" i="18"/>
  <c r="Y1212" i="18"/>
  <c r="Y612" i="18"/>
  <c r="Y524" i="18"/>
  <c r="Y886" i="18"/>
  <c r="X1174" i="18"/>
  <c r="Y1053" i="18"/>
  <c r="Y1594" i="18"/>
  <c r="Y1528" i="18"/>
  <c r="Y1785" i="18"/>
  <c r="Y1734" i="18"/>
  <c r="Y1712" i="18"/>
  <c r="X2208" i="18"/>
  <c r="X2032" i="18"/>
  <c r="X2673" i="18"/>
  <c r="X2350" i="18"/>
  <c r="X2038" i="18"/>
  <c r="Y2258" i="18"/>
  <c r="X2183" i="18"/>
  <c r="Y2189" i="18"/>
  <c r="Y1980" i="18"/>
  <c r="X1980" i="18"/>
  <c r="X1637" i="18"/>
  <c r="X1500" i="18"/>
  <c r="Y1500" i="18"/>
  <c r="X1424" i="18"/>
  <c r="X1573" i="18"/>
  <c r="X1376" i="18"/>
  <c r="Y1376" i="18"/>
  <c r="X1323" i="18"/>
  <c r="Y1323" i="18"/>
  <c r="X944" i="18"/>
  <c r="X914" i="18"/>
  <c r="X818" i="18"/>
  <c r="Y677" i="18"/>
  <c r="Y671" i="18"/>
  <c r="X1739" i="18"/>
  <c r="X1694" i="18"/>
  <c r="Y1694" i="18"/>
  <c r="X1662" i="18"/>
  <c r="Y1251" i="18"/>
  <c r="Y1245" i="18"/>
  <c r="Y1118" i="18"/>
  <c r="Y1034" i="18"/>
  <c r="Y1028" i="18"/>
  <c r="X458" i="18"/>
  <c r="X2305" i="18"/>
  <c r="Y495" i="18"/>
  <c r="Y489" i="18"/>
  <c r="X396" i="18"/>
  <c r="Y396" i="18"/>
  <c r="X2947" i="18"/>
  <c r="Y2947" i="18"/>
  <c r="Y2156" i="18"/>
  <c r="X2017" i="18"/>
  <c r="Y2017" i="18"/>
  <c r="X2924" i="18"/>
  <c r="Y2624" i="18"/>
  <c r="X2624" i="18"/>
  <c r="Y2630" i="18"/>
  <c r="X2594" i="18"/>
  <c r="Y2594" i="18"/>
  <c r="Y2550" i="18"/>
  <c r="X2110" i="18"/>
  <c r="Y2964" i="18"/>
  <c r="Y2662" i="18"/>
  <c r="X2662" i="18"/>
  <c r="X1847" i="18"/>
  <c r="X2865" i="18"/>
  <c r="X2657" i="18"/>
  <c r="Y2657" i="18"/>
  <c r="X2462" i="18"/>
  <c r="Y2273" i="18"/>
  <c r="X2267" i="18"/>
  <c r="X1190" i="18"/>
  <c r="Y1190" i="18"/>
  <c r="X658" i="18"/>
  <c r="X652" i="18"/>
  <c r="X497" i="18"/>
  <c r="X496" i="18"/>
  <c r="X441" i="18"/>
  <c r="X405" i="18"/>
  <c r="X385" i="18"/>
  <c r="Y484" i="18"/>
  <c r="Y411" i="18"/>
  <c r="Y512" i="18"/>
  <c r="Y557" i="18"/>
  <c r="X553" i="18"/>
  <c r="Y493" i="18"/>
  <c r="X619" i="18"/>
  <c r="X961" i="18"/>
  <c r="X829" i="18"/>
  <c r="Y824" i="18"/>
  <c r="X730" i="18"/>
  <c r="Y714" i="18"/>
  <c r="X698" i="18"/>
  <c r="Y690" i="18"/>
  <c r="Y988" i="18"/>
  <c r="X1295" i="18"/>
  <c r="Y1281" i="18"/>
  <c r="Y1136" i="18"/>
  <c r="X1115" i="18"/>
  <c r="Y1203" i="18"/>
  <c r="X1112" i="18"/>
  <c r="Y1309" i="18"/>
  <c r="X1116" i="18"/>
  <c r="Y1321" i="18"/>
  <c r="Y1632" i="18"/>
  <c r="Y1604" i="18"/>
  <c r="Y1535" i="18"/>
  <c r="Y1543" i="18"/>
  <c r="X1482" i="18"/>
  <c r="X1571" i="18"/>
  <c r="X1396" i="18"/>
  <c r="X1418" i="18"/>
  <c r="Y1498" i="18"/>
  <c r="Y1982" i="18"/>
  <c r="Y1965" i="18"/>
  <c r="Y1903" i="18"/>
  <c r="Y1853" i="18"/>
  <c r="X1841" i="18"/>
  <c r="Y1829" i="18"/>
  <c r="X1799" i="18"/>
  <c r="X1757" i="18"/>
  <c r="X1726" i="18"/>
  <c r="Y1718" i="18"/>
  <c r="X1688" i="18"/>
  <c r="Y1696" i="18"/>
  <c r="X1680" i="18"/>
  <c r="Y1678" i="18"/>
  <c r="Y2267" i="18"/>
  <c r="X2235" i="18"/>
  <c r="Y2236" i="18"/>
  <c r="X2207" i="18"/>
  <c r="Y2133" i="18"/>
  <c r="Y2126" i="18"/>
  <c r="Y2104" i="18"/>
  <c r="X2156" i="18"/>
  <c r="Y2110" i="18"/>
  <c r="Y2102" i="18"/>
  <c r="Y2038" i="18"/>
  <c r="X2067" i="18"/>
  <c r="X2640" i="18"/>
  <c r="X2536" i="18"/>
  <c r="Y2556" i="18"/>
  <c r="X2515" i="18"/>
  <c r="X2957" i="18"/>
  <c r="Y2968" i="18"/>
  <c r="Y2865" i="18"/>
  <c r="Y2798" i="18"/>
  <c r="X2651" i="18"/>
  <c r="X2346" i="18"/>
  <c r="Y2954" i="18"/>
  <c r="X2937" i="18"/>
  <c r="Y2908" i="18"/>
  <c r="X2908" i="18"/>
  <c r="Y2309" i="18"/>
  <c r="Y2257" i="18"/>
  <c r="X2241" i="18"/>
  <c r="X2164" i="18"/>
  <c r="X2138" i="18"/>
  <c r="Y2138" i="18"/>
  <c r="Y2951" i="18"/>
  <c r="Y2690" i="18"/>
  <c r="Y2463" i="18"/>
  <c r="Y2469" i="18"/>
  <c r="X2487" i="18"/>
  <c r="Y2451" i="18"/>
  <c r="Y2366" i="18"/>
  <c r="Y2285" i="18"/>
  <c r="Y2255" i="18"/>
  <c r="Y2239" i="18"/>
  <c r="X2142" i="18"/>
  <c r="Y2895" i="18"/>
  <c r="X2895" i="18"/>
  <c r="X2818" i="18"/>
  <c r="Y2493" i="18"/>
  <c r="Y2466" i="18"/>
  <c r="X2441" i="18"/>
  <c r="X2359" i="18"/>
  <c r="Y2359" i="18"/>
  <c r="X2323" i="18"/>
  <c r="Y2308" i="18"/>
  <c r="Y2302" i="18"/>
  <c r="X2648" i="18"/>
  <c r="Y2648" i="18"/>
  <c r="X2429" i="18"/>
  <c r="Y2253" i="18"/>
  <c r="X2023" i="18"/>
  <c r="X2916" i="18"/>
  <c r="Y2916" i="18"/>
  <c r="Y2778" i="18"/>
  <c r="Y2641" i="18"/>
  <c r="X2557" i="18"/>
  <c r="Y2394" i="18"/>
  <c r="X2173" i="18"/>
  <c r="Y2173" i="18"/>
  <c r="Y2168" i="18"/>
  <c r="X2162" i="18"/>
  <c r="Y2136" i="18"/>
  <c r="X2391" i="18"/>
  <c r="Y2391" i="18"/>
  <c r="Y2269" i="18"/>
  <c r="Y2710" i="18"/>
  <c r="X2710" i="18"/>
  <c r="X2646" i="18"/>
  <c r="X844" i="18"/>
  <c r="Y2526" i="18"/>
  <c r="Y2620" i="18"/>
  <c r="X2637" i="18"/>
  <c r="X2467" i="18"/>
  <c r="Y2382" i="18"/>
  <c r="X2954" i="18"/>
  <c r="Y2697" i="18"/>
  <c r="Y2025" i="18"/>
  <c r="Y2841" i="18"/>
  <c r="X2445" i="18"/>
  <c r="X2387" i="18"/>
  <c r="X2331" i="18"/>
  <c r="X1539" i="18"/>
  <c r="Y1545" i="18"/>
  <c r="Y2504" i="18"/>
  <c r="X2498" i="18"/>
  <c r="X2170" i="18"/>
  <c r="Y1168" i="18"/>
  <c r="X2015" i="18"/>
  <c r="Y2950" i="18"/>
  <c r="X2851" i="18"/>
  <c r="Y2653" i="18"/>
  <c r="X2144" i="18"/>
  <c r="X2001" i="18"/>
  <c r="Y2001" i="18"/>
  <c r="X1123" i="18"/>
  <c r="Y1645" i="18"/>
  <c r="Y1466" i="18"/>
  <c r="Y1424" i="18"/>
  <c r="Y1364" i="18"/>
  <c r="Y1986" i="18"/>
  <c r="Y1948" i="18"/>
  <c r="X1928" i="18"/>
  <c r="X2258" i="18"/>
  <c r="Y2266" i="18"/>
  <c r="X2244" i="18"/>
  <c r="Y2567" i="18"/>
  <c r="X2605" i="18"/>
  <c r="Y2625" i="18"/>
  <c r="Y2435" i="18"/>
  <c r="Y2346" i="18"/>
  <c r="Y2937" i="18"/>
  <c r="X2850" i="18"/>
  <c r="X2742" i="18"/>
  <c r="X2653" i="18"/>
  <c r="Y2083" i="18"/>
  <c r="X2075" i="18"/>
  <c r="X2046" i="18"/>
  <c r="Y1999" i="18"/>
  <c r="Y2967" i="18"/>
  <c r="Y2741" i="18"/>
  <c r="X2677" i="18"/>
  <c r="Y2682" i="18"/>
  <c r="X2166" i="18"/>
  <c r="Y984" i="18"/>
  <c r="X1652" i="18"/>
  <c r="Y1643" i="18"/>
  <c r="Y1569" i="18"/>
  <c r="Y1408" i="18"/>
  <c r="X2278" i="18"/>
  <c r="Y1123" i="18"/>
  <c r="X1604" i="18"/>
  <c r="X1413" i="18"/>
  <c r="Y1929" i="18"/>
  <c r="X1833" i="18"/>
  <c r="Y1815" i="18"/>
  <c r="X2298" i="18"/>
  <c r="X2282" i="18"/>
  <c r="Y2232" i="18"/>
  <c r="X2130" i="18"/>
  <c r="Y2115" i="18"/>
  <c r="Y2105" i="18"/>
  <c r="Y2270" i="18"/>
  <c r="Y2144" i="18"/>
  <c r="Y2046" i="18"/>
  <c r="Y2021" i="18"/>
  <c r="X2091" i="18"/>
  <c r="X2071" i="18"/>
  <c r="Y2035" i="18"/>
  <c r="Y1989" i="18"/>
  <c r="X2025" i="18"/>
  <c r="X2620" i="18"/>
  <c r="Y2605" i="18"/>
  <c r="Y2542" i="18"/>
  <c r="Y2441" i="18"/>
  <c r="Y2410" i="18"/>
  <c r="Y2418" i="18"/>
  <c r="Y2973" i="18"/>
  <c r="Y2932" i="18"/>
  <c r="Y2867" i="18"/>
  <c r="Y2851" i="18"/>
  <c r="X2826" i="18"/>
  <c r="X2697" i="18"/>
  <c r="Y2919" i="18"/>
  <c r="X2919" i="18"/>
  <c r="Y2866" i="18"/>
  <c r="Y2840" i="18"/>
  <c r="X2859" i="18"/>
  <c r="Y2859" i="18"/>
  <c r="Y2762" i="18"/>
  <c r="X2762" i="18"/>
  <c r="X2729" i="18"/>
  <c r="Y2689" i="18"/>
  <c r="Y2678" i="18"/>
  <c r="X2546" i="18"/>
  <c r="Y2415" i="18"/>
  <c r="Y2362" i="18"/>
  <c r="Y2336" i="18"/>
  <c r="X2558" i="18"/>
  <c r="Y2426" i="18"/>
  <c r="Y2398" i="18"/>
  <c r="Y2334" i="18"/>
  <c r="X2126" i="18"/>
  <c r="Y2049" i="18"/>
  <c r="Y2043" i="18"/>
  <c r="Y2009" i="18"/>
  <c r="X1993" i="18"/>
  <c r="Y1539" i="18"/>
  <c r="Y2763" i="18"/>
  <c r="X2433" i="18"/>
  <c r="Y2433" i="18"/>
  <c r="X2259" i="18"/>
  <c r="Y1919" i="18"/>
  <c r="Y2735" i="18"/>
  <c r="X2704" i="18"/>
  <c r="Y2772" i="18"/>
  <c r="Y2879" i="18"/>
  <c r="Y2863" i="18"/>
  <c r="X2847" i="18"/>
  <c r="Y2569" i="18"/>
  <c r="X2569" i="18"/>
  <c r="X2532" i="18"/>
  <c r="Y2516" i="18"/>
  <c r="X2516" i="18"/>
  <c r="X2490" i="18"/>
  <c r="Y2436" i="18"/>
  <c r="X2105" i="18"/>
  <c r="X1608" i="18"/>
  <c r="Y2000" i="18"/>
  <c r="Y1994" i="18"/>
  <c r="Y1196" i="18"/>
  <c r="X924" i="18"/>
  <c r="Y924" i="18"/>
  <c r="Y745" i="18"/>
  <c r="Y729" i="18"/>
  <c r="X713" i="18"/>
  <c r="X685" i="18"/>
  <c r="Y1935" i="18"/>
  <c r="X1935" i="18"/>
  <c r="X1853" i="18"/>
  <c r="X1299" i="18"/>
  <c r="Y1299" i="18"/>
  <c r="Y1477" i="18"/>
  <c r="X1477" i="18"/>
  <c r="X1258" i="18"/>
  <c r="Y1936" i="18"/>
  <c r="Y1509" i="18"/>
  <c r="X1509" i="18"/>
  <c r="Y795" i="18"/>
  <c r="Y731" i="18"/>
  <c r="Y709" i="18"/>
  <c r="X656" i="18"/>
  <c r="Y507" i="18"/>
  <c r="X507" i="18"/>
  <c r="Y2795" i="18"/>
  <c r="X2795" i="18"/>
  <c r="X2875" i="18"/>
  <c r="Y2843" i="18"/>
  <c r="X2843" i="18"/>
  <c r="Y2776" i="18"/>
  <c r="Y2528" i="18"/>
  <c r="X2528" i="18"/>
  <c r="X2154" i="18"/>
  <c r="Y1869" i="18"/>
  <c r="X1869" i="18"/>
  <c r="Y1622" i="18"/>
  <c r="X1447" i="18"/>
  <c r="X1132" i="18"/>
  <c r="X922" i="18"/>
  <c r="Y807" i="18"/>
  <c r="Y701" i="18"/>
  <c r="X1884" i="18"/>
  <c r="Y1884" i="18"/>
  <c r="Y1425" i="18"/>
  <c r="Y1287" i="18"/>
  <c r="X1255" i="18"/>
  <c r="Y1255" i="18"/>
  <c r="X810" i="18"/>
  <c r="Y885" i="18"/>
  <c r="X885" i="18"/>
  <c r="Y791" i="18"/>
  <c r="X791" i="18"/>
  <c r="Y763" i="18"/>
  <c r="Y681" i="18"/>
  <c r="Y543" i="18"/>
  <c r="X523" i="18"/>
  <c r="Y2260" i="18"/>
  <c r="Y2122" i="18"/>
  <c r="X2019" i="18"/>
  <c r="Y2621" i="18"/>
  <c r="X2641" i="18"/>
  <c r="Y2558" i="18"/>
  <c r="Y2487" i="18"/>
  <c r="X2398" i="18"/>
  <c r="X2330" i="18"/>
  <c r="X2366" i="18"/>
  <c r="X2949" i="18"/>
  <c r="X2935" i="18"/>
  <c r="X2776" i="18"/>
  <c r="X2834" i="18"/>
  <c r="Y2784" i="18"/>
  <c r="X2678" i="18"/>
  <c r="X2682" i="18"/>
  <c r="X2656" i="18"/>
  <c r="X2955" i="18"/>
  <c r="Y2651" i="18"/>
  <c r="Y2645" i="18"/>
  <c r="Y2729" i="18"/>
  <c r="Y2704" i="18"/>
  <c r="X2664" i="18"/>
  <c r="X2645" i="18"/>
  <c r="X2758" i="18"/>
  <c r="Y2871" i="18"/>
  <c r="X2855" i="18"/>
  <c r="Y2524" i="18"/>
  <c r="X2524" i="18"/>
  <c r="Y2508" i="18"/>
  <c r="X2508" i="18"/>
  <c r="Y2482" i="18"/>
  <c r="X2301" i="18"/>
  <c r="Y2520" i="18"/>
  <c r="X2520" i="18"/>
  <c r="Y2448" i="18"/>
  <c r="Y2422" i="18"/>
  <c r="X2422" i="18"/>
  <c r="X2273" i="18"/>
  <c r="X1861" i="18"/>
  <c r="Y1449" i="18"/>
  <c r="X1449" i="18"/>
  <c r="X1441" i="18"/>
  <c r="Y1409" i="18"/>
  <c r="X1148" i="18"/>
  <c r="Y1148" i="18"/>
  <c r="X928" i="18"/>
  <c r="Y928" i="18"/>
  <c r="X920" i="18"/>
  <c r="Y920" i="18"/>
  <c r="Y737" i="18"/>
  <c r="Y721" i="18"/>
  <c r="Y679" i="18"/>
  <c r="X1825" i="18"/>
  <c r="X1167" i="18"/>
  <c r="Y1132" i="18"/>
  <c r="Y759" i="18"/>
  <c r="X759" i="18"/>
  <c r="X741" i="18"/>
  <c r="Y555" i="18"/>
  <c r="X555" i="18"/>
  <c r="Y2019" i="18"/>
  <c r="Y2935" i="18"/>
  <c r="X2866" i="18"/>
  <c r="Y2807" i="18"/>
  <c r="X2778" i="18"/>
  <c r="Y2656" i="18"/>
  <c r="X2896" i="18"/>
  <c r="X2819" i="18"/>
  <c r="X2920" i="18"/>
  <c r="Y2920" i="18"/>
  <c r="Y2792" i="18"/>
  <c r="Y2783" i="18"/>
  <c r="X2783" i="18"/>
  <c r="Y2561" i="18"/>
  <c r="X2561" i="18"/>
  <c r="X2534" i="18"/>
  <c r="Y2534" i="18"/>
  <c r="Y2512" i="18"/>
  <c r="X2512" i="18"/>
  <c r="Y2518" i="18"/>
  <c r="Y2438" i="18"/>
  <c r="X2438" i="18"/>
  <c r="Y1900" i="18"/>
  <c r="X1900" i="18"/>
  <c r="X1888" i="18"/>
  <c r="X1769" i="18"/>
  <c r="X1405" i="18"/>
  <c r="X926" i="18"/>
  <c r="Y926" i="18"/>
  <c r="Y695" i="18"/>
  <c r="X671" i="18"/>
  <c r="Y1038" i="18"/>
  <c r="X1038" i="18"/>
  <c r="Y335" i="18"/>
  <c r="X335" i="18"/>
  <c r="W335" i="18"/>
  <c r="W337" i="18"/>
  <c r="Y337" i="18"/>
  <c r="X337" i="18"/>
  <c r="Y2921" i="18"/>
  <c r="X2921" i="18"/>
  <c r="X2889" i="18"/>
  <c r="Y2886" i="18"/>
  <c r="X2886" i="18"/>
  <c r="Y2739" i="18"/>
  <c r="X2739" i="18"/>
  <c r="X2707" i="18"/>
  <c r="X2675" i="18"/>
  <c r="Y2675" i="18"/>
  <c r="X2862" i="18"/>
  <c r="Y2868" i="18"/>
  <c r="Y2862" i="18"/>
  <c r="X2917" i="18"/>
  <c r="Y2884" i="18"/>
  <c r="X2884" i="18"/>
  <c r="Y2751" i="18"/>
  <c r="X2751" i="18"/>
  <c r="Y2719" i="18"/>
  <c r="X2719" i="18"/>
  <c r="Y2693" i="18"/>
  <c r="X2687" i="18"/>
  <c r="Y2687" i="18"/>
  <c r="Y2931" i="18"/>
  <c r="Y2925" i="18"/>
  <c r="X2925" i="18"/>
  <c r="Y2909" i="18"/>
  <c r="X2909" i="18"/>
  <c r="Y2893" i="18"/>
  <c r="X2893" i="18"/>
  <c r="Y2888" i="18"/>
  <c r="X2888" i="18"/>
  <c r="Y2880" i="18"/>
  <c r="X2880" i="18"/>
  <c r="X2907" i="18"/>
  <c r="Y2907" i="18"/>
  <c r="X2830" i="18"/>
  <c r="Y2830" i="18"/>
  <c r="Y2759" i="18"/>
  <c r="X2759" i="18"/>
  <c r="Y2749" i="18"/>
  <c r="Y2743" i="18"/>
  <c r="X2743" i="18"/>
  <c r="Y2727" i="18"/>
  <c r="X2727" i="18"/>
  <c r="Y2711" i="18"/>
  <c r="X2711" i="18"/>
  <c r="X2695" i="18"/>
  <c r="Y2695" i="18"/>
  <c r="X2679" i="18"/>
  <c r="X2870" i="18"/>
  <c r="Y2870" i="18"/>
  <c r="Y2777" i="18"/>
  <c r="X2771" i="18"/>
  <c r="Y2771" i="18"/>
  <c r="Y2905" i="18"/>
  <c r="X2905" i="18"/>
  <c r="X2899" i="18"/>
  <c r="Y2899" i="18"/>
  <c r="Y2755" i="18"/>
  <c r="X2755" i="18"/>
  <c r="Y2723" i="18"/>
  <c r="X2723" i="18"/>
  <c r="X2691" i="18"/>
  <c r="Y2691" i="18"/>
  <c r="Y2901" i="18"/>
  <c r="X2901" i="18"/>
  <c r="X2923" i="18"/>
  <c r="Y2923" i="18"/>
  <c r="X2891" i="18"/>
  <c r="Y2891" i="18"/>
  <c r="X2822" i="18"/>
  <c r="Y2822" i="18"/>
  <c r="Y2767" i="18"/>
  <c r="X2767" i="18"/>
  <c r="X2735" i="18"/>
  <c r="Y2703" i="18"/>
  <c r="X2703" i="18"/>
  <c r="X2671" i="18"/>
  <c r="Y2671" i="18"/>
  <c r="X2854" i="18"/>
  <c r="Y2913" i="18"/>
  <c r="X2913" i="18"/>
  <c r="Y2897" i="18"/>
  <c r="Y2903" i="18"/>
  <c r="X2897" i="18"/>
  <c r="X2882" i="18"/>
  <c r="X2915" i="18"/>
  <c r="Y2915" i="18"/>
  <c r="X2763" i="18"/>
  <c r="Y2747" i="18"/>
  <c r="X2747" i="18"/>
  <c r="Y2731" i="18"/>
  <c r="X2731" i="18"/>
  <c r="Y2721" i="18"/>
  <c r="Y2715" i="18"/>
  <c r="X2715" i="18"/>
  <c r="Y2699" i="18"/>
  <c r="X2699" i="18"/>
  <c r="X2683" i="18"/>
  <c r="Y2683" i="18"/>
  <c r="X2878" i="18"/>
  <c r="Y2878" i="18"/>
  <c r="X2846" i="18"/>
  <c r="Y2846" i="18"/>
  <c r="X2814" i="18"/>
  <c r="Y2814" i="18"/>
  <c r="Y2496" i="18"/>
  <c r="X2496" i="18"/>
  <c r="X2484" i="18"/>
  <c r="Y2490" i="18"/>
  <c r="Y2484" i="18"/>
  <c r="X2468" i="18"/>
  <c r="Y2468" i="18"/>
  <c r="X2452" i="18"/>
  <c r="Y2452" i="18"/>
  <c r="X2440" i="18"/>
  <c r="Y2440" i="18"/>
  <c r="X2464" i="18"/>
  <c r="Y2464" i="18"/>
  <c r="Y2424" i="18"/>
  <c r="X2424" i="18"/>
  <c r="X2476" i="18"/>
  <c r="X2460" i="18"/>
  <c r="Y2460" i="18"/>
  <c r="X2444" i="18"/>
  <c r="Y2444" i="18"/>
  <c r="X2488" i="18"/>
  <c r="Y2488" i="18"/>
  <c r="X2448" i="18"/>
  <c r="X2432" i="18"/>
  <c r="Y2432" i="18"/>
  <c r="X2500" i="18"/>
  <c r="Y2500" i="18"/>
  <c r="X2492" i="18"/>
  <c r="Y2492" i="18"/>
  <c r="X2480" i="18"/>
  <c r="Y2480" i="18"/>
  <c r="Y2472" i="18"/>
  <c r="X2472" i="18"/>
  <c r="Y2462" i="18"/>
  <c r="X2456" i="18"/>
  <c r="Y2456" i="18"/>
  <c r="Y2233" i="18"/>
  <c r="X2233" i="18"/>
  <c r="X2231" i="18"/>
  <c r="X1856" i="18"/>
  <c r="Y1856" i="18"/>
  <c r="X1840" i="18"/>
  <c r="Y1846" i="18"/>
  <c r="Y1840" i="18"/>
  <c r="X1824" i="18"/>
  <c r="Y1824" i="18"/>
  <c r="X1808" i="18"/>
  <c r="Y1808" i="18"/>
  <c r="X1792" i="18"/>
  <c r="Y1792" i="18"/>
  <c r="X1776" i="18"/>
  <c r="X1760" i="18"/>
  <c r="Y1760" i="18"/>
  <c r="X1744" i="18"/>
  <c r="Y1744" i="18"/>
  <c r="X1915" i="18"/>
  <c r="Y1915" i="18"/>
  <c r="X1846" i="18"/>
  <c r="X1830" i="18"/>
  <c r="Y1830" i="18"/>
  <c r="X1814" i="18"/>
  <c r="Y1814" i="18"/>
  <c r="X1798" i="18"/>
  <c r="Y1804" i="18"/>
  <c r="Y1798" i="18"/>
  <c r="X1782" i="18"/>
  <c r="Y1782" i="18"/>
  <c r="X1766" i="18"/>
  <c r="Y1766" i="18"/>
  <c r="X1750" i="18"/>
  <c r="Y1750" i="18"/>
  <c r="Y1947" i="18"/>
  <c r="X1947" i="18"/>
  <c r="Y1907" i="18"/>
  <c r="X1907" i="18"/>
  <c r="X1880" i="18"/>
  <c r="Y1880" i="18"/>
  <c r="X1852" i="18"/>
  <c r="Y1852" i="18"/>
  <c r="X1844" i="18"/>
  <c r="Y1844" i="18"/>
  <c r="X1836" i="18"/>
  <c r="Y1836" i="18"/>
  <c r="X1828" i="18"/>
  <c r="Y1828" i="18"/>
  <c r="X1820" i="18"/>
  <c r="Y1820" i="18"/>
  <c r="X1812" i="18"/>
  <c r="Y1812" i="18"/>
  <c r="Y1818" i="18"/>
  <c r="X1804" i="18"/>
  <c r="X1796" i="18"/>
  <c r="Y1796" i="18"/>
  <c r="X1788" i="18"/>
  <c r="Y1788" i="18"/>
  <c r="X1780" i="18"/>
  <c r="Y1780" i="18"/>
  <c r="X1772" i="18"/>
  <c r="Y1772" i="18"/>
  <c r="X1764" i="18"/>
  <c r="Y1764" i="18"/>
  <c r="X1756" i="18"/>
  <c r="Y1756" i="18"/>
  <c r="Y1762" i="18"/>
  <c r="X1748" i="18"/>
  <c r="X1892" i="18"/>
  <c r="Y1892" i="18"/>
  <c r="Y1937" i="18"/>
  <c r="X1931" i="18"/>
  <c r="Y1931" i="18"/>
  <c r="X1864" i="18"/>
  <c r="Y1864" i="18"/>
  <c r="X1848" i="18"/>
  <c r="Y1848" i="18"/>
  <c r="X1832" i="18"/>
  <c r="X1816" i="18"/>
  <c r="Y1816" i="18"/>
  <c r="X1800" i="18"/>
  <c r="Y1800" i="18"/>
  <c r="X1784" i="18"/>
  <c r="Y1784" i="18"/>
  <c r="Y1790" i="18"/>
  <c r="X1768" i="18"/>
  <c r="Y1768" i="18"/>
  <c r="X1752" i="18"/>
  <c r="Y1752" i="18"/>
  <c r="Y1939" i="18"/>
  <c r="X1939" i="18"/>
  <c r="X1854" i="18"/>
  <c r="Y1860" i="18"/>
  <c r="Y1854" i="18"/>
  <c r="X1838" i="18"/>
  <c r="Y1838" i="18"/>
  <c r="X1822" i="18"/>
  <c r="Y1822" i="18"/>
  <c r="X1806" i="18"/>
  <c r="Y1806" i="18"/>
  <c r="X1790" i="18"/>
  <c r="X1774" i="18"/>
  <c r="Y1774" i="18"/>
  <c r="X1758" i="18"/>
  <c r="Y1758" i="18"/>
  <c r="X1742" i="18"/>
  <c r="Y1748" i="18"/>
  <c r="Y1742" i="18"/>
  <c r="X1923" i="18"/>
  <c r="X1927" i="18"/>
  <c r="Y1927" i="18"/>
  <c r="Y1902" i="18"/>
  <c r="X1896" i="18"/>
  <c r="Y1896" i="18"/>
  <c r="X1872" i="18"/>
  <c r="Y1872" i="18"/>
  <c r="X1850" i="18"/>
  <c r="Y1850" i="18"/>
  <c r="X1842" i="18"/>
  <c r="Y1842" i="18"/>
  <c r="X1834" i="18"/>
  <c r="Y1834" i="18"/>
  <c r="X1826" i="18"/>
  <c r="Y1826" i="18"/>
  <c r="Y1832" i="18"/>
  <c r="X1818" i="18"/>
  <c r="X1810" i="18"/>
  <c r="Y1810" i="18"/>
  <c r="X1802" i="18"/>
  <c r="Y1802" i="18"/>
  <c r="X1794" i="18"/>
  <c r="Y1794" i="18"/>
  <c r="X1786" i="18"/>
  <c r="Y1786" i="18"/>
  <c r="X1778" i="18"/>
  <c r="Y1778" i="18"/>
  <c r="X1770" i="18"/>
  <c r="Y1776" i="18"/>
  <c r="Y1770" i="18"/>
  <c r="X1762" i="18"/>
  <c r="X1754" i="18"/>
  <c r="Y1754" i="18"/>
  <c r="X1746" i="18"/>
  <c r="Y1746" i="18"/>
  <c r="X1622" i="18"/>
  <c r="Y1606" i="18"/>
  <c r="X1606" i="18"/>
  <c r="X1590" i="18"/>
  <c r="Y1590" i="18"/>
  <c r="Y1580" i="18"/>
  <c r="Y1574" i="18"/>
  <c r="X1574" i="18"/>
  <c r="Y1531" i="18"/>
  <c r="Y1525" i="18"/>
  <c r="X1525" i="18"/>
  <c r="X1496" i="18"/>
  <c r="Y1634" i="18"/>
  <c r="X1634" i="18"/>
  <c r="Y1618" i="18"/>
  <c r="X1618" i="18"/>
  <c r="Y1608" i="18"/>
  <c r="Y1602" i="18"/>
  <c r="X1602" i="18"/>
  <c r="Y1586" i="18"/>
  <c r="X1586" i="18"/>
  <c r="X1508" i="18"/>
  <c r="Y1508" i="18"/>
  <c r="X1480" i="18"/>
  <c r="Y1480" i="18"/>
  <c r="Y1636" i="18"/>
  <c r="X1630" i="18"/>
  <c r="Y1630" i="18"/>
  <c r="X1614" i="18"/>
  <c r="Y1614" i="18"/>
  <c r="X1598" i="18"/>
  <c r="Y1598" i="18"/>
  <c r="X1582" i="18"/>
  <c r="Y1582" i="18"/>
  <c r="X1492" i="18"/>
  <c r="Y1492" i="18"/>
  <c r="Y1533" i="18"/>
  <c r="X1533" i="18"/>
  <c r="X1472" i="18"/>
  <c r="Y1472" i="18"/>
  <c r="Y1626" i="18"/>
  <c r="X1626" i="18"/>
  <c r="Y1610" i="18"/>
  <c r="X1610" i="18"/>
  <c r="X1594" i="18"/>
  <c r="Y1578" i="18"/>
  <c r="X1578" i="18"/>
  <c r="Y1541" i="18"/>
  <c r="X1541" i="18"/>
  <c r="Y1482" i="18"/>
  <c r="X1476" i="18"/>
  <c r="Y1476" i="18"/>
  <c r="Y1512" i="18"/>
  <c r="X1512" i="18"/>
  <c r="Y1510" i="18"/>
  <c r="X1504" i="18"/>
  <c r="Y1504" i="18"/>
  <c r="X1296" i="18"/>
  <c r="Y1296" i="18"/>
  <c r="X1264" i="18"/>
  <c r="Y1264" i="18"/>
  <c r="Y1324" i="18"/>
  <c r="X1324" i="18"/>
  <c r="Y1314" i="18"/>
  <c r="Y1308" i="18"/>
  <c r="X1308" i="18"/>
  <c r="X1270" i="18"/>
  <c r="Y1270" i="18"/>
  <c r="Y1235" i="18"/>
  <c r="X1235" i="18"/>
  <c r="Y1219" i="18"/>
  <c r="X1219" i="18"/>
  <c r="X1197" i="18"/>
  <c r="Y1197" i="18"/>
  <c r="Y1165" i="18"/>
  <c r="X1165" i="18"/>
  <c r="Y1139" i="18"/>
  <c r="X1133" i="18"/>
  <c r="Y1133" i="18"/>
  <c r="X1195" i="18"/>
  <c r="X1090" i="18"/>
  <c r="X1086" i="18"/>
  <c r="Y1086" i="18"/>
  <c r="Y1110" i="18"/>
  <c r="X1110" i="18"/>
  <c r="Y1055" i="18"/>
  <c r="X1049" i="18"/>
  <c r="Y1049" i="18"/>
  <c r="X1000" i="18"/>
  <c r="Y1006" i="18"/>
  <c r="Y1000" i="18"/>
  <c r="X1276" i="18"/>
  <c r="Y1276" i="18"/>
  <c r="X1244" i="18"/>
  <c r="X1314" i="18"/>
  <c r="Y1241" i="18"/>
  <c r="X1241" i="18"/>
  <c r="Y1225" i="18"/>
  <c r="X1225" i="18"/>
  <c r="X1209" i="18"/>
  <c r="X1177" i="18"/>
  <c r="Y1177" i="18"/>
  <c r="Y1145" i="18"/>
  <c r="X1145" i="18"/>
  <c r="X1127" i="18"/>
  <c r="Y1127" i="18"/>
  <c r="X1033" i="18"/>
  <c r="Y1033" i="18"/>
  <c r="X1328" i="18"/>
  <c r="X1300" i="18"/>
  <c r="Y1284" i="18"/>
  <c r="X1284" i="18"/>
  <c r="Y1268" i="18"/>
  <c r="X1268" i="18"/>
  <c r="Y1258" i="18"/>
  <c r="X1252" i="18"/>
  <c r="Y1252" i="18"/>
  <c r="Y1326" i="18"/>
  <c r="X1326" i="18"/>
  <c r="Y1318" i="18"/>
  <c r="X1318" i="18"/>
  <c r="Y1310" i="18"/>
  <c r="X1310" i="18"/>
  <c r="X1266" i="18"/>
  <c r="Y1272" i="18"/>
  <c r="Y1266" i="18"/>
  <c r="X1237" i="18"/>
  <c r="Y1229" i="18"/>
  <c r="X1229" i="18"/>
  <c r="Y1221" i="18"/>
  <c r="X1221" i="18"/>
  <c r="Y1213" i="18"/>
  <c r="X1213" i="18"/>
  <c r="Y1201" i="18"/>
  <c r="X1201" i="18"/>
  <c r="Y1185" i="18"/>
  <c r="X1185" i="18"/>
  <c r="Y1169" i="18"/>
  <c r="X1169" i="18"/>
  <c r="X1153" i="18"/>
  <c r="Y1137" i="18"/>
  <c r="X1137" i="18"/>
  <c r="X1262" i="18"/>
  <c r="Y1262" i="18"/>
  <c r="X1147" i="18"/>
  <c r="Y1153" i="18"/>
  <c r="Y1147" i="18"/>
  <c r="X1171" i="18"/>
  <c r="Y1171" i="18"/>
  <c r="X1187" i="18"/>
  <c r="Y1187" i="18"/>
  <c r="X1102" i="18"/>
  <c r="Y1102" i="18"/>
  <c r="Y1076" i="18"/>
  <c r="X1070" i="18"/>
  <c r="Y1070" i="18"/>
  <c r="X1155" i="18"/>
  <c r="Y1155" i="18"/>
  <c r="X1143" i="18"/>
  <c r="Y1143" i="18"/>
  <c r="X1041" i="18"/>
  <c r="X1025" i="18"/>
  <c r="Y1025" i="18"/>
  <c r="X1004" i="18"/>
  <c r="Y1004" i="18"/>
  <c r="X1006" i="18"/>
  <c r="X1280" i="18"/>
  <c r="Y1286" i="18"/>
  <c r="Y1280" i="18"/>
  <c r="X1248" i="18"/>
  <c r="Y1248" i="18"/>
  <c r="Y1316" i="18"/>
  <c r="X1316" i="18"/>
  <c r="X1250" i="18"/>
  <c r="Y1250" i="18"/>
  <c r="Y1243" i="18"/>
  <c r="X1243" i="18"/>
  <c r="Y1227" i="18"/>
  <c r="X1227" i="18"/>
  <c r="Y1211" i="18"/>
  <c r="X1211" i="18"/>
  <c r="X1181" i="18"/>
  <c r="Y1149" i="18"/>
  <c r="X1149" i="18"/>
  <c r="X1131" i="18"/>
  <c r="Y1131" i="18"/>
  <c r="X1118" i="18"/>
  <c r="X1175" i="18"/>
  <c r="Y1181" i="18"/>
  <c r="Y1175" i="18"/>
  <c r="Y1078" i="18"/>
  <c r="X1078" i="18"/>
  <c r="X1002" i="18"/>
  <c r="Y1002" i="18"/>
  <c r="X1292" i="18"/>
  <c r="Y1292" i="18"/>
  <c r="X1260" i="18"/>
  <c r="Y1260" i="18"/>
  <c r="Y1328" i="18"/>
  <c r="Y1322" i="18"/>
  <c r="X1322" i="18"/>
  <c r="X1298" i="18"/>
  <c r="Y1298" i="18"/>
  <c r="Y1233" i="18"/>
  <c r="X1233" i="18"/>
  <c r="Y1223" i="18"/>
  <c r="Y1217" i="18"/>
  <c r="X1217" i="18"/>
  <c r="Y1193" i="18"/>
  <c r="X1193" i="18"/>
  <c r="X1161" i="18"/>
  <c r="Y1167" i="18"/>
  <c r="Y1161" i="18"/>
  <c r="Y1129" i="18"/>
  <c r="X1129" i="18"/>
  <c r="X1179" i="18"/>
  <c r="Y1179" i="18"/>
  <c r="X1191" i="18"/>
  <c r="Y1191" i="18"/>
  <c r="X1106" i="18"/>
  <c r="Y1106" i="18"/>
  <c r="X1057" i="18"/>
  <c r="Y1057" i="18"/>
  <c r="X1017" i="18"/>
  <c r="Y1017" i="18"/>
  <c r="X1069" i="18"/>
  <c r="X1304" i="18"/>
  <c r="Y1304" i="18"/>
  <c r="Y1288" i="18"/>
  <c r="X1288" i="18"/>
  <c r="X1272" i="18"/>
  <c r="Y1256" i="18"/>
  <c r="X1256" i="18"/>
  <c r="Y1320" i="18"/>
  <c r="X1320" i="18"/>
  <c r="Y1312" i="18"/>
  <c r="X1312" i="18"/>
  <c r="X1282" i="18"/>
  <c r="Y1282" i="18"/>
  <c r="X1286" i="18"/>
  <c r="X1254" i="18"/>
  <c r="Y1254" i="18"/>
  <c r="Y1239" i="18"/>
  <c r="X1239" i="18"/>
  <c r="Y1237" i="18"/>
  <c r="Y1231" i="18"/>
  <c r="X1231" i="18"/>
  <c r="X1223" i="18"/>
  <c r="Y1215" i="18"/>
  <c r="X1215" i="18"/>
  <c r="X1205" i="18"/>
  <c r="Y1205" i="18"/>
  <c r="X1189" i="18"/>
  <c r="Y1195" i="18"/>
  <c r="Y1189" i="18"/>
  <c r="X1173" i="18"/>
  <c r="Y1173" i="18"/>
  <c r="X1157" i="18"/>
  <c r="Y1157" i="18"/>
  <c r="X1141" i="18"/>
  <c r="Y1141" i="18"/>
  <c r="X1125" i="18"/>
  <c r="X1163" i="18"/>
  <c r="Y1163" i="18"/>
  <c r="X1122" i="18"/>
  <c r="Y1122" i="18"/>
  <c r="X1074" i="18"/>
  <c r="Y1074" i="18"/>
  <c r="Y1094" i="18"/>
  <c r="X1094" i="18"/>
  <c r="X1207" i="18"/>
  <c r="Y1207" i="18"/>
  <c r="X1008" i="18"/>
  <c r="Y1008" i="18"/>
  <c r="X1065" i="18"/>
  <c r="Y1065" i="18"/>
  <c r="X1010" i="18"/>
  <c r="Y1010" i="18"/>
  <c r="X840" i="18"/>
  <c r="Y840" i="18"/>
  <c r="X836" i="18"/>
  <c r="Y836" i="18"/>
  <c r="X806" i="18"/>
  <c r="Y806" i="18"/>
  <c r="X794" i="18"/>
  <c r="Y794" i="18"/>
  <c r="Y894" i="18"/>
  <c r="X888" i="18"/>
  <c r="Y888" i="18"/>
  <c r="X900" i="18"/>
  <c r="Y900" i="18"/>
  <c r="Y896" i="18"/>
  <c r="X896" i="18"/>
  <c r="X786" i="18"/>
  <c r="Y786" i="18"/>
  <c r="X778" i="18"/>
  <c r="Y778" i="18"/>
  <c r="X762" i="18"/>
  <c r="Y768" i="18"/>
  <c r="Y762" i="18"/>
  <c r="Y872" i="18"/>
  <c r="X872" i="18"/>
  <c r="Y848" i="18"/>
  <c r="X848" i="18"/>
  <c r="X904" i="18"/>
  <c r="Y904" i="18"/>
  <c r="X852" i="18"/>
  <c r="X880" i="18"/>
  <c r="Y912" i="18"/>
  <c r="X912" i="18"/>
  <c r="Y856" i="18"/>
  <c r="X856" i="18"/>
  <c r="Y826" i="18"/>
  <c r="X826" i="18"/>
  <c r="X822" i="18"/>
  <c r="Y822" i="18"/>
  <c r="Y802" i="18"/>
  <c r="X802" i="18"/>
  <c r="X770" i="18"/>
  <c r="Y770" i="18"/>
  <c r="X754" i="18"/>
  <c r="X607" i="18"/>
  <c r="Y659" i="18"/>
  <c r="X659" i="18"/>
  <c r="Y651" i="18"/>
  <c r="X651" i="18"/>
  <c r="X498" i="18"/>
  <c r="Y498" i="18"/>
  <c r="Y599" i="18"/>
  <c r="X599" i="18"/>
  <c r="Y597" i="18"/>
  <c r="X597" i="18"/>
  <c r="Y649" i="18"/>
  <c r="Y643" i="18"/>
  <c r="X643" i="18"/>
  <c r="X562" i="18"/>
  <c r="Y562" i="18"/>
  <c r="Y623" i="18"/>
  <c r="X623" i="18"/>
  <c r="Y591" i="18"/>
  <c r="X591" i="18"/>
  <c r="Y647" i="18"/>
  <c r="X647" i="18"/>
  <c r="X514" i="18"/>
  <c r="Y514" i="18"/>
  <c r="Y637" i="18"/>
  <c r="X637" i="18"/>
  <c r="Y639" i="18"/>
  <c r="X639" i="18"/>
  <c r="X584" i="18"/>
  <c r="Y584" i="18"/>
  <c r="Y613" i="18"/>
  <c r="X613" i="18"/>
  <c r="Y605" i="18"/>
  <c r="X605" i="18"/>
  <c r="Y631" i="18"/>
  <c r="X631" i="18"/>
  <c r="Y655" i="18"/>
  <c r="X655" i="18"/>
  <c r="Y589" i="18"/>
  <c r="X589" i="18"/>
  <c r="Y621" i="18"/>
  <c r="Y615" i="18"/>
  <c r="X615" i="18"/>
  <c r="X586" i="18"/>
  <c r="Y667" i="18"/>
  <c r="X667" i="18"/>
  <c r="Y635" i="18"/>
  <c r="Y629" i="18"/>
  <c r="X629" i="18"/>
  <c r="X578" i="18"/>
  <c r="Y578" i="18"/>
  <c r="X663" i="18"/>
  <c r="X621" i="18"/>
  <c r="T13" i="18" l="1"/>
  <c r="T67" i="18" l="1"/>
  <c r="U67" i="18"/>
  <c r="T68" i="18"/>
  <c r="U68" i="18"/>
  <c r="T69" i="18"/>
  <c r="U69" i="18"/>
  <c r="T70" i="18"/>
  <c r="U70" i="18"/>
  <c r="T71" i="18"/>
  <c r="U71" i="18"/>
  <c r="T72" i="18"/>
  <c r="U72" i="18"/>
  <c r="T73" i="18"/>
  <c r="U73" i="18"/>
  <c r="T74" i="18"/>
  <c r="U74" i="18"/>
  <c r="T75" i="18"/>
  <c r="U75" i="18"/>
  <c r="T76" i="18"/>
  <c r="U76" i="18"/>
  <c r="T77" i="18"/>
  <c r="U77" i="18"/>
  <c r="T78" i="18"/>
  <c r="U78" i="18"/>
  <c r="T79" i="18"/>
  <c r="U79" i="18"/>
  <c r="T80" i="18"/>
  <c r="U80" i="18"/>
  <c r="T81" i="18"/>
  <c r="U81" i="18"/>
  <c r="T82" i="18"/>
  <c r="U82" i="18"/>
  <c r="T83" i="18"/>
  <c r="U83" i="18"/>
  <c r="T84" i="18"/>
  <c r="U84" i="18"/>
  <c r="T85" i="18"/>
  <c r="U85" i="18"/>
  <c r="T86" i="18"/>
  <c r="U86" i="18"/>
  <c r="T87" i="18"/>
  <c r="U87" i="18"/>
  <c r="T88" i="18"/>
  <c r="U88" i="18"/>
  <c r="T89" i="18"/>
  <c r="U89" i="18"/>
  <c r="T90" i="18"/>
  <c r="U90" i="18"/>
  <c r="T91" i="18"/>
  <c r="U91" i="18"/>
  <c r="T92" i="18"/>
  <c r="U92" i="18"/>
  <c r="T93" i="18"/>
  <c r="U93" i="18"/>
  <c r="T94" i="18"/>
  <c r="U94" i="18"/>
  <c r="T95" i="18"/>
  <c r="U95" i="18"/>
  <c r="T96" i="18"/>
  <c r="U96" i="18"/>
  <c r="T97" i="18"/>
  <c r="U97" i="18"/>
  <c r="T98" i="18"/>
  <c r="U98" i="18"/>
  <c r="T99" i="18"/>
  <c r="U99" i="18"/>
  <c r="T100" i="18"/>
  <c r="U100" i="18"/>
  <c r="T101" i="18"/>
  <c r="U101" i="18"/>
  <c r="T102" i="18"/>
  <c r="U102" i="18"/>
  <c r="T103" i="18"/>
  <c r="U103" i="18"/>
  <c r="T104" i="18"/>
  <c r="U104" i="18"/>
  <c r="T105" i="18"/>
  <c r="U105" i="18"/>
  <c r="T106" i="18"/>
  <c r="U106" i="18"/>
  <c r="T107" i="18"/>
  <c r="U107" i="18"/>
  <c r="T108" i="18"/>
  <c r="U108" i="18"/>
  <c r="T109" i="18"/>
  <c r="U109" i="18"/>
  <c r="T110" i="18"/>
  <c r="U110" i="18"/>
  <c r="T111" i="18"/>
  <c r="U111" i="18"/>
  <c r="T112" i="18"/>
  <c r="U112" i="18"/>
  <c r="T113" i="18"/>
  <c r="U113" i="18"/>
  <c r="T114" i="18"/>
  <c r="U114" i="18"/>
  <c r="T115" i="18"/>
  <c r="U115" i="18"/>
  <c r="T116" i="18"/>
  <c r="U116" i="18"/>
  <c r="T117" i="18"/>
  <c r="U117" i="18"/>
  <c r="T118" i="18"/>
  <c r="U118" i="18"/>
  <c r="T119" i="18"/>
  <c r="U119" i="18"/>
  <c r="T120" i="18"/>
  <c r="U120" i="18"/>
  <c r="T121" i="18"/>
  <c r="U121" i="18"/>
  <c r="T122" i="18"/>
  <c r="U122" i="18"/>
  <c r="T123" i="18"/>
  <c r="U123" i="18"/>
  <c r="T124" i="18"/>
  <c r="U124" i="18"/>
  <c r="T125" i="18"/>
  <c r="U125" i="18"/>
  <c r="T126" i="18"/>
  <c r="U126" i="18"/>
  <c r="T127" i="18"/>
  <c r="U127" i="18"/>
  <c r="T128" i="18"/>
  <c r="U128" i="18"/>
  <c r="T129" i="18"/>
  <c r="U129" i="18"/>
  <c r="T130" i="18"/>
  <c r="U130" i="18"/>
  <c r="T131" i="18"/>
  <c r="U131" i="18"/>
  <c r="T132" i="18"/>
  <c r="U132" i="18"/>
  <c r="T133" i="18"/>
  <c r="U133" i="18"/>
  <c r="T134" i="18"/>
  <c r="U134" i="18"/>
  <c r="T135" i="18"/>
  <c r="U135" i="18"/>
  <c r="T136" i="18"/>
  <c r="U136" i="18"/>
  <c r="T137" i="18"/>
  <c r="U137" i="18"/>
  <c r="T138" i="18"/>
  <c r="U138" i="18"/>
  <c r="T139" i="18"/>
  <c r="U139" i="18"/>
  <c r="T140" i="18"/>
  <c r="U140" i="18"/>
  <c r="T141" i="18"/>
  <c r="U141" i="18"/>
  <c r="T142" i="18"/>
  <c r="U142" i="18"/>
  <c r="T143" i="18"/>
  <c r="U143" i="18"/>
  <c r="T144" i="18"/>
  <c r="U144" i="18"/>
  <c r="T145" i="18"/>
  <c r="U145" i="18"/>
  <c r="T146" i="18"/>
  <c r="U146" i="18"/>
  <c r="T147" i="18"/>
  <c r="U147" i="18"/>
  <c r="T148" i="18"/>
  <c r="U148" i="18"/>
  <c r="T149" i="18"/>
  <c r="U149" i="18"/>
  <c r="T150" i="18"/>
  <c r="U150" i="18"/>
  <c r="T151" i="18"/>
  <c r="U151" i="18"/>
  <c r="T152" i="18"/>
  <c r="U152" i="18"/>
  <c r="T153" i="18"/>
  <c r="U153" i="18"/>
  <c r="T154" i="18"/>
  <c r="U154" i="18"/>
  <c r="T155" i="18"/>
  <c r="U155" i="18"/>
  <c r="T156" i="18"/>
  <c r="U156" i="18"/>
  <c r="T157" i="18"/>
  <c r="U157" i="18"/>
  <c r="T158" i="18"/>
  <c r="U158" i="18"/>
  <c r="T159" i="18"/>
  <c r="U159" i="18"/>
  <c r="T160" i="18"/>
  <c r="U160" i="18"/>
  <c r="T161" i="18"/>
  <c r="U161" i="18"/>
  <c r="T162" i="18"/>
  <c r="U162" i="18"/>
  <c r="T163" i="18"/>
  <c r="U163" i="18"/>
  <c r="T164" i="18"/>
  <c r="U164" i="18"/>
  <c r="T165" i="18"/>
  <c r="U165" i="18"/>
  <c r="T166" i="18"/>
  <c r="U166" i="18"/>
  <c r="T167" i="18"/>
  <c r="U167" i="18"/>
  <c r="T168" i="18"/>
  <c r="U168" i="18"/>
  <c r="T169" i="18"/>
  <c r="U169" i="18"/>
  <c r="T170" i="18"/>
  <c r="U170" i="18"/>
  <c r="T171" i="18"/>
  <c r="U171" i="18"/>
  <c r="T172" i="18"/>
  <c r="U172" i="18"/>
  <c r="T173" i="18"/>
  <c r="U173" i="18"/>
  <c r="T174" i="18"/>
  <c r="U174" i="18"/>
  <c r="T175" i="18"/>
  <c r="U175" i="18"/>
  <c r="T176" i="18"/>
  <c r="U176" i="18"/>
  <c r="T177" i="18"/>
  <c r="U177" i="18"/>
  <c r="T178" i="18"/>
  <c r="U178" i="18"/>
  <c r="T179" i="18"/>
  <c r="U179" i="18"/>
  <c r="T180" i="18"/>
  <c r="U180" i="18"/>
  <c r="T181" i="18"/>
  <c r="U181" i="18"/>
  <c r="T182" i="18"/>
  <c r="U182" i="18"/>
  <c r="T183" i="18"/>
  <c r="U183" i="18"/>
  <c r="T184" i="18"/>
  <c r="U184" i="18"/>
  <c r="T185" i="18"/>
  <c r="U185" i="18"/>
  <c r="T186" i="18"/>
  <c r="U186" i="18"/>
  <c r="T187" i="18"/>
  <c r="U187" i="18"/>
  <c r="T188" i="18"/>
  <c r="U188" i="18"/>
  <c r="T189" i="18"/>
  <c r="U189" i="18"/>
  <c r="T190" i="18"/>
  <c r="U190" i="18"/>
  <c r="T191" i="18"/>
  <c r="U191" i="18"/>
  <c r="T192" i="18"/>
  <c r="U192" i="18"/>
  <c r="T193" i="18"/>
  <c r="U193" i="18"/>
  <c r="T194" i="18"/>
  <c r="U194" i="18"/>
  <c r="T195" i="18"/>
  <c r="U195" i="18"/>
  <c r="T196" i="18"/>
  <c r="U196" i="18"/>
  <c r="T197" i="18"/>
  <c r="U197" i="18"/>
  <c r="T198" i="18"/>
  <c r="U198" i="18"/>
  <c r="T199" i="18"/>
  <c r="U199" i="18"/>
  <c r="T200" i="18"/>
  <c r="U200" i="18"/>
  <c r="T201" i="18"/>
  <c r="U201" i="18"/>
  <c r="T202" i="18"/>
  <c r="U202" i="18"/>
  <c r="T203" i="18"/>
  <c r="U203" i="18"/>
  <c r="T204" i="18"/>
  <c r="U204" i="18"/>
  <c r="T205" i="18"/>
  <c r="U205" i="18"/>
  <c r="T206" i="18"/>
  <c r="U206" i="18"/>
  <c r="T207" i="18"/>
  <c r="U207" i="18"/>
  <c r="T208" i="18"/>
  <c r="U208" i="18"/>
  <c r="T209" i="18"/>
  <c r="U209" i="18"/>
  <c r="T210" i="18"/>
  <c r="U210" i="18"/>
  <c r="T211" i="18"/>
  <c r="U211" i="18"/>
  <c r="T212" i="18"/>
  <c r="U212" i="18"/>
  <c r="T213" i="18"/>
  <c r="U213" i="18"/>
  <c r="T214" i="18"/>
  <c r="U214" i="18"/>
  <c r="T215" i="18"/>
  <c r="U215" i="18"/>
  <c r="T216" i="18"/>
  <c r="U216" i="18"/>
  <c r="T217" i="18"/>
  <c r="U217" i="18"/>
  <c r="T218" i="18"/>
  <c r="U218" i="18"/>
  <c r="T219" i="18"/>
  <c r="U219" i="18"/>
  <c r="T220" i="18"/>
  <c r="U220" i="18"/>
  <c r="T221" i="18"/>
  <c r="U221" i="18"/>
  <c r="T222" i="18"/>
  <c r="U222" i="18"/>
  <c r="T223" i="18"/>
  <c r="U223" i="18"/>
  <c r="T224" i="18"/>
  <c r="U224" i="18"/>
  <c r="T225" i="18"/>
  <c r="U225" i="18"/>
  <c r="T226" i="18"/>
  <c r="U226" i="18"/>
  <c r="T227" i="18"/>
  <c r="U227" i="18"/>
  <c r="T228" i="18"/>
  <c r="U228" i="18"/>
  <c r="T229" i="18"/>
  <c r="U229" i="18"/>
  <c r="T230" i="18"/>
  <c r="U230" i="18"/>
  <c r="T231" i="18"/>
  <c r="U231" i="18"/>
  <c r="T232" i="18"/>
  <c r="U232" i="18"/>
  <c r="T233" i="18"/>
  <c r="U233" i="18"/>
  <c r="T234" i="18"/>
  <c r="U234" i="18"/>
  <c r="T235" i="18"/>
  <c r="U235" i="18"/>
  <c r="T236" i="18"/>
  <c r="U236" i="18"/>
  <c r="T237" i="18"/>
  <c r="U237" i="18"/>
  <c r="T238" i="18"/>
  <c r="U238" i="18"/>
  <c r="T239" i="18"/>
  <c r="U239" i="18"/>
  <c r="T240" i="18"/>
  <c r="U240" i="18"/>
  <c r="T241" i="18"/>
  <c r="U241" i="18"/>
  <c r="T242" i="18"/>
  <c r="U242" i="18"/>
  <c r="T243" i="18"/>
  <c r="U243" i="18"/>
  <c r="T244" i="18"/>
  <c r="U244" i="18"/>
  <c r="T245" i="18"/>
  <c r="U245" i="18"/>
  <c r="T246" i="18"/>
  <c r="U246" i="18"/>
  <c r="T247" i="18"/>
  <c r="U247" i="18"/>
  <c r="T248" i="18"/>
  <c r="U248" i="18"/>
  <c r="T249" i="18"/>
  <c r="U249" i="18"/>
  <c r="T250" i="18"/>
  <c r="U250" i="18"/>
  <c r="T251" i="18"/>
  <c r="U251" i="18"/>
  <c r="T252" i="18"/>
  <c r="U252" i="18"/>
  <c r="T253" i="18"/>
  <c r="U253" i="18"/>
  <c r="T254" i="18"/>
  <c r="U254" i="18"/>
  <c r="T255" i="18"/>
  <c r="U255" i="18"/>
  <c r="T256" i="18"/>
  <c r="U256" i="18"/>
  <c r="T257" i="18"/>
  <c r="U257" i="18"/>
  <c r="T258" i="18"/>
  <c r="U258" i="18"/>
  <c r="T259" i="18"/>
  <c r="U259" i="18"/>
  <c r="T260" i="18"/>
  <c r="U260" i="18"/>
  <c r="T261" i="18"/>
  <c r="U261" i="18"/>
  <c r="T262" i="18"/>
  <c r="U262" i="18"/>
  <c r="T263" i="18"/>
  <c r="U263" i="18"/>
  <c r="T264" i="18"/>
  <c r="U264" i="18"/>
  <c r="T265" i="18"/>
  <c r="U265" i="18"/>
  <c r="T266" i="18"/>
  <c r="U266" i="18"/>
  <c r="T267" i="18"/>
  <c r="U267" i="18"/>
  <c r="T268" i="18"/>
  <c r="U268" i="18"/>
  <c r="T269" i="18"/>
  <c r="U269" i="18"/>
  <c r="T270" i="18"/>
  <c r="U270" i="18"/>
  <c r="T271" i="18"/>
  <c r="U271" i="18"/>
  <c r="T272" i="18"/>
  <c r="U272" i="18"/>
  <c r="T273" i="18"/>
  <c r="U273" i="18"/>
  <c r="T274" i="18"/>
  <c r="U274" i="18"/>
  <c r="T275" i="18"/>
  <c r="U275" i="18"/>
  <c r="T276" i="18"/>
  <c r="U276" i="18"/>
  <c r="T277" i="18"/>
  <c r="U277" i="18"/>
  <c r="T278" i="18"/>
  <c r="U278" i="18"/>
  <c r="T279" i="18"/>
  <c r="U279" i="18"/>
  <c r="T280" i="18"/>
  <c r="U280" i="18"/>
  <c r="T281" i="18"/>
  <c r="U281" i="18"/>
  <c r="T282" i="18"/>
  <c r="U282" i="18"/>
  <c r="T283" i="18"/>
  <c r="U283" i="18"/>
  <c r="T284" i="18"/>
  <c r="U284" i="18"/>
  <c r="T285" i="18"/>
  <c r="U285" i="18"/>
  <c r="T286" i="18"/>
  <c r="U286" i="18"/>
  <c r="T287" i="18"/>
  <c r="U287" i="18"/>
  <c r="T288" i="18"/>
  <c r="U288" i="18"/>
  <c r="T289" i="18"/>
  <c r="U289" i="18"/>
  <c r="T290" i="18"/>
  <c r="U290" i="18"/>
  <c r="T291" i="18"/>
  <c r="U291" i="18"/>
  <c r="T292" i="18"/>
  <c r="U292" i="18"/>
  <c r="T293" i="18"/>
  <c r="U293" i="18"/>
  <c r="T294" i="18"/>
  <c r="U294" i="18"/>
  <c r="T295" i="18"/>
  <c r="U295" i="18"/>
  <c r="T296" i="18"/>
  <c r="U296" i="18"/>
  <c r="T297" i="18"/>
  <c r="U297" i="18"/>
  <c r="T298" i="18"/>
  <c r="U298" i="18"/>
  <c r="T299" i="18"/>
  <c r="U299" i="18"/>
  <c r="T300" i="18"/>
  <c r="U300" i="18"/>
  <c r="T301" i="18"/>
  <c r="U301" i="18"/>
  <c r="T302" i="18"/>
  <c r="U302" i="18"/>
  <c r="T303" i="18"/>
  <c r="U303" i="18"/>
  <c r="T304" i="18"/>
  <c r="U304" i="18"/>
  <c r="T305" i="18"/>
  <c r="U305" i="18"/>
  <c r="T306" i="18"/>
  <c r="U306" i="18"/>
  <c r="T307" i="18"/>
  <c r="U307" i="18"/>
  <c r="T308" i="18"/>
  <c r="U308" i="18"/>
  <c r="T309" i="18"/>
  <c r="U309" i="18"/>
  <c r="T310" i="18"/>
  <c r="U310" i="18"/>
  <c r="T311" i="18"/>
  <c r="U311" i="18"/>
  <c r="T312" i="18"/>
  <c r="U312" i="18"/>
  <c r="T313" i="18"/>
  <c r="U313" i="18"/>
  <c r="T314" i="18"/>
  <c r="U314" i="18"/>
  <c r="T315" i="18"/>
  <c r="U315" i="18"/>
  <c r="T316" i="18"/>
  <c r="U316" i="18"/>
  <c r="T317" i="18"/>
  <c r="U317" i="18"/>
  <c r="T318" i="18"/>
  <c r="U318" i="18"/>
  <c r="T319" i="18"/>
  <c r="U319" i="18"/>
  <c r="T320" i="18"/>
  <c r="U320" i="18"/>
  <c r="T321" i="18"/>
  <c r="U321" i="18"/>
  <c r="T322" i="18"/>
  <c r="U322" i="18"/>
  <c r="T323" i="18"/>
  <c r="U323" i="18"/>
  <c r="T324" i="18"/>
  <c r="U324" i="18"/>
  <c r="T325" i="18"/>
  <c r="U325" i="18"/>
  <c r="T326" i="18"/>
  <c r="U326" i="18"/>
  <c r="T327" i="18"/>
  <c r="U327" i="18"/>
  <c r="T328" i="18"/>
  <c r="U328" i="18"/>
  <c r="T329" i="18"/>
  <c r="U329" i="18"/>
  <c r="T330" i="18"/>
  <c r="U330" i="18"/>
  <c r="T331" i="18"/>
  <c r="U331" i="18"/>
  <c r="T332" i="18"/>
  <c r="U332" i="18"/>
  <c r="T333" i="18"/>
  <c r="U333" i="18"/>
  <c r="T334" i="18"/>
  <c r="U334" i="18"/>
  <c r="T66" i="18"/>
  <c r="T14" i="18"/>
  <c r="U14" i="18"/>
  <c r="T15" i="18"/>
  <c r="U15" i="18"/>
  <c r="T16" i="18"/>
  <c r="U16" i="18"/>
  <c r="T17" i="18"/>
  <c r="U17" i="18"/>
  <c r="T18" i="18"/>
  <c r="U18" i="18"/>
  <c r="T19" i="18"/>
  <c r="U19" i="18"/>
  <c r="T20" i="18"/>
  <c r="U20" i="18"/>
  <c r="T21" i="18"/>
  <c r="U21" i="18"/>
  <c r="T22" i="18"/>
  <c r="U22" i="18"/>
  <c r="T23" i="18"/>
  <c r="U23" i="18"/>
  <c r="T24" i="18"/>
  <c r="U24" i="18"/>
  <c r="T25" i="18"/>
  <c r="U25" i="18"/>
  <c r="T26" i="18"/>
  <c r="U26" i="18"/>
  <c r="T27" i="18"/>
  <c r="U27" i="18"/>
  <c r="T28" i="18"/>
  <c r="U28" i="18"/>
  <c r="T29" i="18"/>
  <c r="U29" i="18"/>
  <c r="T30" i="18"/>
  <c r="U30" i="18"/>
  <c r="T31" i="18"/>
  <c r="U31" i="18"/>
  <c r="T32" i="18"/>
  <c r="U32" i="18"/>
  <c r="T33" i="18"/>
  <c r="U33" i="18"/>
  <c r="T34" i="18"/>
  <c r="U34" i="18"/>
  <c r="T35" i="18"/>
  <c r="U35" i="18"/>
  <c r="T36" i="18"/>
  <c r="U36" i="18"/>
  <c r="T37" i="18"/>
  <c r="U37" i="18"/>
  <c r="T38" i="18"/>
  <c r="U38" i="18"/>
  <c r="T39" i="18"/>
  <c r="U39" i="18"/>
  <c r="T40" i="18"/>
  <c r="U40" i="18"/>
  <c r="T41" i="18"/>
  <c r="U41" i="18"/>
  <c r="T42" i="18"/>
  <c r="U42" i="18"/>
  <c r="T43" i="18"/>
  <c r="U43" i="18"/>
  <c r="T44" i="18"/>
  <c r="U44" i="18"/>
  <c r="T45" i="18"/>
  <c r="U45" i="18"/>
  <c r="T46" i="18"/>
  <c r="U46" i="18"/>
  <c r="T47" i="18"/>
  <c r="U47" i="18"/>
  <c r="T48" i="18"/>
  <c r="U48" i="18"/>
  <c r="T49" i="18"/>
  <c r="U49" i="18"/>
  <c r="T50" i="18"/>
  <c r="U50" i="18"/>
  <c r="T51" i="18"/>
  <c r="U51" i="18"/>
  <c r="T52" i="18"/>
  <c r="U52" i="18"/>
  <c r="T53" i="18"/>
  <c r="U53" i="18"/>
  <c r="T54" i="18"/>
  <c r="U54" i="18"/>
  <c r="T55" i="18"/>
  <c r="U55" i="18"/>
  <c r="T56" i="18"/>
  <c r="U56" i="18"/>
  <c r="T57" i="18"/>
  <c r="U57" i="18"/>
  <c r="T58" i="18"/>
  <c r="U58" i="18"/>
  <c r="T59" i="18"/>
  <c r="U59" i="18"/>
  <c r="T60" i="18"/>
  <c r="U60" i="18"/>
  <c r="T61" i="18"/>
  <c r="U61" i="18"/>
  <c r="T62" i="18"/>
  <c r="U62" i="18"/>
  <c r="T63" i="18"/>
  <c r="U63" i="18"/>
  <c r="T64" i="18"/>
  <c r="U64" i="18"/>
  <c r="T65" i="18"/>
  <c r="U65" i="18"/>
  <c r="U66" i="18"/>
  <c r="U13" i="18"/>
  <c r="V13" i="18" s="1"/>
  <c r="Y13" i="18" l="1"/>
  <c r="W13" i="18"/>
  <c r="V322" i="18"/>
  <c r="X322" i="18" s="1"/>
  <c r="V320" i="18"/>
  <c r="X320" i="18" s="1"/>
  <c r="V318" i="18"/>
  <c r="X318" i="18" s="1"/>
  <c r="V316" i="18"/>
  <c r="X316" i="18" s="1"/>
  <c r="V314" i="18"/>
  <c r="Y314" i="18" s="1"/>
  <c r="V66" i="18"/>
  <c r="Y66" i="18" s="1"/>
  <c r="V312" i="18"/>
  <c r="X312" i="18" s="1"/>
  <c r="V310" i="18"/>
  <c r="Y310" i="18" s="1"/>
  <c r="V308" i="18"/>
  <c r="X308" i="18" s="1"/>
  <c r="V306" i="18"/>
  <c r="X306" i="18" s="1"/>
  <c r="V304" i="18"/>
  <c r="X304" i="18" s="1"/>
  <c r="V302" i="18"/>
  <c r="X302" i="18" s="1"/>
  <c r="V300" i="18"/>
  <c r="Y300" i="18" s="1"/>
  <c r="V298" i="18"/>
  <c r="X298" i="18" s="1"/>
  <c r="V296" i="18"/>
  <c r="W296" i="18" s="1"/>
  <c r="V294" i="18"/>
  <c r="X294" i="18" s="1"/>
  <c r="V292" i="18"/>
  <c r="V290" i="18"/>
  <c r="W290" i="18" s="1"/>
  <c r="V288" i="18"/>
  <c r="Y288" i="18" s="1"/>
  <c r="V286" i="18"/>
  <c r="X286" i="18" s="1"/>
  <c r="V284" i="18"/>
  <c r="Y284" i="18" s="1"/>
  <c r="V282" i="18"/>
  <c r="Y282" i="18" s="1"/>
  <c r="V280" i="18"/>
  <c r="X280" i="18" s="1"/>
  <c r="V278" i="18"/>
  <c r="X278" i="18" s="1"/>
  <c r="V276" i="18"/>
  <c r="Y276" i="18" s="1"/>
  <c r="V274" i="18"/>
  <c r="Y274" i="18" s="1"/>
  <c r="V272" i="18"/>
  <c r="X272" i="18" s="1"/>
  <c r="V270" i="18"/>
  <c r="X270" i="18" s="1"/>
  <c r="V268" i="18"/>
  <c r="X268" i="18" s="1"/>
  <c r="V266" i="18"/>
  <c r="W266" i="18" s="1"/>
  <c r="V264" i="18"/>
  <c r="V262" i="18"/>
  <c r="X262" i="18" s="1"/>
  <c r="V260" i="18"/>
  <c r="X260" i="18" s="1"/>
  <c r="V258" i="18"/>
  <c r="Y258" i="18" s="1"/>
  <c r="V256" i="18"/>
  <c r="W256" i="18" s="1"/>
  <c r="V254" i="18"/>
  <c r="X254" i="18" s="1"/>
  <c r="V252" i="18"/>
  <c r="W252" i="18" s="1"/>
  <c r="V250" i="18"/>
  <c r="X250" i="18" s="1"/>
  <c r="V248" i="18"/>
  <c r="X248" i="18" s="1"/>
  <c r="V246" i="18"/>
  <c r="Y246" i="18" s="1"/>
  <c r="V244" i="18"/>
  <c r="Y244" i="18" s="1"/>
  <c r="V242" i="18"/>
  <c r="Y242" i="18" s="1"/>
  <c r="V240" i="18"/>
  <c r="W240" i="18" s="1"/>
  <c r="V238" i="18"/>
  <c r="Y238" i="18" s="1"/>
  <c r="V236" i="18"/>
  <c r="V234" i="18"/>
  <c r="Y234" i="18" s="1"/>
  <c r="V232" i="18"/>
  <c r="Y232" i="18" s="1"/>
  <c r="V230" i="18"/>
  <c r="Y236" i="18" s="1"/>
  <c r="V228" i="18"/>
  <c r="W228" i="18" s="1"/>
  <c r="V226" i="18"/>
  <c r="Y226" i="18" s="1"/>
  <c r="V224" i="18"/>
  <c r="W224" i="18" s="1"/>
  <c r="V222" i="18"/>
  <c r="V220" i="18"/>
  <c r="W220" i="18" s="1"/>
  <c r="V218" i="18"/>
  <c r="X218" i="18" s="1"/>
  <c r="V216" i="18"/>
  <c r="X216" i="18" s="1"/>
  <c r="V214" i="18"/>
  <c r="Y214" i="18" s="1"/>
  <c r="V212" i="18"/>
  <c r="Y212" i="18" s="1"/>
  <c r="V210" i="18"/>
  <c r="X210" i="18" s="1"/>
  <c r="V208" i="18"/>
  <c r="X208" i="18" s="1"/>
  <c r="V206" i="18"/>
  <c r="X206" i="18" s="1"/>
  <c r="V204" i="18"/>
  <c r="W204" i="18" s="1"/>
  <c r="V202" i="18"/>
  <c r="X202" i="18" s="1"/>
  <c r="V200" i="18"/>
  <c r="Y200" i="18" s="1"/>
  <c r="V198" i="18"/>
  <c r="W198" i="18" s="1"/>
  <c r="V196" i="18"/>
  <c r="X196" i="18" s="1"/>
  <c r="V194" i="18"/>
  <c r="X194" i="18" s="1"/>
  <c r="V192" i="18"/>
  <c r="Y192" i="18" s="1"/>
  <c r="V190" i="18"/>
  <c r="X190" i="18" s="1"/>
  <c r="V188" i="18"/>
  <c r="W188" i="18" s="1"/>
  <c r="V186" i="18"/>
  <c r="Y186" i="18" s="1"/>
  <c r="V184" i="18"/>
  <c r="W184" i="18" s="1"/>
  <c r="V182" i="18"/>
  <c r="W182" i="18" s="1"/>
  <c r="V180" i="18"/>
  <c r="V178" i="18"/>
  <c r="W178" i="18" s="1"/>
  <c r="V176" i="18"/>
  <c r="X176" i="18" s="1"/>
  <c r="V174" i="18"/>
  <c r="Y174" i="18" s="1"/>
  <c r="V172" i="18"/>
  <c r="X172" i="18" s="1"/>
  <c r="V170" i="18"/>
  <c r="Y170" i="18" s="1"/>
  <c r="V168" i="18"/>
  <c r="Y168" i="18" s="1"/>
  <c r="V166" i="18"/>
  <c r="X166" i="18" s="1"/>
  <c r="V164" i="18"/>
  <c r="X164" i="18" s="1"/>
  <c r="V162" i="18"/>
  <c r="X162" i="18" s="1"/>
  <c r="V160" i="18"/>
  <c r="Y166" i="18" s="1"/>
  <c r="V158" i="18"/>
  <c r="X158" i="18" s="1"/>
  <c r="V156" i="18"/>
  <c r="Y156" i="18" s="1"/>
  <c r="V154" i="18"/>
  <c r="W154" i="18" s="1"/>
  <c r="V152" i="18"/>
  <c r="V150" i="18"/>
  <c r="X150" i="18" s="1"/>
  <c r="V148" i="18"/>
  <c r="X148" i="18" s="1"/>
  <c r="V146" i="18"/>
  <c r="X146" i="18" s="1"/>
  <c r="V144" i="18"/>
  <c r="X144" i="18" s="1"/>
  <c r="V142" i="18"/>
  <c r="Y142" i="18" s="1"/>
  <c r="V140" i="18"/>
  <c r="Y140" i="18" s="1"/>
  <c r="V138" i="18"/>
  <c r="X138" i="18" s="1"/>
  <c r="V136" i="18"/>
  <c r="Y136" i="18" s="1"/>
  <c r="V134" i="18"/>
  <c r="W134" i="18" s="1"/>
  <c r="V132" i="18"/>
  <c r="Y138" i="18" s="1"/>
  <c r="V130" i="18"/>
  <c r="W130" i="18" s="1"/>
  <c r="V128" i="18"/>
  <c r="W128" i="18" s="1"/>
  <c r="V126" i="18"/>
  <c r="Y126" i="18" s="1"/>
  <c r="V124" i="18"/>
  <c r="V122" i="18"/>
  <c r="X122" i="18" s="1"/>
  <c r="V120" i="18"/>
  <c r="X120" i="18" s="1"/>
  <c r="V118" i="18"/>
  <c r="W118" i="18" s="1"/>
  <c r="V116" i="18"/>
  <c r="X116" i="18" s="1"/>
  <c r="V114" i="18"/>
  <c r="X114" i="18" s="1"/>
  <c r="V112" i="18"/>
  <c r="X112" i="18" s="1"/>
  <c r="V110" i="18"/>
  <c r="V108" i="18"/>
  <c r="Y108" i="18" s="1"/>
  <c r="V106" i="18"/>
  <c r="X106" i="18" s="1"/>
  <c r="V104" i="18"/>
  <c r="W104" i="18" s="1"/>
  <c r="V102" i="18"/>
  <c r="X102" i="18" s="1"/>
  <c r="V100" i="18"/>
  <c r="Y100" i="18" s="1"/>
  <c r="V98" i="18"/>
  <c r="Y98" i="18" s="1"/>
  <c r="V96" i="18"/>
  <c r="X96" i="18" s="1"/>
  <c r="V94" i="18"/>
  <c r="W94" i="18" s="1"/>
  <c r="V92" i="18"/>
  <c r="X92" i="18" s="1"/>
  <c r="V90" i="18"/>
  <c r="Y96" i="18" s="1"/>
  <c r="V88" i="18"/>
  <c r="W88" i="18" s="1"/>
  <c r="V86" i="18"/>
  <c r="W86" i="18" s="1"/>
  <c r="V84" i="18"/>
  <c r="W84" i="18" s="1"/>
  <c r="V82" i="18"/>
  <c r="X82" i="18" s="1"/>
  <c r="V80" i="18"/>
  <c r="X80" i="18" s="1"/>
  <c r="V78" i="18"/>
  <c r="X78" i="18" s="1"/>
  <c r="V76" i="18"/>
  <c r="X76" i="18" s="1"/>
  <c r="V74" i="18"/>
  <c r="X74" i="18" s="1"/>
  <c r="V72" i="18"/>
  <c r="Y72" i="18" s="1"/>
  <c r="V70" i="18"/>
  <c r="X70" i="18" s="1"/>
  <c r="V68" i="18"/>
  <c r="V334" i="18"/>
  <c r="X334" i="18" s="1"/>
  <c r="V332" i="18"/>
  <c r="W332" i="18" s="1"/>
  <c r="V330" i="18"/>
  <c r="Y330" i="18" s="1"/>
  <c r="V328" i="18"/>
  <c r="Y328" i="18" s="1"/>
  <c r="V326" i="18"/>
  <c r="Y326" i="18" s="1"/>
  <c r="V324" i="18"/>
  <c r="Y324" i="18" s="1"/>
  <c r="V64" i="18"/>
  <c r="V62" i="18"/>
  <c r="V60" i="18"/>
  <c r="V58" i="18"/>
  <c r="V56" i="18"/>
  <c r="V54" i="18"/>
  <c r="V52" i="18"/>
  <c r="V50" i="18"/>
  <c r="V48" i="18"/>
  <c r="V46" i="18"/>
  <c r="V44" i="18"/>
  <c r="V42" i="18"/>
  <c r="V40" i="18"/>
  <c r="V38" i="18"/>
  <c r="V36" i="18"/>
  <c r="V34" i="18"/>
  <c r="V32" i="18"/>
  <c r="V30" i="18"/>
  <c r="V28" i="18"/>
  <c r="V26" i="18"/>
  <c r="V24" i="18"/>
  <c r="V22" i="18"/>
  <c r="V20" i="18"/>
  <c r="V16" i="18"/>
  <c r="V14" i="18"/>
  <c r="W322" i="18"/>
  <c r="V65" i="18"/>
  <c r="V63" i="18"/>
  <c r="V61" i="18"/>
  <c r="V59" i="18"/>
  <c r="V57" i="18"/>
  <c r="V55" i="18"/>
  <c r="V53" i="18"/>
  <c r="V51" i="18"/>
  <c r="V49" i="18"/>
  <c r="V47" i="18"/>
  <c r="V45" i="18"/>
  <c r="V43" i="18"/>
  <c r="V41" i="18"/>
  <c r="V39" i="18"/>
  <c r="V37" i="18"/>
  <c r="V35" i="18"/>
  <c r="V33" i="18"/>
  <c r="V31" i="18"/>
  <c r="V29" i="18"/>
  <c r="V27" i="18"/>
  <c r="V25" i="18"/>
  <c r="V23" i="18"/>
  <c r="V21" i="18"/>
  <c r="V15" i="18"/>
  <c r="V333" i="18"/>
  <c r="V331" i="18"/>
  <c r="V329" i="18"/>
  <c r="V327" i="18"/>
  <c r="V325" i="18"/>
  <c r="V323" i="18"/>
  <c r="V321" i="18"/>
  <c r="V319" i="18"/>
  <c r="V317" i="18"/>
  <c r="V315" i="18"/>
  <c r="V313" i="18"/>
  <c r="V311" i="18"/>
  <c r="V309" i="18"/>
  <c r="V307" i="18"/>
  <c r="V305" i="18"/>
  <c r="V303" i="18"/>
  <c r="V301" i="18"/>
  <c r="V299" i="18"/>
  <c r="V297" i="18"/>
  <c r="V295" i="18"/>
  <c r="V293" i="18"/>
  <c r="V291" i="18"/>
  <c r="V289" i="18"/>
  <c r="V287" i="18"/>
  <c r="V285" i="18"/>
  <c r="V283" i="18"/>
  <c r="V281" i="18"/>
  <c r="V279" i="18"/>
  <c r="V277" i="18"/>
  <c r="V275" i="18"/>
  <c r="V273" i="18"/>
  <c r="V271" i="18"/>
  <c r="V269" i="18"/>
  <c r="V267" i="18"/>
  <c r="V265" i="18"/>
  <c r="V263" i="18"/>
  <c r="V261" i="18"/>
  <c r="V259" i="18"/>
  <c r="V257" i="18"/>
  <c r="V255" i="18"/>
  <c r="V253" i="18"/>
  <c r="V251" i="18"/>
  <c r="V249" i="18"/>
  <c r="V247" i="18"/>
  <c r="V245" i="18"/>
  <c r="V243" i="18"/>
  <c r="V241" i="18"/>
  <c r="V239" i="18"/>
  <c r="V237" i="18"/>
  <c r="V235" i="18"/>
  <c r="V233" i="18"/>
  <c r="V231" i="18"/>
  <c r="V229" i="18"/>
  <c r="V227" i="18"/>
  <c r="V225" i="18"/>
  <c r="V223" i="18"/>
  <c r="V221" i="18"/>
  <c r="V219" i="18"/>
  <c r="V217" i="18"/>
  <c r="V215" i="18"/>
  <c r="V213" i="18"/>
  <c r="V211" i="18"/>
  <c r="V209" i="18"/>
  <c r="V207" i="18"/>
  <c r="V205" i="18"/>
  <c r="V203" i="18"/>
  <c r="V201" i="18"/>
  <c r="V199" i="18"/>
  <c r="V197" i="18"/>
  <c r="V195" i="18"/>
  <c r="V193" i="18"/>
  <c r="V191" i="18"/>
  <c r="V189" i="18"/>
  <c r="V187" i="18"/>
  <c r="V185" i="18"/>
  <c r="V183" i="18"/>
  <c r="V181" i="18"/>
  <c r="V179" i="18"/>
  <c r="V177" i="18"/>
  <c r="V175" i="18"/>
  <c r="V173" i="18"/>
  <c r="V171" i="18"/>
  <c r="V169" i="18"/>
  <c r="V167" i="18"/>
  <c r="V165" i="18"/>
  <c r="V163" i="18"/>
  <c r="V161" i="18"/>
  <c r="V159" i="18"/>
  <c r="V157" i="18"/>
  <c r="V155" i="18"/>
  <c r="V153" i="18"/>
  <c r="V151" i="18"/>
  <c r="V149" i="18"/>
  <c r="V147" i="18"/>
  <c r="V145" i="18"/>
  <c r="V143" i="18"/>
  <c r="V141" i="18"/>
  <c r="V139" i="18"/>
  <c r="V137" i="18"/>
  <c r="V135" i="18"/>
  <c r="V133" i="18"/>
  <c r="V131" i="18"/>
  <c r="V129" i="18"/>
  <c r="V127" i="18"/>
  <c r="V125" i="18"/>
  <c r="V123" i="18"/>
  <c r="V121" i="18"/>
  <c r="V119" i="18"/>
  <c r="V117" i="18"/>
  <c r="V115" i="18"/>
  <c r="V113" i="18"/>
  <c r="V111" i="18"/>
  <c r="V109" i="18"/>
  <c r="V107" i="18"/>
  <c r="V105" i="18"/>
  <c r="V103" i="18"/>
  <c r="V101" i="18"/>
  <c r="V99" i="18"/>
  <c r="V97" i="18"/>
  <c r="V95" i="18"/>
  <c r="V93" i="18"/>
  <c r="V91" i="18"/>
  <c r="V89" i="18"/>
  <c r="V87" i="18"/>
  <c r="V85" i="18"/>
  <c r="V83" i="18"/>
  <c r="V81" i="18"/>
  <c r="V79" i="18"/>
  <c r="V77" i="18"/>
  <c r="V75" i="18"/>
  <c r="V73" i="18"/>
  <c r="V71" i="18"/>
  <c r="V69" i="18"/>
  <c r="V67" i="18"/>
  <c r="Y19" i="18"/>
  <c r="X13" i="18"/>
  <c r="V19" i="18"/>
  <c r="X19" i="18" s="1"/>
  <c r="V17" i="18"/>
  <c r="V18" i="18"/>
  <c r="W276" i="18" l="1"/>
  <c r="Y204" i="18"/>
  <c r="Y322" i="18"/>
  <c r="X314" i="18"/>
  <c r="W92" i="18"/>
  <c r="Y320" i="18"/>
  <c r="W164" i="18"/>
  <c r="W300" i="18"/>
  <c r="W314" i="18"/>
  <c r="Y194" i="18"/>
  <c r="Y14" i="18"/>
  <c r="W14" i="18"/>
  <c r="Y15" i="18"/>
  <c r="W15" i="18"/>
  <c r="Y18" i="18"/>
  <c r="W18" i="18"/>
  <c r="Y17" i="18"/>
  <c r="W17" i="18"/>
  <c r="Y16" i="18"/>
  <c r="W16" i="18"/>
  <c r="V2974" i="18"/>
  <c r="I4" i="18" s="1"/>
  <c r="W298" i="18"/>
  <c r="X266" i="18"/>
  <c r="W218" i="18"/>
  <c r="Y82" i="18"/>
  <c r="X14" i="18"/>
  <c r="X130" i="18"/>
  <c r="W258" i="18"/>
  <c r="X170" i="18"/>
  <c r="Y210" i="18"/>
  <c r="W326" i="18"/>
  <c r="X98" i="18"/>
  <c r="Y128" i="18"/>
  <c r="Y286" i="18"/>
  <c r="Y316" i="18"/>
  <c r="Y80" i="18"/>
  <c r="Y74" i="18"/>
  <c r="X90" i="18"/>
  <c r="Y122" i="18"/>
  <c r="W162" i="18"/>
  <c r="W186" i="18"/>
  <c r="X242" i="18"/>
  <c r="W66" i="18"/>
  <c r="X72" i="18"/>
  <c r="W106" i="18"/>
  <c r="X154" i="18"/>
  <c r="X184" i="18"/>
  <c r="Y208" i="18"/>
  <c r="X234" i="18"/>
  <c r="W72" i="18"/>
  <c r="W80" i="18"/>
  <c r="X104" i="18"/>
  <c r="X152" i="18"/>
  <c r="W192" i="18"/>
  <c r="Y280" i="18"/>
  <c r="X118" i="18"/>
  <c r="Y224" i="18"/>
  <c r="Y254" i="18"/>
  <c r="Y278" i="18"/>
  <c r="W288" i="18"/>
  <c r="Y332" i="18"/>
  <c r="X88" i="18"/>
  <c r="W120" i="18"/>
  <c r="W136" i="18"/>
  <c r="X232" i="18"/>
  <c r="X256" i="18"/>
  <c r="W318" i="18"/>
  <c r="W142" i="18"/>
  <c r="Y180" i="18"/>
  <c r="W214" i="18"/>
  <c r="X246" i="18"/>
  <c r="W310" i="18"/>
  <c r="W316" i="18"/>
  <c r="Y102" i="18"/>
  <c r="Y112" i="18"/>
  <c r="Y134" i="18"/>
  <c r="Y144" i="18"/>
  <c r="Y160" i="18"/>
  <c r="X168" i="18"/>
  <c r="W176" i="18"/>
  <c r="Y198" i="18"/>
  <c r="Y222" i="18"/>
  <c r="X224" i="18"/>
  <c r="Y240" i="18"/>
  <c r="W248" i="18"/>
  <c r="Y272" i="18"/>
  <c r="W280" i="18"/>
  <c r="X296" i="18"/>
  <c r="Y304" i="18"/>
  <c r="Y312" i="18"/>
  <c r="Y318" i="18"/>
  <c r="X324" i="18"/>
  <c r="X332" i="18"/>
  <c r="Y86" i="18"/>
  <c r="Y110" i="18"/>
  <c r="W112" i="18"/>
  <c r="X128" i="18"/>
  <c r="X136" i="18"/>
  <c r="Y146" i="18"/>
  <c r="X160" i="18"/>
  <c r="W168" i="18"/>
  <c r="Y184" i="18"/>
  <c r="X192" i="18"/>
  <c r="X200" i="18"/>
  <c r="Y216" i="18"/>
  <c r="W230" i="18"/>
  <c r="X240" i="18"/>
  <c r="Y248" i="18"/>
  <c r="X264" i="18"/>
  <c r="W274" i="18"/>
  <c r="X282" i="18"/>
  <c r="Y296" i="18"/>
  <c r="W304" i="18"/>
  <c r="W324" i="18"/>
  <c r="W70" i="18"/>
  <c r="W78" i="18"/>
  <c r="X134" i="18"/>
  <c r="Y294" i="18"/>
  <c r="Y70" i="18"/>
  <c r="X86" i="18"/>
  <c r="Y88" i="18"/>
  <c r="Y94" i="18"/>
  <c r="W102" i="18"/>
  <c r="Y104" i="18"/>
  <c r="X110" i="18"/>
  <c r="Y124" i="18"/>
  <c r="Y120" i="18"/>
  <c r="W126" i="18"/>
  <c r="X142" i="18"/>
  <c r="W144" i="18"/>
  <c r="W158" i="18"/>
  <c r="W160" i="18"/>
  <c r="X174" i="18"/>
  <c r="Y176" i="18"/>
  <c r="X182" i="18"/>
  <c r="X198" i="18"/>
  <c r="W200" i="18"/>
  <c r="Y206" i="18"/>
  <c r="X214" i="18"/>
  <c r="W216" i="18"/>
  <c r="X222" i="18"/>
  <c r="X230" i="18"/>
  <c r="W232" i="18"/>
  <c r="W238" i="18"/>
  <c r="W254" i="18"/>
  <c r="Y256" i="18"/>
  <c r="W270" i="18"/>
  <c r="W272" i="18"/>
  <c r="Y292" i="18"/>
  <c r="X288" i="18"/>
  <c r="W294" i="18"/>
  <c r="X310" i="18"/>
  <c r="W312" i="18"/>
  <c r="W330" i="18"/>
  <c r="Y118" i="18"/>
  <c r="Y150" i="18"/>
  <c r="W174" i="18"/>
  <c r="Y182" i="18"/>
  <c r="Y190" i="18"/>
  <c r="Y230" i="18"/>
  <c r="W246" i="18"/>
  <c r="W262" i="18"/>
  <c r="W286" i="18"/>
  <c r="Y302" i="18"/>
  <c r="Y78" i="18"/>
  <c r="X94" i="18"/>
  <c r="X126" i="18"/>
  <c r="W150" i="18"/>
  <c r="Y158" i="18"/>
  <c r="W190" i="18"/>
  <c r="W206" i="18"/>
  <c r="X238" i="18"/>
  <c r="Y262" i="18"/>
  <c r="Y270" i="18"/>
  <c r="W302" i="18"/>
  <c r="Y90" i="18"/>
  <c r="Y106" i="18"/>
  <c r="W114" i="18"/>
  <c r="W122" i="18"/>
  <c r="Y130" i="18"/>
  <c r="W146" i="18"/>
  <c r="Y154" i="18"/>
  <c r="W170" i="18"/>
  <c r="X178" i="18"/>
  <c r="Y202" i="18"/>
  <c r="Y218" i="18"/>
  <c r="W226" i="18"/>
  <c r="W234" i="18"/>
  <c r="W242" i="18"/>
  <c r="Y264" i="18"/>
  <c r="Y266" i="18"/>
  <c r="W282" i="18"/>
  <c r="X290" i="18"/>
  <c r="X66" i="18"/>
  <c r="W74" i="18"/>
  <c r="W90" i="18"/>
  <c r="W98" i="18"/>
  <c r="Y114" i="18"/>
  <c r="Y152" i="18"/>
  <c r="W148" i="18"/>
  <c r="Y162" i="18"/>
  <c r="Y178" i="18"/>
  <c r="X186" i="18"/>
  <c r="W202" i="18"/>
  <c r="W210" i="18"/>
  <c r="X226" i="18"/>
  <c r="X258" i="18"/>
  <c r="Y260" i="18"/>
  <c r="X274" i="18"/>
  <c r="Y290" i="18"/>
  <c r="Y298" i="18"/>
  <c r="X326" i="18"/>
  <c r="X15" i="18"/>
  <c r="X108" i="18"/>
  <c r="W132" i="18"/>
  <c r="Y220" i="18"/>
  <c r="Y250" i="18"/>
  <c r="X68" i="18"/>
  <c r="W76" i="18"/>
  <c r="Y84" i="18"/>
  <c r="Y92" i="18"/>
  <c r="X100" i="18"/>
  <c r="W108" i="18"/>
  <c r="W116" i="18"/>
  <c r="X124" i="18"/>
  <c r="X132" i="18"/>
  <c r="W140" i="18"/>
  <c r="Y148" i="18"/>
  <c r="W156" i="18"/>
  <c r="Y164" i="18"/>
  <c r="W172" i="18"/>
  <c r="X180" i="18"/>
  <c r="X188" i="18"/>
  <c r="W196" i="18"/>
  <c r="X204" i="18"/>
  <c r="X212" i="18"/>
  <c r="X220" i="18"/>
  <c r="X228" i="18"/>
  <c r="X236" i="18"/>
  <c r="W244" i="18"/>
  <c r="Y252" i="18"/>
  <c r="W260" i="18"/>
  <c r="W268" i="18"/>
  <c r="X276" i="18"/>
  <c r="W284" i="18"/>
  <c r="X292" i="18"/>
  <c r="Y306" i="18"/>
  <c r="W308" i="18"/>
  <c r="X328" i="18"/>
  <c r="Y76" i="18"/>
  <c r="X84" i="18"/>
  <c r="W100" i="18"/>
  <c r="Y116" i="18"/>
  <c r="Y132" i="18"/>
  <c r="X140" i="18"/>
  <c r="X156" i="18"/>
  <c r="Y172" i="18"/>
  <c r="Y188" i="18"/>
  <c r="Y196" i="18"/>
  <c r="W212" i="18"/>
  <c r="Y228" i="18"/>
  <c r="X244" i="18"/>
  <c r="X252" i="18"/>
  <c r="Y268" i="18"/>
  <c r="X284" i="18"/>
  <c r="X300" i="18"/>
  <c r="Y308" i="18"/>
  <c r="W328" i="18"/>
  <c r="Y334" i="18"/>
  <c r="X330" i="18"/>
  <c r="Y89" i="18"/>
  <c r="W83" i="18"/>
  <c r="X83" i="18"/>
  <c r="Y83" i="18"/>
  <c r="X99" i="18"/>
  <c r="W99" i="18"/>
  <c r="Y99" i="18"/>
  <c r="W123" i="18"/>
  <c r="Y123" i="18"/>
  <c r="X123" i="18"/>
  <c r="Y145" i="18"/>
  <c r="W139" i="18"/>
  <c r="Y139" i="18"/>
  <c r="X139" i="18"/>
  <c r="Y155" i="18"/>
  <c r="W155" i="18"/>
  <c r="X155" i="18"/>
  <c r="W179" i="18"/>
  <c r="X179" i="18"/>
  <c r="Y179" i="18"/>
  <c r="W195" i="18"/>
  <c r="Y195" i="18"/>
  <c r="X195" i="18"/>
  <c r="Y201" i="18"/>
  <c r="Y211" i="18"/>
  <c r="X211" i="18"/>
  <c r="W211" i="18"/>
  <c r="Y227" i="18"/>
  <c r="X227" i="18"/>
  <c r="W227" i="18"/>
  <c r="X243" i="18"/>
  <c r="X267" i="18"/>
  <c r="W267" i="18"/>
  <c r="Y267" i="18"/>
  <c r="X283" i="18"/>
  <c r="Y283" i="18"/>
  <c r="W283" i="18"/>
  <c r="X299" i="18"/>
  <c r="X315" i="18"/>
  <c r="Y315" i="18"/>
  <c r="W315" i="18"/>
  <c r="X331" i="18"/>
  <c r="W331" i="18"/>
  <c r="Y331" i="18"/>
  <c r="Y23" i="18"/>
  <c r="X23" i="18"/>
  <c r="W23" i="18"/>
  <c r="Y39" i="18"/>
  <c r="W39" i="18"/>
  <c r="X39" i="18"/>
  <c r="X47" i="18"/>
  <c r="Y40" i="18"/>
  <c r="X34" i="18"/>
  <c r="W34" i="18"/>
  <c r="Y34" i="18"/>
  <c r="Y50" i="18"/>
  <c r="X50" i="18"/>
  <c r="W50" i="18"/>
  <c r="Y75" i="18"/>
  <c r="W69" i="18"/>
  <c r="X69" i="18"/>
  <c r="Y69" i="18"/>
  <c r="W93" i="18"/>
  <c r="X93" i="18"/>
  <c r="Y93" i="18"/>
  <c r="X117" i="18"/>
  <c r="W133" i="18"/>
  <c r="Y133" i="18"/>
  <c r="X133" i="18"/>
  <c r="Y149" i="18"/>
  <c r="W149" i="18"/>
  <c r="X149" i="18"/>
  <c r="Y165" i="18"/>
  <c r="X165" i="18"/>
  <c r="W165" i="18"/>
  <c r="Y181" i="18"/>
  <c r="Y187" i="18"/>
  <c r="W181" i="18"/>
  <c r="X181" i="18"/>
  <c r="W197" i="18"/>
  <c r="Y197" i="18"/>
  <c r="X197" i="18"/>
  <c r="Y221" i="18"/>
  <c r="W221" i="18"/>
  <c r="X221" i="18"/>
  <c r="Y245" i="18"/>
  <c r="W245" i="18"/>
  <c r="X245" i="18"/>
  <c r="Y269" i="18"/>
  <c r="W269" i="18"/>
  <c r="X269" i="18"/>
  <c r="Y277" i="18"/>
  <c r="X277" i="18"/>
  <c r="W277" i="18"/>
  <c r="X301" i="18"/>
  <c r="W301" i="18"/>
  <c r="Y301" i="18"/>
  <c r="X325" i="18"/>
  <c r="W325" i="18"/>
  <c r="Y325" i="18"/>
  <c r="X16" i="18"/>
  <c r="Y79" i="18"/>
  <c r="X79" i="18"/>
  <c r="W79" i="18"/>
  <c r="Y87" i="18"/>
  <c r="W87" i="18"/>
  <c r="X87" i="18"/>
  <c r="X103" i="18"/>
  <c r="Y119" i="18"/>
  <c r="X119" i="18"/>
  <c r="W119" i="18"/>
  <c r="Y135" i="18"/>
  <c r="W135" i="18"/>
  <c r="X135" i="18"/>
  <c r="X151" i="18"/>
  <c r="W151" i="18"/>
  <c r="Y151" i="18"/>
  <c r="X159" i="18"/>
  <c r="Y175" i="18"/>
  <c r="X175" i="18"/>
  <c r="W175" i="18"/>
  <c r="W191" i="18"/>
  <c r="X191" i="18"/>
  <c r="Y191" i="18"/>
  <c r="X207" i="18"/>
  <c r="Y207" i="18"/>
  <c r="W207" i="18"/>
  <c r="X215" i="18"/>
  <c r="Y231" i="18"/>
  <c r="X231" i="18"/>
  <c r="W231" i="18"/>
  <c r="Y247" i="18"/>
  <c r="W247" i="18"/>
  <c r="X247" i="18"/>
  <c r="Y255" i="18"/>
  <c r="W255" i="18"/>
  <c r="X255" i="18"/>
  <c r="X271" i="18"/>
  <c r="W287" i="18"/>
  <c r="Y287" i="18"/>
  <c r="X287" i="18"/>
  <c r="Y303" i="18"/>
  <c r="W303" i="18"/>
  <c r="X303" i="18"/>
  <c r="X319" i="18"/>
  <c r="W319" i="18"/>
  <c r="Y319" i="18"/>
  <c r="Y33" i="18"/>
  <c r="W27" i="18"/>
  <c r="X27" i="18"/>
  <c r="Y27" i="18"/>
  <c r="X43" i="18"/>
  <c r="Y43" i="18"/>
  <c r="W43" i="18"/>
  <c r="Y59" i="18"/>
  <c r="W59" i="18"/>
  <c r="X59" i="18"/>
  <c r="Y73" i="18"/>
  <c r="W73" i="18"/>
  <c r="X73" i="18"/>
  <c r="Y81" i="18"/>
  <c r="X81" i="18"/>
  <c r="W81" i="18"/>
  <c r="X89" i="18"/>
  <c r="X97" i="18"/>
  <c r="Y97" i="18"/>
  <c r="W97" i="18"/>
  <c r="Y103" i="18"/>
  <c r="X105" i="18"/>
  <c r="Y105" i="18"/>
  <c r="W105" i="18"/>
  <c r="X113" i="18"/>
  <c r="Y113" i="18"/>
  <c r="W113" i="18"/>
  <c r="X121" i="18"/>
  <c r="Y121" i="18"/>
  <c r="W121" i="18"/>
  <c r="Y129" i="18"/>
  <c r="X129" i="18"/>
  <c r="W129" i="18"/>
  <c r="Y137" i="18"/>
  <c r="X137" i="18"/>
  <c r="W137" i="18"/>
  <c r="X145" i="18"/>
  <c r="Y153" i="18"/>
  <c r="X153" i="18"/>
  <c r="W153" i="18"/>
  <c r="Y159" i="18"/>
  <c r="Y161" i="18"/>
  <c r="W161" i="18"/>
  <c r="X161" i="18"/>
  <c r="X169" i="18"/>
  <c r="W169" i="18"/>
  <c r="Y169" i="18"/>
  <c r="X177" i="18"/>
  <c r="Y177" i="18"/>
  <c r="W177" i="18"/>
  <c r="Y185" i="18"/>
  <c r="W185" i="18"/>
  <c r="X185" i="18"/>
  <c r="Y193" i="18"/>
  <c r="X193" i="18"/>
  <c r="W193" i="18"/>
  <c r="X201" i="18"/>
  <c r="W209" i="18"/>
  <c r="X209" i="18"/>
  <c r="Y215" i="18"/>
  <c r="Y209" i="18"/>
  <c r="W217" i="18"/>
  <c r="X217" i="18"/>
  <c r="Y217" i="18"/>
  <c r="W225" i="18"/>
  <c r="Y225" i="18"/>
  <c r="X225" i="18"/>
  <c r="X233" i="18"/>
  <c r="W233" i="18"/>
  <c r="Y233" i="18"/>
  <c r="X241" i="18"/>
  <c r="Y241" i="18"/>
  <c r="W241" i="18"/>
  <c r="Y249" i="18"/>
  <c r="W249" i="18"/>
  <c r="X249" i="18"/>
  <c r="X257" i="18"/>
  <c r="W265" i="18"/>
  <c r="Y265" i="18"/>
  <c r="X265" i="18"/>
  <c r="Y271" i="18"/>
  <c r="W273" i="18"/>
  <c r="X273" i="18"/>
  <c r="Y273" i="18"/>
  <c r="Y281" i="18"/>
  <c r="W281" i="18"/>
  <c r="X281" i="18"/>
  <c r="X289" i="18"/>
  <c r="W289" i="18"/>
  <c r="Y289" i="18"/>
  <c r="Y297" i="18"/>
  <c r="X297" i="18"/>
  <c r="W297" i="18"/>
  <c r="W305" i="18"/>
  <c r="X305" i="18"/>
  <c r="Y305" i="18"/>
  <c r="X313" i="18"/>
  <c r="Y327" i="18"/>
  <c r="W321" i="18"/>
  <c r="X321" i="18"/>
  <c r="Y321" i="18"/>
  <c r="Y329" i="18"/>
  <c r="X329" i="18"/>
  <c r="W329" i="18"/>
  <c r="Y21" i="18"/>
  <c r="W21" i="18"/>
  <c r="X21" i="18"/>
  <c r="Y29" i="18"/>
  <c r="W29" i="18"/>
  <c r="X29" i="18"/>
  <c r="Y37" i="18"/>
  <c r="X37" i="18"/>
  <c r="W37" i="18"/>
  <c r="X45" i="18"/>
  <c r="Y45" i="18"/>
  <c r="W45" i="18"/>
  <c r="Y53" i="18"/>
  <c r="X53" i="18"/>
  <c r="W53" i="18"/>
  <c r="X61" i="18"/>
  <c r="Y24" i="18"/>
  <c r="W24" i="18"/>
  <c r="X24" i="18"/>
  <c r="Y32" i="18"/>
  <c r="W32" i="18"/>
  <c r="X32" i="18"/>
  <c r="X40" i="18"/>
  <c r="Y54" i="18"/>
  <c r="W48" i="18"/>
  <c r="Y48" i="18"/>
  <c r="X48" i="18"/>
  <c r="Y56" i="18"/>
  <c r="W56" i="18"/>
  <c r="X56" i="18"/>
  <c r="Y64" i="18"/>
  <c r="W64" i="18"/>
  <c r="X64" i="18"/>
  <c r="Y67" i="18"/>
  <c r="W67" i="18"/>
  <c r="X67" i="18"/>
  <c r="W91" i="18"/>
  <c r="X91" i="18"/>
  <c r="Y91" i="18"/>
  <c r="X115" i="18"/>
  <c r="W115" i="18"/>
  <c r="Y115" i="18"/>
  <c r="X147" i="18"/>
  <c r="W147" i="18"/>
  <c r="Y147" i="18"/>
  <c r="X171" i="18"/>
  <c r="W171" i="18"/>
  <c r="Y171" i="18"/>
  <c r="W203" i="18"/>
  <c r="Y203" i="18"/>
  <c r="X203" i="18"/>
  <c r="Y235" i="18"/>
  <c r="W235" i="18"/>
  <c r="X235" i="18"/>
  <c r="Y259" i="18"/>
  <c r="W259" i="18"/>
  <c r="X259" i="18"/>
  <c r="Y291" i="18"/>
  <c r="X291" i="18"/>
  <c r="W291" i="18"/>
  <c r="Y323" i="18"/>
  <c r="X323" i="18"/>
  <c r="W323" i="18"/>
  <c r="Y61" i="18"/>
  <c r="W55" i="18"/>
  <c r="X55" i="18"/>
  <c r="Y55" i="18"/>
  <c r="X42" i="18"/>
  <c r="Y42" i="18"/>
  <c r="W42" i="18"/>
  <c r="Y85" i="18"/>
  <c r="X85" i="18"/>
  <c r="W85" i="18"/>
  <c r="X109" i="18"/>
  <c r="Y109" i="18"/>
  <c r="W109" i="18"/>
  <c r="X141" i="18"/>
  <c r="Y141" i="18"/>
  <c r="W141" i="18"/>
  <c r="X173" i="18"/>
  <c r="W205" i="18"/>
  <c r="Y205" i="18"/>
  <c r="X205" i="18"/>
  <c r="X229" i="18"/>
  <c r="Y261" i="18"/>
  <c r="W261" i="18"/>
  <c r="X261" i="18"/>
  <c r="X285" i="18"/>
  <c r="X309" i="18"/>
  <c r="Y309" i="18"/>
  <c r="W309" i="18"/>
  <c r="Y333" i="18"/>
  <c r="X333" i="18"/>
  <c r="W333" i="18"/>
  <c r="Y25" i="18"/>
  <c r="W25" i="18"/>
  <c r="X25" i="18"/>
  <c r="X33" i="18"/>
  <c r="X41" i="18"/>
  <c r="Y47" i="18"/>
  <c r="Y41" i="18"/>
  <c r="W41" i="18"/>
  <c r="Y49" i="18"/>
  <c r="X49" i="18"/>
  <c r="W49" i="18"/>
  <c r="Y57" i="18"/>
  <c r="X57" i="18"/>
  <c r="W57" i="18"/>
  <c r="Y65" i="18"/>
  <c r="X65" i="18"/>
  <c r="W65" i="18"/>
  <c r="Y26" i="18"/>
  <c r="Y20" i="18"/>
  <c r="X20" i="18"/>
  <c r="W20" i="18"/>
  <c r="Y28" i="18"/>
  <c r="W28" i="18"/>
  <c r="X28" i="18"/>
  <c r="Y36" i="18"/>
  <c r="W36" i="18"/>
  <c r="X36" i="18"/>
  <c r="X44" i="18"/>
  <c r="Y44" i="18"/>
  <c r="W44" i="18"/>
  <c r="Y52" i="18"/>
  <c r="W52" i="18"/>
  <c r="X52" i="18"/>
  <c r="Y60" i="18"/>
  <c r="X60" i="18"/>
  <c r="W60" i="18"/>
  <c r="X75" i="18"/>
  <c r="X107" i="18"/>
  <c r="Y107" i="18"/>
  <c r="W107" i="18"/>
  <c r="X131" i="18"/>
  <c r="W163" i="18"/>
  <c r="Y163" i="18"/>
  <c r="X163" i="18"/>
  <c r="X187" i="18"/>
  <c r="W219" i="18"/>
  <c r="X219" i="18"/>
  <c r="Y219" i="18"/>
  <c r="Y257" i="18"/>
  <c r="W251" i="18"/>
  <c r="X251" i="18"/>
  <c r="Y251" i="18"/>
  <c r="X275" i="18"/>
  <c r="Y275" i="18"/>
  <c r="W275" i="18"/>
  <c r="Y313" i="18"/>
  <c r="Y307" i="18"/>
  <c r="X307" i="18"/>
  <c r="W307" i="18"/>
  <c r="Y31" i="18"/>
  <c r="W31" i="18"/>
  <c r="X31" i="18"/>
  <c r="Y63" i="18"/>
  <c r="W63" i="18"/>
  <c r="X63" i="18"/>
  <c r="X26" i="18"/>
  <c r="Y58" i="18"/>
  <c r="W58" i="18"/>
  <c r="X58" i="18"/>
  <c r="Y77" i="18"/>
  <c r="X77" i="18"/>
  <c r="W77" i="18"/>
  <c r="X101" i="18"/>
  <c r="Y101" i="18"/>
  <c r="W101" i="18"/>
  <c r="Y125" i="18"/>
  <c r="Y131" i="18"/>
  <c r="X125" i="18"/>
  <c r="W125" i="18"/>
  <c r="Y157" i="18"/>
  <c r="X157" i="18"/>
  <c r="W157" i="18"/>
  <c r="W189" i="18"/>
  <c r="X189" i="18"/>
  <c r="Y189" i="18"/>
  <c r="W213" i="18"/>
  <c r="Y213" i="18"/>
  <c r="X213" i="18"/>
  <c r="X237" i="18"/>
  <c r="W237" i="18"/>
  <c r="Y243" i="18"/>
  <c r="Y237" i="18"/>
  <c r="Y253" i="18"/>
  <c r="W253" i="18"/>
  <c r="X253" i="18"/>
  <c r="Y293" i="18"/>
  <c r="X293" i="18"/>
  <c r="Y299" i="18"/>
  <c r="W293" i="18"/>
  <c r="Y317" i="18"/>
  <c r="W317" i="18"/>
  <c r="X317" i="18"/>
  <c r="Y71" i="18"/>
  <c r="X71" i="18"/>
  <c r="W71" i="18"/>
  <c r="W95" i="18"/>
  <c r="X95" i="18"/>
  <c r="Y95" i="18"/>
  <c r="Y117" i="18"/>
  <c r="Y111" i="18"/>
  <c r="X111" i="18"/>
  <c r="W111" i="18"/>
  <c r="Y127" i="18"/>
  <c r="W127" i="18"/>
  <c r="X127" i="18"/>
  <c r="X143" i="18"/>
  <c r="W143" i="18"/>
  <c r="Y143" i="18"/>
  <c r="X167" i="18"/>
  <c r="Y173" i="18"/>
  <c r="W167" i="18"/>
  <c r="Y167" i="18"/>
  <c r="W183" i="18"/>
  <c r="X183" i="18"/>
  <c r="Y183" i="18"/>
  <c r="Y199" i="18"/>
  <c r="X199" i="18"/>
  <c r="W199" i="18"/>
  <c r="Y229" i="18"/>
  <c r="Y223" i="18"/>
  <c r="X223" i="18"/>
  <c r="W223" i="18"/>
  <c r="Y239" i="18"/>
  <c r="X239" i="18"/>
  <c r="W239" i="18"/>
  <c r="Y263" i="18"/>
  <c r="W263" i="18"/>
  <c r="X263" i="18"/>
  <c r="X279" i="18"/>
  <c r="W279" i="18"/>
  <c r="Y279" i="18"/>
  <c r="Y285" i="18"/>
  <c r="W295" i="18"/>
  <c r="X295" i="18"/>
  <c r="Y295" i="18"/>
  <c r="W311" i="18"/>
  <c r="Y311" i="18"/>
  <c r="X311" i="18"/>
  <c r="X327" i="18"/>
  <c r="Y35" i="18"/>
  <c r="X35" i="18"/>
  <c r="W35" i="18"/>
  <c r="Y51" i="18"/>
  <c r="W51" i="18"/>
  <c r="X51" i="18"/>
  <c r="Y22" i="18"/>
  <c r="X22" i="18"/>
  <c r="W22" i="18"/>
  <c r="Y30" i="18"/>
  <c r="W30" i="18"/>
  <c r="X30" i="18"/>
  <c r="Y38" i="18"/>
  <c r="X38" i="18"/>
  <c r="W38" i="18"/>
  <c r="X46" i="18"/>
  <c r="Y46" i="18"/>
  <c r="W46" i="18"/>
  <c r="X54" i="18"/>
  <c r="Y68" i="18"/>
  <c r="W62" i="18"/>
  <c r="X62" i="18"/>
  <c r="Y62" i="18"/>
  <c r="X18" i="18"/>
  <c r="X17" i="18"/>
  <c r="Y2974" i="18" l="1"/>
  <c r="S5" i="18" s="1"/>
  <c r="X2974" i="18"/>
  <c r="S4" i="18" s="1"/>
  <c r="S6" i="18" l="1"/>
  <c r="S7" i="18" s="1"/>
  <c r="C3" i="5" l="1"/>
  <c r="L40" i="8"/>
  <c r="M40" i="8" s="1"/>
  <c r="L39" i="8"/>
  <c r="L20" i="8" s="1"/>
  <c r="D39" i="8"/>
  <c r="D20" i="8" s="1"/>
  <c r="R39" i="8"/>
  <c r="U39" i="8" s="1"/>
  <c r="U20" i="8" s="1"/>
  <c r="H6" i="3" l="1"/>
  <c r="G7" i="3" s="1"/>
  <c r="H7" i="3" s="1"/>
  <c r="G8" i="3" s="1"/>
  <c r="M39" i="8"/>
  <c r="M20" i="8" s="1"/>
  <c r="R20" i="8"/>
  <c r="H8" i="3" l="1"/>
  <c r="G9" i="3" s="1"/>
  <c r="H9" i="3" s="1"/>
  <c r="G10" i="3" s="1"/>
  <c r="H10" i="3" s="1"/>
  <c r="G11" i="3" s="1"/>
  <c r="H11" i="3" s="1"/>
  <c r="P11" i="5"/>
  <c r="M8" i="8" s="1"/>
  <c r="T11" i="5" l="1"/>
  <c r="Q8" i="8" s="1"/>
  <c r="V24" i="5"/>
  <c r="M24" i="5"/>
  <c r="H11" i="8" l="1"/>
  <c r="H10" i="8"/>
  <c r="H8" i="8"/>
  <c r="F28" i="8"/>
  <c r="R36" i="8"/>
  <c r="U36" i="8" s="1"/>
  <c r="U17" i="8" s="1"/>
  <c r="R35" i="8"/>
  <c r="U35" i="8" s="1"/>
  <c r="U16" i="8" s="1"/>
  <c r="R34" i="8"/>
  <c r="U34" i="8" s="1"/>
  <c r="U15" i="8" s="1"/>
  <c r="L36" i="8"/>
  <c r="M36" i="8" s="1"/>
  <c r="M17" i="8" s="1"/>
  <c r="D36" i="8"/>
  <c r="D17" i="8" s="1"/>
  <c r="L35" i="8"/>
  <c r="M35" i="8" s="1"/>
  <c r="M16" i="8" s="1"/>
  <c r="D35" i="8"/>
  <c r="D16" i="8" s="1"/>
  <c r="L34" i="8"/>
  <c r="M34" i="8" s="1"/>
  <c r="M15" i="8" s="1"/>
  <c r="D34" i="8"/>
  <c r="D15" i="8" s="1"/>
  <c r="R38" i="8"/>
  <c r="U38" i="8" s="1"/>
  <c r="U19" i="8" s="1"/>
  <c r="L38" i="8"/>
  <c r="D38" i="8"/>
  <c r="D19" i="8" s="1"/>
  <c r="R37" i="8"/>
  <c r="U37" i="8" s="1"/>
  <c r="U18" i="8" s="1"/>
  <c r="L37" i="8"/>
  <c r="L18" i="8" s="1"/>
  <c r="D37" i="8"/>
  <c r="D18" i="8" s="1"/>
  <c r="F30" i="8"/>
  <c r="F29" i="8"/>
  <c r="L19" i="8" l="1"/>
  <c r="M38" i="8"/>
  <c r="M19" i="8" s="1"/>
  <c r="L16" i="8"/>
  <c r="R18" i="8"/>
  <c r="R15" i="8"/>
  <c r="L17" i="8"/>
  <c r="R19" i="8"/>
  <c r="R16" i="8"/>
  <c r="L15" i="8"/>
  <c r="R17" i="8"/>
  <c r="M37" i="8"/>
  <c r="M18" i="8" s="1"/>
  <c r="D8" i="3"/>
  <c r="G51" i="2"/>
  <c r="G49" i="2"/>
  <c r="G48" i="2"/>
  <c r="G47" i="2"/>
  <c r="G45" i="2"/>
  <c r="G44" i="2"/>
  <c r="G43" i="2"/>
  <c r="G37" i="2"/>
  <c r="G36" i="2"/>
  <c r="T14" i="5" s="1"/>
  <c r="G35" i="2"/>
  <c r="G34" i="2"/>
  <c r="G33" i="2"/>
  <c r="G31" i="2"/>
  <c r="G30" i="2"/>
  <c r="G29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P43" i="7"/>
  <c r="T18" i="7"/>
  <c r="B15" i="7"/>
  <c r="T19" i="7" s="1"/>
  <c r="B9" i="7"/>
  <c r="T12" i="7" s="1"/>
  <c r="V23" i="5"/>
  <c r="M23" i="5"/>
  <c r="V22" i="5"/>
  <c r="M22" i="5"/>
  <c r="V21" i="5"/>
  <c r="M21" i="5"/>
  <c r="V20" i="5"/>
  <c r="M20" i="5"/>
  <c r="V19" i="5"/>
  <c r="M19" i="5"/>
  <c r="M14" i="5"/>
  <c r="T13" i="5"/>
  <c r="X28" i="8" s="1"/>
  <c r="M13" i="5"/>
  <c r="X24" i="5" l="1"/>
  <c r="Z24" i="5" s="1"/>
  <c r="AC24" i="5" s="1"/>
  <c r="Z25" i="5"/>
  <c r="S10" i="8"/>
  <c r="X21" i="5"/>
  <c r="Z21" i="5" s="1"/>
  <c r="T15" i="5"/>
  <c r="S11" i="8"/>
  <c r="X29" i="8"/>
  <c r="O28" i="8"/>
  <c r="O29" i="8"/>
  <c r="X19" i="5"/>
  <c r="X23" i="5"/>
  <c r="Z23" i="5" s="1"/>
  <c r="AC23" i="5" s="1"/>
  <c r="X20" i="5"/>
  <c r="X22" i="5"/>
  <c r="Z22" i="5" s="1"/>
  <c r="AC22" i="5" s="1"/>
  <c r="Z19" i="5" l="1"/>
  <c r="AC19" i="5" s="1"/>
  <c r="AF19" i="5" s="1"/>
  <c r="W34" i="8" s="1"/>
  <c r="AI25" i="5"/>
  <c r="Z40" i="8" s="1"/>
  <c r="AC25" i="5"/>
  <c r="AI24" i="5"/>
  <c r="Z39" i="8" s="1"/>
  <c r="AF24" i="5"/>
  <c r="W39" i="8" s="1"/>
  <c r="AI23" i="5"/>
  <c r="Z38" i="8" s="1"/>
  <c r="AF23" i="5"/>
  <c r="W38" i="8" s="1"/>
  <c r="AI22" i="5"/>
  <c r="Z37" i="8" s="1"/>
  <c r="AF22" i="5"/>
  <c r="W37" i="8" s="1"/>
  <c r="Z20" i="5"/>
  <c r="AC20" i="5" s="1"/>
  <c r="AC21" i="5"/>
  <c r="X30" i="8"/>
  <c r="AI19" i="5" l="1"/>
  <c r="Z34" i="8" s="1"/>
  <c r="AI21" i="5"/>
  <c r="Z36" i="8" s="1"/>
  <c r="AF21" i="5"/>
  <c r="W36" i="8" s="1"/>
  <c r="AI20" i="5"/>
  <c r="Z35" i="8" s="1"/>
  <c r="AF20" i="5"/>
  <c r="W35" i="8" s="1"/>
  <c r="W41" i="8" l="1"/>
  <c r="Z41" i="8"/>
  <c r="AI26" i="5"/>
  <c r="AF26" i="5"/>
  <c r="W42" i="8" l="1"/>
  <c r="Y14" i="5"/>
  <c r="C24" i="7" s="1"/>
  <c r="B26" i="7"/>
  <c r="T28" i="7" l="1"/>
  <c r="U25" i="7"/>
</calcChain>
</file>

<file path=xl/sharedStrings.xml><?xml version="1.0" encoding="utf-8"?>
<sst xmlns="http://schemas.openxmlformats.org/spreadsheetml/2006/main" count="2514" uniqueCount="407">
  <si>
    <t>САН.ВЪЗЕЛ</t>
  </si>
  <si>
    <t>ХЛАДИЛНИК</t>
  </si>
  <si>
    <t>1х1,5 / 2х1</t>
  </si>
  <si>
    <t>не</t>
  </si>
  <si>
    <t>да</t>
  </si>
  <si>
    <t>2х1+1х1,5</t>
  </si>
  <si>
    <t>1х1 / 2х1+1х1,5+ф</t>
  </si>
  <si>
    <t>1х1 / 2х1+1х1,5</t>
  </si>
  <si>
    <t>1х1,5 / 2х1+1х1,5</t>
  </si>
  <si>
    <t>1х1+ф / 3х1+ф</t>
  </si>
  <si>
    <t>1х1+1х1,5</t>
  </si>
  <si>
    <t>3х1</t>
  </si>
  <si>
    <t>2х1+ф</t>
  </si>
  <si>
    <t>2х1</t>
  </si>
  <si>
    <t>2х1+3х1</t>
  </si>
  <si>
    <t>Vid_Leglo</t>
  </si>
  <si>
    <t>легло 1 персон</t>
  </si>
  <si>
    <t>Приведен брой легла</t>
  </si>
  <si>
    <t>бр. лица в бунгало</t>
  </si>
  <si>
    <t>Смяна</t>
  </si>
  <si>
    <t>I, II, VIII</t>
  </si>
  <si>
    <t>III, IV, V, VI, VII</t>
  </si>
  <si>
    <t>Извън сезона</t>
  </si>
  <si>
    <t>Дни</t>
  </si>
  <si>
    <t>10 дни</t>
  </si>
  <si>
    <t>1ден</t>
  </si>
  <si>
    <t>1 ден</t>
  </si>
  <si>
    <t>санитарен възел</t>
  </si>
  <si>
    <t>-</t>
  </si>
  <si>
    <t>Смяна:</t>
  </si>
  <si>
    <t>I</t>
  </si>
  <si>
    <t>II</t>
  </si>
  <si>
    <t>No</t>
  </si>
  <si>
    <t>Име</t>
  </si>
  <si>
    <t>Категория</t>
  </si>
  <si>
    <t>Санитарен възел:</t>
  </si>
  <si>
    <t>Бунгало:</t>
  </si>
  <si>
    <t>III</t>
  </si>
  <si>
    <t>IV</t>
  </si>
  <si>
    <t>V</t>
  </si>
  <si>
    <t>VI</t>
  </si>
  <si>
    <t>VII</t>
  </si>
  <si>
    <t>бр. дни:</t>
  </si>
  <si>
    <t>br_dni</t>
  </si>
  <si>
    <t>Хладилник:</t>
  </si>
  <si>
    <t>ЦЕНИ  ЗА  ПОЛЗВАНЕ  НА  ПОЧИВНИТЕ  БАЗИ  НА  РУСЕНСКИЯ  УНИВЕРСИТЕТ</t>
  </si>
  <si>
    <t>ДОПЪЛНИТЕЛНИ  ПОЯСНЕНИЯ:</t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</si>
  <si>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За хладилник се доплаща 10/десет/ лв. за една смяна.</t>
    </r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</si>
  <si>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За 1 ½ легло ( персон и половина) се заплаща 1 ½ от  посочените цени.</t>
    </r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</si>
  <si>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Разгъваемите  фотьойли – легла се заплащат като ½.</t>
    </r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</si>
  <si>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Служители на „НИС”, „ЦПО” и „ПБ”, както и членове на техните семейства заплащат картите по цени на ред №5.</t>
    </r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</si>
  <si>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Закупени карти не се връщат и не се преотстъпват.</t>
    </r>
  </si>
  <si>
    <t>Разполагаеми легла</t>
  </si>
  <si>
    <t>Легенда:</t>
  </si>
  <si>
    <t xml:space="preserve"> - свободно бунгало</t>
  </si>
  <si>
    <t xml:space="preserve"> - платено бунгало</t>
  </si>
  <si>
    <t xml:space="preserve"> - запазено бунгало</t>
  </si>
  <si>
    <t>2x1+3x1</t>
  </si>
  <si>
    <t>код</t>
  </si>
  <si>
    <t>наименование</t>
  </si>
  <si>
    <t>фотьойл 1/2 персона</t>
  </si>
  <si>
    <t>лелгло 1 и 1/2 персона</t>
  </si>
  <si>
    <t>код на плащане</t>
  </si>
  <si>
    <t>VIII</t>
  </si>
  <si>
    <t>Цена за всички нощувки</t>
  </si>
  <si>
    <t>Цена за една смяна/нощувка</t>
  </si>
  <si>
    <t>Легенда за колона категория:</t>
  </si>
  <si>
    <t>Общ приведен брой легла</t>
  </si>
  <si>
    <t>Приведен брой заети легла</t>
  </si>
  <si>
    <t>размер</t>
  </si>
  <si>
    <t>Обща сума</t>
  </si>
  <si>
    <t>за цялото бунгало</t>
  </si>
  <si>
    <t>Междинен код на плащане:</t>
  </si>
  <si>
    <t>организация</t>
  </si>
  <si>
    <t>ЕИК</t>
  </si>
  <si>
    <t>Русенски университет "Ангел Кънчев"</t>
  </si>
  <si>
    <t>Русенски университет
"Ангел Кънчев"</t>
  </si>
  <si>
    <t>П Р И Х О Д Е Н   О Р Д Е Р</t>
  </si>
  <si>
    <t>№</t>
  </si>
  <si>
    <t>дата</t>
  </si>
  <si>
    <t>К В И Т А Н Ц И Я</t>
  </si>
  <si>
    <t xml:space="preserve">     Да се приеме от /трите имена/</t>
  </si>
  <si>
    <t>Към приходен касов ордер</t>
  </si>
  <si>
    <t>Получен от</t>
  </si>
  <si>
    <t xml:space="preserve">    за /срещу/</t>
  </si>
  <si>
    <t xml:space="preserve">  за /срещу/</t>
  </si>
  <si>
    <t>с у м а т а</t>
  </si>
  <si>
    <t>цифром:</t>
  </si>
  <si>
    <t>словом:</t>
  </si>
  <si>
    <t>касиер</t>
  </si>
  <si>
    <t>вносител</t>
  </si>
  <si>
    <t>гл. счетоводител</t>
  </si>
  <si>
    <t xml:space="preserve">подпис  </t>
  </si>
  <si>
    <t>№ по ред</t>
  </si>
  <si>
    <t>Приложение</t>
  </si>
  <si>
    <t>Дебит</t>
  </si>
  <si>
    <t>Сума</t>
  </si>
  <si>
    <t>с/ка</t>
  </si>
  <si>
    <t>под/ка</t>
  </si>
  <si>
    <t>статия</t>
  </si>
  <si>
    <t>партида</t>
  </si>
  <si>
    <t>печат</t>
  </si>
  <si>
    <t xml:space="preserve">Счетоводител: </t>
  </si>
  <si>
    <t>Всичко:</t>
  </si>
  <si>
    <t>Почивна карта - Шкорпиловци</t>
  </si>
  <si>
    <t>СТАЯ 1 / СТАЯ 2</t>
  </si>
  <si>
    <t>Бр. дни</t>
  </si>
  <si>
    <t>Легло</t>
  </si>
  <si>
    <t>Платено:</t>
  </si>
  <si>
    <t>Б-5</t>
  </si>
  <si>
    <t>Б-1</t>
  </si>
  <si>
    <t>Б-2</t>
  </si>
  <si>
    <t>Б-3</t>
  </si>
  <si>
    <t>Б-4</t>
  </si>
  <si>
    <t>Б-6</t>
  </si>
  <si>
    <t>Б-7</t>
  </si>
  <si>
    <t>Б-8</t>
  </si>
  <si>
    <t>Б-9</t>
  </si>
  <si>
    <t>Б-10</t>
  </si>
  <si>
    <t>Б-11</t>
  </si>
  <si>
    <t>Б-12</t>
  </si>
  <si>
    <t>Б-13</t>
  </si>
  <si>
    <t>Б-14</t>
  </si>
  <si>
    <t>Б-15</t>
  </si>
  <si>
    <t>Б-16</t>
  </si>
  <si>
    <t>Б-17</t>
  </si>
  <si>
    <t>Б-18</t>
  </si>
  <si>
    <t>Б-19</t>
  </si>
  <si>
    <t>Б-20</t>
  </si>
  <si>
    <t>Б-21</t>
  </si>
  <si>
    <t>Б-22</t>
  </si>
  <si>
    <t>Б-23</t>
  </si>
  <si>
    <t>Б-24</t>
  </si>
  <si>
    <t>Б-25</t>
  </si>
  <si>
    <t>Б-26</t>
  </si>
  <si>
    <t>Б-27</t>
  </si>
  <si>
    <t>Б-28</t>
  </si>
  <si>
    <t>Б-29</t>
  </si>
  <si>
    <t>Б-30</t>
  </si>
  <si>
    <t>Б-31</t>
  </si>
  <si>
    <t>Б-32</t>
  </si>
  <si>
    <t>Б-33</t>
  </si>
  <si>
    <t>Б-34</t>
  </si>
  <si>
    <t>Б-35</t>
  </si>
  <si>
    <t>Б-36</t>
  </si>
  <si>
    <t>Б-37</t>
  </si>
  <si>
    <t>Б-38</t>
  </si>
  <si>
    <t>Б-39</t>
  </si>
  <si>
    <t>Б-40</t>
  </si>
  <si>
    <t>Б-41</t>
  </si>
  <si>
    <t>Б-42</t>
  </si>
  <si>
    <t>Б-43</t>
  </si>
  <si>
    <t>Б-44</t>
  </si>
  <si>
    <t>Б-45</t>
  </si>
  <si>
    <t>Б-46</t>
  </si>
  <si>
    <t>Три имена</t>
  </si>
  <si>
    <t>Б-47</t>
  </si>
  <si>
    <t>Регистрационни данни на бунгалото</t>
  </si>
  <si>
    <t>ПОЧИВНА БАЗА ШКОРПИЛОВЦИ</t>
  </si>
  <si>
    <t>РУСЕНСКИ УНИВЕРСИТЕТ "АНГЕЛ КЪНЧЕВ"</t>
  </si>
  <si>
    <t>ПОЧИВНА КАРТА</t>
  </si>
  <si>
    <t>Бр. дни:</t>
  </si>
  <si>
    <t>Общо такси
без ДДС</t>
  </si>
  <si>
    <t>Общо такси
с ДДС</t>
  </si>
  <si>
    <t>Рекапитулация:</t>
  </si>
  <si>
    <t>Хладилник с ДДС</t>
  </si>
  <si>
    <t>Външен с ДДС</t>
  </si>
  <si>
    <t>Пенсионер или член на дом. на преп. или служител на РУ с ДДС</t>
  </si>
  <si>
    <t>Преподавател или служител на РУ без ДДС</t>
  </si>
  <si>
    <t>на дата</t>
  </si>
  <si>
    <t>Дете до 7 год.</t>
  </si>
  <si>
    <t>Дете между 7 и 10 год. с ДДС</t>
  </si>
  <si>
    <t>Дете над 10 год. с ДДС</t>
  </si>
  <si>
    <t>Smeni</t>
  </si>
  <si>
    <t>от</t>
  </si>
  <si>
    <t>до</t>
  </si>
  <si>
    <t xml:space="preserve">от </t>
  </si>
  <si>
    <t xml:space="preserve">до </t>
  </si>
  <si>
    <t xml:space="preserve">до  </t>
  </si>
  <si>
    <t xml:space="preserve">от  </t>
  </si>
  <si>
    <t xml:space="preserve">  Регистрационна форма/заявка</t>
  </si>
  <si>
    <t>Хладилник</t>
  </si>
  <si>
    <t>ред No</t>
  </si>
  <si>
    <t>3 - Дете до 7 год.</t>
  </si>
  <si>
    <t>4 - Дете между 7 и 10 год. с ДДС</t>
  </si>
  <si>
    <t>5 - Дете над 10 год. с ДДС</t>
  </si>
  <si>
    <t>6 - Външен с ДДС</t>
  </si>
  <si>
    <t>1 - Преподавател или служител на
      РУ без ДДС</t>
  </si>
  <si>
    <t>2 - Пенсионер или член на дом. на 
      преп. или служител на РУ с ДДС</t>
  </si>
  <si>
    <t>на дата:</t>
  </si>
  <si>
    <t>Бун-гало</t>
  </si>
  <si>
    <t>от дата</t>
  </si>
  <si>
    <t>до дата</t>
  </si>
  <si>
    <t>Пла-тено</t>
  </si>
  <si>
    <t>период за справка</t>
  </si>
  <si>
    <t/>
  </si>
  <si>
    <t>Нощували лица без дублажи</t>
  </si>
  <si>
    <t>Нощували лица за отч. период</t>
  </si>
  <si>
    <t>Суми без ДДС за отч. Период</t>
  </si>
  <si>
    <t>Суми с ДДС за отч. Период</t>
  </si>
  <si>
    <t>бр. леглодни за интерв.</t>
  </si>
  <si>
    <t>Нощувки</t>
  </si>
  <si>
    <t>Пренощували лица</t>
  </si>
  <si>
    <t>Приходи от нощувки без ДДС</t>
  </si>
  <si>
    <t>Приходи от нощувки - общо</t>
  </si>
  <si>
    <t>от:</t>
  </si>
  <si>
    <t>до:</t>
  </si>
  <si>
    <t>Приходи от нощувки с ДДС</t>
  </si>
  <si>
    <t>Средна цена на нощувка</t>
  </si>
  <si>
    <t>Бун-га-ло</t>
  </si>
  <si>
    <t>Смя-на</t>
  </si>
  <si>
    <t>Катего-рия</t>
  </si>
  <si>
    <t xml:space="preserve">Справка   </t>
  </si>
  <si>
    <t xml:space="preserve">     Статус на бунгалата от I смяна</t>
  </si>
  <si>
    <t xml:space="preserve">     Статус на бунгалата от II смяна</t>
  </si>
  <si>
    <t xml:space="preserve">     Статус на бунгалата от III смяна</t>
  </si>
  <si>
    <t xml:space="preserve">     Статус на бунгалата от IV смяна</t>
  </si>
  <si>
    <t xml:space="preserve">     Статус на бунгалата от V смяна</t>
  </si>
  <si>
    <t xml:space="preserve">     Статус на бунгалата от VI смяна</t>
  </si>
  <si>
    <t xml:space="preserve">     Статус на бунгалата от VII смяна</t>
  </si>
  <si>
    <t xml:space="preserve">     Статус на бунгалата от VIII смяна</t>
  </si>
  <si>
    <t>Забележка:</t>
  </si>
  <si>
    <t xml:space="preserve"> - подчертаните бунгала имат санитарен възел</t>
  </si>
  <si>
    <t xml:space="preserve"> - заето бунгало</t>
  </si>
  <si>
    <t>ЗАЕТОСТ НА БУНГАЛАТА В ПОЧИВНА БАЗА ШКОРПИЛОВЦИ</t>
  </si>
  <si>
    <t>Общо за цялата почивна карта:</t>
  </si>
  <si>
    <t>Почивна база Шкорпиловци</t>
  </si>
  <si>
    <t>Почивна база Стоевци</t>
  </si>
  <si>
    <t>Всички смени</t>
  </si>
  <si>
    <t>Извън сезон</t>
  </si>
  <si>
    <t>РЕКТОР</t>
  </si>
  <si>
    <t>БУНГАЛО</t>
  </si>
  <si>
    <t>ОПИС НА БУНГАЛАТА</t>
  </si>
  <si>
    <t>без</t>
  </si>
  <si>
    <t>със</t>
  </si>
  <si>
    <t xml:space="preserve">без </t>
  </si>
  <si>
    <t>Б-48</t>
  </si>
  <si>
    <t>2х1,5</t>
  </si>
  <si>
    <t>Илияна Раева</t>
  </si>
  <si>
    <t>Живко Колев</t>
  </si>
  <si>
    <t>Илия Тодоров</t>
  </si>
  <si>
    <t>Георги Кадикянов</t>
  </si>
  <si>
    <t>Ирина Христова</t>
  </si>
  <si>
    <t>Ема Михова</t>
  </si>
  <si>
    <t>Сехер Кадирова</t>
  </si>
  <si>
    <t>Иляйда Османова</t>
  </si>
  <si>
    <t>Ивайло Стоянов</t>
  </si>
  <si>
    <t>Милена Григорова</t>
  </si>
  <si>
    <t>Емил Григоров</t>
  </si>
  <si>
    <t>Никола Григоров</t>
  </si>
  <si>
    <t>Георги Кенаров</t>
  </si>
  <si>
    <t>Филип Добрев</t>
  </si>
  <si>
    <t>Пламен Любомиров Марков</t>
  </si>
  <si>
    <t>Силвия Христова Маркова</t>
  </si>
  <si>
    <t>Борил Пламенов Марков</t>
  </si>
  <si>
    <t>Венелин Димитров</t>
  </si>
  <si>
    <t>Валя Димитирова</t>
  </si>
  <si>
    <t>Ивайло Николаев Николаев</t>
  </si>
  <si>
    <t>Елица Руменова Раева</t>
  </si>
  <si>
    <t>Симеон Симеонов</t>
  </si>
  <si>
    <t>Звезделина Симеонова</t>
  </si>
  <si>
    <t>Ростислав Руменов Раев</t>
  </si>
  <si>
    <t>Деница Николаева Раева</t>
  </si>
  <si>
    <t>Радостина Ростиславова Раева</t>
  </si>
  <si>
    <t>Илияна Николова</t>
  </si>
  <si>
    <t>Никола Николов</t>
  </si>
  <si>
    <t>Светла Микова Великова</t>
  </si>
  <si>
    <t>Стефан Илиев Великов</t>
  </si>
  <si>
    <t>Радослав Великов</t>
  </si>
  <si>
    <t>Магдалена Великова</t>
  </si>
  <si>
    <t>Емилия Василева</t>
  </si>
  <si>
    <t>Михаил Сергеев Миланов</t>
  </si>
  <si>
    <t>Ангел Михайлов Миланов</t>
  </si>
  <si>
    <t>Светлин Михов</t>
  </si>
  <si>
    <t>Силвия Георгиева Стоянова</t>
  </si>
  <si>
    <t>Цвета Христова</t>
  </si>
  <si>
    <t>Елица Куманова</t>
  </si>
  <si>
    <t xml:space="preserve"> Данаил Куманов</t>
  </si>
  <si>
    <t>Бисерка Симеонова</t>
  </si>
  <si>
    <t>Радост Бранимирова</t>
  </si>
  <si>
    <t>Христина Соколова</t>
  </si>
  <si>
    <t>Виктория Димова</t>
  </si>
  <si>
    <t>Даниела Ненова</t>
  </si>
  <si>
    <t>Гюлтен Мустафа</t>
  </si>
  <si>
    <t>Фериде Хасан</t>
  </si>
  <si>
    <t>Емилия Големанова</t>
  </si>
  <si>
    <t>Цанко Големанов</t>
  </si>
  <si>
    <t>проф. Пламен Даскалов</t>
  </si>
  <si>
    <t>Галина Даскалова</t>
  </si>
  <si>
    <t>Йордан Николаев Николаев</t>
  </si>
  <si>
    <t>Кремена Красимирова Петрова</t>
  </si>
  <si>
    <t>Александър Йорданов Николаев</t>
  </si>
  <si>
    <t>Цвети Даниелова Ангелова</t>
  </si>
  <si>
    <t>Кристен Даниелова Ангелова</t>
  </si>
  <si>
    <t>Даниела Йорданова</t>
  </si>
  <si>
    <t>Стефан Енчев Неделчев</t>
  </si>
  <si>
    <t>Божидар Кирилов</t>
  </si>
  <si>
    <t>Виктор Кирилов</t>
  </si>
  <si>
    <t>Надежда Найденова</t>
  </si>
  <si>
    <t>Маргарита Якимова, Никола Крумов</t>
  </si>
  <si>
    <t>Виктор Крумов</t>
  </si>
  <si>
    <t>Капка Петрова Христова</t>
  </si>
  <si>
    <t>Максим Димов</t>
  </si>
  <si>
    <t>Вълю Джаджев</t>
  </si>
  <si>
    <t>Инес Василева</t>
  </si>
  <si>
    <t>Владимир Матеев</t>
  </si>
  <si>
    <t>Светослава Матеева</t>
  </si>
  <si>
    <t>Петър Петров</t>
  </si>
  <si>
    <t>Мариела Петрова</t>
  </si>
  <si>
    <t>Маргарита Якимова</t>
  </si>
  <si>
    <t>Петя Якимова</t>
  </si>
  <si>
    <t>Никола Крумов</t>
  </si>
  <si>
    <t>Христо Андреев</t>
  </si>
  <si>
    <t>Недялка Андреева</t>
  </si>
  <si>
    <t>Евгени Тодоров</t>
  </si>
  <si>
    <t>Марина Тодорова</t>
  </si>
  <si>
    <t>Стилиан Тодоров</t>
  </si>
  <si>
    <t>Любомир Златев</t>
  </si>
  <si>
    <t>Теменуга Златева</t>
  </si>
  <si>
    <t>Антоанета Ставрева</t>
  </si>
  <si>
    <t>Станчо Ставрев</t>
  </si>
  <si>
    <t>Алина Ставрева</t>
  </si>
  <si>
    <t>Стоян Казанджиев</t>
  </si>
  <si>
    <t>Тодор Михов</t>
  </si>
  <si>
    <t>Милка Сейкова</t>
  </si>
  <si>
    <t>Стефка Петкова</t>
  </si>
  <si>
    <t>Валентин Петков</t>
  </si>
  <si>
    <t>Ралица Михайлова</t>
  </si>
  <si>
    <t>Мира Душкова</t>
  </si>
  <si>
    <t>Светлозар Попов</t>
  </si>
  <si>
    <t>Живодар Душков</t>
  </si>
  <si>
    <t>Лазар Попов</t>
  </si>
  <si>
    <t>Михаил Милчев</t>
  </si>
  <si>
    <t>Парашкев  Милчев</t>
  </si>
  <si>
    <t>Илия Стефанов Стоев</t>
  </si>
  <si>
    <t>Илия Илиев Стоев</t>
  </si>
  <si>
    <t>Даниела  Донева</t>
  </si>
  <si>
    <t>Росен Петков</t>
  </si>
  <si>
    <t>Мия Петкова</t>
  </si>
  <si>
    <t>Иван Николов Иванов</t>
  </si>
  <si>
    <t>Веска Маринова Иванова</t>
  </si>
  <si>
    <t>Диана Стефанова</t>
  </si>
  <si>
    <t>Огнян Стефанов</t>
  </si>
  <si>
    <t>Илияна Любомирова Златева</t>
  </si>
  <si>
    <t>Теодора Стоянова</t>
  </si>
  <si>
    <t>Цанко  Големанов</t>
  </si>
  <si>
    <t>Десислава Атанасова</t>
  </si>
  <si>
    <t>Иво Атанасов</t>
  </si>
  <si>
    <t>Надя Милчева Маринова</t>
  </si>
  <si>
    <t>Нина Иванова Иванова</t>
  </si>
  <si>
    <t>Цветана Василева Александрова</t>
  </si>
  <si>
    <t>Александър Александров</t>
  </si>
  <si>
    <t>Генчо Попов</t>
  </si>
  <si>
    <t>Стефан Даскалов</t>
  </si>
  <si>
    <t>Детелина Даскалова</t>
  </si>
  <si>
    <t>Деян Стойков</t>
  </si>
  <si>
    <t>Бранимир Кушев</t>
  </si>
  <si>
    <t>Йорданка Стефанова</t>
  </si>
  <si>
    <t>Юлия Кушева</t>
  </si>
  <si>
    <t>Парашкев Милчев</t>
  </si>
  <si>
    <t>Велизара Пенчева</t>
  </si>
  <si>
    <t>Пенчо Пенчев</t>
  </si>
  <si>
    <t>Маргарита Димитрова</t>
  </si>
  <si>
    <t>Даниела Донева</t>
  </si>
  <si>
    <t>Любка Николова</t>
  </si>
  <si>
    <t>Николай Николов</t>
  </si>
  <si>
    <t>Ангел Ангелов</t>
  </si>
  <si>
    <t>Стефка Ангелова</t>
  </si>
  <si>
    <t>Галина Костадинова</t>
  </si>
  <si>
    <t>Веселин Николаев</t>
  </si>
  <si>
    <t>Надежда Костадинова</t>
  </si>
  <si>
    <t>Александър Костадинов</t>
  </si>
  <si>
    <t>Елица Ибрямова</t>
  </si>
  <si>
    <t xml:space="preserve"> Аяс Ибрям</t>
  </si>
  <si>
    <t>Бурак Ибрям</t>
  </si>
  <si>
    <t>Метин Ибрям</t>
  </si>
  <si>
    <t>Марин Андреев</t>
  </si>
  <si>
    <t>Галина Андреева</t>
  </si>
  <si>
    <t>Александра Николова</t>
  </si>
  <si>
    <t>Пламенка Христова</t>
  </si>
  <si>
    <t>Пано Панов</t>
  </si>
  <si>
    <t>Милен Минчев</t>
  </si>
  <si>
    <t>Мария Минчева</t>
  </si>
  <si>
    <t>Морис Минчев</t>
  </si>
  <si>
    <t>Силвия Георгиева Николова</t>
  </si>
  <si>
    <t>Любомир Петров Николов</t>
  </si>
  <si>
    <t>Юлия Златева</t>
  </si>
  <si>
    <t>Савка Калинова</t>
  </si>
  <si>
    <t>Сталиян Батанов</t>
  </si>
  <si>
    <t>Росица Ангелова</t>
  </si>
  <si>
    <t>Мирослав Пенчев</t>
  </si>
  <si>
    <t>Тамара Пенчева</t>
  </si>
  <si>
    <t>Стефан Илиев Стоев</t>
  </si>
  <si>
    <t>НАЧКО ЗАПАЗЕНО</t>
  </si>
  <si>
    <t>Миглена Дечева</t>
  </si>
  <si>
    <t>Добромир Дечев</t>
  </si>
  <si>
    <t>Мирослава Бонева</t>
  </si>
  <si>
    <t>Дилян Бонев</t>
  </si>
  <si>
    <t>Дария Стефанова</t>
  </si>
  <si>
    <t>Пламен Пенчев</t>
  </si>
  <si>
    <t>Десислава Рашева</t>
  </si>
  <si>
    <t>Преслава Пенчева</t>
  </si>
  <si>
    <t>Боряна Пенчева</t>
  </si>
  <si>
    <t>Антония Петкова</t>
  </si>
  <si>
    <t>Тодор Тодоров</t>
  </si>
  <si>
    <t>Георги Генов</t>
  </si>
  <si>
    <t>Нина Пенчева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</si>
</sst>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лв.&quot;"/>
    <numFmt numFmtId="165" formatCode="000000000"/>
  </numFmts>
  <fonts count="44" x14ac:knownFonts="1">
    <font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Symbol"/>
      <family val="1"/>
      <charset val="2"/>
    </font>
    <font>
      <sz val="7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9"/>
      <name val="Arial"/>
      <family val="2"/>
      <charset val="204"/>
    </font>
    <font>
      <i/>
      <sz val="9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5"/>
      <name val="Arial Narrow"/>
      <family val="2"/>
      <charset val="204"/>
    </font>
    <font>
      <b/>
      <i/>
      <sz val="9"/>
      <name val="Arial"/>
      <family val="2"/>
      <charset val="204"/>
    </font>
    <font>
      <b/>
      <i/>
      <sz val="12"/>
      <name val="Arial"/>
      <family val="2"/>
      <charset val="204"/>
    </font>
    <font>
      <b/>
      <sz val="14"/>
      <name val="Arial"/>
      <family val="2"/>
      <charset val="204"/>
    </font>
    <font>
      <sz val="10"/>
      <color indexed="64"/>
      <name val="Arial"/>
      <family val="2"/>
      <charset val="204"/>
    </font>
    <font>
      <b/>
      <sz val="36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b/>
      <sz val="13"/>
      <color theme="1"/>
      <name val="Times New Roman"/>
      <family val="1"/>
      <charset val="204"/>
    </font>
    <font>
      <sz val="13"/>
      <color theme="1"/>
      <name val="Cambria"/>
      <family val="1"/>
      <charset val="204"/>
      <scheme val="major"/>
    </font>
    <font>
      <b/>
      <sz val="13"/>
      <color theme="1"/>
      <name val="Cambria"/>
      <family val="1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u/>
      <sz val="13"/>
      <name val="Calibri"/>
      <family val="2"/>
      <charset val="204"/>
      <scheme val="minor"/>
    </font>
    <font>
      <b/>
      <sz val="13"/>
      <name val="Calibri"/>
      <family val="2"/>
      <charset val="204"/>
      <scheme val="minor"/>
    </font>
    <font>
      <b/>
      <i/>
      <u/>
      <sz val="13"/>
      <color theme="7" tint="-0.24994659260841701"/>
      <name val="Calibri"/>
      <family val="2"/>
      <charset val="204"/>
      <scheme val="minor"/>
    </font>
    <font>
      <b/>
      <sz val="15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EB9C"/>
      </patternFill>
    </fill>
    <fill>
      <patternFill patternType="solid">
        <fgColor rgb="FFFFFFCC"/>
        <bgColor indexed="64"/>
      </patternFill>
    </fill>
    <fill>
      <patternFill patternType="solid">
        <fgColor theme="6"/>
      </patternFill>
    </fill>
    <fill>
      <patternFill patternType="solid">
        <fgColor theme="0" tint="-0.34998626667073579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/>
      <top/>
      <bottom style="dashDot">
        <color indexed="64"/>
      </bottom>
      <diagonal/>
    </border>
    <border>
      <left/>
      <right style="dashDot">
        <color indexed="64"/>
      </right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8" fillId="0" borderId="0"/>
    <xf numFmtId="0" fontId="27" fillId="0" borderId="0"/>
    <xf numFmtId="0" fontId="35" fillId="8" borderId="0" applyNumberFormat="0" applyBorder="0" applyAlignment="0" applyProtection="0"/>
    <xf numFmtId="0" fontId="37" fillId="10" borderId="0" applyNumberFormat="0" applyBorder="0" applyAlignment="0" applyProtection="0"/>
  </cellStyleXfs>
  <cellXfs count="671">
    <xf numFmtId="0" fontId="0" fillId="0" borderId="0" xfId="0"/>
    <xf numFmtId="0" fontId="9" fillId="0" borderId="0" xfId="0" applyFont="1"/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vertical="center"/>
    </xf>
    <xf numFmtId="0" fontId="10" fillId="2" borderId="40" xfId="0" applyFont="1" applyFill="1" applyBorder="1" applyAlignment="1">
      <alignment vertical="center"/>
    </xf>
    <xf numFmtId="0" fontId="10" fillId="2" borderId="32" xfId="0" applyFont="1" applyFill="1" applyBorder="1" applyAlignment="1">
      <alignment vertical="center"/>
    </xf>
    <xf numFmtId="0" fontId="10" fillId="2" borderId="41" xfId="0" applyFont="1" applyFill="1" applyBorder="1" applyAlignment="1">
      <alignment vertical="center"/>
    </xf>
    <xf numFmtId="0" fontId="10" fillId="2" borderId="42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0" fillId="2" borderId="43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right" vertical="center"/>
    </xf>
    <xf numFmtId="0" fontId="10" fillId="2" borderId="44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0" fontId="10" fillId="2" borderId="45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  <protection locked="0"/>
    </xf>
    <xf numFmtId="0" fontId="7" fillId="0" borderId="9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0" borderId="1" xfId="0" applyBorder="1"/>
    <xf numFmtId="0" fontId="19" fillId="0" borderId="0" xfId="1" applyFont="1" applyBorder="1"/>
    <xf numFmtId="0" fontId="19" fillId="0" borderId="65" xfId="1" applyFont="1" applyBorder="1"/>
    <xf numFmtId="0" fontId="19" fillId="0" borderId="0" xfId="1" applyFont="1"/>
    <xf numFmtId="0" fontId="19" fillId="0" borderId="34" xfId="1" applyFont="1" applyBorder="1" applyAlignment="1">
      <alignment horizontal="left" vertical="top"/>
    </xf>
    <xf numFmtId="165" fontId="22" fillId="0" borderId="28" xfId="1" applyNumberFormat="1" applyFont="1" applyBorder="1" applyAlignment="1">
      <alignment horizontal="center" vertical="center"/>
    </xf>
    <xf numFmtId="0" fontId="19" fillId="0" borderId="40" xfId="1" applyFont="1" applyBorder="1"/>
    <xf numFmtId="0" fontId="19" fillId="0" borderId="32" xfId="1" applyFont="1" applyBorder="1" applyAlignment="1">
      <alignment horizontal="left" vertical="top"/>
    </xf>
    <xf numFmtId="0" fontId="19" fillId="0" borderId="32" xfId="1" applyFont="1" applyBorder="1"/>
    <xf numFmtId="0" fontId="18" fillId="0" borderId="65" xfId="1" applyBorder="1"/>
    <xf numFmtId="0" fontId="18" fillId="0" borderId="0" xfId="1"/>
    <xf numFmtId="0" fontId="19" fillId="0" borderId="42" xfId="1" applyFont="1" applyBorder="1"/>
    <xf numFmtId="0" fontId="24" fillId="0" borderId="0" xfId="1" applyFont="1" applyBorder="1" applyAlignment="1">
      <alignment horizontal="left" vertical="top"/>
    </xf>
    <xf numFmtId="0" fontId="19" fillId="0" borderId="41" xfId="1" applyFont="1" applyBorder="1"/>
    <xf numFmtId="0" fontId="18" fillId="0" borderId="42" xfId="1" applyBorder="1"/>
    <xf numFmtId="0" fontId="18" fillId="0" borderId="0" xfId="1" applyBorder="1"/>
    <xf numFmtId="0" fontId="24" fillId="0" borderId="0" xfId="1" applyFont="1" applyBorder="1"/>
    <xf numFmtId="0" fontId="19" fillId="0" borderId="0" xfId="1" applyFont="1" applyBorder="1" applyAlignment="1">
      <alignment horizontal="right"/>
    </xf>
    <xf numFmtId="0" fontId="18" fillId="0" borderId="1" xfId="1" applyBorder="1" applyAlignment="1">
      <alignment horizontal="center" vertical="center"/>
    </xf>
    <xf numFmtId="0" fontId="21" fillId="0" borderId="1" xfId="1" applyFont="1" applyBorder="1"/>
    <xf numFmtId="0" fontId="18" fillId="0" borderId="32" xfId="1" applyFont="1" applyBorder="1" applyAlignment="1">
      <alignment horizontal="right"/>
    </xf>
    <xf numFmtId="0" fontId="1" fillId="0" borderId="32" xfId="1" applyFont="1" applyBorder="1"/>
    <xf numFmtId="0" fontId="18" fillId="0" borderId="44" xfId="1" applyBorder="1"/>
    <xf numFmtId="0" fontId="18" fillId="0" borderId="27" xfId="1" applyBorder="1"/>
    <xf numFmtId="0" fontId="18" fillId="0" borderId="66" xfId="1" applyBorder="1"/>
    <xf numFmtId="0" fontId="18" fillId="0" borderId="67" xfId="1" applyBorder="1"/>
    <xf numFmtId="0" fontId="7" fillId="2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horizontal="right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1" xfId="0" applyFill="1" applyBorder="1" applyAlignment="1">
      <alignment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9" xfId="0" applyFill="1" applyBorder="1" applyAlignment="1" applyProtection="1">
      <alignment horizontal="center" vertical="center" wrapText="1"/>
      <protection locked="0"/>
    </xf>
    <xf numFmtId="0" fontId="0" fillId="0" borderId="19" xfId="0" applyFill="1" applyBorder="1" applyAlignment="1" applyProtection="1">
      <alignment horizontal="center" vertical="center" wrapText="1"/>
      <protection locked="0"/>
    </xf>
    <xf numFmtId="14" fontId="19" fillId="0" borderId="28" xfId="1" applyNumberFormat="1" applyFont="1" applyBorder="1"/>
    <xf numFmtId="0" fontId="7" fillId="2" borderId="37" xfId="0" applyFont="1" applyFill="1" applyBorder="1" applyAlignment="1">
      <alignment horizontal="center" vertical="center"/>
    </xf>
    <xf numFmtId="0" fontId="7" fillId="2" borderId="6" xfId="0" applyFont="1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29" fillId="2" borderId="0" xfId="0" applyFont="1" applyFill="1" applyBorder="1" applyAlignment="1">
      <alignment vertical="center"/>
    </xf>
    <xf numFmtId="0" fontId="29" fillId="2" borderId="1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right" vertical="center"/>
    </xf>
    <xf numFmtId="0" fontId="7" fillId="2" borderId="59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5" fillId="2" borderId="59" xfId="0" applyFont="1" applyFill="1" applyBorder="1" applyAlignment="1" applyProtection="1">
      <alignment vertical="center" wrapText="1"/>
    </xf>
    <xf numFmtId="0" fontId="7" fillId="2" borderId="37" xfId="0" applyFont="1" applyFill="1" applyBorder="1" applyAlignment="1">
      <alignment horizontal="center" vertical="center"/>
    </xf>
    <xf numFmtId="0" fontId="7" fillId="2" borderId="59" xfId="0" applyFont="1" applyFill="1" applyBorder="1" applyAlignment="1" applyProtection="1">
      <alignment horizontal="center" vertical="center"/>
    </xf>
    <xf numFmtId="0" fontId="7" fillId="2" borderId="59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>
      <alignment vertical="center"/>
    </xf>
    <xf numFmtId="0" fontId="10" fillId="0" borderId="71" xfId="0" applyFont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1" fillId="2" borderId="43" xfId="0" applyFont="1" applyFill="1" applyBorder="1" applyAlignment="1">
      <alignment vertical="center"/>
    </xf>
    <xf numFmtId="0" fontId="32" fillId="2" borderId="0" xfId="0" applyFont="1" applyFill="1" applyBorder="1" applyAlignment="1">
      <alignment horizontal="center" vertical="center"/>
    </xf>
    <xf numFmtId="0" fontId="33" fillId="2" borderId="43" xfId="0" applyFont="1" applyFill="1" applyBorder="1" applyAlignment="1">
      <alignment vertical="center"/>
    </xf>
    <xf numFmtId="0" fontId="34" fillId="2" borderId="0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 wrapText="1"/>
    </xf>
    <xf numFmtId="0" fontId="0" fillId="0" borderId="35" xfId="0" applyFill="1" applyBorder="1" applyAlignment="1" applyProtection="1">
      <alignment horizontal="center" vertical="center" wrapText="1"/>
      <protection locked="0"/>
    </xf>
    <xf numFmtId="0" fontId="0" fillId="0" borderId="34" xfId="0" applyFill="1" applyBorder="1" applyAlignment="1" applyProtection="1">
      <alignment horizontal="center" vertical="center" wrapText="1"/>
      <protection locked="0"/>
    </xf>
    <xf numFmtId="0" fontId="0" fillId="0" borderId="33" xfId="0" applyFill="1" applyBorder="1" applyAlignment="1" applyProtection="1">
      <alignment horizontal="center" vertical="center" wrapText="1"/>
      <protection locked="0"/>
    </xf>
    <xf numFmtId="0" fontId="0" fillId="0" borderId="72" xfId="0" applyFill="1" applyBorder="1" applyAlignment="1" applyProtection="1">
      <alignment horizontal="center" vertical="center" wrapText="1"/>
      <protection locked="0"/>
    </xf>
    <xf numFmtId="0" fontId="1" fillId="2" borderId="14" xfId="0" applyFont="1" applyFill="1" applyBorder="1" applyAlignment="1">
      <alignment horizontal="center" vertical="center" wrapText="1"/>
    </xf>
    <xf numFmtId="0" fontId="0" fillId="0" borderId="29" xfId="0" applyFill="1" applyBorder="1" applyAlignment="1" applyProtection="1">
      <alignment horizontal="center" vertical="center" wrapText="1"/>
      <protection locked="0"/>
    </xf>
    <xf numFmtId="0" fontId="0" fillId="0" borderId="28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 wrapText="1"/>
      <protection locked="0"/>
    </xf>
    <xf numFmtId="0" fontId="0" fillId="0" borderId="18" xfId="0" applyFill="1" applyBorder="1" applyAlignment="1" applyProtection="1">
      <alignment horizontal="center" vertical="center" wrapText="1"/>
      <protection locked="0"/>
    </xf>
    <xf numFmtId="0" fontId="15" fillId="2" borderId="73" xfId="0" applyFont="1" applyFill="1" applyBorder="1" applyAlignment="1">
      <alignment vertical="center"/>
    </xf>
    <xf numFmtId="0" fontId="15" fillId="2" borderId="63" xfId="0" applyFont="1" applyFill="1" applyBorder="1" applyAlignment="1">
      <alignment vertical="center"/>
    </xf>
    <xf numFmtId="0" fontId="0" fillId="2" borderId="74" xfId="0" applyFont="1" applyFill="1" applyBorder="1" applyAlignment="1">
      <alignment vertical="center"/>
    </xf>
    <xf numFmtId="0" fontId="0" fillId="2" borderId="75" xfId="0" applyFont="1" applyFill="1" applyBorder="1" applyAlignment="1">
      <alignment vertical="center" wrapText="1"/>
    </xf>
    <xf numFmtId="0" fontId="0" fillId="2" borderId="76" xfId="0" applyFont="1" applyFill="1" applyBorder="1" applyAlignment="1">
      <alignment vertical="center"/>
    </xf>
    <xf numFmtId="0" fontId="0" fillId="2" borderId="64" xfId="0" applyFont="1" applyFill="1" applyBorder="1" applyAlignment="1">
      <alignment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72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14" fontId="0" fillId="0" borderId="46" xfId="0" applyNumberFormat="1" applyFill="1" applyBorder="1" applyAlignment="1" applyProtection="1">
      <alignment horizontal="center" vertical="center" wrapText="1"/>
      <protection locked="0"/>
    </xf>
    <xf numFmtId="14" fontId="0" fillId="0" borderId="40" xfId="0" applyNumberFormat="1" applyFill="1" applyBorder="1" applyAlignment="1" applyProtection="1">
      <alignment horizontal="center" vertical="center" wrapText="1"/>
      <protection locked="0"/>
    </xf>
    <xf numFmtId="14" fontId="0" fillId="0" borderId="44" xfId="0" applyNumberFormat="1" applyFill="1" applyBorder="1" applyAlignment="1" applyProtection="1">
      <alignment horizontal="center" vertical="center" wrapText="1"/>
      <protection locked="0"/>
    </xf>
    <xf numFmtId="14" fontId="0" fillId="0" borderId="19" xfId="0" applyNumberFormat="1" applyFill="1" applyBorder="1" applyAlignment="1" applyProtection="1">
      <alignment horizontal="center" vertical="center" wrapText="1"/>
      <protection locked="0"/>
    </xf>
    <xf numFmtId="14" fontId="0" fillId="0" borderId="72" xfId="0" applyNumberFormat="1" applyFill="1" applyBorder="1" applyAlignment="1" applyProtection="1">
      <alignment horizontal="center" vertical="center" wrapText="1"/>
      <protection locked="0"/>
    </xf>
    <xf numFmtId="14" fontId="0" fillId="0" borderId="18" xfId="0" applyNumberFormat="1" applyFill="1" applyBorder="1" applyAlignment="1" applyProtection="1">
      <alignment horizontal="center" vertical="center" wrapText="1"/>
      <protection locked="0"/>
    </xf>
    <xf numFmtId="164" fontId="0" fillId="0" borderId="10" xfId="0" applyNumberFormat="1" applyFill="1" applyBorder="1" applyAlignment="1" applyProtection="1">
      <alignment horizontal="center" vertical="center" wrapText="1"/>
      <protection locked="0"/>
    </xf>
    <xf numFmtId="164" fontId="0" fillId="0" borderId="15" xfId="0" applyNumberForma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 applyProtection="1">
      <alignment horizontal="center" vertical="center" wrapText="1"/>
      <protection locked="0"/>
    </xf>
    <xf numFmtId="164" fontId="0" fillId="0" borderId="46" xfId="0" applyNumberFormat="1" applyFill="1" applyBorder="1" applyAlignment="1" applyProtection="1">
      <alignment horizontal="center" vertical="center" wrapText="1"/>
      <protection locked="0"/>
    </xf>
    <xf numFmtId="164" fontId="0" fillId="0" borderId="35" xfId="0" applyNumberFormat="1" applyFill="1" applyBorder="1" applyAlignment="1" applyProtection="1">
      <alignment horizontal="center" vertical="center" wrapText="1"/>
      <protection locked="0"/>
    </xf>
    <xf numFmtId="164" fontId="0" fillId="0" borderId="41" xfId="0" applyNumberFormat="1" applyFill="1" applyBorder="1" applyAlignment="1" applyProtection="1">
      <alignment horizontal="center" vertical="center" wrapText="1"/>
      <protection locked="0"/>
    </xf>
    <xf numFmtId="164" fontId="0" fillId="0" borderId="34" xfId="0" applyNumberFormat="1" applyFill="1" applyBorder="1" applyAlignment="1" applyProtection="1">
      <alignment horizontal="center" vertical="center" wrapText="1"/>
      <protection locked="0"/>
    </xf>
    <xf numFmtId="164" fontId="0" fillId="0" borderId="40" xfId="0" applyNumberFormat="1" applyFill="1" applyBorder="1" applyAlignment="1" applyProtection="1">
      <alignment horizontal="center" vertical="center" wrapText="1"/>
      <protection locked="0"/>
    </xf>
    <xf numFmtId="164" fontId="0" fillId="0" borderId="29" xfId="0" applyNumberFormat="1" applyFill="1" applyBorder="1" applyAlignment="1" applyProtection="1">
      <alignment horizontal="center" vertical="center" wrapText="1"/>
      <protection locked="0"/>
    </xf>
    <xf numFmtId="164" fontId="0" fillId="0" borderId="45" xfId="0" applyNumberFormat="1" applyFill="1" applyBorder="1" applyAlignment="1" applyProtection="1">
      <alignment horizontal="center" vertical="center" wrapText="1"/>
      <protection locked="0"/>
    </xf>
    <xf numFmtId="164" fontId="0" fillId="0" borderId="28" xfId="0" applyNumberFormat="1" applyFill="1" applyBorder="1" applyAlignment="1" applyProtection="1">
      <alignment horizontal="center" vertical="center" wrapText="1"/>
      <protection locked="0"/>
    </xf>
    <xf numFmtId="164" fontId="0" fillId="0" borderId="44" xfId="0" applyNumberFormat="1" applyFill="1" applyBorder="1" applyAlignment="1" applyProtection="1">
      <alignment horizontal="center" vertical="center" wrapText="1"/>
      <protection locked="0"/>
    </xf>
    <xf numFmtId="0" fontId="9" fillId="2" borderId="51" xfId="0" applyFont="1" applyFill="1" applyBorder="1" applyAlignment="1" applyProtection="1">
      <alignment horizontal="center"/>
    </xf>
    <xf numFmtId="0" fontId="9" fillId="2" borderId="5" xfId="0" applyFont="1" applyFill="1" applyBorder="1" applyAlignment="1" applyProtection="1">
      <alignment horizontal="center"/>
    </xf>
    <xf numFmtId="0" fontId="9" fillId="2" borderId="53" xfId="0" applyFont="1" applyFill="1" applyBorder="1" applyAlignment="1" applyProtection="1">
      <alignment horizontal="center"/>
    </xf>
    <xf numFmtId="0" fontId="9" fillId="2" borderId="68" xfId="0" applyFont="1" applyFill="1" applyBorder="1" applyAlignment="1" applyProtection="1">
      <alignment horizontal="center"/>
    </xf>
    <xf numFmtId="0" fontId="9" fillId="2" borderId="55" xfId="0" applyFont="1" applyFill="1" applyBorder="1" applyAlignment="1" applyProtection="1">
      <alignment horizontal="center"/>
    </xf>
    <xf numFmtId="0" fontId="9" fillId="2" borderId="56" xfId="0" applyFont="1" applyFill="1" applyBorder="1" applyAlignment="1" applyProtection="1">
      <alignment horizontal="center"/>
    </xf>
    <xf numFmtId="0" fontId="1" fillId="2" borderId="78" xfId="0" applyFont="1" applyFill="1" applyBorder="1" applyAlignment="1">
      <alignment horizontal="center" vertical="center" wrapText="1"/>
    </xf>
    <xf numFmtId="0" fontId="0" fillId="2" borderId="77" xfId="0" applyFill="1" applyBorder="1" applyAlignment="1">
      <alignment horizontal="center" vertical="center" wrapText="1"/>
    </xf>
    <xf numFmtId="0" fontId="0" fillId="0" borderId="80" xfId="0" applyFill="1" applyBorder="1" applyAlignment="1" applyProtection="1">
      <alignment horizontal="center" vertical="center" wrapText="1"/>
      <protection locked="0"/>
    </xf>
    <xf numFmtId="14" fontId="0" fillId="0" borderId="81" xfId="0" applyNumberFormat="1" applyFill="1" applyBorder="1" applyAlignment="1" applyProtection="1">
      <alignment horizontal="center" vertical="center" wrapText="1"/>
      <protection locked="0"/>
    </xf>
    <xf numFmtId="0" fontId="0" fillId="0" borderId="79" xfId="0" applyFill="1" applyBorder="1" applyAlignment="1" applyProtection="1">
      <alignment horizontal="center" vertical="center" wrapText="1"/>
      <protection locked="0"/>
    </xf>
    <xf numFmtId="0" fontId="0" fillId="0" borderId="78" xfId="0" applyFill="1" applyBorder="1" applyAlignment="1" applyProtection="1">
      <alignment horizontal="center" vertical="center" wrapText="1"/>
      <protection locked="0"/>
    </xf>
    <xf numFmtId="164" fontId="0" fillId="0" borderId="80" xfId="0" applyNumberFormat="1" applyFill="1" applyBorder="1" applyAlignment="1" applyProtection="1">
      <alignment horizontal="center" vertical="center" wrapText="1"/>
      <protection locked="0"/>
    </xf>
    <xf numFmtId="164" fontId="0" fillId="0" borderId="82" xfId="0" applyNumberFormat="1" applyFill="1" applyBorder="1" applyAlignment="1" applyProtection="1">
      <alignment horizontal="center" vertical="center" wrapText="1"/>
      <protection locked="0"/>
    </xf>
    <xf numFmtId="164" fontId="0" fillId="0" borderId="79" xfId="0" applyNumberFormat="1" applyFill="1" applyBorder="1" applyAlignment="1" applyProtection="1">
      <alignment horizontal="center" vertical="center" wrapText="1"/>
      <protection locked="0"/>
    </xf>
    <xf numFmtId="164" fontId="0" fillId="0" borderId="81" xfId="0" applyNumberFormat="1" applyFill="1" applyBorder="1" applyAlignment="1" applyProtection="1">
      <alignment horizontal="center" vertical="center" wrapText="1"/>
      <protection locked="0"/>
    </xf>
    <xf numFmtId="0" fontId="0" fillId="0" borderId="77" xfId="0" applyFill="1" applyBorder="1" applyAlignment="1" applyProtection="1">
      <alignment horizontal="center" vertical="center" wrapText="1"/>
      <protection locked="0"/>
    </xf>
    <xf numFmtId="14" fontId="0" fillId="0" borderId="77" xfId="0" applyNumberFormat="1" applyFill="1" applyBorder="1" applyAlignment="1" applyProtection="1">
      <alignment horizontal="center" vertical="center" wrapText="1"/>
      <protection locked="0"/>
    </xf>
    <xf numFmtId="0" fontId="1" fillId="2" borderId="84" xfId="0" applyFont="1" applyFill="1" applyBorder="1" applyAlignment="1">
      <alignment horizontal="center" vertical="center" wrapText="1"/>
    </xf>
    <xf numFmtId="0" fontId="0" fillId="2" borderId="83" xfId="0" applyFill="1" applyBorder="1" applyAlignment="1">
      <alignment horizontal="center" vertical="center" wrapText="1"/>
    </xf>
    <xf numFmtId="0" fontId="0" fillId="0" borderId="86" xfId="0" applyFill="1" applyBorder="1" applyAlignment="1" applyProtection="1">
      <alignment horizontal="center" vertical="center" wrapText="1"/>
      <protection locked="0"/>
    </xf>
    <xf numFmtId="14" fontId="0" fillId="0" borderId="87" xfId="0" applyNumberFormat="1" applyFill="1" applyBorder="1" applyAlignment="1" applyProtection="1">
      <alignment horizontal="center" vertical="center" wrapText="1"/>
      <protection locked="0"/>
    </xf>
    <xf numFmtId="0" fontId="0" fillId="0" borderId="85" xfId="0" applyFill="1" applyBorder="1" applyAlignment="1" applyProtection="1">
      <alignment horizontal="center" vertical="center" wrapText="1"/>
      <protection locked="0"/>
    </xf>
    <xf numFmtId="164" fontId="0" fillId="0" borderId="86" xfId="0" applyNumberFormat="1" applyFill="1" applyBorder="1" applyAlignment="1" applyProtection="1">
      <alignment horizontal="center" vertical="center" wrapText="1"/>
      <protection locked="0"/>
    </xf>
    <xf numFmtId="164" fontId="0" fillId="0" borderId="89" xfId="0" applyNumberFormat="1" applyFill="1" applyBorder="1" applyAlignment="1" applyProtection="1">
      <alignment horizontal="center" vertical="center" wrapText="1"/>
      <protection locked="0"/>
    </xf>
    <xf numFmtId="164" fontId="0" fillId="0" borderId="85" xfId="0" applyNumberFormat="1" applyFill="1" applyBorder="1" applyAlignment="1" applyProtection="1">
      <alignment horizontal="center" vertical="center" wrapText="1"/>
      <protection locked="0"/>
    </xf>
    <xf numFmtId="164" fontId="0" fillId="0" borderId="87" xfId="0" applyNumberFormat="1" applyFill="1" applyBorder="1" applyAlignment="1" applyProtection="1">
      <alignment horizontal="center" vertical="center" wrapText="1"/>
      <protection locked="0"/>
    </xf>
    <xf numFmtId="0" fontId="0" fillId="0" borderId="83" xfId="0" applyFill="1" applyBorder="1" applyAlignment="1" applyProtection="1">
      <alignment horizontal="center" vertical="center" wrapText="1"/>
      <protection locked="0"/>
    </xf>
    <xf numFmtId="14" fontId="0" fillId="0" borderId="83" xfId="0" applyNumberFormat="1" applyFill="1" applyBorder="1" applyAlignment="1" applyProtection="1">
      <alignment horizontal="center" vertical="center" wrapText="1"/>
      <protection locked="0"/>
    </xf>
    <xf numFmtId="0" fontId="0" fillId="9" borderId="80" xfId="0" applyFill="1" applyBorder="1" applyAlignment="1" applyProtection="1">
      <alignment horizontal="center" vertical="center" wrapText="1"/>
      <protection locked="0"/>
    </xf>
    <xf numFmtId="14" fontId="0" fillId="9" borderId="81" xfId="0" applyNumberFormat="1" applyFill="1" applyBorder="1" applyAlignment="1" applyProtection="1">
      <alignment horizontal="center" vertical="center" wrapText="1"/>
      <protection locked="0"/>
    </xf>
    <xf numFmtId="0" fontId="0" fillId="9" borderId="79" xfId="0" applyFill="1" applyBorder="1" applyAlignment="1" applyProtection="1">
      <alignment horizontal="center" vertical="center" wrapText="1"/>
      <protection locked="0"/>
    </xf>
    <xf numFmtId="0" fontId="0" fillId="9" borderId="78" xfId="0" applyFill="1" applyBorder="1" applyAlignment="1" applyProtection="1">
      <alignment horizontal="center" vertical="center" wrapText="1"/>
      <protection locked="0"/>
    </xf>
    <xf numFmtId="164" fontId="0" fillId="9" borderId="80" xfId="0" applyNumberFormat="1" applyFill="1" applyBorder="1" applyAlignment="1" applyProtection="1">
      <alignment horizontal="center" vertical="center" wrapText="1"/>
      <protection locked="0"/>
    </xf>
    <xf numFmtId="164" fontId="0" fillId="9" borderId="82" xfId="0" applyNumberFormat="1" applyFill="1" applyBorder="1" applyAlignment="1" applyProtection="1">
      <alignment horizontal="center" vertical="center" wrapText="1"/>
      <protection locked="0"/>
    </xf>
    <xf numFmtId="164" fontId="0" fillId="9" borderId="79" xfId="0" applyNumberFormat="1" applyFill="1" applyBorder="1" applyAlignment="1" applyProtection="1">
      <alignment horizontal="center" vertical="center" wrapText="1"/>
      <protection locked="0"/>
    </xf>
    <xf numFmtId="164" fontId="0" fillId="9" borderId="81" xfId="0" applyNumberFormat="1" applyFill="1" applyBorder="1" applyAlignment="1" applyProtection="1">
      <alignment horizontal="center" vertical="center" wrapText="1"/>
      <protection locked="0"/>
    </xf>
    <xf numFmtId="0" fontId="0" fillId="9" borderId="77" xfId="0" applyFill="1" applyBorder="1" applyAlignment="1" applyProtection="1">
      <alignment horizontal="center" vertical="center" wrapText="1"/>
      <protection locked="0"/>
    </xf>
    <xf numFmtId="14" fontId="0" fillId="9" borderId="77" xfId="0" applyNumberFormat="1" applyFill="1" applyBorder="1" applyAlignment="1" applyProtection="1">
      <alignment horizontal="center" vertical="center" wrapText="1"/>
      <protection locked="0"/>
    </xf>
    <xf numFmtId="0" fontId="0" fillId="9" borderId="10" xfId="0" applyFill="1" applyBorder="1" applyAlignment="1" applyProtection="1">
      <alignment horizontal="center" vertical="center" wrapText="1"/>
      <protection locked="0"/>
    </xf>
    <xf numFmtId="14" fontId="0" fillId="9" borderId="46" xfId="0" applyNumberFormat="1" applyFill="1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9" borderId="9" xfId="0" applyFill="1" applyBorder="1" applyAlignment="1" applyProtection="1">
      <alignment horizontal="center" vertical="center" wrapText="1"/>
      <protection locked="0"/>
    </xf>
    <xf numFmtId="164" fontId="0" fillId="9" borderId="10" xfId="0" applyNumberFormat="1" applyFill="1" applyBorder="1" applyAlignment="1" applyProtection="1">
      <alignment horizontal="center" vertical="center" wrapText="1"/>
      <protection locked="0"/>
    </xf>
    <xf numFmtId="164" fontId="0" fillId="9" borderId="15" xfId="0" applyNumberFormat="1" applyFill="1" applyBorder="1" applyAlignment="1" applyProtection="1">
      <alignment horizontal="center" vertical="center" wrapText="1"/>
      <protection locked="0"/>
    </xf>
    <xf numFmtId="164" fontId="0" fillId="9" borderId="1" xfId="0" applyNumberFormat="1" applyFill="1" applyBorder="1" applyAlignment="1" applyProtection="1">
      <alignment horizontal="center" vertical="center" wrapText="1"/>
      <protection locked="0"/>
    </xf>
    <xf numFmtId="164" fontId="0" fillId="9" borderId="46" xfId="0" applyNumberFormat="1" applyFill="1" applyBorder="1" applyAlignment="1" applyProtection="1">
      <alignment horizontal="center" vertical="center" wrapText="1"/>
      <protection locked="0"/>
    </xf>
    <xf numFmtId="0" fontId="0" fillId="9" borderId="19" xfId="0" applyFill="1" applyBorder="1" applyAlignment="1" applyProtection="1">
      <alignment horizontal="center" vertical="center" wrapText="1"/>
      <protection locked="0"/>
    </xf>
    <xf numFmtId="14" fontId="0" fillId="9" borderId="19" xfId="0" applyNumberFormat="1" applyFill="1" applyBorder="1" applyAlignment="1" applyProtection="1">
      <alignment horizontal="center" vertical="center" wrapText="1"/>
      <protection locked="0"/>
    </xf>
    <xf numFmtId="0" fontId="0" fillId="9" borderId="35" xfId="0" applyFill="1" applyBorder="1" applyAlignment="1" applyProtection="1">
      <alignment horizontal="center" vertical="center" wrapText="1"/>
      <protection locked="0"/>
    </xf>
    <xf numFmtId="14" fontId="0" fillId="9" borderId="40" xfId="0" applyNumberFormat="1" applyFill="1" applyBorder="1" applyAlignment="1" applyProtection="1">
      <alignment horizontal="center" vertical="center" wrapText="1"/>
      <protection locked="0"/>
    </xf>
    <xf numFmtId="0" fontId="0" fillId="9" borderId="34" xfId="0" applyFill="1" applyBorder="1" applyAlignment="1" applyProtection="1">
      <alignment horizontal="center" vertical="center" wrapText="1"/>
      <protection locked="0"/>
    </xf>
    <xf numFmtId="0" fontId="0" fillId="9" borderId="33" xfId="0" applyFill="1" applyBorder="1" applyAlignment="1" applyProtection="1">
      <alignment horizontal="center" vertical="center" wrapText="1"/>
      <protection locked="0"/>
    </xf>
    <xf numFmtId="164" fontId="0" fillId="9" borderId="35" xfId="0" applyNumberFormat="1" applyFill="1" applyBorder="1" applyAlignment="1" applyProtection="1">
      <alignment horizontal="center" vertical="center" wrapText="1"/>
      <protection locked="0"/>
    </xf>
    <xf numFmtId="164" fontId="0" fillId="9" borderId="41" xfId="0" applyNumberFormat="1" applyFill="1" applyBorder="1" applyAlignment="1" applyProtection="1">
      <alignment horizontal="center" vertical="center" wrapText="1"/>
      <protection locked="0"/>
    </xf>
    <xf numFmtId="164" fontId="0" fillId="9" borderId="34" xfId="0" applyNumberFormat="1" applyFill="1" applyBorder="1" applyAlignment="1" applyProtection="1">
      <alignment horizontal="center" vertical="center" wrapText="1"/>
      <protection locked="0"/>
    </xf>
    <xf numFmtId="164" fontId="0" fillId="9" borderId="40" xfId="0" applyNumberFormat="1" applyFill="1" applyBorder="1" applyAlignment="1" applyProtection="1">
      <alignment horizontal="center" vertical="center" wrapText="1"/>
      <protection locked="0"/>
    </xf>
    <xf numFmtId="0" fontId="0" fillId="9" borderId="72" xfId="0" applyFill="1" applyBorder="1" applyAlignment="1" applyProtection="1">
      <alignment horizontal="center" vertical="center" wrapText="1"/>
      <protection locked="0"/>
    </xf>
    <xf numFmtId="14" fontId="0" fillId="9" borderId="72" xfId="0" applyNumberFormat="1" applyFill="1" applyBorder="1" applyAlignment="1" applyProtection="1">
      <alignment horizontal="center" vertical="center" wrapText="1"/>
      <protection locked="0"/>
    </xf>
    <xf numFmtId="0" fontId="0" fillId="9" borderId="85" xfId="0" applyFill="1" applyBorder="1" applyAlignment="1" applyProtection="1">
      <alignment horizontal="center" vertical="center" wrapText="1"/>
      <protection locked="0"/>
    </xf>
    <xf numFmtId="164" fontId="0" fillId="9" borderId="86" xfId="0" applyNumberFormat="1" applyFill="1" applyBorder="1" applyAlignment="1" applyProtection="1">
      <alignment horizontal="center" vertical="center" wrapText="1"/>
      <protection locked="0"/>
    </xf>
    <xf numFmtId="164" fontId="0" fillId="9" borderId="89" xfId="0" applyNumberFormat="1" applyFill="1" applyBorder="1" applyAlignment="1" applyProtection="1">
      <alignment horizontal="center" vertical="center" wrapText="1"/>
      <protection locked="0"/>
    </xf>
    <xf numFmtId="164" fontId="0" fillId="9" borderId="85" xfId="0" applyNumberFormat="1" applyFill="1" applyBorder="1" applyAlignment="1" applyProtection="1">
      <alignment horizontal="center" vertical="center" wrapText="1"/>
      <protection locked="0"/>
    </xf>
    <xf numFmtId="164" fontId="0" fillId="9" borderId="87" xfId="0" applyNumberFormat="1" applyFill="1" applyBorder="1" applyAlignment="1" applyProtection="1">
      <alignment horizontal="center" vertical="center" wrapText="1"/>
      <protection locked="0"/>
    </xf>
    <xf numFmtId="0" fontId="0" fillId="9" borderId="83" xfId="0" applyFill="1" applyBorder="1" applyAlignment="1" applyProtection="1">
      <alignment horizontal="center" vertical="center" wrapText="1"/>
      <protection locked="0"/>
    </xf>
    <xf numFmtId="14" fontId="0" fillId="9" borderId="83" xfId="0" applyNumberFormat="1" applyFill="1" applyBorder="1" applyAlignment="1" applyProtection="1">
      <alignment horizontal="center" vertical="center" wrapText="1"/>
      <protection locked="0"/>
    </xf>
    <xf numFmtId="0" fontId="0" fillId="9" borderId="86" xfId="0" applyFill="1" applyBorder="1" applyAlignment="1" applyProtection="1">
      <alignment horizontal="center" vertical="center" wrapText="1"/>
      <protection locked="0"/>
    </xf>
    <xf numFmtId="14" fontId="0" fillId="9" borderId="87" xfId="0" applyNumberFormat="1" applyFill="1" applyBorder="1" applyAlignment="1" applyProtection="1">
      <alignment horizontal="center" vertical="center" wrapText="1"/>
      <protection locked="0"/>
    </xf>
    <xf numFmtId="0" fontId="36" fillId="0" borderId="79" xfId="3" applyFont="1" applyFill="1" applyBorder="1" applyAlignment="1" applyProtection="1">
      <alignment horizontal="center" vertical="center" wrapText="1"/>
      <protection locked="0"/>
    </xf>
    <xf numFmtId="0" fontId="36" fillId="2" borderId="1" xfId="0" applyFont="1" applyFill="1" applyBorder="1" applyAlignment="1" applyProtection="1">
      <alignment horizontal="center" vertical="center" wrapText="1"/>
    </xf>
    <xf numFmtId="0" fontId="36" fillId="2" borderId="34" xfId="0" applyFont="1" applyFill="1" applyBorder="1" applyAlignment="1" applyProtection="1">
      <alignment horizontal="center" vertical="center" wrapText="1"/>
    </xf>
    <xf numFmtId="0" fontId="36" fillId="2" borderId="85" xfId="0" applyFont="1" applyFill="1" applyBorder="1" applyAlignment="1" applyProtection="1">
      <alignment horizontal="center" vertical="center" wrapText="1"/>
    </xf>
    <xf numFmtId="0" fontId="36" fillId="2" borderId="28" xfId="3" applyFont="1" applyFill="1" applyBorder="1" applyAlignment="1" applyProtection="1">
      <alignment horizontal="center" vertical="center" wrapText="1"/>
    </xf>
    <xf numFmtId="0" fontId="36" fillId="2" borderId="79" xfId="3" applyFont="1" applyFill="1" applyBorder="1" applyAlignment="1" applyProtection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9" fillId="2" borderId="37" xfId="0" applyFont="1" applyFill="1" applyBorder="1" applyAlignment="1" applyProtection="1">
      <alignment horizontal="center"/>
    </xf>
    <xf numFmtId="0" fontId="9" fillId="2" borderId="38" xfId="0" applyFont="1" applyFill="1" applyBorder="1" applyAlignment="1" applyProtection="1">
      <alignment horizontal="center"/>
    </xf>
    <xf numFmtId="14" fontId="0" fillId="2" borderId="91" xfId="0" applyNumberFormat="1" applyFill="1" applyBorder="1" applyAlignment="1" applyProtection="1">
      <alignment horizontal="center" vertical="center" wrapText="1"/>
    </xf>
    <xf numFmtId="14" fontId="0" fillId="2" borderId="29" xfId="0" applyNumberFormat="1" applyFill="1" applyBorder="1" applyAlignment="1" applyProtection="1">
      <alignment horizontal="center" vertical="center" wrapText="1"/>
    </xf>
    <xf numFmtId="14" fontId="0" fillId="2" borderId="90" xfId="0" applyNumberFormat="1" applyFill="1" applyBorder="1" applyAlignment="1" applyProtection="1">
      <alignment horizontal="center" vertical="center" wrapText="1"/>
    </xf>
    <xf numFmtId="14" fontId="0" fillId="2" borderId="10" xfId="0" applyNumberFormat="1" applyFill="1" applyBorder="1" applyAlignment="1" applyProtection="1">
      <alignment horizontal="center" vertical="center" wrapText="1"/>
    </xf>
    <xf numFmtId="14" fontId="0" fillId="2" borderId="46" xfId="0" applyNumberFormat="1" applyFill="1" applyBorder="1" applyAlignment="1" applyProtection="1">
      <alignment horizontal="center" vertical="center" wrapText="1"/>
    </xf>
    <xf numFmtId="0" fontId="0" fillId="2" borderId="1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0" fillId="2" borderId="46" xfId="0" applyFill="1" applyBorder="1"/>
    <xf numFmtId="0" fontId="37" fillId="10" borderId="11" xfId="4" applyBorder="1" applyAlignment="1">
      <alignment horizontal="center"/>
    </xf>
    <xf numFmtId="0" fontId="37" fillId="10" borderId="12" xfId="4" applyBorder="1"/>
    <xf numFmtId="0" fontId="37" fillId="10" borderId="13" xfId="4" applyBorder="1"/>
    <xf numFmtId="14" fontId="0" fillId="2" borderId="92" xfId="0" applyNumberFormat="1" applyFill="1" applyBorder="1" applyAlignment="1" applyProtection="1">
      <alignment horizontal="center" vertical="center" wrapText="1"/>
    </xf>
    <xf numFmtId="14" fontId="0" fillId="2" borderId="13" xfId="0" applyNumberFormat="1" applyFill="1" applyBorder="1" applyAlignment="1" applyProtection="1">
      <alignment horizontal="center" vertical="center" wrapText="1"/>
    </xf>
    <xf numFmtId="14" fontId="0" fillId="2" borderId="62" xfId="0" applyNumberFormat="1" applyFill="1" applyBorder="1" applyAlignment="1" applyProtection="1">
      <alignment horizontal="center" vertical="center" wrapText="1"/>
    </xf>
    <xf numFmtId="14" fontId="0" fillId="2" borderId="49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9" fillId="2" borderId="39" xfId="0" applyFont="1" applyFill="1" applyBorder="1" applyAlignment="1" applyProtection="1">
      <alignment horizontal="center"/>
    </xf>
    <xf numFmtId="14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2" borderId="93" xfId="0" applyFill="1" applyBorder="1" applyAlignment="1">
      <alignment horizontal="center"/>
    </xf>
    <xf numFmtId="14" fontId="0" fillId="0" borderId="0" xfId="0" applyNumberFormat="1" applyFill="1" applyBorder="1" applyAlignment="1" applyProtection="1">
      <alignment horizontal="center" vertical="center" wrapText="1"/>
      <protection locked="0"/>
    </xf>
    <xf numFmtId="0" fontId="0" fillId="2" borderId="73" xfId="0" applyFill="1" applyBorder="1"/>
    <xf numFmtId="0" fontId="0" fillId="2" borderId="59" xfId="0" applyFill="1" applyBorder="1"/>
    <xf numFmtId="0" fontId="0" fillId="2" borderId="63" xfId="0" applyFill="1" applyBorder="1"/>
    <xf numFmtId="0" fontId="0" fillId="2" borderId="74" xfId="0" applyFill="1" applyBorder="1"/>
    <xf numFmtId="0" fontId="0" fillId="2" borderId="0" xfId="0" applyFill="1" applyBorder="1"/>
    <xf numFmtId="0" fontId="0" fillId="2" borderId="75" xfId="0" applyFill="1" applyBorder="1"/>
    <xf numFmtId="0" fontId="14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6" xfId="0" applyFill="1" applyBorder="1"/>
    <xf numFmtId="0" fontId="0" fillId="2" borderId="60" xfId="0" applyFill="1" applyBorder="1"/>
    <xf numFmtId="0" fontId="0" fillId="2" borderId="60" xfId="0" applyFill="1" applyBorder="1" applyAlignment="1">
      <alignment horizontal="right"/>
    </xf>
    <xf numFmtId="0" fontId="0" fillId="2" borderId="64" xfId="0" applyFill="1" applyBorder="1"/>
    <xf numFmtId="0" fontId="0" fillId="2" borderId="1" xfId="0" applyFill="1" applyBorder="1" applyAlignment="1"/>
    <xf numFmtId="14" fontId="35" fillId="0" borderId="1" xfId="3" applyNumberFormat="1" applyFill="1" applyBorder="1" applyProtection="1">
      <protection locked="0"/>
    </xf>
    <xf numFmtId="14" fontId="0" fillId="0" borderId="1" xfId="0" applyNumberFormat="1" applyFill="1" applyBorder="1" applyProtection="1">
      <protection locked="0"/>
    </xf>
    <xf numFmtId="0" fontId="8" fillId="2" borderId="37" xfId="0" applyFont="1" applyFill="1" applyBorder="1" applyAlignment="1">
      <alignment horizontal="center" vertical="center" wrapText="1"/>
    </xf>
    <xf numFmtId="0" fontId="8" fillId="2" borderId="38" xfId="0" applyFont="1" applyFill="1" applyBorder="1" applyAlignment="1">
      <alignment horizontal="center" vertical="center" wrapText="1"/>
    </xf>
    <xf numFmtId="0" fontId="8" fillId="2" borderId="39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 applyProtection="1">
      <alignment horizontal="center" vertical="center" wrapText="1"/>
      <protection locked="0"/>
    </xf>
    <xf numFmtId="0" fontId="6" fillId="0" borderId="28" xfId="0" applyFont="1" applyFill="1" applyBorder="1" applyAlignment="1" applyProtection="1">
      <alignment horizontal="center" vertical="center" wrapText="1"/>
      <protection locked="0"/>
    </xf>
    <xf numFmtId="0" fontId="6" fillId="0" borderId="29" xfId="0" applyFont="1" applyFill="1" applyBorder="1" applyAlignment="1" applyProtection="1">
      <alignment horizontal="center" vertical="center" wrapText="1"/>
      <protection locked="0"/>
    </xf>
    <xf numFmtId="0" fontId="6" fillId="0" borderId="30" xfId="0" applyFont="1" applyFill="1" applyBorder="1" applyAlignment="1" applyProtection="1">
      <alignment horizontal="center" vertical="center" wrapText="1"/>
      <protection locked="0"/>
    </xf>
    <xf numFmtId="0" fontId="6" fillId="0" borderId="9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Fill="1" applyBorder="1" applyAlignment="1" applyProtection="1">
      <alignment horizontal="center" vertical="center" wrapText="1"/>
      <protection locked="0"/>
    </xf>
    <xf numFmtId="0" fontId="6" fillId="0" borderId="12" xfId="0" applyFont="1" applyFill="1" applyBorder="1" applyAlignment="1" applyProtection="1">
      <alignment horizontal="center" vertical="center" wrapText="1"/>
      <protection locked="0"/>
    </xf>
    <xf numFmtId="0" fontId="6" fillId="0" borderId="13" xfId="0" applyFont="1" applyFill="1" applyBorder="1" applyAlignment="1" applyProtection="1">
      <alignment horizontal="center" vertical="center" wrapText="1"/>
      <protection locked="0"/>
    </xf>
    <xf numFmtId="0" fontId="6" fillId="0" borderId="26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164" fontId="0" fillId="2" borderId="1" xfId="0" applyNumberFormat="1" applyFill="1" applyBorder="1"/>
    <xf numFmtId="0" fontId="38" fillId="0" borderId="2" xfId="0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0" fontId="14" fillId="0" borderId="0" xfId="0" applyFont="1"/>
    <xf numFmtId="0" fontId="38" fillId="11" borderId="2" xfId="0" applyFont="1" applyFill="1" applyBorder="1" applyAlignment="1">
      <alignment horizontal="center" vertical="center"/>
    </xf>
    <xf numFmtId="0" fontId="10" fillId="0" borderId="0" xfId="0" applyFont="1"/>
    <xf numFmtId="0" fontId="39" fillId="11" borderId="2" xfId="0" applyFont="1" applyFill="1" applyBorder="1" applyAlignment="1">
      <alignment horizontal="center" vertical="center"/>
    </xf>
    <xf numFmtId="0" fontId="40" fillId="7" borderId="2" xfId="0" applyFont="1" applyFill="1" applyBorder="1" applyAlignment="1">
      <alignment horizontal="center" vertical="center"/>
    </xf>
    <xf numFmtId="0" fontId="7" fillId="2" borderId="59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6" fillId="2" borderId="75" xfId="0" applyFont="1" applyFill="1" applyBorder="1" applyAlignment="1">
      <alignment horizontal="center" vertical="center" wrapText="1"/>
    </xf>
    <xf numFmtId="0" fontId="6" fillId="0" borderId="33" xfId="0" applyFont="1" applyFill="1" applyBorder="1" applyAlignment="1" applyProtection="1">
      <alignment horizontal="center" vertical="center" wrapText="1"/>
      <protection locked="0"/>
    </xf>
    <xf numFmtId="0" fontId="6" fillId="0" borderId="35" xfId="0" applyFont="1" applyFill="1" applyBorder="1" applyAlignment="1" applyProtection="1">
      <alignment horizontal="center" vertical="center" wrapText="1"/>
      <protection locked="0"/>
    </xf>
    <xf numFmtId="0" fontId="6" fillId="0" borderId="36" xfId="0" applyFont="1" applyFill="1" applyBorder="1" applyAlignment="1" applyProtection="1">
      <alignment horizontal="center" vertical="center" wrapText="1"/>
      <protection locked="0"/>
    </xf>
    <xf numFmtId="0" fontId="0" fillId="0" borderId="74" xfId="0" applyFill="1" applyBorder="1"/>
    <xf numFmtId="0" fontId="0" fillId="0" borderId="0" xfId="0" applyFill="1" applyBorder="1"/>
    <xf numFmtId="0" fontId="43" fillId="0" borderId="75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75" xfId="0" applyFont="1" applyFill="1" applyBorder="1" applyAlignment="1">
      <alignment horizontal="center" vertical="center" wrapText="1"/>
    </xf>
    <xf numFmtId="0" fontId="5" fillId="0" borderId="22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6" fillId="0" borderId="33" xfId="0" applyFont="1" applyFill="1" applyBorder="1" applyAlignment="1">
      <alignment horizontal="center" vertical="center" wrapText="1"/>
    </xf>
    <xf numFmtId="0" fontId="6" fillId="0" borderId="34" xfId="0" applyFont="1" applyFill="1" applyBorder="1" applyAlignment="1">
      <alignment horizontal="center" vertical="center" wrapText="1"/>
    </xf>
    <xf numFmtId="0" fontId="6" fillId="0" borderId="35" xfId="0" applyFont="1" applyFill="1" applyBorder="1" applyAlignment="1">
      <alignment horizontal="center" vertical="center" wrapText="1"/>
    </xf>
    <xf numFmtId="0" fontId="6" fillId="0" borderId="36" xfId="0" applyFont="1" applyFill="1" applyBorder="1" applyAlignment="1">
      <alignment horizontal="center" vertical="center" wrapText="1"/>
    </xf>
    <xf numFmtId="0" fontId="6" fillId="0" borderId="75" xfId="0" applyFont="1" applyFill="1" applyBorder="1" applyAlignment="1">
      <alignment horizontal="center" vertical="center" wrapText="1"/>
    </xf>
    <xf numFmtId="0" fontId="9" fillId="0" borderId="74" xfId="0" applyFont="1" applyFill="1" applyBorder="1"/>
    <xf numFmtId="0" fontId="8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5" fillId="0" borderId="18" xfId="0" applyFont="1" applyFill="1" applyBorder="1" applyAlignment="1">
      <alignment vertical="center" wrapText="1"/>
    </xf>
    <xf numFmtId="0" fontId="6" fillId="0" borderId="27" xfId="0" applyFont="1" applyFill="1" applyBorder="1" applyAlignment="1">
      <alignment vertical="center" wrapText="1"/>
    </xf>
    <xf numFmtId="0" fontId="5" fillId="0" borderId="19" xfId="0" applyFont="1" applyFill="1" applyBorder="1" applyAlignment="1">
      <alignment vertical="center" wrapText="1"/>
    </xf>
    <xf numFmtId="0" fontId="6" fillId="0" borderId="22" xfId="0" applyFont="1" applyFill="1" applyBorder="1" applyAlignment="1">
      <alignment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6" fillId="0" borderId="23" xfId="0" applyFont="1" applyFill="1" applyBorder="1" applyAlignment="1">
      <alignment vertical="center" wrapText="1"/>
    </xf>
    <xf numFmtId="0" fontId="4" fillId="0" borderId="0" xfId="0" applyFont="1" applyFill="1" applyBorder="1"/>
    <xf numFmtId="0" fontId="12" fillId="0" borderId="0" xfId="0" applyFont="1" applyFill="1" applyBorder="1" applyAlignment="1">
      <alignment horizontal="left" vertical="center" indent="7"/>
    </xf>
    <xf numFmtId="0" fontId="0" fillId="0" borderId="76" xfId="0" applyFill="1" applyBorder="1"/>
    <xf numFmtId="0" fontId="0" fillId="0" borderId="60" xfId="0" applyFill="1" applyBorder="1"/>
    <xf numFmtId="0" fontId="8" fillId="0" borderId="60" xfId="0" applyFont="1" applyFill="1" applyBorder="1" applyAlignment="1">
      <alignment vertical="center"/>
    </xf>
    <xf numFmtId="0" fontId="0" fillId="0" borderId="75" xfId="0" applyFill="1" applyBorder="1"/>
    <xf numFmtId="0" fontId="9" fillId="0" borderId="75" xfId="0" applyFont="1" applyFill="1" applyBorder="1"/>
    <xf numFmtId="0" fontId="0" fillId="0" borderId="64" xfId="0" applyFill="1" applyBorder="1"/>
    <xf numFmtId="0" fontId="0" fillId="0" borderId="73" xfId="0" applyFill="1" applyBorder="1"/>
    <xf numFmtId="0" fontId="0" fillId="0" borderId="59" xfId="0" applyFill="1" applyBorder="1"/>
    <xf numFmtId="0" fontId="0" fillId="0" borderId="63" xfId="0" applyFill="1" applyBorder="1"/>
    <xf numFmtId="0" fontId="16" fillId="0" borderId="46" xfId="0" applyFont="1" applyFill="1" applyBorder="1" applyAlignment="1" applyProtection="1">
      <alignment horizontal="center" vertical="center"/>
      <protection locked="0"/>
    </xf>
    <xf numFmtId="0" fontId="16" fillId="0" borderId="2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Fill="1" applyBorder="1" applyAlignment="1" applyProtection="1">
      <alignment horizontal="center" vertical="center"/>
      <protection locked="0"/>
    </xf>
    <xf numFmtId="14" fontId="10" fillId="0" borderId="46" xfId="0" applyNumberFormat="1" applyFont="1" applyFill="1" applyBorder="1" applyAlignment="1" applyProtection="1">
      <alignment horizontal="center" vertical="center"/>
      <protection locked="0"/>
    </xf>
    <xf numFmtId="14" fontId="10" fillId="0" borderId="22" xfId="0" applyNumberFormat="1" applyFont="1" applyFill="1" applyBorder="1" applyAlignment="1" applyProtection="1">
      <alignment horizontal="center" vertical="center"/>
      <protection locked="0"/>
    </xf>
    <xf numFmtId="14" fontId="10" fillId="0" borderId="15" xfId="0" applyNumberFormat="1" applyFont="1" applyFill="1" applyBorder="1" applyAlignment="1" applyProtection="1">
      <alignment horizontal="center" vertical="center"/>
      <protection locked="0"/>
    </xf>
    <xf numFmtId="164" fontId="7" fillId="2" borderId="37" xfId="0" applyNumberFormat="1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164" fontId="7" fillId="2" borderId="38" xfId="0" applyNumberFormat="1" applyFont="1" applyFill="1" applyBorder="1" applyAlignment="1">
      <alignment horizontal="center" vertical="center"/>
    </xf>
    <xf numFmtId="164" fontId="7" fillId="2" borderId="39" xfId="0" applyNumberFormat="1" applyFont="1" applyFill="1" applyBorder="1" applyAlignment="1">
      <alignment horizontal="center" vertical="center"/>
    </xf>
    <xf numFmtId="0" fontId="15" fillId="2" borderId="59" xfId="0" applyFont="1" applyFill="1" applyBorder="1" applyAlignment="1" applyProtection="1">
      <alignment horizontal="center" vertical="center" wrapText="1"/>
    </xf>
    <xf numFmtId="164" fontId="7" fillId="2" borderId="12" xfId="0" applyNumberFormat="1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54" xfId="0" applyFont="1" applyFill="1" applyBorder="1" applyAlignment="1">
      <alignment horizontal="center" vertical="center"/>
    </xf>
    <xf numFmtId="164" fontId="7" fillId="2" borderId="13" xfId="0" applyNumberFormat="1" applyFont="1" applyFill="1" applyBorder="1" applyAlignment="1">
      <alignment horizontal="center" vertical="center"/>
    </xf>
    <xf numFmtId="164" fontId="17" fillId="5" borderId="40" xfId="0" applyNumberFormat="1" applyFont="1" applyFill="1" applyBorder="1" applyAlignment="1">
      <alignment horizontal="center" vertical="center"/>
    </xf>
    <xf numFmtId="0" fontId="17" fillId="5" borderId="32" xfId="0" applyFont="1" applyFill="1" applyBorder="1" applyAlignment="1">
      <alignment horizontal="center" vertical="center"/>
    </xf>
    <xf numFmtId="0" fontId="17" fillId="5" borderId="41" xfId="0" applyFont="1" applyFill="1" applyBorder="1" applyAlignment="1">
      <alignment horizontal="center" vertical="center"/>
    </xf>
    <xf numFmtId="0" fontId="17" fillId="5" borderId="44" xfId="0" applyFont="1" applyFill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0" fontId="17" fillId="5" borderId="45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 wrapText="1"/>
    </xf>
    <xf numFmtId="0" fontId="7" fillId="2" borderId="63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64" xfId="0" applyFont="1" applyFill="1" applyBorder="1" applyAlignment="1">
      <alignment horizontal="center" vertical="center"/>
    </xf>
    <xf numFmtId="164" fontId="7" fillId="2" borderId="7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4" fontId="7" fillId="2" borderId="10" xfId="0" applyNumberFormat="1" applyFont="1" applyFill="1" applyBorder="1" applyAlignment="1">
      <alignment horizontal="center" vertical="center"/>
    </xf>
    <xf numFmtId="0" fontId="7" fillId="2" borderId="59" xfId="0" applyFont="1" applyFill="1" applyBorder="1" applyAlignment="1">
      <alignment horizontal="center" vertical="center" wrapText="1"/>
    </xf>
    <xf numFmtId="0" fontId="7" fillId="2" borderId="56" xfId="0" applyFont="1" applyFill="1" applyBorder="1" applyAlignment="1">
      <alignment horizontal="center" vertical="center" wrapText="1"/>
    </xf>
    <xf numFmtId="0" fontId="7" fillId="2" borderId="57" xfId="0" applyFont="1" applyFill="1" applyBorder="1" applyAlignment="1">
      <alignment horizontal="center" vertical="center" wrapText="1"/>
    </xf>
    <xf numFmtId="0" fontId="7" fillId="2" borderId="60" xfId="0" applyFont="1" applyFill="1" applyBorder="1" applyAlignment="1">
      <alignment horizontal="center" vertical="center" wrapText="1"/>
    </xf>
    <xf numFmtId="0" fontId="7" fillId="2" borderId="58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0" borderId="11" xfId="0" applyFont="1" applyFill="1" applyBorder="1" applyAlignment="1" applyProtection="1">
      <alignment horizontal="center" vertical="center" wrapText="1"/>
      <protection locked="0"/>
    </xf>
    <xf numFmtId="0" fontId="7" fillId="0" borderId="12" xfId="0" applyFont="1" applyFill="1" applyBorder="1" applyAlignment="1" applyProtection="1">
      <alignment horizontal="center" vertical="center" wrapText="1"/>
      <protection locked="0"/>
    </xf>
    <xf numFmtId="0" fontId="7" fillId="2" borderId="13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11" fillId="0" borderId="46" xfId="0" applyFont="1" applyFill="1" applyBorder="1" applyAlignment="1" applyProtection="1">
      <alignment horizontal="center" vertical="center"/>
      <protection locked="0"/>
    </xf>
    <xf numFmtId="0" fontId="11" fillId="0" borderId="22" xfId="0" applyFont="1" applyFill="1" applyBorder="1" applyAlignment="1" applyProtection="1">
      <alignment horizontal="center" vertical="center"/>
      <protection locked="0"/>
    </xf>
    <xf numFmtId="0" fontId="11" fillId="0" borderId="15" xfId="0" applyFont="1" applyFill="1" applyBorder="1" applyAlignment="1" applyProtection="1">
      <alignment horizontal="center" vertical="center"/>
      <protection locked="0"/>
    </xf>
    <xf numFmtId="0" fontId="7" fillId="2" borderId="39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0" borderId="6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11" fillId="2" borderId="46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14" fontId="11" fillId="2" borderId="46" xfId="0" applyNumberFormat="1" applyFont="1" applyFill="1" applyBorder="1" applyAlignment="1" applyProtection="1">
      <alignment horizontal="center" vertical="center"/>
    </xf>
    <xf numFmtId="14" fontId="11" fillId="2" borderId="22" xfId="0" applyNumberFormat="1" applyFont="1" applyFill="1" applyBorder="1" applyAlignment="1" applyProtection="1">
      <alignment horizontal="center" vertical="center"/>
    </xf>
    <xf numFmtId="14" fontId="11" fillId="2" borderId="15" xfId="0" applyNumberFormat="1" applyFont="1" applyFill="1" applyBorder="1" applyAlignment="1" applyProtection="1">
      <alignment horizontal="center" vertical="center"/>
    </xf>
    <xf numFmtId="14" fontId="11" fillId="2" borderId="46" xfId="0" applyNumberFormat="1" applyFont="1" applyFill="1" applyBorder="1" applyAlignment="1">
      <alignment horizontal="center" vertical="center"/>
    </xf>
    <xf numFmtId="14" fontId="11" fillId="2" borderId="22" xfId="0" applyNumberFormat="1" applyFont="1" applyFill="1" applyBorder="1" applyAlignment="1">
      <alignment horizontal="center" vertical="center"/>
    </xf>
    <xf numFmtId="14" fontId="11" fillId="2" borderId="15" xfId="0" applyNumberFormat="1" applyFont="1" applyFill="1" applyBorder="1" applyAlignment="1">
      <alignment horizontal="center" vertical="center"/>
    </xf>
    <xf numFmtId="0" fontId="7" fillId="2" borderId="51" xfId="0" applyFont="1" applyFill="1" applyBorder="1" applyAlignment="1">
      <alignment horizontal="center" vertical="center"/>
    </xf>
    <xf numFmtId="0" fontId="7" fillId="2" borderId="52" xfId="0" applyFont="1" applyFill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6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49" xfId="0" applyFont="1" applyFill="1" applyBorder="1" applyAlignment="1" applyProtection="1">
      <alignment horizontal="center" vertical="center" wrapText="1"/>
      <protection locked="0"/>
    </xf>
    <xf numFmtId="0" fontId="7" fillId="2" borderId="8" xfId="0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46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 applyProtection="1">
      <alignment horizontal="center" vertical="center" wrapText="1"/>
      <protection locked="0"/>
    </xf>
    <xf numFmtId="0" fontId="7" fillId="2" borderId="15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7" fillId="2" borderId="5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12" xfId="0" applyFont="1" applyFill="1" applyBorder="1" applyAlignment="1" applyProtection="1">
      <alignment horizontal="center" vertical="center" wrapText="1"/>
    </xf>
    <xf numFmtId="0" fontId="7" fillId="2" borderId="47" xfId="0" applyFont="1" applyFill="1" applyBorder="1" applyAlignment="1" applyProtection="1">
      <alignment horizontal="center" vertical="center" wrapText="1"/>
    </xf>
    <xf numFmtId="0" fontId="7" fillId="2" borderId="48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0" borderId="47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</xf>
    <xf numFmtId="0" fontId="7" fillId="2" borderId="46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 vertical="center" wrapText="1"/>
    </xf>
    <xf numFmtId="0" fontId="15" fillId="2" borderId="61" xfId="0" applyFont="1" applyFill="1" applyBorder="1" applyAlignment="1" applyProtection="1">
      <alignment horizontal="center" vertical="center" wrapText="1"/>
    </xf>
    <xf numFmtId="0" fontId="15" fillId="2" borderId="4" xfId="0" applyFont="1" applyFill="1" applyBorder="1" applyAlignment="1" applyProtection="1">
      <alignment horizontal="center" vertical="center" wrapText="1"/>
    </xf>
    <xf numFmtId="0" fontId="15" fillId="2" borderId="3" xfId="0" applyFont="1" applyFill="1" applyBorder="1" applyAlignment="1" applyProtection="1">
      <alignment horizontal="center" vertical="center" wrapText="1"/>
    </xf>
    <xf numFmtId="164" fontId="7" fillId="2" borderId="61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164" fontId="7" fillId="2" borderId="3" xfId="0" applyNumberFormat="1" applyFont="1" applyFill="1" applyBorder="1" applyAlignment="1">
      <alignment horizontal="center" vertical="center"/>
    </xf>
    <xf numFmtId="0" fontId="7" fillId="2" borderId="7" xfId="0" applyFont="1" applyFill="1" applyBorder="1" applyAlignment="1" applyProtection="1">
      <alignment horizontal="center" vertical="center" wrapText="1"/>
    </xf>
    <xf numFmtId="0" fontId="7" fillId="2" borderId="49" xfId="0" applyFont="1" applyFill="1" applyBorder="1" applyAlignment="1" applyProtection="1">
      <alignment horizontal="center" vertical="center" wrapText="1"/>
    </xf>
    <xf numFmtId="0" fontId="7" fillId="2" borderId="6" xfId="0" applyFont="1" applyFill="1" applyBorder="1" applyAlignment="1" applyProtection="1">
      <alignment horizontal="center" vertical="center" wrapText="1"/>
    </xf>
    <xf numFmtId="0" fontId="11" fillId="2" borderId="46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</xf>
    <xf numFmtId="0" fontId="11" fillId="2" borderId="15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9" fillId="2" borderId="46" xfId="0" applyFont="1" applyFill="1" applyBorder="1" applyAlignment="1" applyProtection="1">
      <alignment horizontal="center" vertical="center"/>
    </xf>
    <xf numFmtId="0" fontId="29" fillId="2" borderId="22" xfId="0" applyFont="1" applyFill="1" applyBorder="1" applyAlignment="1" applyProtection="1">
      <alignment horizontal="center" vertical="center"/>
    </xf>
    <xf numFmtId="0" fontId="29" fillId="2" borderId="15" xfId="0" applyFont="1" applyFill="1" applyBorder="1" applyAlignment="1" applyProtection="1">
      <alignment horizontal="center" vertical="center"/>
    </xf>
    <xf numFmtId="14" fontId="10" fillId="2" borderId="46" xfId="0" applyNumberFormat="1" applyFont="1" applyFill="1" applyBorder="1" applyAlignment="1" applyProtection="1">
      <alignment horizontal="center" vertical="center"/>
    </xf>
    <xf numFmtId="14" fontId="10" fillId="2" borderId="22" xfId="0" applyNumberFormat="1" applyFont="1" applyFill="1" applyBorder="1" applyAlignment="1" applyProtection="1">
      <alignment horizontal="center" vertical="center"/>
    </xf>
    <xf numFmtId="14" fontId="10" fillId="2" borderId="15" xfId="0" applyNumberFormat="1" applyFont="1" applyFill="1" applyBorder="1" applyAlignment="1" applyProtection="1">
      <alignment horizontal="center" vertical="center"/>
    </xf>
    <xf numFmtId="14" fontId="10" fillId="2" borderId="46" xfId="0" applyNumberFormat="1" applyFont="1" applyFill="1" applyBorder="1" applyAlignment="1">
      <alignment horizontal="center" vertical="center"/>
    </xf>
    <xf numFmtId="14" fontId="10" fillId="2" borderId="22" xfId="0" applyNumberFormat="1" applyFont="1" applyFill="1" applyBorder="1" applyAlignment="1">
      <alignment horizontal="center" vertical="center"/>
    </xf>
    <xf numFmtId="14" fontId="10" fillId="2" borderId="15" xfId="0" applyNumberFormat="1" applyFont="1" applyFill="1" applyBorder="1" applyAlignment="1">
      <alignment horizontal="center" vertical="center"/>
    </xf>
    <xf numFmtId="0" fontId="7" fillId="2" borderId="48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 vertical="center" wrapText="1"/>
    </xf>
    <xf numFmtId="0" fontId="7" fillId="2" borderId="11" xfId="0" applyFont="1" applyFill="1" applyBorder="1" applyAlignment="1" applyProtection="1">
      <alignment horizontal="center" vertical="center" wrapText="1"/>
    </xf>
    <xf numFmtId="0" fontId="0" fillId="2" borderId="5" xfId="0" applyNumberFormat="1" applyFill="1" applyBorder="1" applyAlignment="1">
      <alignment horizontal="center" vertical="center" wrapText="1"/>
    </xf>
    <xf numFmtId="0" fontId="0" fillId="2" borderId="70" xfId="0" applyNumberForma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70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54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69" xfId="0" applyFill="1" applyBorder="1" applyAlignment="1">
      <alignment horizontal="center" vertical="center" wrapText="1"/>
    </xf>
    <xf numFmtId="0" fontId="0" fillId="2" borderId="49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14" fillId="2" borderId="87" xfId="0" applyFont="1" applyFill="1" applyBorder="1" applyAlignment="1" applyProtection="1">
      <alignment horizontal="center" vertical="center" wrapText="1"/>
    </xf>
    <xf numFmtId="0" fontId="14" fillId="2" borderId="88" xfId="0" applyFont="1" applyFill="1" applyBorder="1" applyAlignment="1" applyProtection="1">
      <alignment horizontal="center" vertical="center" wrapText="1"/>
    </xf>
    <xf numFmtId="0" fontId="14" fillId="2" borderId="89" xfId="0" applyFont="1" applyFill="1" applyBorder="1" applyAlignment="1" applyProtection="1">
      <alignment horizontal="center" vertical="center" wrapText="1"/>
    </xf>
    <xf numFmtId="0" fontId="0" fillId="2" borderId="62" xfId="0" applyFill="1" applyBorder="1" applyAlignment="1">
      <alignment horizontal="center" vertical="center" wrapText="1"/>
    </xf>
    <xf numFmtId="0" fontId="0" fillId="2" borderId="50" xfId="0" applyFill="1" applyBorder="1" applyAlignment="1">
      <alignment horizontal="center" vertical="center" wrapText="1"/>
    </xf>
    <xf numFmtId="0" fontId="0" fillId="2" borderId="56" xfId="0" applyFill="1" applyBorder="1" applyAlignment="1">
      <alignment horizontal="center" vertical="center" wrapText="1"/>
    </xf>
    <xf numFmtId="0" fontId="0" fillId="2" borderId="58" xfId="0" applyFill="1" applyBorder="1" applyAlignment="1">
      <alignment horizontal="center" vertical="center" wrapText="1"/>
    </xf>
    <xf numFmtId="0" fontId="0" fillId="2" borderId="55" xfId="0" applyFill="1" applyBorder="1" applyAlignment="1">
      <alignment horizontal="center" vertical="center" wrapText="1"/>
    </xf>
    <xf numFmtId="0" fontId="0" fillId="2" borderId="57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/>
    </xf>
    <xf numFmtId="0" fontId="0" fillId="2" borderId="51" xfId="0" applyFill="1" applyBorder="1" applyAlignment="1">
      <alignment horizontal="center" vertical="center" wrapText="1"/>
    </xf>
    <xf numFmtId="0" fontId="0" fillId="2" borderId="52" xfId="0" applyFill="1" applyBorder="1" applyAlignment="1">
      <alignment horizontal="center" vertical="center" wrapText="1"/>
    </xf>
    <xf numFmtId="0" fontId="20" fillId="0" borderId="40" xfId="1" applyFont="1" applyBorder="1"/>
    <xf numFmtId="0" fontId="20" fillId="0" borderId="32" xfId="1" applyFont="1" applyBorder="1"/>
    <xf numFmtId="0" fontId="20" fillId="0" borderId="41" xfId="1" applyFont="1" applyBorder="1"/>
    <xf numFmtId="0" fontId="21" fillId="0" borderId="44" xfId="1" applyFont="1" applyBorder="1" applyAlignment="1">
      <alignment horizontal="center" vertical="center"/>
    </xf>
    <xf numFmtId="0" fontId="21" fillId="0" borderId="27" xfId="1" applyFont="1" applyBorder="1" applyAlignment="1">
      <alignment horizontal="center" vertical="center"/>
    </xf>
    <xf numFmtId="0" fontId="21" fillId="0" borderId="45" xfId="1" applyFont="1" applyBorder="1" applyAlignment="1">
      <alignment horizontal="center" vertical="center"/>
    </xf>
    <xf numFmtId="0" fontId="21" fillId="0" borderId="44" xfId="1" applyFont="1" applyBorder="1" applyAlignment="1">
      <alignment horizontal="center" wrapText="1"/>
    </xf>
    <xf numFmtId="0" fontId="21" fillId="0" borderId="27" xfId="1" applyFont="1" applyBorder="1" applyAlignment="1">
      <alignment horizontal="center"/>
    </xf>
    <xf numFmtId="0" fontId="21" fillId="0" borderId="45" xfId="1" applyFont="1" applyBorder="1" applyAlignment="1">
      <alignment horizontal="center"/>
    </xf>
    <xf numFmtId="0" fontId="23" fillId="6" borderId="40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23" fillId="6" borderId="41" xfId="1" applyFont="1" applyFill="1" applyBorder="1" applyAlignment="1">
      <alignment horizontal="center" vertical="center"/>
    </xf>
    <xf numFmtId="0" fontId="23" fillId="6" borderId="44" xfId="1" applyFont="1" applyFill="1" applyBorder="1" applyAlignment="1">
      <alignment horizontal="center" vertical="center"/>
    </xf>
    <xf numFmtId="0" fontId="23" fillId="6" borderId="27" xfId="1" applyFont="1" applyFill="1" applyBorder="1" applyAlignment="1">
      <alignment horizontal="center" vertical="center"/>
    </xf>
    <xf numFmtId="0" fontId="23" fillId="6" borderId="45" xfId="1" applyFont="1" applyFill="1" applyBorder="1" applyAlignment="1">
      <alignment horizontal="center" vertical="center"/>
    </xf>
    <xf numFmtId="0" fontId="19" fillId="0" borderId="40" xfId="1" applyFont="1" applyBorder="1" applyAlignment="1">
      <alignment horizontal="left" vertical="center"/>
    </xf>
    <xf numFmtId="0" fontId="19" fillId="0" borderId="41" xfId="1" applyFont="1" applyBorder="1" applyAlignment="1">
      <alignment horizontal="left" vertical="center"/>
    </xf>
    <xf numFmtId="0" fontId="19" fillId="0" borderId="44" xfId="1" applyFont="1" applyBorder="1" applyAlignment="1">
      <alignment horizontal="left" vertical="center"/>
    </xf>
    <xf numFmtId="0" fontId="19" fillId="0" borderId="45" xfId="1" applyFont="1" applyBorder="1" applyAlignment="1">
      <alignment horizontal="left" vertical="center"/>
    </xf>
    <xf numFmtId="0" fontId="21" fillId="0" borderId="40" xfId="1" applyFont="1" applyBorder="1" applyAlignment="1">
      <alignment horizontal="center"/>
    </xf>
    <xf numFmtId="0" fontId="21" fillId="0" borderId="32" xfId="1" applyFont="1" applyBorder="1" applyAlignment="1">
      <alignment horizontal="center"/>
    </xf>
    <xf numFmtId="0" fontId="21" fillId="0" borderId="41" xfId="1" applyFont="1" applyBorder="1" applyAlignment="1">
      <alignment horizontal="center"/>
    </xf>
    <xf numFmtId="0" fontId="21" fillId="0" borderId="44" xfId="1" applyFont="1" applyBorder="1" applyAlignment="1">
      <alignment horizontal="center"/>
    </xf>
    <xf numFmtId="0" fontId="19" fillId="0" borderId="32" xfId="1" applyFont="1" applyBorder="1"/>
    <xf numFmtId="0" fontId="19" fillId="0" borderId="41" xfId="1" applyFont="1" applyBorder="1"/>
    <xf numFmtId="0" fontId="19" fillId="0" borderId="40" xfId="1" applyFont="1" applyBorder="1"/>
    <xf numFmtId="0" fontId="19" fillId="0" borderId="34" xfId="1" applyFont="1" applyBorder="1" applyAlignment="1">
      <alignment horizontal="left" vertical="center"/>
    </xf>
    <xf numFmtId="0" fontId="19" fillId="0" borderId="28" xfId="1" applyFont="1" applyBorder="1" applyAlignment="1">
      <alignment horizontal="left" vertical="center"/>
    </xf>
    <xf numFmtId="0" fontId="18" fillId="0" borderId="0" xfId="1" applyFont="1" applyAlignment="1">
      <alignment vertical="top"/>
    </xf>
    <xf numFmtId="0" fontId="18" fillId="0" borderId="43" xfId="1" applyFont="1" applyBorder="1" applyAlignment="1">
      <alignment vertical="top"/>
    </xf>
    <xf numFmtId="0" fontId="19" fillId="0" borderId="44" xfId="1" applyFont="1" applyBorder="1"/>
    <xf numFmtId="0" fontId="19" fillId="0" borderId="27" xfId="1" applyFont="1" applyBorder="1"/>
    <xf numFmtId="0" fontId="19" fillId="0" borderId="45" xfId="1" applyFont="1" applyBorder="1"/>
    <xf numFmtId="0" fontId="19" fillId="0" borderId="32" xfId="1" applyFont="1" applyBorder="1" applyAlignment="1">
      <alignment horizontal="left" vertical="top"/>
    </xf>
    <xf numFmtId="0" fontId="19" fillId="0" borderId="41" xfId="1" applyFont="1" applyBorder="1" applyAlignment="1">
      <alignment horizontal="left" vertical="top"/>
    </xf>
    <xf numFmtId="0" fontId="21" fillId="0" borderId="42" xfId="1" applyFont="1" applyBorder="1" applyAlignment="1">
      <alignment horizontal="center"/>
    </xf>
    <xf numFmtId="0" fontId="21" fillId="0" borderId="0" xfId="1" applyFont="1" applyBorder="1" applyAlignment="1">
      <alignment horizontal="center"/>
    </xf>
    <xf numFmtId="0" fontId="21" fillId="0" borderId="43" xfId="1" applyFont="1" applyBorder="1" applyAlignment="1">
      <alignment horizontal="center"/>
    </xf>
    <xf numFmtId="0" fontId="19" fillId="0" borderId="40" xfId="1" applyFont="1" applyBorder="1" applyAlignment="1">
      <alignment vertical="top"/>
    </xf>
    <xf numFmtId="0" fontId="19" fillId="0" borderId="32" xfId="1" applyFont="1" applyBorder="1" applyAlignment="1">
      <alignment vertical="top"/>
    </xf>
    <xf numFmtId="0" fontId="19" fillId="0" borderId="44" xfId="1" applyFont="1" applyBorder="1" applyAlignment="1">
      <alignment vertical="top"/>
    </xf>
    <xf numFmtId="0" fontId="19" fillId="0" borderId="27" xfId="1" applyFont="1" applyBorder="1" applyAlignment="1">
      <alignment vertical="top"/>
    </xf>
    <xf numFmtId="0" fontId="21" fillId="0" borderId="46" xfId="1" applyFont="1" applyBorder="1" applyAlignment="1">
      <alignment horizontal="center"/>
    </xf>
    <xf numFmtId="0" fontId="21" fillId="0" borderId="22" xfId="1" applyFont="1" applyBorder="1" applyAlignment="1">
      <alignment horizontal="center"/>
    </xf>
    <xf numFmtId="0" fontId="21" fillId="0" borderId="15" xfId="1" applyFont="1" applyBorder="1" applyAlignment="1">
      <alignment horizontal="center"/>
    </xf>
    <xf numFmtId="0" fontId="1" fillId="0" borderId="40" xfId="1" applyFont="1" applyBorder="1" applyAlignment="1">
      <alignment horizontal="center" vertical="top"/>
    </xf>
    <xf numFmtId="0" fontId="1" fillId="0" borderId="32" xfId="1" applyFont="1" applyBorder="1" applyAlignment="1">
      <alignment horizontal="center" vertical="top"/>
    </xf>
    <xf numFmtId="0" fontId="1" fillId="0" borderId="41" xfId="1" applyFont="1" applyBorder="1" applyAlignment="1">
      <alignment horizontal="center" vertical="top"/>
    </xf>
    <xf numFmtId="0" fontId="24" fillId="0" borderId="40" xfId="1" applyFont="1" applyBorder="1" applyAlignment="1">
      <alignment horizontal="left" vertical="top"/>
    </xf>
    <xf numFmtId="0" fontId="24" fillId="0" borderId="32" xfId="1" applyFont="1" applyBorder="1" applyAlignment="1">
      <alignment horizontal="left" vertical="top"/>
    </xf>
    <xf numFmtId="0" fontId="24" fillId="0" borderId="42" xfId="1" applyFont="1" applyBorder="1" applyAlignment="1">
      <alignment horizontal="left" vertical="top"/>
    </xf>
    <xf numFmtId="0" fontId="24" fillId="0" borderId="0" xfId="1" applyFont="1" applyBorder="1" applyAlignment="1">
      <alignment horizontal="left" vertical="top"/>
    </xf>
    <xf numFmtId="0" fontId="24" fillId="0" borderId="41" xfId="1" applyFont="1" applyBorder="1" applyAlignment="1">
      <alignment horizontal="left" vertical="top"/>
    </xf>
    <xf numFmtId="0" fontId="24" fillId="0" borderId="43" xfId="1" applyFont="1" applyBorder="1" applyAlignment="1">
      <alignment horizontal="left" vertical="top"/>
    </xf>
    <xf numFmtId="0" fontId="24" fillId="0" borderId="0" xfId="1" applyFont="1" applyBorder="1"/>
    <xf numFmtId="0" fontId="24" fillId="0" borderId="43" xfId="1" applyFont="1" applyBorder="1"/>
    <xf numFmtId="0" fontId="24" fillId="6" borderId="40" xfId="1" applyFont="1" applyFill="1" applyBorder="1"/>
    <xf numFmtId="0" fontId="24" fillId="6" borderId="42" xfId="1" applyFont="1" applyFill="1" applyBorder="1"/>
    <xf numFmtId="0" fontId="19" fillId="6" borderId="32" xfId="1" applyFont="1" applyFill="1" applyBorder="1"/>
    <xf numFmtId="0" fontId="19" fillId="6" borderId="41" xfId="1" applyFont="1" applyFill="1" applyBorder="1"/>
    <xf numFmtId="0" fontId="19" fillId="6" borderId="0" xfId="1" applyFont="1" applyFill="1" applyBorder="1"/>
    <xf numFmtId="0" fontId="19" fillId="6" borderId="43" xfId="1" applyFont="1" applyFill="1" applyBorder="1"/>
    <xf numFmtId="0" fontId="19" fillId="0" borderId="31" xfId="1" applyFont="1" applyBorder="1"/>
    <xf numFmtId="164" fontId="25" fillId="0" borderId="42" xfId="1" applyNumberFormat="1" applyFont="1" applyBorder="1" applyAlignment="1">
      <alignment horizontal="center"/>
    </xf>
    <xf numFmtId="164" fontId="25" fillId="0" borderId="0" xfId="1" applyNumberFormat="1" applyFont="1" applyBorder="1" applyAlignment="1">
      <alignment horizontal="center"/>
    </xf>
    <xf numFmtId="164" fontId="25" fillId="0" borderId="43" xfId="1" applyNumberFormat="1" applyFont="1" applyBorder="1" applyAlignment="1">
      <alignment horizontal="center"/>
    </xf>
    <xf numFmtId="164" fontId="25" fillId="0" borderId="44" xfId="1" applyNumberFormat="1" applyFont="1" applyBorder="1" applyAlignment="1">
      <alignment horizontal="center"/>
    </xf>
    <xf numFmtId="164" fontId="25" fillId="0" borderId="27" xfId="1" applyNumberFormat="1" applyFont="1" applyBorder="1" applyAlignment="1">
      <alignment horizontal="center"/>
    </xf>
    <xf numFmtId="164" fontId="25" fillId="0" borderId="45" xfId="1" applyNumberFormat="1" applyFont="1" applyBorder="1" applyAlignment="1">
      <alignment horizontal="center"/>
    </xf>
    <xf numFmtId="2" fontId="18" fillId="0" borderId="0" xfId="1" applyNumberFormat="1" applyBorder="1"/>
    <xf numFmtId="0" fontId="18" fillId="0" borderId="0" xfId="1" applyBorder="1"/>
    <xf numFmtId="0" fontId="18" fillId="0" borderId="43" xfId="1" applyBorder="1"/>
    <xf numFmtId="0" fontId="18" fillId="0" borderId="27" xfId="1" applyBorder="1"/>
    <xf numFmtId="0" fontId="18" fillId="0" borderId="45" xfId="1" applyBorder="1"/>
    <xf numFmtId="0" fontId="19" fillId="0" borderId="42" xfId="1" applyFont="1" applyBorder="1"/>
    <xf numFmtId="0" fontId="19" fillId="0" borderId="0" xfId="1" applyFont="1" applyBorder="1"/>
    <xf numFmtId="0" fontId="19" fillId="0" borderId="43" xfId="1" applyFont="1" applyBorder="1"/>
    <xf numFmtId="164" fontId="25" fillId="6" borderId="42" xfId="1" applyNumberFormat="1" applyFont="1" applyFill="1" applyBorder="1" applyAlignment="1">
      <alignment horizontal="center"/>
    </xf>
    <xf numFmtId="164" fontId="25" fillId="6" borderId="0" xfId="1" applyNumberFormat="1" applyFont="1" applyFill="1" applyBorder="1" applyAlignment="1">
      <alignment horizontal="center"/>
    </xf>
    <xf numFmtId="164" fontId="25" fillId="6" borderId="43" xfId="1" applyNumberFormat="1" applyFont="1" applyFill="1" applyBorder="1" applyAlignment="1">
      <alignment horizontal="center"/>
    </xf>
    <xf numFmtId="164" fontId="25" fillId="6" borderId="44" xfId="1" applyNumberFormat="1" applyFont="1" applyFill="1" applyBorder="1" applyAlignment="1">
      <alignment horizontal="center"/>
    </xf>
    <xf numFmtId="164" fontId="25" fillId="6" borderId="27" xfId="1" applyNumberFormat="1" applyFont="1" applyFill="1" applyBorder="1" applyAlignment="1">
      <alignment horizontal="center"/>
    </xf>
    <xf numFmtId="164" fontId="25" fillId="6" borderId="45" xfId="1" applyNumberFormat="1" applyFont="1" applyFill="1" applyBorder="1" applyAlignment="1">
      <alignment horizontal="center"/>
    </xf>
    <xf numFmtId="0" fontId="25" fillId="0" borderId="42" xfId="1" applyFont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43" xfId="1" applyFont="1" applyBorder="1" applyAlignment="1">
      <alignment horizontal="center"/>
    </xf>
    <xf numFmtId="0" fontId="25" fillId="0" borderId="44" xfId="1" applyFont="1" applyBorder="1" applyAlignment="1">
      <alignment horizontal="center"/>
    </xf>
    <xf numFmtId="0" fontId="25" fillId="0" borderId="27" xfId="1" applyFont="1" applyBorder="1" applyAlignment="1">
      <alignment horizontal="center"/>
    </xf>
    <xf numFmtId="0" fontId="25" fillId="0" borderId="45" xfId="1" applyFont="1" applyBorder="1" applyAlignment="1">
      <alignment horizontal="center"/>
    </xf>
    <xf numFmtId="0" fontId="25" fillId="0" borderId="40" xfId="1" applyFont="1" applyBorder="1" applyAlignment="1">
      <alignment horizontal="center"/>
    </xf>
    <xf numFmtId="0" fontId="25" fillId="0" borderId="32" xfId="1" applyFont="1" applyBorder="1" applyAlignment="1">
      <alignment horizontal="center"/>
    </xf>
    <xf numFmtId="0" fontId="25" fillId="0" borderId="41" xfId="1" applyFont="1" applyBorder="1" applyAlignment="1">
      <alignment horizontal="center"/>
    </xf>
    <xf numFmtId="0" fontId="25" fillId="0" borderId="42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43" xfId="1" applyFont="1" applyBorder="1" applyAlignment="1">
      <alignment horizontal="center" vertical="center" wrapText="1"/>
    </xf>
    <xf numFmtId="0" fontId="25" fillId="0" borderId="44" xfId="1" applyFont="1" applyBorder="1" applyAlignment="1">
      <alignment horizontal="center" vertical="center" wrapText="1"/>
    </xf>
    <xf numFmtId="0" fontId="25" fillId="0" borderId="27" xfId="1" applyFont="1" applyBorder="1" applyAlignment="1">
      <alignment horizontal="center" vertical="center" wrapText="1"/>
    </xf>
    <xf numFmtId="0" fontId="25" fillId="0" borderId="45" xfId="1" applyFont="1" applyBorder="1" applyAlignment="1">
      <alignment horizontal="center" vertical="center" wrapText="1"/>
    </xf>
    <xf numFmtId="0" fontId="19" fillId="0" borderId="40" xfId="1" applyFont="1" applyBorder="1" applyAlignment="1">
      <alignment horizontal="left" vertical="top"/>
    </xf>
    <xf numFmtId="0" fontId="18" fillId="0" borderId="42" xfId="1" applyBorder="1"/>
    <xf numFmtId="0" fontId="20" fillId="0" borderId="42" xfId="1" applyFont="1" applyBorder="1" applyAlignment="1">
      <alignment horizontal="right"/>
    </xf>
    <xf numFmtId="0" fontId="20" fillId="0" borderId="0" xfId="1" applyFont="1" applyBorder="1" applyAlignment="1">
      <alignment horizontal="right"/>
    </xf>
    <xf numFmtId="0" fontId="20" fillId="0" borderId="43" xfId="1" applyFont="1" applyBorder="1" applyAlignment="1">
      <alignment horizontal="right"/>
    </xf>
    <xf numFmtId="0" fontId="20" fillId="0" borderId="44" xfId="1" applyFont="1" applyBorder="1" applyAlignment="1">
      <alignment horizontal="right"/>
    </xf>
    <xf numFmtId="0" fontId="20" fillId="0" borderId="27" xfId="1" applyFont="1" applyBorder="1" applyAlignment="1">
      <alignment horizontal="right"/>
    </xf>
    <xf numFmtId="0" fontId="20" fillId="0" borderId="45" xfId="1" applyFont="1" applyBorder="1" applyAlignment="1">
      <alignment horizontal="right"/>
    </xf>
    <xf numFmtId="0" fontId="18" fillId="0" borderId="1" xfId="1" applyBorder="1" applyAlignment="1">
      <alignment horizontal="center" vertical="center"/>
    </xf>
    <xf numFmtId="14" fontId="1" fillId="0" borderId="42" xfId="1" applyNumberFormat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  <xf numFmtId="0" fontId="1" fillId="0" borderId="43" xfId="1" applyFont="1" applyBorder="1" applyAlignment="1">
      <alignment horizontal="center" vertical="center"/>
    </xf>
    <xf numFmtId="0" fontId="1" fillId="0" borderId="42" xfId="1" applyFont="1" applyBorder="1" applyAlignment="1">
      <alignment horizontal="center" vertical="center"/>
    </xf>
    <xf numFmtId="0" fontId="1" fillId="0" borderId="44" xfId="1" applyFont="1" applyBorder="1" applyAlignment="1">
      <alignment horizontal="center" vertical="center"/>
    </xf>
    <xf numFmtId="0" fontId="1" fillId="0" borderId="27" xfId="1" applyFont="1" applyBorder="1" applyAlignment="1">
      <alignment horizontal="center" vertical="center"/>
    </xf>
    <xf numFmtId="0" fontId="1" fillId="0" borderId="45" xfId="1" applyFont="1" applyBorder="1" applyAlignment="1">
      <alignment horizontal="center" vertical="center"/>
    </xf>
    <xf numFmtId="0" fontId="21" fillId="0" borderId="40" xfId="1" applyFont="1" applyBorder="1"/>
    <xf numFmtId="0" fontId="21" fillId="0" borderId="32" xfId="1" applyFont="1" applyBorder="1"/>
    <xf numFmtId="0" fontId="21" fillId="0" borderId="41" xfId="1" applyFont="1" applyBorder="1"/>
    <xf numFmtId="0" fontId="21" fillId="0" borderId="44" xfId="1" applyFont="1" applyBorder="1"/>
    <xf numFmtId="0" fontId="21" fillId="0" borderId="27" xfId="1" applyFont="1" applyBorder="1"/>
    <xf numFmtId="0" fontId="21" fillId="0" borderId="45" xfId="1" applyFont="1" applyBorder="1"/>
    <xf numFmtId="0" fontId="21" fillId="0" borderId="34" xfId="1" applyFont="1" applyBorder="1"/>
    <xf numFmtId="0" fontId="21" fillId="0" borderId="28" xfId="1" applyFont="1" applyBorder="1"/>
    <xf numFmtId="2" fontId="21" fillId="6" borderId="40" xfId="1" applyNumberFormat="1" applyFont="1" applyFill="1" applyBorder="1"/>
    <xf numFmtId="2" fontId="21" fillId="6" borderId="41" xfId="1" applyNumberFormat="1" applyFont="1" applyFill="1" applyBorder="1"/>
    <xf numFmtId="2" fontId="21" fillId="6" borderId="44" xfId="1" applyNumberFormat="1" applyFont="1" applyFill="1" applyBorder="1"/>
    <xf numFmtId="2" fontId="21" fillId="6" borderId="45" xfId="1" applyNumberFormat="1" applyFont="1" applyFill="1" applyBorder="1"/>
    <xf numFmtId="0" fontId="21" fillId="0" borderId="1" xfId="1" applyFont="1" applyBorder="1"/>
    <xf numFmtId="0" fontId="18" fillId="0" borderId="44" xfId="1" applyBorder="1"/>
    <xf numFmtId="0" fontId="18" fillId="0" borderId="46" xfId="1" applyBorder="1" applyAlignment="1">
      <alignment horizontal="center" vertical="center"/>
    </xf>
    <xf numFmtId="0" fontId="18" fillId="0" borderId="22" xfId="1" applyBorder="1" applyAlignment="1">
      <alignment horizontal="center" vertical="center"/>
    </xf>
    <xf numFmtId="0" fontId="18" fillId="0" borderId="15" xfId="1" applyBorder="1" applyAlignment="1">
      <alignment horizontal="center" vertical="center"/>
    </xf>
    <xf numFmtId="14" fontId="21" fillId="0" borderId="34" xfId="1" applyNumberFormat="1" applyFont="1" applyBorder="1"/>
    <xf numFmtId="14" fontId="21" fillId="0" borderId="28" xfId="1" applyNumberFormat="1" applyFont="1" applyBorder="1"/>
    <xf numFmtId="0" fontId="19" fillId="0" borderId="40" xfId="1" applyFont="1" applyBorder="1" applyAlignment="1">
      <alignment horizontal="center" vertical="center" wrapText="1"/>
    </xf>
    <xf numFmtId="0" fontId="19" fillId="0" borderId="41" xfId="1" applyFont="1" applyBorder="1" applyAlignment="1">
      <alignment horizontal="center" vertical="center" wrapText="1"/>
    </xf>
    <xf numFmtId="0" fontId="19" fillId="0" borderId="44" xfId="1" applyFont="1" applyBorder="1" applyAlignment="1">
      <alignment horizontal="center" vertical="center" wrapText="1"/>
    </xf>
    <xf numFmtId="0" fontId="19" fillId="0" borderId="45" xfId="1" applyFont="1" applyBorder="1" applyAlignment="1">
      <alignment horizontal="center" vertical="center" wrapText="1"/>
    </xf>
    <xf numFmtId="0" fontId="21" fillId="0" borderId="46" xfId="1" applyFont="1" applyBorder="1"/>
    <xf numFmtId="0" fontId="21" fillId="0" borderId="15" xfId="1" applyFont="1" applyBorder="1"/>
    <xf numFmtId="2" fontId="21" fillId="6" borderId="1" xfId="1" applyNumberFormat="1" applyFont="1" applyFill="1" applyBorder="1"/>
    <xf numFmtId="0" fontId="18" fillId="0" borderId="40" xfId="1" applyBorder="1"/>
    <xf numFmtId="0" fontId="18" fillId="0" borderId="32" xfId="1" applyBorder="1"/>
    <xf numFmtId="0" fontId="18" fillId="0" borderId="41" xfId="1" applyBorder="1"/>
    <xf numFmtId="0" fontId="19" fillId="0" borderId="22" xfId="1" applyFont="1" applyBorder="1"/>
    <xf numFmtId="2" fontId="26" fillId="6" borderId="40" xfId="1" applyNumberFormat="1" applyFont="1" applyFill="1" applyBorder="1" applyAlignment="1">
      <alignment vertical="center"/>
    </xf>
    <xf numFmtId="2" fontId="26" fillId="6" borderId="41" xfId="1" applyNumberFormat="1" applyFont="1" applyFill="1" applyBorder="1" applyAlignment="1">
      <alignment vertical="center"/>
    </xf>
    <xf numFmtId="2" fontId="26" fillId="6" borderId="44" xfId="1" applyNumberFormat="1" applyFont="1" applyFill="1" applyBorder="1" applyAlignment="1">
      <alignment vertical="center"/>
    </xf>
    <xf numFmtId="2" fontId="26" fillId="6" borderId="45" xfId="1" applyNumberFormat="1" applyFont="1" applyFill="1" applyBorder="1" applyAlignment="1">
      <alignment vertical="center"/>
    </xf>
    <xf numFmtId="0" fontId="41" fillId="0" borderId="0" xfId="0" applyFont="1" applyAlignment="1">
      <alignment horizontal="center"/>
    </xf>
    <xf numFmtId="0" fontId="41" fillId="0" borderId="60" xfId="0" applyFont="1" applyBorder="1" applyAlignment="1">
      <alignment horizontal="center"/>
    </xf>
    <xf numFmtId="0" fontId="6" fillId="0" borderId="61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Fill="1" applyBorder="1" applyAlignment="1" applyProtection="1">
      <alignment horizontal="center" vertical="center" wrapText="1"/>
      <protection locked="0"/>
    </xf>
    <xf numFmtId="0" fontId="43" fillId="0" borderId="61" xfId="0" applyFont="1" applyFill="1" applyBorder="1" applyAlignment="1">
      <alignment horizontal="center"/>
    </xf>
    <xf numFmtId="0" fontId="43" fillId="0" borderId="4" xfId="0" applyFont="1" applyFill="1" applyBorder="1" applyAlignment="1">
      <alignment horizontal="center"/>
    </xf>
    <xf numFmtId="0" fontId="43" fillId="0" borderId="3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36" fillId="2" borderId="34" xfId="0" applyFont="1" applyFill="1" applyBorder="1" applyAlignment="1">
      <alignment horizontal="center" vertical="center" wrapText="1"/>
    </xf>
    <xf numFmtId="0" fontId="36" fillId="2" borderId="85" xfId="0" applyFont="1" applyFill="1" applyBorder="1" applyAlignment="1">
      <alignment horizontal="center" vertical="center" wrapText="1"/>
    </xf>
    <xf numFmtId="0" fontId="14" fillId="2" borderId="87" xfId="0" applyFont="1" applyFill="1" applyBorder="1" applyAlignment="1">
      <alignment horizontal="center" vertical="center" wrapText="1"/>
    </xf>
    <xf numFmtId="0" fontId="14" fillId="2" borderId="88" xfId="0" applyFont="1" applyFill="1" applyBorder="1" applyAlignment="1">
      <alignment horizontal="center" vertical="center" wrapText="1"/>
    </xf>
    <xf numFmtId="0" fontId="14" fillId="2" borderId="89" xfId="0" applyFont="1" applyFill="1" applyBorder="1" applyAlignment="1">
      <alignment horizontal="center" vertical="center" wrapText="1"/>
    </xf>
    <xf numFmtId="0" fontId="0" fillId="0" borderId="29" xfId="0" applyBorder="1" applyAlignment="1" applyProtection="1">
      <alignment horizontal="center" vertical="center" wrapText="1"/>
      <protection locked="0"/>
    </xf>
    <xf numFmtId="14" fontId="0" fillId="0" borderId="44" xfId="0" applyNumberForma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164" fontId="0" fillId="0" borderId="29" xfId="0" applyNumberFormat="1" applyBorder="1" applyAlignment="1" applyProtection="1">
      <alignment horizontal="center" vertical="center" wrapText="1"/>
      <protection locked="0"/>
    </xf>
    <xf numFmtId="164" fontId="0" fillId="0" borderId="45" xfId="0" applyNumberFormat="1" applyBorder="1" applyAlignment="1" applyProtection="1">
      <alignment horizontal="center" vertical="center" wrapText="1"/>
      <protection locked="0"/>
    </xf>
    <xf numFmtId="164" fontId="0" fillId="0" borderId="28" xfId="0" applyNumberFormat="1" applyBorder="1" applyAlignment="1" applyProtection="1">
      <alignment horizontal="center" vertical="center" wrapText="1"/>
      <protection locked="0"/>
    </xf>
    <xf numFmtId="164" fontId="0" fillId="0" borderId="44" xfId="0" applyNumberForma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14" fontId="0" fillId="0" borderId="18" xfId="0" applyNumberForma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14" fontId="0" fillId="0" borderId="46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164" fontId="0" fillId="0" borderId="10" xfId="0" applyNumberFormat="1" applyBorder="1" applyAlignment="1" applyProtection="1">
      <alignment horizontal="center" vertical="center" wrapText="1"/>
      <protection locked="0"/>
    </xf>
    <xf numFmtId="164" fontId="0" fillId="0" borderId="15" xfId="0" applyNumberFormat="1" applyBorder="1" applyAlignment="1" applyProtection="1">
      <alignment horizontal="center" vertical="center" wrapText="1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164" fontId="0" fillId="0" borderId="46" xfId="0" applyNumberForma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14" fontId="0" fillId="0" borderId="19" xfId="0" applyNumberFormat="1" applyBorder="1" applyAlignment="1" applyProtection="1">
      <alignment horizontal="center" vertical="center" wrapText="1"/>
      <protection locked="0"/>
    </xf>
    <xf numFmtId="0" fontId="0" fillId="0" borderId="35" xfId="0" applyBorder="1" applyAlignment="1" applyProtection="1">
      <alignment horizontal="center" vertical="center" wrapText="1"/>
      <protection locked="0"/>
    </xf>
    <xf numFmtId="14" fontId="0" fillId="0" borderId="40" xfId="0" applyNumberFormat="1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  <xf numFmtId="164" fontId="0" fillId="0" borderId="35" xfId="0" applyNumberFormat="1" applyBorder="1" applyAlignment="1" applyProtection="1">
      <alignment horizontal="center" vertical="center" wrapText="1"/>
      <protection locked="0"/>
    </xf>
    <xf numFmtId="164" fontId="0" fillId="0" borderId="41" xfId="0" applyNumberFormat="1" applyBorder="1" applyAlignment="1" applyProtection="1">
      <alignment horizontal="center" vertical="center" wrapText="1"/>
      <protection locked="0"/>
    </xf>
    <xf numFmtId="164" fontId="0" fillId="0" borderId="34" xfId="0" applyNumberFormat="1" applyBorder="1" applyAlignment="1" applyProtection="1">
      <alignment horizontal="center" vertical="center" wrapText="1"/>
      <protection locked="0"/>
    </xf>
    <xf numFmtId="164" fontId="0" fillId="0" borderId="40" xfId="0" applyNumberFormat="1" applyBorder="1" applyAlignment="1" applyProtection="1">
      <alignment horizontal="center" vertical="center" wrapText="1"/>
      <protection locked="0"/>
    </xf>
    <xf numFmtId="0" fontId="0" fillId="0" borderId="72" xfId="0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86" xfId="0" applyBorder="1" applyAlignment="1" applyProtection="1">
      <alignment horizontal="center" vertical="center" wrapText="1"/>
      <protection locked="0"/>
    </xf>
    <xf numFmtId="14" fontId="0" fillId="0" borderId="87" xfId="0" applyNumberFormat="1" applyBorder="1" applyAlignment="1" applyProtection="1">
      <alignment horizontal="center" vertical="center" wrapText="1"/>
      <protection locked="0"/>
    </xf>
    <xf numFmtId="0" fontId="0" fillId="0" borderId="85" xfId="0" applyBorder="1" applyAlignment="1" applyProtection="1">
      <alignment horizontal="center" vertical="center" wrapText="1"/>
      <protection locked="0"/>
    </xf>
    <xf numFmtId="164" fontId="0" fillId="0" borderId="86" xfId="0" applyNumberFormat="1" applyBorder="1" applyAlignment="1" applyProtection="1">
      <alignment horizontal="center" vertical="center" wrapText="1"/>
      <protection locked="0"/>
    </xf>
    <xf numFmtId="164" fontId="0" fillId="0" borderId="89" xfId="0" applyNumberFormat="1" applyBorder="1" applyAlignment="1" applyProtection="1">
      <alignment horizontal="center" vertical="center" wrapText="1"/>
      <protection locked="0"/>
    </xf>
    <xf numFmtId="164" fontId="0" fillId="0" borderId="85" xfId="0" applyNumberFormat="1" applyBorder="1" applyAlignment="1" applyProtection="1">
      <alignment horizontal="center" vertical="center" wrapText="1"/>
      <protection locked="0"/>
    </xf>
    <xf numFmtId="164" fontId="0" fillId="0" borderId="87" xfId="0" applyNumberFormat="1" applyBorder="1" applyAlignment="1" applyProtection="1">
      <alignment horizontal="center" vertical="center" wrapText="1"/>
      <protection locked="0"/>
    </xf>
    <xf numFmtId="0" fontId="0" fillId="0" borderId="83" xfId="0" applyBorder="1" applyAlignment="1" applyProtection="1">
      <alignment horizontal="center" vertical="center" wrapText="1"/>
      <protection locked="0"/>
    </xf>
    <xf numFmtId="14" fontId="0" fillId="0" borderId="83" xfId="0" applyNumberFormat="1" applyBorder="1" applyAlignment="1" applyProtection="1">
      <alignment horizontal="center" vertical="center" wrapText="1"/>
      <protection locked="0"/>
    </xf>
    <xf numFmtId="0" fontId="0" fillId="0" borderId="80" xfId="0" applyBorder="1" applyAlignment="1" applyProtection="1">
      <alignment horizontal="center" vertical="center" wrapText="1"/>
      <protection locked="0"/>
    </xf>
    <xf numFmtId="14" fontId="0" fillId="0" borderId="81" xfId="0" applyNumberFormat="1" applyBorder="1" applyAlignment="1" applyProtection="1">
      <alignment horizontal="center" vertical="center" wrapText="1"/>
      <protection locked="0"/>
    </xf>
    <xf numFmtId="0" fontId="0" fillId="0" borderId="79" xfId="0" applyBorder="1" applyAlignment="1" applyProtection="1">
      <alignment horizontal="center" vertical="center" wrapText="1"/>
      <protection locked="0"/>
    </xf>
    <xf numFmtId="0" fontId="0" fillId="0" borderId="78" xfId="0" applyBorder="1" applyAlignment="1" applyProtection="1">
      <alignment horizontal="center" vertical="center" wrapText="1"/>
      <protection locked="0"/>
    </xf>
    <xf numFmtId="164" fontId="0" fillId="0" borderId="80" xfId="0" applyNumberFormat="1" applyBorder="1" applyAlignment="1" applyProtection="1">
      <alignment horizontal="center" vertical="center" wrapText="1"/>
      <protection locked="0"/>
    </xf>
    <xf numFmtId="164" fontId="0" fillId="0" borderId="82" xfId="0" applyNumberFormat="1" applyBorder="1" applyAlignment="1" applyProtection="1">
      <alignment horizontal="center" vertical="center" wrapText="1"/>
      <protection locked="0"/>
    </xf>
    <xf numFmtId="164" fontId="0" fillId="0" borderId="79" xfId="0" applyNumberFormat="1" applyBorder="1" applyAlignment="1" applyProtection="1">
      <alignment horizontal="center" vertical="center" wrapText="1"/>
      <protection locked="0"/>
    </xf>
    <xf numFmtId="164" fontId="0" fillId="0" borderId="81" xfId="0" applyNumberFormat="1" applyBorder="1" applyAlignment="1" applyProtection="1">
      <alignment horizontal="center" vertical="center" wrapText="1"/>
      <protection locked="0"/>
    </xf>
    <xf numFmtId="0" fontId="0" fillId="0" borderId="77" xfId="0" applyBorder="1" applyAlignment="1" applyProtection="1">
      <alignment horizontal="center" vertical="center" wrapText="1"/>
      <protection locked="0"/>
    </xf>
    <xf numFmtId="14" fontId="0" fillId="0" borderId="77" xfId="0" applyNumberFormat="1" applyBorder="1" applyAlignment="1" applyProtection="1">
      <alignment horizontal="center" vertical="center" wrapText="1"/>
      <protection locked="0"/>
    </xf>
  </cellXfs>
  <cellStyles count="5">
    <cellStyle name="Normal 2" xfId="1" xr:uid="{00000000-0005-0000-0000-000003000000}"/>
    <cellStyle name="Normal 3" xfId="2" xr:uid="{00000000-0005-0000-0000-000004000000}"/>
    <cellStyle name="Акцент3" xfId="4" builtinId="37"/>
    <cellStyle name="Неутрален" xfId="3" builtinId="28"/>
    <cellStyle name="Нормален" xfId="0" builtinId="0"/>
  </cellStyles>
  <dxfs count="478"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FF99FF"/>
        </patternFill>
      </fill>
    </dxf>
    <dxf>
      <fill>
        <patternFill>
          <fgColor indexed="64"/>
          <bgColor rgb="FFFFCC66"/>
        </patternFill>
      </fill>
    </dxf>
    <dxf>
      <font>
        <color theme="0"/>
      </font>
    </dxf>
    <dxf>
      <fill>
        <patternFill>
          <bgColor rgb="FF99FFCC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99FFCC"/>
        </patternFill>
      </fill>
    </dxf>
    <dxf>
      <fill>
        <patternFill>
          <bgColor rgb="FFFFCCFF"/>
        </patternFill>
      </fill>
    </dxf>
    <dxf>
      <fill>
        <patternFill>
          <bgColor rgb="FF99FFCC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FFCC"/>
      <color rgb="FFFFFF99"/>
      <color rgb="FF00FF99"/>
      <color rgb="FFFFCC66"/>
      <color rgb="FFFF99FF"/>
      <color rgb="FF99FFCC"/>
      <color rgb="FFCCFFCC"/>
      <color rgb="FFFFCCFF"/>
      <color rgb="FFFF00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66675</xdr:rowOff>
        </xdr:from>
        <xdr:to>
          <xdr:col>6</xdr:col>
          <xdr:colOff>9525</xdr:colOff>
          <xdr:row>15</xdr:row>
          <xdr:rowOff>133350</xdr:rowOff>
        </xdr:to>
        <xdr:sp macro="" textlink="">
          <xdr:nvSpPr>
            <xdr:cNvPr id="1091" name="ComBtnZapazi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14</xdr:row>
          <xdr:rowOff>66675</xdr:rowOff>
        </xdr:from>
        <xdr:to>
          <xdr:col>13</xdr:col>
          <xdr:colOff>66675</xdr:colOff>
          <xdr:row>15</xdr:row>
          <xdr:rowOff>133350</xdr:rowOff>
        </xdr:to>
        <xdr:sp macro="" textlink="">
          <xdr:nvSpPr>
            <xdr:cNvPr id="1099" name="ComBtnIzchisti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14</xdr:row>
          <xdr:rowOff>66675</xdr:rowOff>
        </xdr:from>
        <xdr:to>
          <xdr:col>10</xdr:col>
          <xdr:colOff>76200</xdr:colOff>
          <xdr:row>15</xdr:row>
          <xdr:rowOff>133350</xdr:rowOff>
        </xdr:to>
        <xdr:sp macro="" textlink="">
          <xdr:nvSpPr>
            <xdr:cNvPr id="1101" name="ComBtnDelet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9</xdr:row>
          <xdr:rowOff>57150</xdr:rowOff>
        </xdr:from>
        <xdr:to>
          <xdr:col>26</xdr:col>
          <xdr:colOff>285750</xdr:colOff>
          <xdr:row>11</xdr:row>
          <xdr:rowOff>47625</xdr:rowOff>
        </xdr:to>
        <xdr:sp macro="" textlink="">
          <xdr:nvSpPr>
            <xdr:cNvPr id="1104" name="CBtnUpdateSmiana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47625</xdr:rowOff>
        </xdr:from>
        <xdr:to>
          <xdr:col>7</xdr:col>
          <xdr:colOff>171450</xdr:colOff>
          <xdr:row>6</xdr:row>
          <xdr:rowOff>19050</xdr:rowOff>
        </xdr:to>
        <xdr:sp macro="" textlink="">
          <xdr:nvSpPr>
            <xdr:cNvPr id="8193" name="ComBtnSpravka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O28"/>
  <sheetViews>
    <sheetView showGridLines="0" showRowColHeaders="0" tabSelected="1" topLeftCell="A34" zoomScale="90" zoomScaleNormal="90" workbookViewId="0">
      <selection activeCell="D7" activeCellId="2" sqref="C3:Q3 D5 D7"/>
    </sheetView>
  </sheetViews>
  <sheetFormatPr defaultColWidth="9.140625" defaultRowHeight="17.25" x14ac:dyDescent="0.25"/>
  <cols>
    <col min="1" max="1" width="2.28515625" style="2" customWidth="1"/>
    <col min="2" max="2" width="1.5703125" style="2" customWidth="1"/>
    <col min="3" max="31" width="5.7109375" style="2" customWidth="1"/>
    <col min="32" max="34" width="4.42578125" style="2" customWidth="1"/>
    <col min="35" max="36" width="7" style="2" customWidth="1"/>
    <col min="37" max="37" width="2" style="2" customWidth="1"/>
    <col min="38" max="38" width="1.140625" style="2" customWidth="1"/>
    <col min="39" max="39" width="1.85546875" style="2" customWidth="1"/>
    <col min="40" max="40" width="1.42578125" style="2" customWidth="1"/>
    <col min="41" max="41" width="33.42578125" style="2" customWidth="1"/>
    <col min="42" max="43" width="9.140625" style="2" customWidth="1"/>
    <col min="44" max="16384" width="9.140625" style="2"/>
  </cols>
  <sheetData>
    <row r="1" spans="2:38" ht="12" customHeight="1" x14ac:dyDescent="0.25"/>
    <row r="2" spans="2:38" ht="6" customHeight="1" thickBo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6"/>
    </row>
    <row r="3" spans="2:38" ht="24" customHeight="1" thickBot="1" x14ac:dyDescent="0.3">
      <c r="B3" s="7"/>
      <c r="C3" s="9" t="str">
        <f xml:space="preserve"> "     Статус на бунгалата от "&amp;Smiana&amp;" смяна"</f>
        <v xml:space="preserve">     Статус на бунгалата от IV смяна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55" t="s">
        <v>53</v>
      </c>
      <c r="AE3" s="74"/>
      <c r="AF3" s="27" t="s">
        <v>54</v>
      </c>
      <c r="AG3" s="8"/>
      <c r="AH3" s="8"/>
      <c r="AI3" s="8"/>
      <c r="AJ3" s="8"/>
      <c r="AK3" s="10"/>
      <c r="AL3" s="3"/>
    </row>
    <row r="4" spans="2:38" ht="6.75" customHeight="1" thickBot="1" x14ac:dyDescent="0.3">
      <c r="B4" s="7"/>
      <c r="C4" s="8"/>
      <c r="D4" s="8"/>
      <c r="E4" s="8"/>
      <c r="F4" s="8"/>
      <c r="G4" s="8"/>
      <c r="H4" s="8"/>
      <c r="I4" s="8"/>
      <c r="J4" s="8"/>
      <c r="K4" s="11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10"/>
      <c r="AL4" s="3"/>
    </row>
    <row r="5" spans="2:38" ht="24" customHeight="1" thickBot="1" x14ac:dyDescent="0.3">
      <c r="B5" s="7"/>
      <c r="C5" s="74" t="s">
        <v>110</v>
      </c>
      <c r="D5" s="74" t="s">
        <v>111</v>
      </c>
      <c r="E5" s="74" t="s">
        <v>112</v>
      </c>
      <c r="F5" s="74" t="s">
        <v>113</v>
      </c>
      <c r="G5" s="74" t="s">
        <v>109</v>
      </c>
      <c r="H5" s="74" t="s">
        <v>114</v>
      </c>
      <c r="I5" s="74" t="s">
        <v>115</v>
      </c>
      <c r="J5" s="74" t="s">
        <v>116</v>
      </c>
      <c r="K5" s="74" t="s">
        <v>117</v>
      </c>
      <c r="L5" s="74" t="s">
        <v>118</v>
      </c>
      <c r="M5" s="74" t="s">
        <v>119</v>
      </c>
      <c r="N5" s="74" t="s">
        <v>120</v>
      </c>
      <c r="O5" s="74" t="s">
        <v>121</v>
      </c>
      <c r="P5" s="74" t="s">
        <v>122</v>
      </c>
      <c r="Q5" s="74" t="s">
        <v>123</v>
      </c>
      <c r="R5" s="74" t="s">
        <v>124</v>
      </c>
      <c r="S5" s="74" t="s">
        <v>125</v>
      </c>
      <c r="T5" s="74" t="s">
        <v>126</v>
      </c>
      <c r="U5" s="74" t="s">
        <v>127</v>
      </c>
      <c r="V5" s="74" t="s">
        <v>128</v>
      </c>
      <c r="W5" s="74" t="s">
        <v>129</v>
      </c>
      <c r="X5" s="74" t="s">
        <v>130</v>
      </c>
      <c r="Y5" s="74" t="s">
        <v>131</v>
      </c>
      <c r="Z5" s="266" t="s">
        <v>236</v>
      </c>
      <c r="AA5" s="8"/>
      <c r="AB5" s="8"/>
      <c r="AC5" s="8"/>
      <c r="AD5" s="54"/>
      <c r="AE5" s="17"/>
      <c r="AF5" s="27" t="s">
        <v>56</v>
      </c>
      <c r="AG5" s="24"/>
      <c r="AH5" s="24"/>
      <c r="AI5" s="24"/>
      <c r="AJ5" s="24"/>
      <c r="AK5" s="10"/>
      <c r="AL5" s="3"/>
    </row>
    <row r="6" spans="2:38" ht="24" customHeight="1" thickBot="1" x14ac:dyDescent="0.3">
      <c r="B6" s="7"/>
      <c r="C6" s="74" t="s">
        <v>133</v>
      </c>
      <c r="D6" s="74" t="s">
        <v>134</v>
      </c>
      <c r="E6" s="266" t="s">
        <v>135</v>
      </c>
      <c r="F6" s="266" t="s">
        <v>136</v>
      </c>
      <c r="G6" s="266" t="s">
        <v>137</v>
      </c>
      <c r="H6" s="266" t="s">
        <v>138</v>
      </c>
      <c r="I6" s="266" t="s">
        <v>139</v>
      </c>
      <c r="J6" s="266" t="s">
        <v>140</v>
      </c>
      <c r="K6" s="266" t="s">
        <v>141</v>
      </c>
      <c r="L6" s="266" t="s">
        <v>142</v>
      </c>
      <c r="M6" s="266" t="s">
        <v>143</v>
      </c>
      <c r="N6" s="266" t="s">
        <v>144</v>
      </c>
      <c r="O6" s="266" t="s">
        <v>145</v>
      </c>
      <c r="P6" s="266" t="s">
        <v>146</v>
      </c>
      <c r="Q6" s="266" t="s">
        <v>147</v>
      </c>
      <c r="R6" s="74" t="s">
        <v>148</v>
      </c>
      <c r="S6" s="266" t="s">
        <v>149</v>
      </c>
      <c r="T6" s="266" t="s">
        <v>150</v>
      </c>
      <c r="U6" s="74" t="s">
        <v>151</v>
      </c>
      <c r="V6" s="74" t="s">
        <v>152</v>
      </c>
      <c r="W6" s="266" t="s">
        <v>153</v>
      </c>
      <c r="X6" s="266" t="s">
        <v>154</v>
      </c>
      <c r="Y6" s="266" t="s">
        <v>156</v>
      </c>
      <c r="Z6" s="24"/>
      <c r="AA6" s="24"/>
      <c r="AB6" s="24"/>
      <c r="AC6" s="24"/>
      <c r="AD6" s="54"/>
      <c r="AE6" s="16"/>
      <c r="AF6" s="27" t="s">
        <v>55</v>
      </c>
      <c r="AG6" s="24"/>
      <c r="AH6" s="24"/>
      <c r="AI6" s="24"/>
      <c r="AJ6" s="24"/>
      <c r="AK6" s="10"/>
      <c r="AL6" s="3"/>
    </row>
    <row r="7" spans="2:38" ht="9" customHeight="1" x14ac:dyDescent="0.25"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4"/>
      <c r="AL7" s="3"/>
    </row>
    <row r="8" spans="2:38" ht="6" customHeight="1" x14ac:dyDescent="0.25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2:38" ht="14.25" customHeight="1" x14ac:dyDescent="0.25"/>
    <row r="10" spans="2:38" ht="7.5" customHeight="1" x14ac:dyDescent="0.2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</row>
    <row r="11" spans="2:38" x14ac:dyDescent="0.25">
      <c r="B11" s="7"/>
      <c r="C11" s="9" t="s">
        <v>180</v>
      </c>
      <c r="D11" s="8"/>
      <c r="E11" s="8"/>
      <c r="F11" s="8"/>
      <c r="G11" s="8"/>
      <c r="H11" s="8"/>
      <c r="I11" s="8"/>
      <c r="J11" s="8"/>
      <c r="K11" s="11" t="s">
        <v>29</v>
      </c>
      <c r="L11" s="353" t="s">
        <v>38</v>
      </c>
      <c r="M11" s="354"/>
      <c r="N11" s="355"/>
      <c r="O11" s="11" t="s">
        <v>176</v>
      </c>
      <c r="P11" s="363">
        <f>VLOOKUP(Smiana,Tabl_Smeni,2,FALSE)</f>
        <v>43664</v>
      </c>
      <c r="Q11" s="364"/>
      <c r="R11" s="365"/>
      <c r="S11" s="11" t="s">
        <v>177</v>
      </c>
      <c r="T11" s="366">
        <f>Data_begin+br_dni-1</f>
        <v>43673</v>
      </c>
      <c r="U11" s="367"/>
      <c r="V11" s="36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10"/>
      <c r="AL11" s="3"/>
    </row>
    <row r="12" spans="2:38" ht="18.75" x14ac:dyDescent="0.25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25" t="s">
        <v>70</v>
      </c>
      <c r="AA12" s="8"/>
      <c r="AB12" s="8"/>
      <c r="AC12" s="26"/>
      <c r="AD12" s="26"/>
      <c r="AE12" s="9"/>
      <c r="AF12" s="9"/>
      <c r="AG12" s="8"/>
      <c r="AH12" s="8"/>
      <c r="AI12" s="8"/>
      <c r="AJ12" s="8"/>
      <c r="AK12" s="10"/>
      <c r="AL12" s="3"/>
    </row>
    <row r="13" spans="2:38" ht="19.5" customHeight="1" x14ac:dyDescent="0.25">
      <c r="B13" s="7"/>
      <c r="C13" s="8"/>
      <c r="D13" s="8"/>
      <c r="E13" s="11" t="s">
        <v>36</v>
      </c>
      <c r="F13" s="353">
        <v>31</v>
      </c>
      <c r="G13" s="354"/>
      <c r="H13" s="355"/>
      <c r="I13" s="8"/>
      <c r="J13" s="8"/>
      <c r="K13" s="8"/>
      <c r="L13" s="11" t="s">
        <v>35</v>
      </c>
      <c r="M13" s="15" t="str">
        <f>IF(ISERROR(VLOOKUP(F13,Tabl_bungala,5,0)),"",VLOOKUP(F13,Tabl_bungala,5,0))</f>
        <v>да</v>
      </c>
      <c r="N13" s="8"/>
      <c r="O13" s="8"/>
      <c r="P13" s="8"/>
      <c r="Q13" s="8"/>
      <c r="R13" s="11"/>
      <c r="S13" s="11" t="s">
        <v>52</v>
      </c>
      <c r="T13" s="360" t="str">
        <f>IF(ISERROR(VLOOKUP(F13,Tabl_bungala,2,FALSE)),"",VLOOKUP(F13,Tabl_bungala,2,FALSE))</f>
        <v>2х1+3х1</v>
      </c>
      <c r="U13" s="361"/>
      <c r="V13" s="361"/>
      <c r="W13" s="362"/>
      <c r="X13" s="8"/>
      <c r="Y13" s="8"/>
      <c r="Z13" s="25" t="s">
        <v>71</v>
      </c>
      <c r="AA13" s="8"/>
      <c r="AB13" s="8"/>
      <c r="AC13" s="27"/>
      <c r="AD13" s="27"/>
      <c r="AE13" s="8"/>
      <c r="AF13" s="8"/>
      <c r="AG13" s="8"/>
      <c r="AH13" s="8"/>
      <c r="AI13" s="8"/>
      <c r="AJ13" s="8"/>
      <c r="AK13" s="10"/>
      <c r="AL13" s="3"/>
    </row>
    <row r="14" spans="2:38" ht="19.5" customHeight="1" x14ac:dyDescent="0.25">
      <c r="B14" s="7"/>
      <c r="C14" s="8"/>
      <c r="D14" s="8"/>
      <c r="E14" s="11" t="s">
        <v>42</v>
      </c>
      <c r="F14" s="353">
        <v>10</v>
      </c>
      <c r="G14" s="354"/>
      <c r="H14" s="355"/>
      <c r="I14" s="8"/>
      <c r="J14" s="8"/>
      <c r="K14" s="8"/>
      <c r="L14" s="11" t="s">
        <v>44</v>
      </c>
      <c r="M14" s="15" t="str">
        <f>IF(ISERROR(VLOOKUP(F13,Tabl_bungala,6,0)),"",VLOOKUP(F13,Tabl_bungala,6,0))</f>
        <v>да</v>
      </c>
      <c r="N14" s="8"/>
      <c r="O14" s="8"/>
      <c r="P14" s="8"/>
      <c r="Q14" s="8"/>
      <c r="R14" s="11"/>
      <c r="S14" s="11" t="s">
        <v>67</v>
      </c>
      <c r="T14" s="360">
        <f>IF(ISERROR(VLOOKUP(F13,Tabl_bungala,4,FALSE)),"",VLOOKUP(F13,Tabl_bungala,4,FALSE))</f>
        <v>5</v>
      </c>
      <c r="U14" s="361"/>
      <c r="V14" s="361"/>
      <c r="W14" s="362"/>
      <c r="X14" s="8"/>
      <c r="Y14" s="326">
        <f>SUM(AF26:AJ26)</f>
        <v>175</v>
      </c>
      <c r="Z14" s="327"/>
      <c r="AA14" s="328"/>
      <c r="AB14" s="8"/>
      <c r="AC14" s="27"/>
      <c r="AD14" s="11" t="s">
        <v>108</v>
      </c>
      <c r="AE14" s="311"/>
      <c r="AF14" s="312"/>
      <c r="AG14" s="312"/>
      <c r="AH14" s="313"/>
      <c r="AI14" s="8"/>
      <c r="AJ14" s="8"/>
      <c r="AK14" s="10"/>
      <c r="AL14" s="3"/>
    </row>
    <row r="15" spans="2:38" ht="19.5" customHeight="1" x14ac:dyDescent="0.2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11" t="s">
        <v>68</v>
      </c>
      <c r="T15" s="360">
        <f>SUM(V19:V24)</f>
        <v>2</v>
      </c>
      <c r="U15" s="361"/>
      <c r="V15" s="361"/>
      <c r="W15" s="362"/>
      <c r="X15" s="8"/>
      <c r="Y15" s="329"/>
      <c r="Z15" s="330"/>
      <c r="AA15" s="331"/>
      <c r="AB15" s="8"/>
      <c r="AC15" s="27"/>
      <c r="AD15" s="11" t="s">
        <v>189</v>
      </c>
      <c r="AE15" s="314"/>
      <c r="AF15" s="315"/>
      <c r="AG15" s="315"/>
      <c r="AH15" s="316"/>
      <c r="AI15" s="8"/>
      <c r="AJ15" s="8"/>
      <c r="AK15" s="10"/>
      <c r="AL15" s="3"/>
    </row>
    <row r="16" spans="2:38" ht="18" thickBot="1" x14ac:dyDescent="0.3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10"/>
      <c r="AL16" s="3"/>
    </row>
    <row r="17" spans="2:41" ht="18" customHeight="1" thickBot="1" x14ac:dyDescent="0.3">
      <c r="B17" s="7"/>
      <c r="C17" s="369" t="s">
        <v>32</v>
      </c>
      <c r="D17" s="386" t="s">
        <v>155</v>
      </c>
      <c r="E17" s="387"/>
      <c r="F17" s="387"/>
      <c r="G17" s="387"/>
      <c r="H17" s="387"/>
      <c r="I17" s="387"/>
      <c r="J17" s="387"/>
      <c r="K17" s="387"/>
      <c r="L17" s="375" t="s">
        <v>34</v>
      </c>
      <c r="M17" s="376"/>
      <c r="N17" s="376"/>
      <c r="O17" s="376"/>
      <c r="P17" s="376"/>
      <c r="Q17" s="376"/>
      <c r="R17" s="377"/>
      <c r="S17" s="375" t="s">
        <v>107</v>
      </c>
      <c r="T17" s="376"/>
      <c r="U17" s="376"/>
      <c r="V17" s="376"/>
      <c r="W17" s="377"/>
      <c r="X17" s="341" t="s">
        <v>62</v>
      </c>
      <c r="Y17" s="342"/>
      <c r="Z17" s="332" t="s">
        <v>65</v>
      </c>
      <c r="AA17" s="341"/>
      <c r="AB17" s="342"/>
      <c r="AC17" s="332" t="s">
        <v>64</v>
      </c>
      <c r="AD17" s="341"/>
      <c r="AE17" s="342"/>
      <c r="AF17" s="332" t="s">
        <v>162</v>
      </c>
      <c r="AG17" s="341"/>
      <c r="AH17" s="342"/>
      <c r="AI17" s="332" t="s">
        <v>163</v>
      </c>
      <c r="AJ17" s="333"/>
      <c r="AK17" s="10"/>
      <c r="AL17" s="3"/>
    </row>
    <row r="18" spans="2:41" ht="18" thickBot="1" x14ac:dyDescent="0.3">
      <c r="B18" s="7"/>
      <c r="C18" s="370"/>
      <c r="D18" s="334"/>
      <c r="E18" s="388"/>
      <c r="F18" s="388"/>
      <c r="G18" s="388"/>
      <c r="H18" s="388"/>
      <c r="I18" s="388"/>
      <c r="J18" s="388"/>
      <c r="K18" s="388"/>
      <c r="L18" s="21" t="s">
        <v>58</v>
      </c>
      <c r="M18" s="318" t="s">
        <v>59</v>
      </c>
      <c r="N18" s="318"/>
      <c r="O18" s="318"/>
      <c r="P18" s="318"/>
      <c r="Q18" s="318"/>
      <c r="R18" s="356"/>
      <c r="S18" s="357" t="s">
        <v>59</v>
      </c>
      <c r="T18" s="318"/>
      <c r="U18" s="318"/>
      <c r="V18" s="318" t="s">
        <v>69</v>
      </c>
      <c r="W18" s="356"/>
      <c r="X18" s="344"/>
      <c r="Y18" s="345"/>
      <c r="Z18" s="343"/>
      <c r="AA18" s="344"/>
      <c r="AB18" s="345"/>
      <c r="AC18" s="343"/>
      <c r="AD18" s="344"/>
      <c r="AE18" s="345"/>
      <c r="AF18" s="343"/>
      <c r="AG18" s="344"/>
      <c r="AH18" s="345"/>
      <c r="AI18" s="334"/>
      <c r="AJ18" s="335"/>
      <c r="AK18" s="10"/>
      <c r="AL18" s="3"/>
    </row>
    <row r="19" spans="2:41" ht="34.5" customHeight="1" x14ac:dyDescent="0.25">
      <c r="B19" s="7"/>
      <c r="C19" s="18">
        <v>1</v>
      </c>
      <c r="D19" s="359" t="s">
        <v>266</v>
      </c>
      <c r="E19" s="359"/>
      <c r="F19" s="359"/>
      <c r="G19" s="359"/>
      <c r="H19" s="359"/>
      <c r="I19" s="359"/>
      <c r="J19" s="359"/>
      <c r="K19" s="378"/>
      <c r="L19" s="22">
        <v>1</v>
      </c>
      <c r="M19" s="373" t="str">
        <f t="shared" ref="M19:M24" si="0">IF(ISERROR(VLOOKUP(L19,Tabl_kategoria,2,0)),"",VLOOKUP(L19,Tabl_kategoria,2,0))</f>
        <v>Преподавател или служител на РУ без ДДС</v>
      </c>
      <c r="N19" s="373"/>
      <c r="O19" s="373"/>
      <c r="P19" s="373"/>
      <c r="Q19" s="373"/>
      <c r="R19" s="374"/>
      <c r="S19" s="358" t="s">
        <v>16</v>
      </c>
      <c r="T19" s="359"/>
      <c r="U19" s="359"/>
      <c r="V19" s="372">
        <f t="shared" ref="V19:V24" si="1">IF(ISERROR(VLOOKUP(S19,Tabl_vid_leglo,2,FALSE)),"",VLOOKUP(S19,Tabl_vid_leglo,2,FALSE))</f>
        <v>1</v>
      </c>
      <c r="W19" s="379"/>
      <c r="X19" s="371">
        <f t="shared" ref="X19:X24" si="2">IF(ISERROR(IF(OR(L19="",S19=""),"",IF(Mejdinen_kod=11,Mejdinen_kod,IF(SV="да",IF(br_dni&lt;&gt;10,Mejdinen_kod+2,Mejdinen_kod)+1,IF(br_dni&lt;&gt;10,Mejdinen_kod+2,Mejdinen_kod))))),"",IF(OR(L19="",S19=""),"",IF(Mejdinen_kod=11,Mejdinen_kod,IF(SV="да",IF(br_dni&lt;&gt;10,Mejdinen_kod+2,Mejdinen_kod)+1,IF(br_dni&lt;&gt;10,Mejdinen_kod+2,Mejdinen_kod)))))</f>
        <v>8</v>
      </c>
      <c r="Y19" s="372"/>
      <c r="Z19" s="336">
        <f t="shared" ref="Z19:Z24" si="3">IF(Bungalo="","",IF(ISERROR(VLOOKUP(L19,Tabl_cenorazpis,X19,FALSE)*V19),"",VLOOKUP(L19,Tabl_cenorazpis,X19,FALSE)*V19))</f>
        <v>75</v>
      </c>
      <c r="AA19" s="336"/>
      <c r="AB19" s="336"/>
      <c r="AC19" s="336">
        <f t="shared" ref="AC19:AC24" si="4">IF(ISERROR(IF(br_dni&lt;&gt;10,br_dni*Z19,Z19)),"",IF(br_dni&lt;&gt;10,br_dni*Z19,Z19))</f>
        <v>75</v>
      </c>
      <c r="AD19" s="372"/>
      <c r="AE19" s="372"/>
      <c r="AF19" s="336">
        <f t="shared" ref="AF19:AF24" si="5">IF(L19=1,IF(ISERROR(AC19),"",AC19),"")</f>
        <v>75</v>
      </c>
      <c r="AG19" s="336"/>
      <c r="AH19" s="336"/>
      <c r="AI19" s="336" t="str">
        <f t="shared" ref="AI19:AI24" si="6">IF(L19&lt;&gt;1,IF(ISERROR(AC19),"",AC19),"")</f>
        <v/>
      </c>
      <c r="AJ19" s="337"/>
      <c r="AK19" s="10"/>
      <c r="AL19" s="3"/>
      <c r="AN19" s="96"/>
      <c r="AO19" s="97" t="s">
        <v>66</v>
      </c>
    </row>
    <row r="20" spans="2:41" ht="34.5" customHeight="1" x14ac:dyDescent="0.25">
      <c r="B20" s="7"/>
      <c r="C20" s="19">
        <v>2</v>
      </c>
      <c r="D20" s="380" t="s">
        <v>267</v>
      </c>
      <c r="E20" s="380"/>
      <c r="F20" s="380"/>
      <c r="G20" s="380"/>
      <c r="H20" s="380"/>
      <c r="I20" s="380"/>
      <c r="J20" s="380"/>
      <c r="K20" s="381"/>
      <c r="L20" s="23">
        <v>2</v>
      </c>
      <c r="M20" s="382" t="str">
        <f t="shared" si="0"/>
        <v>Пенсионер или член на дом. на преп. или служител на РУ с ДДС</v>
      </c>
      <c r="N20" s="382"/>
      <c r="O20" s="382"/>
      <c r="P20" s="382"/>
      <c r="Q20" s="382"/>
      <c r="R20" s="383"/>
      <c r="S20" s="384" t="s">
        <v>16</v>
      </c>
      <c r="T20" s="380"/>
      <c r="U20" s="380"/>
      <c r="V20" s="339">
        <f t="shared" si="1"/>
        <v>1</v>
      </c>
      <c r="W20" s="346"/>
      <c r="X20" s="385">
        <f t="shared" si="2"/>
        <v>8</v>
      </c>
      <c r="Y20" s="339"/>
      <c r="Z20" s="338">
        <f t="shared" si="3"/>
        <v>90</v>
      </c>
      <c r="AA20" s="338"/>
      <c r="AB20" s="338"/>
      <c r="AC20" s="338">
        <f t="shared" si="4"/>
        <v>90</v>
      </c>
      <c r="AD20" s="339"/>
      <c r="AE20" s="339"/>
      <c r="AF20" s="338" t="str">
        <f t="shared" si="5"/>
        <v/>
      </c>
      <c r="AG20" s="338"/>
      <c r="AH20" s="338"/>
      <c r="AI20" s="338">
        <f t="shared" si="6"/>
        <v>90</v>
      </c>
      <c r="AJ20" s="340"/>
      <c r="AK20" s="10"/>
      <c r="AL20" s="3"/>
      <c r="AN20" s="98"/>
      <c r="AO20" s="99" t="s">
        <v>187</v>
      </c>
    </row>
    <row r="21" spans="2:41" ht="34.5" customHeight="1" x14ac:dyDescent="0.25">
      <c r="B21" s="7"/>
      <c r="C21" s="19">
        <v>3</v>
      </c>
      <c r="D21" s="380"/>
      <c r="E21" s="380"/>
      <c r="F21" s="380"/>
      <c r="G21" s="380"/>
      <c r="H21" s="380"/>
      <c r="I21" s="380"/>
      <c r="J21" s="380"/>
      <c r="K21" s="381"/>
      <c r="L21" s="23"/>
      <c r="M21" s="382" t="str">
        <f t="shared" si="0"/>
        <v/>
      </c>
      <c r="N21" s="382"/>
      <c r="O21" s="382"/>
      <c r="P21" s="382"/>
      <c r="Q21" s="382"/>
      <c r="R21" s="383"/>
      <c r="S21" s="384"/>
      <c r="T21" s="380"/>
      <c r="U21" s="380"/>
      <c r="V21" s="339" t="str">
        <f t="shared" si="1"/>
        <v/>
      </c>
      <c r="W21" s="346"/>
      <c r="X21" s="385" t="str">
        <f t="shared" si="2"/>
        <v/>
      </c>
      <c r="Y21" s="339"/>
      <c r="Z21" s="338" t="str">
        <f t="shared" si="3"/>
        <v/>
      </c>
      <c r="AA21" s="338"/>
      <c r="AB21" s="338"/>
      <c r="AC21" s="338" t="str">
        <f t="shared" si="4"/>
        <v/>
      </c>
      <c r="AD21" s="339"/>
      <c r="AE21" s="339"/>
      <c r="AF21" s="338" t="str">
        <f t="shared" si="5"/>
        <v/>
      </c>
      <c r="AG21" s="338"/>
      <c r="AH21" s="338"/>
      <c r="AI21" s="338" t="str">
        <f t="shared" si="6"/>
        <v/>
      </c>
      <c r="AJ21" s="340"/>
      <c r="AK21" s="10"/>
      <c r="AL21" s="3"/>
      <c r="AN21" s="98"/>
      <c r="AO21" s="99" t="s">
        <v>188</v>
      </c>
    </row>
    <row r="22" spans="2:41" ht="34.5" customHeight="1" x14ac:dyDescent="0.25">
      <c r="B22" s="7"/>
      <c r="C22" s="19">
        <v>4</v>
      </c>
      <c r="D22" s="380"/>
      <c r="E22" s="380"/>
      <c r="F22" s="380"/>
      <c r="G22" s="380"/>
      <c r="H22" s="380"/>
      <c r="I22" s="380"/>
      <c r="J22" s="380"/>
      <c r="K22" s="381"/>
      <c r="L22" s="23"/>
      <c r="M22" s="382" t="str">
        <f t="shared" si="0"/>
        <v/>
      </c>
      <c r="N22" s="382"/>
      <c r="O22" s="382"/>
      <c r="P22" s="382"/>
      <c r="Q22" s="382"/>
      <c r="R22" s="383"/>
      <c r="S22" s="384"/>
      <c r="T22" s="380"/>
      <c r="U22" s="380"/>
      <c r="V22" s="339" t="str">
        <f t="shared" si="1"/>
        <v/>
      </c>
      <c r="W22" s="346"/>
      <c r="X22" s="385" t="str">
        <f t="shared" si="2"/>
        <v/>
      </c>
      <c r="Y22" s="339"/>
      <c r="Z22" s="338" t="str">
        <f t="shared" si="3"/>
        <v/>
      </c>
      <c r="AA22" s="338"/>
      <c r="AB22" s="338"/>
      <c r="AC22" s="338" t="str">
        <f t="shared" si="4"/>
        <v/>
      </c>
      <c r="AD22" s="339"/>
      <c r="AE22" s="339"/>
      <c r="AF22" s="338" t="str">
        <f t="shared" si="5"/>
        <v/>
      </c>
      <c r="AG22" s="338"/>
      <c r="AH22" s="338"/>
      <c r="AI22" s="338" t="str">
        <f t="shared" si="6"/>
        <v/>
      </c>
      <c r="AJ22" s="340"/>
      <c r="AK22" s="10"/>
      <c r="AL22" s="3"/>
      <c r="AN22" s="98"/>
      <c r="AO22" s="99" t="s">
        <v>183</v>
      </c>
    </row>
    <row r="23" spans="2:41" ht="34.5" customHeight="1" x14ac:dyDescent="0.25">
      <c r="B23" s="7"/>
      <c r="C23" s="19">
        <v>5</v>
      </c>
      <c r="D23" s="380"/>
      <c r="E23" s="380"/>
      <c r="F23" s="380"/>
      <c r="G23" s="380"/>
      <c r="H23" s="380"/>
      <c r="I23" s="380"/>
      <c r="J23" s="380"/>
      <c r="K23" s="381"/>
      <c r="L23" s="23"/>
      <c r="M23" s="382" t="str">
        <f t="shared" si="0"/>
        <v/>
      </c>
      <c r="N23" s="382"/>
      <c r="O23" s="382"/>
      <c r="P23" s="382"/>
      <c r="Q23" s="382"/>
      <c r="R23" s="383"/>
      <c r="S23" s="384"/>
      <c r="T23" s="380"/>
      <c r="U23" s="380"/>
      <c r="V23" s="339" t="str">
        <f t="shared" si="1"/>
        <v/>
      </c>
      <c r="W23" s="346"/>
      <c r="X23" s="385" t="str">
        <f t="shared" si="2"/>
        <v/>
      </c>
      <c r="Y23" s="339"/>
      <c r="Z23" s="338" t="str">
        <f t="shared" si="3"/>
        <v/>
      </c>
      <c r="AA23" s="338"/>
      <c r="AB23" s="338"/>
      <c r="AC23" s="338" t="str">
        <f t="shared" si="4"/>
        <v/>
      </c>
      <c r="AD23" s="339"/>
      <c r="AE23" s="339"/>
      <c r="AF23" s="338" t="str">
        <f t="shared" si="5"/>
        <v/>
      </c>
      <c r="AG23" s="338"/>
      <c r="AH23" s="338"/>
      <c r="AI23" s="338" t="str">
        <f t="shared" si="6"/>
        <v/>
      </c>
      <c r="AJ23" s="340"/>
      <c r="AK23" s="10"/>
      <c r="AL23" s="3"/>
      <c r="AN23" s="98"/>
      <c r="AO23" s="99" t="s">
        <v>184</v>
      </c>
    </row>
    <row r="24" spans="2:41" ht="34.5" customHeight="1" thickBot="1" x14ac:dyDescent="0.3">
      <c r="B24" s="7"/>
      <c r="C24" s="20">
        <v>6</v>
      </c>
      <c r="D24" s="350"/>
      <c r="E24" s="350"/>
      <c r="F24" s="350"/>
      <c r="G24" s="350"/>
      <c r="H24" s="350"/>
      <c r="I24" s="350"/>
      <c r="J24" s="350"/>
      <c r="K24" s="394"/>
      <c r="L24" s="56"/>
      <c r="M24" s="347" t="str">
        <f t="shared" si="0"/>
        <v/>
      </c>
      <c r="N24" s="347"/>
      <c r="O24" s="347"/>
      <c r="P24" s="347"/>
      <c r="Q24" s="347"/>
      <c r="R24" s="348"/>
      <c r="S24" s="349"/>
      <c r="T24" s="350"/>
      <c r="U24" s="350"/>
      <c r="V24" s="323" t="str">
        <f t="shared" si="1"/>
        <v/>
      </c>
      <c r="W24" s="351"/>
      <c r="X24" s="352" t="str">
        <f t="shared" si="2"/>
        <v/>
      </c>
      <c r="Y24" s="323"/>
      <c r="Z24" s="322" t="str">
        <f t="shared" si="3"/>
        <v/>
      </c>
      <c r="AA24" s="322"/>
      <c r="AB24" s="322"/>
      <c r="AC24" s="322" t="str">
        <f t="shared" si="4"/>
        <v/>
      </c>
      <c r="AD24" s="323"/>
      <c r="AE24" s="323"/>
      <c r="AF24" s="322" t="str">
        <f t="shared" si="5"/>
        <v/>
      </c>
      <c r="AG24" s="322"/>
      <c r="AH24" s="322"/>
      <c r="AI24" s="322" t="str">
        <f t="shared" si="6"/>
        <v/>
      </c>
      <c r="AJ24" s="325"/>
      <c r="AK24" s="10"/>
      <c r="AL24" s="3"/>
      <c r="AN24" s="98"/>
      <c r="AO24" s="99" t="s">
        <v>185</v>
      </c>
    </row>
    <row r="25" spans="2:41" ht="34.5" customHeight="1" thickBot="1" x14ac:dyDescent="0.3">
      <c r="B25" s="7"/>
      <c r="C25" s="20">
        <v>7</v>
      </c>
      <c r="D25" s="389"/>
      <c r="E25" s="389"/>
      <c r="F25" s="389"/>
      <c r="G25" s="389"/>
      <c r="H25" s="389"/>
      <c r="I25" s="389"/>
      <c r="J25" s="389"/>
      <c r="K25" s="390"/>
      <c r="L25" s="69">
        <v>7</v>
      </c>
      <c r="M25" s="391" t="s">
        <v>181</v>
      </c>
      <c r="N25" s="392"/>
      <c r="O25" s="392"/>
      <c r="P25" s="392"/>
      <c r="Q25" s="392"/>
      <c r="R25" s="392"/>
      <c r="S25" s="392"/>
      <c r="T25" s="392"/>
      <c r="U25" s="392"/>
      <c r="V25" s="392"/>
      <c r="W25" s="393"/>
      <c r="X25" s="352"/>
      <c r="Y25" s="323"/>
      <c r="Z25" s="322">
        <f>IF(ISERROR(IF(OR(L19="",S18=""),"",IF(hladilnik="да",Cena_hladilnik,""))),"",IF(OR(L19="",S18=""),"",IF(hladilnik="да",Cena_hladilnik,"")))</f>
        <v>10</v>
      </c>
      <c r="AA25" s="322"/>
      <c r="AB25" s="322"/>
      <c r="AC25" s="322">
        <f>Z25</f>
        <v>10</v>
      </c>
      <c r="AD25" s="323"/>
      <c r="AE25" s="323"/>
      <c r="AF25" s="324"/>
      <c r="AG25" s="324"/>
      <c r="AH25" s="324"/>
      <c r="AI25" s="322">
        <f>Z25</f>
        <v>10</v>
      </c>
      <c r="AJ25" s="325"/>
      <c r="AK25" s="10"/>
      <c r="AL25" s="3"/>
      <c r="AN25" s="100"/>
      <c r="AO25" s="101" t="s">
        <v>186</v>
      </c>
    </row>
    <row r="26" spans="2:41" ht="34.5" customHeight="1" thickBot="1" x14ac:dyDescent="0.3">
      <c r="B26" s="7"/>
      <c r="C26" s="73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321" t="s">
        <v>164</v>
      </c>
      <c r="AC26" s="321"/>
      <c r="AD26" s="321"/>
      <c r="AE26" s="321"/>
      <c r="AF26" s="317">
        <f>SUM(AF19:AF24)</f>
        <v>75</v>
      </c>
      <c r="AG26" s="318"/>
      <c r="AH26" s="318"/>
      <c r="AI26" s="319">
        <f>SUM(AI19:AI25)</f>
        <v>100</v>
      </c>
      <c r="AJ26" s="320"/>
      <c r="AK26" s="10"/>
      <c r="AL26" s="3"/>
    </row>
    <row r="27" spans="2:41" ht="7.5" customHeight="1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4"/>
      <c r="AL27" s="3"/>
    </row>
    <row r="28" spans="2:41" ht="6.75" customHeight="1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</sheetData>
  <mergeCells count="87">
    <mergeCell ref="AC21:AE21"/>
    <mergeCell ref="D24:K24"/>
    <mergeCell ref="AC24:AE24"/>
    <mergeCell ref="AF24:AH24"/>
    <mergeCell ref="AI24:AJ24"/>
    <mergeCell ref="AF21:AH21"/>
    <mergeCell ref="AI21:AJ21"/>
    <mergeCell ref="D22:K22"/>
    <mergeCell ref="M22:R22"/>
    <mergeCell ref="S22:U22"/>
    <mergeCell ref="X22:Y22"/>
    <mergeCell ref="Z22:AB22"/>
    <mergeCell ref="AC22:AE22"/>
    <mergeCell ref="AF22:AH22"/>
    <mergeCell ref="AI22:AJ22"/>
    <mergeCell ref="D21:K21"/>
    <mergeCell ref="D25:K25"/>
    <mergeCell ref="X25:Y25"/>
    <mergeCell ref="AF23:AH23"/>
    <mergeCell ref="AI23:AJ23"/>
    <mergeCell ref="D23:K23"/>
    <mergeCell ref="M23:R23"/>
    <mergeCell ref="S23:U23"/>
    <mergeCell ref="X23:Y23"/>
    <mergeCell ref="Z23:AB23"/>
    <mergeCell ref="V23:W23"/>
    <mergeCell ref="AC23:AE23"/>
    <mergeCell ref="M25:W25"/>
    <mergeCell ref="Z24:AB24"/>
    <mergeCell ref="M21:R21"/>
    <mergeCell ref="S21:U21"/>
    <mergeCell ref="X21:Y21"/>
    <mergeCell ref="Z21:AB21"/>
    <mergeCell ref="V21:W21"/>
    <mergeCell ref="AC19:AE19"/>
    <mergeCell ref="AF17:AH18"/>
    <mergeCell ref="AF19:AH19"/>
    <mergeCell ref="D17:K18"/>
    <mergeCell ref="S17:W17"/>
    <mergeCell ref="D20:K20"/>
    <mergeCell ref="M20:R20"/>
    <mergeCell ref="S20:U20"/>
    <mergeCell ref="X20:Y20"/>
    <mergeCell ref="Z20:AB20"/>
    <mergeCell ref="V20:W20"/>
    <mergeCell ref="F13:H13"/>
    <mergeCell ref="F14:H14"/>
    <mergeCell ref="D19:K19"/>
    <mergeCell ref="V18:W18"/>
    <mergeCell ref="V19:W19"/>
    <mergeCell ref="C17:C18"/>
    <mergeCell ref="X17:Y18"/>
    <mergeCell ref="X19:Y19"/>
    <mergeCell ref="Z17:AB18"/>
    <mergeCell ref="Z19:AB19"/>
    <mergeCell ref="M19:R19"/>
    <mergeCell ref="L17:R17"/>
    <mergeCell ref="L11:N11"/>
    <mergeCell ref="M18:R18"/>
    <mergeCell ref="S18:U18"/>
    <mergeCell ref="S19:U19"/>
    <mergeCell ref="T15:W15"/>
    <mergeCell ref="P11:R11"/>
    <mergeCell ref="T11:V11"/>
    <mergeCell ref="T13:W13"/>
    <mergeCell ref="T14:W14"/>
    <mergeCell ref="V22:W22"/>
    <mergeCell ref="M24:R24"/>
    <mergeCell ref="S24:U24"/>
    <mergeCell ref="V24:W24"/>
    <mergeCell ref="X24:Y24"/>
    <mergeCell ref="AE14:AH14"/>
    <mergeCell ref="AE15:AH15"/>
    <mergeCell ref="AF26:AH26"/>
    <mergeCell ref="AI26:AJ26"/>
    <mergeCell ref="AB26:AE26"/>
    <mergeCell ref="Z25:AB25"/>
    <mergeCell ref="AC25:AE25"/>
    <mergeCell ref="AF25:AH25"/>
    <mergeCell ref="AI25:AJ25"/>
    <mergeCell ref="Y14:AA15"/>
    <mergeCell ref="AI17:AJ18"/>
    <mergeCell ref="AI19:AJ19"/>
    <mergeCell ref="AC20:AE20"/>
    <mergeCell ref="AF20:AH20"/>
    <mergeCell ref="AI20:AJ20"/>
    <mergeCell ref="AC17:AE18"/>
  </mergeCells>
  <conditionalFormatting sqref="M13">
    <cfRule type="expression" dxfId="477" priority="1697">
      <formula>M13="не"</formula>
    </cfRule>
    <cfRule type="expression" dxfId="476" priority="1698">
      <formula>M13="да"</formula>
    </cfRule>
  </conditionalFormatting>
  <conditionalFormatting sqref="M14">
    <cfRule type="expression" dxfId="475" priority="1695">
      <formula>M14="не"</formula>
    </cfRule>
    <cfRule type="expression" dxfId="474" priority="1696">
      <formula>M14="да"</formula>
    </cfRule>
  </conditionalFormatting>
  <conditionalFormatting sqref="T14:W15">
    <cfRule type="expression" dxfId="473" priority="1694">
      <formula>$T$15&gt;$T$14</formula>
    </cfRule>
  </conditionalFormatting>
  <conditionalFormatting sqref="T13:W13">
    <cfRule type="expression" dxfId="472" priority="1693">
      <formula>$T$15&gt;$T$14</formula>
    </cfRule>
  </conditionalFormatting>
  <conditionalFormatting sqref="Y14:AA15">
    <cfRule type="expression" dxfId="471" priority="1699">
      <formula>AND($AE$14="да",$Y$14&lt;&gt;0)</formula>
    </cfRule>
  </conditionalFormatting>
  <conditionalFormatting sqref="C6:Y6 C5:Z5">
    <cfRule type="cellIs" dxfId="470" priority="93" operator="equal">
      <formula>"Б-"&amp;$F$13</formula>
    </cfRule>
  </conditionalFormatting>
  <dataValidations count="6">
    <dataValidation type="list" allowBlank="1" showInputMessage="1" showErrorMessage="1" sqref="F13" xr:uid="{00000000-0002-0000-0000-000000000000}">
      <formula1>List_bungala</formula1>
    </dataValidation>
    <dataValidation type="list" allowBlank="1" showInputMessage="1" showErrorMessage="1" sqref="L19:L24" xr:uid="{00000000-0002-0000-0000-000001000000}">
      <formula1>"1, 2, 3, 4, 5, 6"</formula1>
    </dataValidation>
    <dataValidation type="list" allowBlank="1" showInputMessage="1" showErrorMessage="1" sqref="S19:U24" xr:uid="{00000000-0002-0000-0000-000002000000}">
      <formula1>List_vid_leglo</formula1>
    </dataValidation>
    <dataValidation type="list" allowBlank="1" showInputMessage="1" showErrorMessage="1" sqref="AE14" xr:uid="{00000000-0002-0000-0000-000003000000}">
      <formula1>"да, не"</formula1>
    </dataValidation>
    <dataValidation type="list" showInputMessage="1" showErrorMessage="1" sqref="F14:H14" xr:uid="{00000000-0002-0000-0000-000004000000}">
      <formula1>List_br_dni</formula1>
    </dataValidation>
    <dataValidation type="list" showInputMessage="1" showErrorMessage="1" sqref="L11:N11" xr:uid="{00000000-0002-0000-0000-000005000000}">
      <formula1>List_Smiana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BtnUpdateSmiana">
          <controlPr defaultSize="0" autoLine="0" r:id="rId5">
            <anchor moveWithCells="1">
              <from>
                <xdr:col>22</xdr:col>
                <xdr:colOff>85725</xdr:colOff>
                <xdr:row>9</xdr:row>
                <xdr:rowOff>57150</xdr:rowOff>
              </from>
              <to>
                <xdr:col>26</xdr:col>
                <xdr:colOff>285750</xdr:colOff>
                <xdr:row>11</xdr:row>
                <xdr:rowOff>47625</xdr:rowOff>
              </to>
            </anchor>
          </controlPr>
        </control>
      </mc:Choice>
      <mc:Fallback>
        <control shapeId="1104" r:id="rId4" name="CBtnUpdateSmiana"/>
      </mc:Fallback>
    </mc:AlternateContent>
    <mc:AlternateContent xmlns:mc="http://schemas.openxmlformats.org/markup-compatibility/2006">
      <mc:Choice Requires="x14">
        <control shapeId="1101" r:id="rId6" name="ComBtnDelete">
          <controlPr defaultSize="0" autoLine="0" r:id="rId7">
            <anchor moveWithCells="1">
              <from>
                <xdr:col>6</xdr:col>
                <xdr:colOff>66675</xdr:colOff>
                <xdr:row>14</xdr:row>
                <xdr:rowOff>66675</xdr:rowOff>
              </from>
              <to>
                <xdr:col>10</xdr:col>
                <xdr:colOff>76200</xdr:colOff>
                <xdr:row>15</xdr:row>
                <xdr:rowOff>133350</xdr:rowOff>
              </to>
            </anchor>
          </controlPr>
        </control>
      </mc:Choice>
      <mc:Fallback>
        <control shapeId="1101" r:id="rId6" name="ComBtnDelete"/>
      </mc:Fallback>
    </mc:AlternateContent>
    <mc:AlternateContent xmlns:mc="http://schemas.openxmlformats.org/markup-compatibility/2006">
      <mc:Choice Requires="x14">
        <control shapeId="1091" r:id="rId8" name="ComBtnZapazi">
          <controlPr defaultSize="0" autoLine="0" r:id="rId9">
            <anchor moveWithCells="1">
              <from>
                <xdr:col>1</xdr:col>
                <xdr:colOff>95250</xdr:colOff>
                <xdr:row>14</xdr:row>
                <xdr:rowOff>66675</xdr:rowOff>
              </from>
              <to>
                <xdr:col>6</xdr:col>
                <xdr:colOff>9525</xdr:colOff>
                <xdr:row>15</xdr:row>
                <xdr:rowOff>133350</xdr:rowOff>
              </to>
            </anchor>
          </controlPr>
        </control>
      </mc:Choice>
      <mc:Fallback>
        <control shapeId="1091" r:id="rId8" name="ComBtnZapazi"/>
      </mc:Fallback>
    </mc:AlternateContent>
    <mc:AlternateContent xmlns:mc="http://schemas.openxmlformats.org/markup-compatibility/2006">
      <mc:Choice Requires="x14">
        <control shapeId="1099" r:id="rId10" name="ComBtnIzchisti">
          <controlPr defaultSize="0" autoLine="0" r:id="rId11">
            <anchor moveWithCells="1">
              <from>
                <xdr:col>10</xdr:col>
                <xdr:colOff>142875</xdr:colOff>
                <xdr:row>14</xdr:row>
                <xdr:rowOff>66675</xdr:rowOff>
              </from>
              <to>
                <xdr:col>13</xdr:col>
                <xdr:colOff>66675</xdr:colOff>
                <xdr:row>15</xdr:row>
                <xdr:rowOff>133350</xdr:rowOff>
              </to>
            </anchor>
          </controlPr>
        </control>
      </mc:Choice>
      <mc:Fallback>
        <control shapeId="1099" r:id="rId10" name="ComBtnIzchist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6" id="{00000000-0000-0000-0000-000000000000}">
            <xm:f>AND(Registyr!$O$5&lt;&gt;0,Registyr!$R$5="да")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87" id="{00000000-0000-0000-0000-000000000000}">
            <xm:f xml:space="preserve"> AND(Registyr!$O$5&lt;&gt;"",Registyr!$R$5&lt;&gt;"да")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184" id="{00000000-0000-0000-0000-000000000000}">
            <xm:f>AND(Registyr!$O$12&lt;&gt;0,Registyr!$R$12="да")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85" id="{00000000-0000-0000-0000-000000000000}">
            <xm:f xml:space="preserve"> AND(Registyr!$O$12&lt;&gt;"",Registyr!$R$12&lt;&gt;"да")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182" id="{00000000-0000-0000-0000-000000000000}">
            <xm:f>AND(Registyr!$O$19&lt;&gt;0,Registyr!$R$19="да")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83" id="{00000000-0000-0000-0000-000000000000}">
            <xm:f xml:space="preserve"> AND(Registyr!$O$19&lt;&gt;"",Registyr!$R$19&lt;&gt;"да")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180" id="{00000000-0000-0000-0000-000000000000}">
            <xm:f>AND(Registyr!$O$26&lt;&gt;0,Registyr!$R$26="да")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81" id="{00000000-0000-0000-0000-000000000000}">
            <xm:f xml:space="preserve"> AND(Registyr!$O$26&lt;&gt;"",Registyr!$R$26&lt;&gt;"да")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178" id="{00000000-0000-0000-0000-000000000000}">
            <xm:f>AND(Registyr!$O$33&lt;&gt;0,Registyr!$R$33="да")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79" id="{00000000-0000-0000-0000-000000000000}">
            <xm:f xml:space="preserve"> AND(Registyr!$O$33&lt;&gt;"",Registyr!$R$33&lt;&gt;"да")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176" id="{00000000-0000-0000-0000-000000000000}">
            <xm:f>AND(Registyr!$O$40&lt;&gt;0,Registyr!$R$40="да")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77" id="{00000000-0000-0000-0000-000000000000}">
            <xm:f xml:space="preserve"> AND(Registyr!$O$40&lt;&gt;"",Registyr!$R$40&lt;&gt;"да")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74" id="{00000000-0000-0000-0000-000000000000}">
            <xm:f>AND(Registyr!$O$47&lt;&gt;0,Registyr!$R$47="да")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75" id="{00000000-0000-0000-0000-000000000000}">
            <xm:f xml:space="preserve"> AND(Registyr!$O$47&lt;&gt;"",Registyr!$R$47&lt;&gt;"да")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172" id="{00000000-0000-0000-0000-000000000000}">
            <xm:f>AND(Registyr!$O$54&lt;&gt;0,Registyr!$R$54="да")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73" id="{00000000-0000-0000-0000-000000000000}">
            <xm:f xml:space="preserve"> AND(Registyr!$O$54&lt;&gt;"",Registyr!$R$54&lt;&gt;"да")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170" id="{00000000-0000-0000-0000-000000000000}">
            <xm:f>AND(Registyr!$O$61&lt;&gt;0,Registyr!$R$61="да")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71" id="{00000000-0000-0000-0000-000000000000}">
            <xm:f xml:space="preserve"> AND(Registyr!$O$61&lt;&gt;"",Registyr!$R$61&lt;&gt;"да")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168" id="{00000000-0000-0000-0000-000000000000}">
            <xm:f>AND(Registyr!$O$68&lt;&gt;0,Registyr!$R$68="да")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69" id="{00000000-0000-0000-0000-000000000000}">
            <xm:f xml:space="preserve"> AND(Registyr!$O$68&lt;&gt;"",Registyr!$R$68&lt;&gt;"да")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L5</xm:sqref>
        </x14:conditionalFormatting>
        <x14:conditionalFormatting xmlns:xm="http://schemas.microsoft.com/office/excel/2006/main">
          <x14:cfRule type="expression" priority="166" id="{00000000-0000-0000-0000-000000000000}">
            <xm:f>AND(Registyr!$O$75&lt;&gt;0,Registyr!$R$75="да")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67" id="{00000000-0000-0000-0000-000000000000}">
            <xm:f xml:space="preserve"> AND(Registyr!$O$75&lt;&gt;"",Registyr!$R$75&lt;&gt;"да")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expression" priority="164" id="{00000000-0000-0000-0000-000000000000}">
            <xm:f>AND(Registyr!$O$82&lt;&gt;0,Registyr!$R$82="да")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65" id="{00000000-0000-0000-0000-000000000000}">
            <xm:f xml:space="preserve"> AND(Registyr!$O$82&lt;&gt;"",Registyr!$R$82&lt;&gt;"да")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expression" priority="162" id="{00000000-0000-0000-0000-000000000000}">
            <xm:f>AND(Registyr!$O$89&lt;&gt;0,Registyr!$R$89="да")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63" id="{00000000-0000-0000-0000-000000000000}">
            <xm:f xml:space="preserve"> AND(Registyr!$O$89&lt;&gt;"",Registyr!$R$89&lt;&gt;"да")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expression" priority="160" id="{00000000-0000-0000-0000-000000000000}">
            <xm:f>AND(Registyr!$O$96&lt;&gt;0,Registyr!$R$96="да")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61" id="{00000000-0000-0000-0000-000000000000}">
            <xm:f xml:space="preserve"> AND(Registyr!$O$96&lt;&gt;"",Registyr!$R$96&lt;&gt;"да")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expression" priority="158" id="{00000000-0000-0000-0000-000000000000}">
            <xm:f>AND(Registyr!$O$103&lt;&gt;0,Registyr!$R$103="да")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59" id="{00000000-0000-0000-0000-000000000000}">
            <xm:f xml:space="preserve"> AND(Registyr!$O$103&lt;&gt;"",Registyr!$R$103&lt;&gt;"да")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expression" priority="157" id="{00000000-0000-0000-0000-000000000000}">
            <xm:f xml:space="preserve"> AND(Registyr!$O$110&lt;&gt;"",Registyr!$R$110&lt;&gt;"да")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expression" priority="156" id="{00000000-0000-0000-0000-000000000000}">
            <xm:f>AND(Registyr!$O$110&lt;&gt;0,Registyr!$R$110="да")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expression" priority="155" id="{00000000-0000-0000-0000-000000000000}">
            <xm:f xml:space="preserve"> AND(Registyr!$O$117&lt;&gt;"",Registyr!$R$117&lt;&gt;"да")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expression" priority="154" id="{00000000-0000-0000-0000-000000000000}">
            <xm:f>AND(Registyr!$O$117&lt;&gt;0,Registyr!$R$117="да")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expression" priority="153" id="{00000000-0000-0000-0000-000000000000}">
            <xm:f xml:space="preserve"> AND(Registyr!$O$124&lt;&gt;"",Registyr!$R$124&lt;&gt;"да")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T5</xm:sqref>
        </x14:conditionalFormatting>
        <x14:conditionalFormatting xmlns:xm="http://schemas.microsoft.com/office/excel/2006/main">
          <x14:cfRule type="expression" priority="152" id="{00000000-0000-0000-0000-000000000000}">
            <xm:f>AND(Registyr!$O$124&lt;&gt;0,Registyr!$R$124="да")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T5</xm:sqref>
        </x14:conditionalFormatting>
        <x14:conditionalFormatting xmlns:xm="http://schemas.microsoft.com/office/excel/2006/main">
          <x14:cfRule type="expression" priority="151" id="{00000000-0000-0000-0000-000000000000}">
            <xm:f xml:space="preserve"> AND(Registyr!$O$131&lt;&gt;"",Registyr!$R$131&lt;&gt;"да")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U5</xm:sqref>
        </x14:conditionalFormatting>
        <x14:conditionalFormatting xmlns:xm="http://schemas.microsoft.com/office/excel/2006/main">
          <x14:cfRule type="expression" priority="150" id="{00000000-0000-0000-0000-000000000000}">
            <xm:f>AND(Registyr!$O$131&lt;&gt;0,Registyr!$R$131="да")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U5</xm:sqref>
        </x14:conditionalFormatting>
        <x14:conditionalFormatting xmlns:xm="http://schemas.microsoft.com/office/excel/2006/main">
          <x14:cfRule type="expression" priority="149" id="{00000000-0000-0000-0000-000000000000}">
            <xm:f xml:space="preserve"> AND(Registyr!$O$138&lt;&gt;"",Registyr!$R$138&lt;&gt;"да")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V5</xm:sqref>
        </x14:conditionalFormatting>
        <x14:conditionalFormatting xmlns:xm="http://schemas.microsoft.com/office/excel/2006/main">
          <x14:cfRule type="expression" priority="148" id="{00000000-0000-0000-0000-000000000000}">
            <xm:f>AND(Registyr!$O$138&lt;&gt;0,Registyr!$R$138="да")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V5</xm:sqref>
        </x14:conditionalFormatting>
        <x14:conditionalFormatting xmlns:xm="http://schemas.microsoft.com/office/excel/2006/main">
          <x14:cfRule type="expression" priority="147" id="{00000000-0000-0000-0000-000000000000}">
            <xm:f xml:space="preserve"> AND(Registyr!$O$145&lt;&gt;"",Registyr!$R$145&lt;&gt;"да")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146" id="{00000000-0000-0000-0000-000000000000}">
            <xm:f>AND(Registyr!$O$145&lt;&gt;0,Registyr!$R$145="да")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145" id="{00000000-0000-0000-0000-000000000000}">
            <xm:f xml:space="preserve"> AND(Registyr!$O$152&lt;&gt;"",Registyr!$R$152&lt;&gt;"да")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expression" priority="144" id="{00000000-0000-0000-0000-000000000000}">
            <xm:f>AND(Registyr!$O$152&lt;&gt;0,Registyr!$R$152="да")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expression" priority="143" id="{00000000-0000-0000-0000-000000000000}">
            <xm:f xml:space="preserve"> AND(Registyr!$O$159&lt;&gt;"",Registyr!$R$159&lt;&gt;"да")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142" id="{00000000-0000-0000-0000-000000000000}">
            <xm:f>AND(Registyr!$O$159&lt;&gt;0,Registyr!$R$159="да")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141" id="{00000000-0000-0000-0000-000000000000}">
            <xm:f xml:space="preserve"> AND(Registyr!$O$166&lt;&gt;"",Registyr!$R$166&lt;&gt;"да")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expression" priority="140" id="{00000000-0000-0000-0000-000000000000}">
            <xm:f>AND(Registyr!$O$166&lt;&gt;0,Registyr!$R$166="да")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expression" priority="138" id="{00000000-0000-0000-0000-000000000000}">
            <xm:f>AND(Registyr!$O$173&lt;&gt;0,Registyr!$R$173="да")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39" id="{00000000-0000-0000-0000-000000000000}">
            <xm:f xml:space="preserve"> AND(Registyr!$O$173&lt;&gt;"",Registyr!$R$173&lt;&gt;"да")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136" id="{00000000-0000-0000-0000-000000000000}">
            <xm:f>AND(Registyr!$O$180&lt;&gt;0,Registyr!$R$180="да")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37" id="{00000000-0000-0000-0000-000000000000}">
            <xm:f xml:space="preserve"> AND(Registyr!$O$180&lt;&gt;"",Registyr!$R$180&lt;&gt;"да")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134" id="{00000000-0000-0000-0000-000000000000}">
            <xm:f>AND(Registyr!$O$187&lt;&gt;0,Registyr!$R$187="да")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35" id="{00000000-0000-0000-0000-000000000000}">
            <xm:f xml:space="preserve"> AND(Registyr!$O$187&lt;&gt;"",Registyr!$R$187&lt;&gt;"да")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132" id="{00000000-0000-0000-0000-000000000000}">
            <xm:f>AND(Registyr!$O$194&lt;&gt;0,Registyr!$R$194="да")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33" id="{00000000-0000-0000-0000-000000000000}">
            <xm:f xml:space="preserve"> AND(Registyr!$O$194&lt;&gt;"",Registyr!$R$194&lt;&gt;"да")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130" id="{00000000-0000-0000-0000-000000000000}">
            <xm:f>AND(Registyr!$O$201&lt;&gt;0,Registyr!$R$201="да")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31" id="{00000000-0000-0000-0000-000000000000}">
            <xm:f xml:space="preserve"> AND(Registyr!$O$201&lt;&gt;"",Registyr!$R$201&lt;&gt;"да")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128" id="{00000000-0000-0000-0000-000000000000}">
            <xm:f>AND(Registyr!$O$208&lt;&gt;0,Registyr!$R$208="да")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29" id="{00000000-0000-0000-0000-000000000000}">
            <xm:f xml:space="preserve"> AND(Registyr!$O$208&lt;&gt;"",Registyr!$R$208&lt;&gt;"да")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126" id="{00000000-0000-0000-0000-000000000000}">
            <xm:f>AND(Registyr!$O$215&lt;&gt;0,Registyr!$R$215="да")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27" id="{00000000-0000-0000-0000-000000000000}">
            <xm:f xml:space="preserve"> AND(Registyr!$O$215&lt;&gt;"",Registyr!$R$215&lt;&gt;"да")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expression" priority="124" id="{00000000-0000-0000-0000-000000000000}">
            <xm:f>AND(Registyr!$O$222&lt;&gt;0,Registyr!$R$222="да")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25" id="{00000000-0000-0000-0000-000000000000}">
            <xm:f xml:space="preserve"> AND(Registyr!$O$222&lt;&gt;"",Registyr!$R$222&lt;&gt;"да")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expression" priority="122" id="{00000000-0000-0000-0000-000000000000}">
            <xm:f>AND(Registyr!$O$229&lt;&gt;0,Registyr!$R$229="да")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23" id="{00000000-0000-0000-0000-000000000000}">
            <xm:f xml:space="preserve"> AND(Registyr!$O$229&lt;&gt;"",Registyr!$R$229&lt;&gt;"да")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expression" priority="120" id="{00000000-0000-0000-0000-000000000000}">
            <xm:f>AND(Registyr!$O$236&lt;&gt;0,Registyr!$R$236="да")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14:cfRule type="expression" priority="121" id="{00000000-0000-0000-0000-000000000000}">
            <xm:f xml:space="preserve"> AND(Registyr!$O$236&lt;&gt;"",Registyr!$R$236&lt;&gt;"да")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L6</xm:sqref>
        </x14:conditionalFormatting>
        <x14:conditionalFormatting xmlns:xm="http://schemas.microsoft.com/office/excel/2006/main">
          <x14:cfRule type="expression" priority="119" id="{00000000-0000-0000-0000-000000000000}">
            <xm:f xml:space="preserve"> AND(Registyr!$O$243&lt;&gt;"",Registyr!$R$243&lt;&gt;"да")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118" id="{00000000-0000-0000-0000-000000000000}">
            <xm:f>AND(Registyr!$O$243&lt;&gt;0,Registyr!$R$243="да")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117" id="{00000000-0000-0000-0000-000000000000}">
            <xm:f xml:space="preserve"> AND(Registyr!$O$250&lt;&gt;"",Registyr!$R$250&lt;&gt;"да")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N6</xm:sqref>
        </x14:conditionalFormatting>
        <x14:conditionalFormatting xmlns:xm="http://schemas.microsoft.com/office/excel/2006/main">
          <x14:cfRule type="expression" priority="116" id="{00000000-0000-0000-0000-000000000000}">
            <xm:f>AND(Registyr!$O$250&lt;&gt;0,Registyr!$R$250="да")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N6</xm:sqref>
        </x14:conditionalFormatting>
        <x14:conditionalFormatting xmlns:xm="http://schemas.microsoft.com/office/excel/2006/main">
          <x14:cfRule type="expression" priority="115" id="{00000000-0000-0000-0000-000000000000}">
            <xm:f xml:space="preserve"> AND(Registyr!$O$257&lt;&gt;"",Registyr!$R$257&lt;&gt;"да")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O6</xm:sqref>
        </x14:conditionalFormatting>
        <x14:conditionalFormatting xmlns:xm="http://schemas.microsoft.com/office/excel/2006/main">
          <x14:cfRule type="expression" priority="114" id="{00000000-0000-0000-0000-000000000000}">
            <xm:f>AND(Registyr!$O$257&lt;&gt;0,Registyr!$R$257="да")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O6</xm:sqref>
        </x14:conditionalFormatting>
        <x14:conditionalFormatting xmlns:xm="http://schemas.microsoft.com/office/excel/2006/main">
          <x14:cfRule type="expression" priority="113" id="{00000000-0000-0000-0000-000000000000}">
            <xm:f xml:space="preserve"> AND(Registyr!$O$264&lt;&gt;"",Registyr!$R$264&lt;&gt;"да")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P6</xm:sqref>
        </x14:conditionalFormatting>
        <x14:conditionalFormatting xmlns:xm="http://schemas.microsoft.com/office/excel/2006/main">
          <x14:cfRule type="expression" priority="112" id="{00000000-0000-0000-0000-000000000000}">
            <xm:f>AND(Registyr!$O$264&lt;&gt;0,Registyr!$R$264="да")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P6</xm:sqref>
        </x14:conditionalFormatting>
        <x14:conditionalFormatting xmlns:xm="http://schemas.microsoft.com/office/excel/2006/main">
          <x14:cfRule type="expression" priority="111" id="{00000000-0000-0000-0000-000000000000}">
            <xm:f xml:space="preserve"> AND(Registyr!$O$271&lt;&gt;"",Registyr!$R$271&lt;&gt;"да")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110" id="{00000000-0000-0000-0000-000000000000}">
            <xm:f>AND(Registyr!$O$271&lt;&gt;0,Registyr!$R$271="да")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109" id="{00000000-0000-0000-0000-000000000000}">
            <xm:f xml:space="preserve"> AND(Registyr!$O$278&lt;&gt;"",Registyr!$R$278&lt;&gt;"да")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expression" priority="108" id="{00000000-0000-0000-0000-000000000000}">
            <xm:f>AND(Registyr!$O$278&lt;&gt;0,Registyr!$R$278="да")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expression" priority="107" id="{00000000-0000-0000-0000-000000000000}">
            <xm:f xml:space="preserve"> AND(Registyr!$O$285&lt;&gt;"",Registyr!$R$285&lt;&gt;"да")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expression" priority="106" id="{00000000-0000-0000-0000-000000000000}">
            <xm:f>AND(Registyr!$O$285&lt;&gt;0,Registyr!$R$285="да")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expression" priority="105" id="{00000000-0000-0000-0000-000000000000}">
            <xm:f xml:space="preserve"> AND(Registyr!$O$292&lt;&gt;"",Registyr!$R$292&lt;&gt;"да")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T6</xm:sqref>
        </x14:conditionalFormatting>
        <x14:conditionalFormatting xmlns:xm="http://schemas.microsoft.com/office/excel/2006/main">
          <x14:cfRule type="expression" priority="104" id="{00000000-0000-0000-0000-000000000000}">
            <xm:f>AND(Registyr!$O$292&lt;&gt;0,Registyr!$R$292="да")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T6</xm:sqref>
        </x14:conditionalFormatting>
        <x14:conditionalFormatting xmlns:xm="http://schemas.microsoft.com/office/excel/2006/main">
          <x14:cfRule type="expression" priority="103" id="{00000000-0000-0000-0000-000000000000}">
            <xm:f xml:space="preserve"> AND(Registyr!$O$299&lt;&gt;"",Registyr!$R$299&lt;&gt;"да")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expression" priority="102" id="{00000000-0000-0000-0000-000000000000}">
            <xm:f>AND(Registyr!$O$299&lt;&gt;0,Registyr!$R$299="да")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expression" priority="101" id="{00000000-0000-0000-0000-000000000000}">
            <xm:f xml:space="preserve"> AND(Registyr!$O$306&lt;&gt;"",Registyr!$R$306&lt;&gt;"да")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V6</xm:sqref>
        </x14:conditionalFormatting>
        <x14:conditionalFormatting xmlns:xm="http://schemas.microsoft.com/office/excel/2006/main">
          <x14:cfRule type="expression" priority="100" id="{00000000-0000-0000-0000-000000000000}">
            <xm:f>AND(Registyr!$O$306&lt;&gt;0,Registyr!$R$306="да")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V6</xm:sqref>
        </x14:conditionalFormatting>
        <x14:conditionalFormatting xmlns:xm="http://schemas.microsoft.com/office/excel/2006/main">
          <x14:cfRule type="expression" priority="99" id="{00000000-0000-0000-0000-000000000000}">
            <xm:f xml:space="preserve"> AND(Registyr!$O$313&lt;&gt;"",Registyr!$R$313&lt;&gt;"да")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98" id="{00000000-0000-0000-0000-000000000000}">
            <xm:f>AND(Registyr!$O$313&lt;&gt;0,Registyr!$R$313="да")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97" id="{00000000-0000-0000-0000-000000000000}">
            <xm:f xml:space="preserve"> AND(Registyr!$O$320&lt;&gt;"",Registyr!$R$320&lt;&gt;"да")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expression" priority="96" id="{00000000-0000-0000-0000-000000000000}">
            <xm:f>AND(Registyr!$O$320&lt;&gt;0,Registyr!$R$320="да")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expression" priority="95" id="{00000000-0000-0000-0000-000000000000}">
            <xm:f xml:space="preserve"> AND(Registyr!$O$327&lt;&gt;"",Registyr!$R$327&lt;&gt;"да")</xm:f>
            <x14:dxf>
              <fill>
                <patternFill>
                  <fgColor indexed="64"/>
                  <bgColor rgb="FFFF99FF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94" id="{00000000-0000-0000-0000-000000000000}">
            <xm:f>AND(Registyr!$O$327&lt;&gt;0,Registyr!$R$327="да")</xm:f>
            <x14:dxf>
              <fill>
                <patternFill>
                  <fgColor indexed="64"/>
                  <bgColor rgb="FFFFCC66"/>
                </patternFill>
              </fill>
            </x14:dxf>
          </x14:cfRule>
          <xm:sqref>Y6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C44"/>
  <sheetViews>
    <sheetView showGridLines="0" tabSelected="1" topLeftCell="A4" workbookViewId="0">
      <selection activeCell="D7" activeCellId="2" sqref="C3:Q3 D5 D7"/>
    </sheetView>
  </sheetViews>
  <sheetFormatPr defaultColWidth="9.140625" defaultRowHeight="17.25" x14ac:dyDescent="0.25"/>
  <cols>
    <col min="1" max="1" width="2.28515625" style="2" customWidth="1"/>
    <col min="2" max="2" width="1.7109375" style="2" customWidth="1"/>
    <col min="3" max="3" width="3.85546875" style="2" customWidth="1"/>
    <col min="4" max="11" width="3.28515625" style="2" customWidth="1"/>
    <col min="12" max="12" width="4.140625" style="2" customWidth="1"/>
    <col min="13" max="13" width="5.85546875" style="2" customWidth="1"/>
    <col min="14" max="14" width="4.140625" style="2" customWidth="1"/>
    <col min="15" max="15" width="5" style="2" customWidth="1"/>
    <col min="16" max="16" width="10" style="2" customWidth="1"/>
    <col min="17" max="17" width="8" style="2" customWidth="1"/>
    <col min="18" max="20" width="5.140625" style="2" customWidth="1"/>
    <col min="21" max="22" width="4.42578125" style="2" customWidth="1"/>
    <col min="23" max="23" width="1.7109375" style="2" customWidth="1"/>
    <col min="24" max="24" width="1.28515625" style="2" customWidth="1"/>
    <col min="25" max="25" width="9.85546875" style="2" customWidth="1"/>
    <col min="26" max="27" width="6.7109375" style="2" customWidth="1"/>
    <col min="28" max="28" width="1.5703125" style="2" customWidth="1"/>
    <col min="29" max="29" width="1.28515625" style="2" customWidth="1"/>
    <col min="30" max="16384" width="9.140625" style="2"/>
  </cols>
  <sheetData>
    <row r="1" spans="2:24" ht="18.75" customHeight="1" x14ac:dyDescent="0.25"/>
    <row r="2" spans="2:24" ht="6" customHeight="1" x14ac:dyDescent="0.25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</row>
    <row r="3" spans="2:24" ht="18" customHeight="1" x14ac:dyDescent="0.25">
      <c r="B3" s="7"/>
      <c r="C3" s="410" t="s">
        <v>158</v>
      </c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  <c r="U3" s="410"/>
      <c r="V3" s="410"/>
      <c r="W3" s="10"/>
      <c r="X3" s="3"/>
    </row>
    <row r="4" spans="2:24" ht="18" customHeight="1" x14ac:dyDescent="0.25">
      <c r="B4" s="7"/>
      <c r="C4" s="411" t="s">
        <v>159</v>
      </c>
      <c r="D4" s="411"/>
      <c r="E4" s="411"/>
      <c r="F4" s="411"/>
      <c r="G4" s="411"/>
      <c r="H4" s="411"/>
      <c r="I4" s="411"/>
      <c r="J4" s="411"/>
      <c r="K4" s="411"/>
      <c r="L4" s="411"/>
      <c r="M4" s="411"/>
      <c r="N4" s="411"/>
      <c r="O4" s="411"/>
      <c r="P4" s="411"/>
      <c r="Q4" s="411"/>
      <c r="R4" s="411"/>
      <c r="S4" s="411"/>
      <c r="T4" s="411"/>
      <c r="U4" s="411"/>
      <c r="V4" s="411"/>
      <c r="W4" s="10"/>
      <c r="X4" s="3"/>
    </row>
    <row r="5" spans="2:24" ht="25.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10"/>
      <c r="X5" s="3"/>
    </row>
    <row r="6" spans="2:24" ht="35.25" customHeight="1" x14ac:dyDescent="0.25">
      <c r="B6" s="7"/>
      <c r="C6" s="412" t="s">
        <v>160</v>
      </c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10"/>
      <c r="X6" s="3"/>
    </row>
    <row r="7" spans="2:24" ht="28.5" customHeight="1" x14ac:dyDescent="0.25">
      <c r="B7" s="7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4"/>
      <c r="X7" s="3"/>
    </row>
    <row r="8" spans="2:24" ht="21" x14ac:dyDescent="0.25">
      <c r="B8" s="7"/>
      <c r="C8" s="83"/>
      <c r="D8" s="83"/>
      <c r="E8" s="85"/>
      <c r="F8" s="85"/>
      <c r="G8" s="72" t="s">
        <v>29</v>
      </c>
      <c r="H8" s="413" t="str">
        <f>Smiana</f>
        <v>IV</v>
      </c>
      <c r="I8" s="414"/>
      <c r="J8" s="415"/>
      <c r="K8" s="81"/>
      <c r="L8" s="11" t="s">
        <v>179</v>
      </c>
      <c r="M8" s="416">
        <f>Reg_forma!P11</f>
        <v>43664</v>
      </c>
      <c r="N8" s="417"/>
      <c r="O8" s="418"/>
      <c r="P8" s="11" t="s">
        <v>178</v>
      </c>
      <c r="Q8" s="419">
        <f>Reg_forma!T11</f>
        <v>43673</v>
      </c>
      <c r="R8" s="420"/>
      <c r="S8" s="421"/>
      <c r="T8" s="81"/>
      <c r="U8" s="81"/>
      <c r="V8" s="81"/>
      <c r="W8" s="82"/>
      <c r="X8" s="3"/>
    </row>
    <row r="9" spans="2:24" ht="9" customHeight="1" x14ac:dyDescent="0.2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10"/>
      <c r="X9" s="3"/>
    </row>
    <row r="10" spans="2:24" ht="21" customHeight="1" x14ac:dyDescent="0.25">
      <c r="B10" s="7"/>
      <c r="C10" s="8"/>
      <c r="D10" s="8"/>
      <c r="E10" s="8"/>
      <c r="F10" s="8"/>
      <c r="G10" s="72" t="s">
        <v>36</v>
      </c>
      <c r="H10" s="413">
        <f>Bungalo</f>
        <v>31</v>
      </c>
      <c r="I10" s="414"/>
      <c r="J10" s="415"/>
      <c r="K10" s="8"/>
      <c r="L10" s="8"/>
      <c r="M10" s="8"/>
      <c r="N10" s="8"/>
      <c r="O10" s="8"/>
      <c r="P10" s="8"/>
      <c r="Q10" s="8"/>
      <c r="R10" s="72" t="s">
        <v>35</v>
      </c>
      <c r="S10" s="71" t="str">
        <f>SV</f>
        <v>да</v>
      </c>
      <c r="T10" s="8"/>
      <c r="U10" s="8"/>
      <c r="V10" s="8"/>
      <c r="W10" s="10"/>
      <c r="X10" s="3"/>
    </row>
    <row r="11" spans="2:24" ht="21" x14ac:dyDescent="0.25">
      <c r="B11" s="7"/>
      <c r="C11" s="8"/>
      <c r="D11" s="8"/>
      <c r="E11" s="8"/>
      <c r="F11" s="8"/>
      <c r="G11" s="72" t="s">
        <v>161</v>
      </c>
      <c r="H11" s="413">
        <f>br_dni</f>
        <v>10</v>
      </c>
      <c r="I11" s="414"/>
      <c r="J11" s="415"/>
      <c r="K11" s="8"/>
      <c r="L11" s="8"/>
      <c r="M11" s="8"/>
      <c r="N11" s="8"/>
      <c r="O11" s="8"/>
      <c r="P11" s="8"/>
      <c r="Q11" s="8"/>
      <c r="R11" s="72" t="s">
        <v>44</v>
      </c>
      <c r="S11" s="71" t="str">
        <f>hladilnik</f>
        <v>да</v>
      </c>
      <c r="T11" s="8"/>
      <c r="U11" s="8"/>
      <c r="V11" s="8"/>
      <c r="W11" s="10"/>
      <c r="X11" s="3"/>
    </row>
    <row r="12" spans="2:24" ht="16.5" customHeight="1" thickBot="1" x14ac:dyDescent="0.3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10"/>
      <c r="X12" s="3"/>
    </row>
    <row r="13" spans="2:24" ht="24" customHeight="1" thickBot="1" x14ac:dyDescent="0.3">
      <c r="B13" s="7"/>
      <c r="C13" s="369" t="s">
        <v>32</v>
      </c>
      <c r="D13" s="386" t="s">
        <v>155</v>
      </c>
      <c r="E13" s="387"/>
      <c r="F13" s="387"/>
      <c r="G13" s="387"/>
      <c r="H13" s="387"/>
      <c r="I13" s="387"/>
      <c r="J13" s="387"/>
      <c r="K13" s="387"/>
      <c r="L13" s="375" t="s">
        <v>34</v>
      </c>
      <c r="M13" s="376"/>
      <c r="N13" s="376"/>
      <c r="O13" s="376"/>
      <c r="P13" s="376"/>
      <c r="Q13" s="377"/>
      <c r="R13" s="375" t="s">
        <v>107</v>
      </c>
      <c r="S13" s="376"/>
      <c r="T13" s="376"/>
      <c r="U13" s="376"/>
      <c r="V13" s="377"/>
      <c r="W13" s="10"/>
      <c r="X13" s="3"/>
    </row>
    <row r="14" spans="2:24" ht="24" customHeight="1" thickBot="1" x14ac:dyDescent="0.3">
      <c r="B14" s="7"/>
      <c r="C14" s="370"/>
      <c r="D14" s="334"/>
      <c r="E14" s="388"/>
      <c r="F14" s="388"/>
      <c r="G14" s="388"/>
      <c r="H14" s="388"/>
      <c r="I14" s="388"/>
      <c r="J14" s="388"/>
      <c r="K14" s="388"/>
      <c r="L14" s="76" t="s">
        <v>58</v>
      </c>
      <c r="M14" s="318" t="s">
        <v>59</v>
      </c>
      <c r="N14" s="318"/>
      <c r="O14" s="318"/>
      <c r="P14" s="318"/>
      <c r="Q14" s="356"/>
      <c r="R14" s="357" t="s">
        <v>59</v>
      </c>
      <c r="S14" s="318"/>
      <c r="T14" s="318"/>
      <c r="U14" s="318" t="s">
        <v>69</v>
      </c>
      <c r="V14" s="356"/>
      <c r="W14" s="10"/>
      <c r="X14" s="3"/>
    </row>
    <row r="15" spans="2:24" ht="34.5" customHeight="1" x14ac:dyDescent="0.25">
      <c r="B15" s="7"/>
      <c r="C15" s="67">
        <v>1</v>
      </c>
      <c r="D15" s="404" t="str">
        <f t="shared" ref="D15:D20" si="0">D34</f>
        <v>Светла Микова Великова</v>
      </c>
      <c r="E15" s="404"/>
      <c r="F15" s="404"/>
      <c r="G15" s="404"/>
      <c r="H15" s="404"/>
      <c r="I15" s="404"/>
      <c r="J15" s="404"/>
      <c r="K15" s="405"/>
      <c r="L15" s="67">
        <f t="shared" ref="L15:M20" si="1">L34</f>
        <v>1</v>
      </c>
      <c r="M15" s="373" t="str">
        <f t="shared" si="1"/>
        <v>Преподавател или служител на РУ без ДДС</v>
      </c>
      <c r="N15" s="373"/>
      <c r="O15" s="373"/>
      <c r="P15" s="373"/>
      <c r="Q15" s="374"/>
      <c r="R15" s="406" t="str">
        <f t="shared" ref="R15:R20" si="2">R34</f>
        <v>легло 1 персон</v>
      </c>
      <c r="S15" s="404"/>
      <c r="T15" s="404"/>
      <c r="U15" s="372">
        <f t="shared" ref="U15:U20" si="3">U34</f>
        <v>1</v>
      </c>
      <c r="V15" s="379"/>
      <c r="W15" s="10"/>
      <c r="X15" s="3"/>
    </row>
    <row r="16" spans="2:24" ht="34.5" customHeight="1" x14ac:dyDescent="0.25">
      <c r="B16" s="7"/>
      <c r="C16" s="68">
        <v>2</v>
      </c>
      <c r="D16" s="395" t="str">
        <f t="shared" si="0"/>
        <v>Стефан Илиев Великов</v>
      </c>
      <c r="E16" s="395"/>
      <c r="F16" s="395"/>
      <c r="G16" s="395"/>
      <c r="H16" s="395"/>
      <c r="I16" s="395"/>
      <c r="J16" s="395"/>
      <c r="K16" s="396"/>
      <c r="L16" s="68">
        <f t="shared" si="1"/>
        <v>2</v>
      </c>
      <c r="M16" s="382" t="str">
        <f t="shared" si="1"/>
        <v>Пенсионер или член на дом. на преп. или служител на РУ с ДДС</v>
      </c>
      <c r="N16" s="382"/>
      <c r="O16" s="382"/>
      <c r="P16" s="382"/>
      <c r="Q16" s="383"/>
      <c r="R16" s="397" t="str">
        <f t="shared" si="2"/>
        <v>легло 1 персон</v>
      </c>
      <c r="S16" s="395"/>
      <c r="T16" s="395"/>
      <c r="U16" s="339">
        <f t="shared" si="3"/>
        <v>1</v>
      </c>
      <c r="V16" s="346"/>
      <c r="W16" s="10"/>
      <c r="X16" s="3"/>
    </row>
    <row r="17" spans="2:29" ht="34.5" customHeight="1" x14ac:dyDescent="0.25">
      <c r="B17" s="7"/>
      <c r="C17" s="68">
        <v>3</v>
      </c>
      <c r="D17" s="395" t="str">
        <f t="shared" si="0"/>
        <v/>
      </c>
      <c r="E17" s="395"/>
      <c r="F17" s="395"/>
      <c r="G17" s="395"/>
      <c r="H17" s="395"/>
      <c r="I17" s="395"/>
      <c r="J17" s="395"/>
      <c r="K17" s="396"/>
      <c r="L17" s="68" t="str">
        <f t="shared" si="1"/>
        <v/>
      </c>
      <c r="M17" s="382" t="str">
        <f t="shared" si="1"/>
        <v/>
      </c>
      <c r="N17" s="382"/>
      <c r="O17" s="382"/>
      <c r="P17" s="382"/>
      <c r="Q17" s="383"/>
      <c r="R17" s="397" t="str">
        <f t="shared" si="2"/>
        <v/>
      </c>
      <c r="S17" s="395"/>
      <c r="T17" s="395"/>
      <c r="U17" s="339" t="str">
        <f t="shared" si="3"/>
        <v/>
      </c>
      <c r="V17" s="346"/>
      <c r="W17" s="10"/>
      <c r="X17" s="3"/>
    </row>
    <row r="18" spans="2:29" ht="34.5" customHeight="1" x14ac:dyDescent="0.25">
      <c r="B18" s="7"/>
      <c r="C18" s="68">
        <v>4</v>
      </c>
      <c r="D18" s="395" t="str">
        <f t="shared" si="0"/>
        <v/>
      </c>
      <c r="E18" s="395"/>
      <c r="F18" s="395"/>
      <c r="G18" s="395"/>
      <c r="H18" s="395"/>
      <c r="I18" s="395"/>
      <c r="J18" s="395"/>
      <c r="K18" s="396"/>
      <c r="L18" s="68" t="str">
        <f t="shared" si="1"/>
        <v/>
      </c>
      <c r="M18" s="382" t="str">
        <f t="shared" si="1"/>
        <v/>
      </c>
      <c r="N18" s="382"/>
      <c r="O18" s="382"/>
      <c r="P18" s="382"/>
      <c r="Q18" s="383"/>
      <c r="R18" s="397" t="str">
        <f t="shared" si="2"/>
        <v/>
      </c>
      <c r="S18" s="395"/>
      <c r="T18" s="395"/>
      <c r="U18" s="339" t="str">
        <f t="shared" si="3"/>
        <v/>
      </c>
      <c r="V18" s="346"/>
      <c r="W18" s="10"/>
      <c r="X18" s="3"/>
    </row>
    <row r="19" spans="2:29" ht="34.5" customHeight="1" x14ac:dyDescent="0.25">
      <c r="B19" s="7"/>
      <c r="C19" s="68">
        <v>5</v>
      </c>
      <c r="D19" s="395" t="str">
        <f t="shared" si="0"/>
        <v/>
      </c>
      <c r="E19" s="395"/>
      <c r="F19" s="395"/>
      <c r="G19" s="395"/>
      <c r="H19" s="395"/>
      <c r="I19" s="395"/>
      <c r="J19" s="395"/>
      <c r="K19" s="396"/>
      <c r="L19" s="68" t="str">
        <f t="shared" si="1"/>
        <v/>
      </c>
      <c r="M19" s="382" t="str">
        <f t="shared" si="1"/>
        <v/>
      </c>
      <c r="N19" s="382"/>
      <c r="O19" s="382"/>
      <c r="P19" s="382"/>
      <c r="Q19" s="383"/>
      <c r="R19" s="397" t="str">
        <f t="shared" si="2"/>
        <v/>
      </c>
      <c r="S19" s="395"/>
      <c r="T19" s="395"/>
      <c r="U19" s="339" t="str">
        <f t="shared" si="3"/>
        <v/>
      </c>
      <c r="V19" s="346"/>
      <c r="W19" s="10"/>
      <c r="X19" s="3"/>
    </row>
    <row r="20" spans="2:29" ht="34.5" customHeight="1" thickBot="1" x14ac:dyDescent="0.3">
      <c r="B20" s="7"/>
      <c r="C20" s="69">
        <v>6</v>
      </c>
      <c r="D20" s="389" t="str">
        <f t="shared" si="0"/>
        <v/>
      </c>
      <c r="E20" s="389"/>
      <c r="F20" s="389"/>
      <c r="G20" s="389"/>
      <c r="H20" s="389"/>
      <c r="I20" s="389"/>
      <c r="J20" s="389"/>
      <c r="K20" s="390"/>
      <c r="L20" s="69" t="str">
        <f t="shared" si="1"/>
        <v/>
      </c>
      <c r="M20" s="347" t="str">
        <f t="shared" si="1"/>
        <v/>
      </c>
      <c r="N20" s="347"/>
      <c r="O20" s="347"/>
      <c r="P20" s="347"/>
      <c r="Q20" s="348"/>
      <c r="R20" s="425" t="str">
        <f t="shared" si="2"/>
        <v/>
      </c>
      <c r="S20" s="389"/>
      <c r="T20" s="389"/>
      <c r="U20" s="323" t="str">
        <f t="shared" si="3"/>
        <v/>
      </c>
      <c r="V20" s="351"/>
      <c r="W20" s="10"/>
      <c r="X20" s="3"/>
    </row>
    <row r="21" spans="2:29" ht="8.25" customHeight="1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4"/>
      <c r="X21" s="3"/>
    </row>
    <row r="22" spans="2:29" ht="6" customHeight="1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2:29" ht="26.25" customHeight="1" x14ac:dyDescent="0.25"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</row>
    <row r="24" spans="2:29" ht="33" customHeight="1" x14ac:dyDescent="0.25"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2:29" ht="7.5" customHeight="1" x14ac:dyDescent="0.25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6"/>
    </row>
    <row r="26" spans="2:29" ht="21" x14ac:dyDescent="0.25">
      <c r="B26" s="7"/>
      <c r="C26" s="8"/>
      <c r="D26" s="70" t="s">
        <v>157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10"/>
      <c r="AC26" s="3"/>
    </row>
    <row r="27" spans="2:29" ht="9.75" customHeight="1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10"/>
      <c r="AC27" s="3"/>
    </row>
    <row r="28" spans="2:29" ht="19.5" customHeight="1" x14ac:dyDescent="0.25">
      <c r="B28" s="7"/>
      <c r="C28" s="8"/>
      <c r="D28" s="8"/>
      <c r="E28" s="72" t="s">
        <v>29</v>
      </c>
      <c r="F28" s="407" t="str">
        <f>Smiana</f>
        <v>IV</v>
      </c>
      <c r="G28" s="408"/>
      <c r="H28" s="409"/>
      <c r="I28" s="8"/>
      <c r="J28" s="8"/>
      <c r="K28" s="8"/>
      <c r="L28" s="8"/>
      <c r="M28" s="8"/>
      <c r="N28" s="72" t="s">
        <v>35</v>
      </c>
      <c r="O28" s="15" t="str">
        <f>SV</f>
        <v>да</v>
      </c>
      <c r="P28" s="8"/>
      <c r="Q28" s="11"/>
      <c r="R28" s="11"/>
      <c r="S28" s="11"/>
      <c r="T28" s="11"/>
      <c r="U28" s="11"/>
      <c r="V28" s="11"/>
      <c r="W28" s="72" t="s">
        <v>52</v>
      </c>
      <c r="X28" s="360" t="str">
        <f>Reg_forma!T13</f>
        <v>2х1+3х1</v>
      </c>
      <c r="Y28" s="361"/>
      <c r="Z28" s="361"/>
      <c r="AA28" s="362"/>
      <c r="AB28" s="10"/>
      <c r="AC28" s="3"/>
    </row>
    <row r="29" spans="2:29" ht="19.5" customHeight="1" x14ac:dyDescent="0.25">
      <c r="B29" s="7"/>
      <c r="C29" s="8"/>
      <c r="D29" s="8"/>
      <c r="E29" s="72" t="s">
        <v>36</v>
      </c>
      <c r="F29" s="407">
        <f>Bungalo</f>
        <v>31</v>
      </c>
      <c r="G29" s="408"/>
      <c r="H29" s="409"/>
      <c r="I29" s="8"/>
      <c r="J29" s="8"/>
      <c r="K29" s="8"/>
      <c r="L29" s="8"/>
      <c r="M29" s="8"/>
      <c r="N29" s="72" t="s">
        <v>44</v>
      </c>
      <c r="O29" s="15" t="str">
        <f>hladilnik</f>
        <v>да</v>
      </c>
      <c r="P29" s="8"/>
      <c r="Q29" s="11"/>
      <c r="R29" s="11"/>
      <c r="S29" s="11"/>
      <c r="T29" s="11"/>
      <c r="U29" s="11"/>
      <c r="V29" s="11"/>
      <c r="W29" s="72" t="s">
        <v>67</v>
      </c>
      <c r="X29" s="360">
        <f>Obsht_priveden_broi</f>
        <v>5</v>
      </c>
      <c r="Y29" s="361"/>
      <c r="Z29" s="361"/>
      <c r="AA29" s="362"/>
      <c r="AB29" s="10"/>
      <c r="AC29" s="3"/>
    </row>
    <row r="30" spans="2:29" ht="19.5" customHeight="1" x14ac:dyDescent="0.25">
      <c r="B30" s="7"/>
      <c r="C30" s="8"/>
      <c r="D30" s="8"/>
      <c r="E30" s="72" t="s">
        <v>42</v>
      </c>
      <c r="F30" s="407">
        <f>br_dni</f>
        <v>10</v>
      </c>
      <c r="G30" s="408"/>
      <c r="H30" s="409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72" t="s">
        <v>68</v>
      </c>
      <c r="X30" s="360">
        <f>Priveden_broi</f>
        <v>2</v>
      </c>
      <c r="Y30" s="361"/>
      <c r="Z30" s="361"/>
      <c r="AA30" s="362"/>
      <c r="AB30" s="10"/>
      <c r="AC30" s="3"/>
    </row>
    <row r="31" spans="2:29" ht="8.25" customHeight="1" thickBot="1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10"/>
      <c r="AC31" s="3"/>
    </row>
    <row r="32" spans="2:29" ht="18" customHeight="1" thickBot="1" x14ac:dyDescent="0.3">
      <c r="B32" s="7"/>
      <c r="C32" s="369" t="s">
        <v>32</v>
      </c>
      <c r="D32" s="386" t="s">
        <v>155</v>
      </c>
      <c r="E32" s="387"/>
      <c r="F32" s="387"/>
      <c r="G32" s="387"/>
      <c r="H32" s="387"/>
      <c r="I32" s="387"/>
      <c r="J32" s="387"/>
      <c r="K32" s="387"/>
      <c r="L32" s="375" t="s">
        <v>34</v>
      </c>
      <c r="M32" s="376"/>
      <c r="N32" s="376"/>
      <c r="O32" s="376"/>
      <c r="P32" s="376"/>
      <c r="Q32" s="377"/>
      <c r="R32" s="375" t="s">
        <v>107</v>
      </c>
      <c r="S32" s="376"/>
      <c r="T32" s="376"/>
      <c r="U32" s="376"/>
      <c r="V32" s="377"/>
      <c r="W32" s="332" t="s">
        <v>162</v>
      </c>
      <c r="X32" s="341"/>
      <c r="Y32" s="342"/>
      <c r="Z32" s="332" t="s">
        <v>163</v>
      </c>
      <c r="AA32" s="333"/>
      <c r="AB32" s="10"/>
      <c r="AC32" s="3"/>
    </row>
    <row r="33" spans="2:29" ht="18" thickBot="1" x14ac:dyDescent="0.3">
      <c r="B33" s="7"/>
      <c r="C33" s="370"/>
      <c r="D33" s="334"/>
      <c r="E33" s="388"/>
      <c r="F33" s="388"/>
      <c r="G33" s="388"/>
      <c r="H33" s="388"/>
      <c r="I33" s="388"/>
      <c r="J33" s="388"/>
      <c r="K33" s="388"/>
      <c r="L33" s="66" t="s">
        <v>58</v>
      </c>
      <c r="M33" s="318" t="s">
        <v>59</v>
      </c>
      <c r="N33" s="318"/>
      <c r="O33" s="318"/>
      <c r="P33" s="318"/>
      <c r="Q33" s="356"/>
      <c r="R33" s="357" t="s">
        <v>59</v>
      </c>
      <c r="S33" s="318"/>
      <c r="T33" s="318"/>
      <c r="U33" s="318" t="s">
        <v>69</v>
      </c>
      <c r="V33" s="356"/>
      <c r="W33" s="343"/>
      <c r="X33" s="344"/>
      <c r="Y33" s="345"/>
      <c r="Z33" s="334"/>
      <c r="AA33" s="335"/>
      <c r="AB33" s="10"/>
      <c r="AC33" s="3"/>
    </row>
    <row r="34" spans="2:29" ht="34.5" customHeight="1" x14ac:dyDescent="0.25">
      <c r="B34" s="7"/>
      <c r="C34" s="67">
        <v>1</v>
      </c>
      <c r="D34" s="404" t="str">
        <f>IF(Reg_forma!D19=0,"",Reg_forma!D19)</f>
        <v>Светла Микова Великова</v>
      </c>
      <c r="E34" s="404"/>
      <c r="F34" s="404"/>
      <c r="G34" s="404"/>
      <c r="H34" s="404"/>
      <c r="I34" s="404"/>
      <c r="J34" s="404"/>
      <c r="K34" s="405"/>
      <c r="L34" s="67">
        <f>IF(Reg_forma!L19=0,"",Reg_forma!L19)</f>
        <v>1</v>
      </c>
      <c r="M34" s="373" t="str">
        <f t="shared" ref="M34:M40" si="4">IF(ISERROR(VLOOKUP(L34,Tabl_kategoria,2,0)),"",VLOOKUP(L34,Tabl_kategoria,2,0))</f>
        <v>Преподавател или служител на РУ без ДДС</v>
      </c>
      <c r="N34" s="373"/>
      <c r="O34" s="373"/>
      <c r="P34" s="373"/>
      <c r="Q34" s="374"/>
      <c r="R34" s="406" t="str">
        <f>IF(Reg_forma!S19=0,"",Reg_forma!S19)</f>
        <v>легло 1 персон</v>
      </c>
      <c r="S34" s="404"/>
      <c r="T34" s="404"/>
      <c r="U34" s="372">
        <f t="shared" ref="U34:U39" si="5">IF(ISERROR(VLOOKUP(R34,Tabl_vid_leglo,2,FALSE)),"",VLOOKUP(R34,Tabl_vid_leglo,2,FALSE))</f>
        <v>1</v>
      </c>
      <c r="V34" s="379"/>
      <c r="W34" s="336">
        <f>Reg_forma!AF19</f>
        <v>75</v>
      </c>
      <c r="X34" s="336"/>
      <c r="Y34" s="336"/>
      <c r="Z34" s="336" t="str">
        <f>Reg_forma!AI19</f>
        <v/>
      </c>
      <c r="AA34" s="337"/>
      <c r="AB34" s="10"/>
      <c r="AC34" s="3"/>
    </row>
    <row r="35" spans="2:29" ht="34.5" customHeight="1" x14ac:dyDescent="0.25">
      <c r="B35" s="7"/>
      <c r="C35" s="68">
        <v>2</v>
      </c>
      <c r="D35" s="395" t="str">
        <f>IF(Reg_forma!D20=0,"",Reg_forma!D20)</f>
        <v>Стефан Илиев Великов</v>
      </c>
      <c r="E35" s="395"/>
      <c r="F35" s="395"/>
      <c r="G35" s="395"/>
      <c r="H35" s="395"/>
      <c r="I35" s="395"/>
      <c r="J35" s="395"/>
      <c r="K35" s="396"/>
      <c r="L35" s="68">
        <f>IF(Reg_forma!L20=0,"",Reg_forma!L20)</f>
        <v>2</v>
      </c>
      <c r="M35" s="382" t="str">
        <f t="shared" si="4"/>
        <v>Пенсионер или член на дом. на преп. или служител на РУ с ДДС</v>
      </c>
      <c r="N35" s="382"/>
      <c r="O35" s="382"/>
      <c r="P35" s="382"/>
      <c r="Q35" s="383"/>
      <c r="R35" s="397" t="str">
        <f>IF(Reg_forma!S20=0,"",Reg_forma!S20)</f>
        <v>легло 1 персон</v>
      </c>
      <c r="S35" s="395"/>
      <c r="T35" s="395"/>
      <c r="U35" s="339">
        <f t="shared" si="5"/>
        <v>1</v>
      </c>
      <c r="V35" s="346"/>
      <c r="W35" s="338" t="str">
        <f>Reg_forma!AF20</f>
        <v/>
      </c>
      <c r="X35" s="338"/>
      <c r="Y35" s="338"/>
      <c r="Z35" s="338">
        <f>Reg_forma!AI20</f>
        <v>90</v>
      </c>
      <c r="AA35" s="340"/>
      <c r="AB35" s="10"/>
      <c r="AC35" s="3"/>
    </row>
    <row r="36" spans="2:29" ht="34.5" customHeight="1" x14ac:dyDescent="0.25">
      <c r="B36" s="7"/>
      <c r="C36" s="68">
        <v>3</v>
      </c>
      <c r="D36" s="395" t="str">
        <f>IF(Reg_forma!D21=0,"",Reg_forma!D21)</f>
        <v/>
      </c>
      <c r="E36" s="395"/>
      <c r="F36" s="395"/>
      <c r="G36" s="395"/>
      <c r="H36" s="395"/>
      <c r="I36" s="395"/>
      <c r="J36" s="395"/>
      <c r="K36" s="396"/>
      <c r="L36" s="68" t="str">
        <f>IF(Reg_forma!L21=0,"",Reg_forma!L21)</f>
        <v/>
      </c>
      <c r="M36" s="382" t="str">
        <f t="shared" si="4"/>
        <v/>
      </c>
      <c r="N36" s="382"/>
      <c r="O36" s="382"/>
      <c r="P36" s="382"/>
      <c r="Q36" s="383"/>
      <c r="R36" s="397" t="str">
        <f>IF(Reg_forma!S21=0,"",Reg_forma!S21)</f>
        <v/>
      </c>
      <c r="S36" s="395"/>
      <c r="T36" s="395"/>
      <c r="U36" s="339" t="str">
        <f t="shared" si="5"/>
        <v/>
      </c>
      <c r="V36" s="346"/>
      <c r="W36" s="338" t="str">
        <f>Reg_forma!AF21</f>
        <v/>
      </c>
      <c r="X36" s="338"/>
      <c r="Y36" s="338"/>
      <c r="Z36" s="338" t="str">
        <f>Reg_forma!AI21</f>
        <v/>
      </c>
      <c r="AA36" s="340"/>
      <c r="AB36" s="10"/>
      <c r="AC36" s="3"/>
    </row>
    <row r="37" spans="2:29" ht="34.5" customHeight="1" x14ac:dyDescent="0.25">
      <c r="B37" s="7"/>
      <c r="C37" s="68">
        <v>4</v>
      </c>
      <c r="D37" s="395" t="str">
        <f>IF(Reg_forma!D22=0,"",Reg_forma!D22)</f>
        <v/>
      </c>
      <c r="E37" s="395"/>
      <c r="F37" s="395"/>
      <c r="G37" s="395"/>
      <c r="H37" s="395"/>
      <c r="I37" s="395"/>
      <c r="J37" s="395"/>
      <c r="K37" s="396"/>
      <c r="L37" s="68" t="str">
        <f>IF(Reg_forma!L22=0,"",Reg_forma!L22)</f>
        <v/>
      </c>
      <c r="M37" s="382" t="str">
        <f t="shared" si="4"/>
        <v/>
      </c>
      <c r="N37" s="382"/>
      <c r="O37" s="382"/>
      <c r="P37" s="382"/>
      <c r="Q37" s="383"/>
      <c r="R37" s="397" t="str">
        <f>IF(Reg_forma!S22=0,"",Reg_forma!S22)</f>
        <v/>
      </c>
      <c r="S37" s="395"/>
      <c r="T37" s="395"/>
      <c r="U37" s="339" t="str">
        <f t="shared" si="5"/>
        <v/>
      </c>
      <c r="V37" s="346"/>
      <c r="W37" s="338" t="str">
        <f>Reg_forma!AF22</f>
        <v/>
      </c>
      <c r="X37" s="338"/>
      <c r="Y37" s="338"/>
      <c r="Z37" s="338" t="str">
        <f>Reg_forma!AI22</f>
        <v/>
      </c>
      <c r="AA37" s="340"/>
      <c r="AB37" s="10"/>
      <c r="AC37" s="3"/>
    </row>
    <row r="38" spans="2:29" ht="34.5" customHeight="1" x14ac:dyDescent="0.25">
      <c r="B38" s="7"/>
      <c r="C38" s="68">
        <v>5</v>
      </c>
      <c r="D38" s="395" t="str">
        <f>IF(Reg_forma!D23=0,"",Reg_forma!D23)</f>
        <v/>
      </c>
      <c r="E38" s="395"/>
      <c r="F38" s="395"/>
      <c r="G38" s="395"/>
      <c r="H38" s="395"/>
      <c r="I38" s="395"/>
      <c r="J38" s="395"/>
      <c r="K38" s="396"/>
      <c r="L38" s="68" t="str">
        <f>IF(Reg_forma!L23=0,"",Reg_forma!L23)</f>
        <v/>
      </c>
      <c r="M38" s="382" t="str">
        <f t="shared" si="4"/>
        <v/>
      </c>
      <c r="N38" s="382"/>
      <c r="O38" s="382"/>
      <c r="P38" s="382"/>
      <c r="Q38" s="383"/>
      <c r="R38" s="397" t="str">
        <f>IF(Reg_forma!S23=0,"",Reg_forma!S23)</f>
        <v/>
      </c>
      <c r="S38" s="395"/>
      <c r="T38" s="395"/>
      <c r="U38" s="339" t="str">
        <f t="shared" si="5"/>
        <v/>
      </c>
      <c r="V38" s="346"/>
      <c r="W38" s="338" t="str">
        <f>Reg_forma!AF23</f>
        <v/>
      </c>
      <c r="X38" s="338"/>
      <c r="Y38" s="338"/>
      <c r="Z38" s="338" t="str">
        <f>Reg_forma!AI23</f>
        <v/>
      </c>
      <c r="AA38" s="340"/>
      <c r="AB38" s="10"/>
      <c r="AC38" s="3"/>
    </row>
    <row r="39" spans="2:29" ht="34.5" customHeight="1" thickBot="1" x14ac:dyDescent="0.3">
      <c r="B39" s="7"/>
      <c r="C39" s="69">
        <v>6</v>
      </c>
      <c r="D39" s="389" t="str">
        <f>IF(Reg_forma!D24=0,"",Reg_forma!D24)</f>
        <v/>
      </c>
      <c r="E39" s="389"/>
      <c r="F39" s="389"/>
      <c r="G39" s="389"/>
      <c r="H39" s="389"/>
      <c r="I39" s="389"/>
      <c r="J39" s="389"/>
      <c r="K39" s="390"/>
      <c r="L39" s="69" t="str">
        <f>IF(Reg_forma!L24=0,"",Reg_forma!L24)</f>
        <v/>
      </c>
      <c r="M39" s="382" t="str">
        <f t="shared" si="4"/>
        <v/>
      </c>
      <c r="N39" s="382"/>
      <c r="O39" s="382"/>
      <c r="P39" s="382"/>
      <c r="Q39" s="383"/>
      <c r="R39" s="425" t="str">
        <f>IF(Reg_forma!S24=0,"",Reg_forma!S24)</f>
        <v/>
      </c>
      <c r="S39" s="389"/>
      <c r="T39" s="389"/>
      <c r="U39" s="339" t="str">
        <f t="shared" si="5"/>
        <v/>
      </c>
      <c r="V39" s="346"/>
      <c r="W39" s="322" t="str">
        <f>Reg_forma!AF24</f>
        <v/>
      </c>
      <c r="X39" s="322"/>
      <c r="Y39" s="322"/>
      <c r="Z39" s="322" t="str">
        <f>Reg_forma!AI24</f>
        <v/>
      </c>
      <c r="AA39" s="325"/>
      <c r="AB39" s="10"/>
      <c r="AC39" s="3"/>
    </row>
    <row r="40" spans="2:29" ht="34.5" customHeight="1" thickBot="1" x14ac:dyDescent="0.3">
      <c r="B40" s="7"/>
      <c r="C40" s="69">
        <v>7</v>
      </c>
      <c r="D40" s="422"/>
      <c r="E40" s="423"/>
      <c r="F40" s="423"/>
      <c r="G40" s="423"/>
      <c r="H40" s="423"/>
      <c r="I40" s="423"/>
      <c r="J40" s="423"/>
      <c r="K40" s="424"/>
      <c r="L40" s="69">
        <f>IF(Reg_forma!L25=0,"",Reg_forma!L25)</f>
        <v>7</v>
      </c>
      <c r="M40" s="391" t="str">
        <f t="shared" si="4"/>
        <v>Хладилник с ДДС</v>
      </c>
      <c r="N40" s="392"/>
      <c r="O40" s="392"/>
      <c r="P40" s="392"/>
      <c r="Q40" s="392"/>
      <c r="R40" s="392"/>
      <c r="S40" s="392"/>
      <c r="T40" s="392"/>
      <c r="U40" s="392"/>
      <c r="V40" s="393"/>
      <c r="W40" s="324"/>
      <c r="X40" s="324"/>
      <c r="Y40" s="324"/>
      <c r="Z40" s="322">
        <f>Reg_forma!AI25</f>
        <v>10</v>
      </c>
      <c r="AA40" s="325"/>
      <c r="AB40" s="10"/>
      <c r="AC40" s="3"/>
    </row>
    <row r="41" spans="2:29" ht="34.5" customHeight="1" thickBot="1" x14ac:dyDescent="0.3">
      <c r="B41" s="7"/>
      <c r="C41" s="77"/>
      <c r="D41" s="78"/>
      <c r="E41" s="78"/>
      <c r="F41" s="78"/>
      <c r="G41" s="78"/>
      <c r="H41" s="78"/>
      <c r="I41" s="78"/>
      <c r="J41" s="78"/>
      <c r="K41" s="78"/>
      <c r="L41" s="77"/>
      <c r="M41" s="267"/>
      <c r="N41" s="267"/>
      <c r="O41" s="267"/>
      <c r="P41" s="267"/>
      <c r="Q41" s="267"/>
      <c r="R41" s="78"/>
      <c r="S41" s="398" t="s">
        <v>164</v>
      </c>
      <c r="T41" s="399"/>
      <c r="U41" s="399"/>
      <c r="V41" s="400"/>
      <c r="W41" s="317">
        <f>SUM(W34:W39)</f>
        <v>75</v>
      </c>
      <c r="X41" s="318"/>
      <c r="Y41" s="318"/>
      <c r="Z41" s="319">
        <f>SUM(Z34:Z40)</f>
        <v>100</v>
      </c>
      <c r="AA41" s="320"/>
      <c r="AB41" s="10"/>
      <c r="AC41" s="3"/>
    </row>
    <row r="42" spans="2:29" ht="34.5" customHeight="1" thickBot="1" x14ac:dyDescent="0.3">
      <c r="B42" s="7"/>
      <c r="C42" s="268"/>
      <c r="D42" s="269"/>
      <c r="E42" s="269"/>
      <c r="F42" s="269"/>
      <c r="G42" s="269"/>
      <c r="H42" s="269"/>
      <c r="I42" s="269"/>
      <c r="J42" s="269"/>
      <c r="K42" s="269"/>
      <c r="L42" s="268"/>
      <c r="M42" s="270"/>
      <c r="N42" s="270"/>
      <c r="O42" s="270"/>
      <c r="P42" s="270"/>
      <c r="Q42" s="270"/>
      <c r="R42" s="269"/>
      <c r="S42" s="398" t="s">
        <v>225</v>
      </c>
      <c r="T42" s="399"/>
      <c r="U42" s="399"/>
      <c r="V42" s="400"/>
      <c r="W42" s="401">
        <f>W41+Z41</f>
        <v>175</v>
      </c>
      <c r="X42" s="402"/>
      <c r="Y42" s="402"/>
      <c r="Z42" s="402"/>
      <c r="AA42" s="403"/>
      <c r="AB42" s="10"/>
      <c r="AC42" s="3"/>
    </row>
    <row r="43" spans="2:29" ht="7.5" customHeight="1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4"/>
      <c r="AC43" s="3"/>
    </row>
    <row r="44" spans="2:29" ht="6.75" customHeight="1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</row>
  </sheetData>
  <sheetProtection selectLockedCells="1" selectUnlockedCells="1"/>
  <mergeCells count="99">
    <mergeCell ref="W38:Y38"/>
    <mergeCell ref="Z38:AA38"/>
    <mergeCell ref="W36:Y36"/>
    <mergeCell ref="S41:V41"/>
    <mergeCell ref="Z39:AA39"/>
    <mergeCell ref="W40:Y40"/>
    <mergeCell ref="Z40:AA40"/>
    <mergeCell ref="W41:Y41"/>
    <mergeCell ref="Z41:AA41"/>
    <mergeCell ref="W39:Y39"/>
    <mergeCell ref="Z35:AA35"/>
    <mergeCell ref="W32:Y33"/>
    <mergeCell ref="Z36:AA36"/>
    <mergeCell ref="W37:Y37"/>
    <mergeCell ref="Z37:AA37"/>
    <mergeCell ref="D40:K40"/>
    <mergeCell ref="M40:V40"/>
    <mergeCell ref="U20:V20"/>
    <mergeCell ref="D39:K39"/>
    <mergeCell ref="M39:Q39"/>
    <mergeCell ref="R39:T39"/>
    <mergeCell ref="U39:V39"/>
    <mergeCell ref="D35:K35"/>
    <mergeCell ref="M35:Q35"/>
    <mergeCell ref="R35:T35"/>
    <mergeCell ref="U35:V35"/>
    <mergeCell ref="F29:H29"/>
    <mergeCell ref="D20:K20"/>
    <mergeCell ref="M20:Q20"/>
    <mergeCell ref="R20:T20"/>
    <mergeCell ref="D36:K36"/>
    <mergeCell ref="C32:C33"/>
    <mergeCell ref="M19:Q19"/>
    <mergeCell ref="C3:V3"/>
    <mergeCell ref="C4:V4"/>
    <mergeCell ref="C6:V6"/>
    <mergeCell ref="H10:J10"/>
    <mergeCell ref="H11:J11"/>
    <mergeCell ref="H8:J8"/>
    <mergeCell ref="M8:O8"/>
    <mergeCell ref="Q8:S8"/>
    <mergeCell ref="C13:C14"/>
    <mergeCell ref="D13:K14"/>
    <mergeCell ref="D15:K15"/>
    <mergeCell ref="M15:Q15"/>
    <mergeCell ref="R15:T15"/>
    <mergeCell ref="M14:Q14"/>
    <mergeCell ref="R14:T14"/>
    <mergeCell ref="D19:K19"/>
    <mergeCell ref="D32:K33"/>
    <mergeCell ref="L32:Q32"/>
    <mergeCell ref="R32:V32"/>
    <mergeCell ref="R19:T19"/>
    <mergeCell ref="U19:V19"/>
    <mergeCell ref="F30:H30"/>
    <mergeCell ref="F28:H28"/>
    <mergeCell ref="D16:K16"/>
    <mergeCell ref="M16:Q16"/>
    <mergeCell ref="R16:T16"/>
    <mergeCell ref="U16:V16"/>
    <mergeCell ref="U18:V18"/>
    <mergeCell ref="D18:K18"/>
    <mergeCell ref="M18:Q18"/>
    <mergeCell ref="D34:K34"/>
    <mergeCell ref="M34:Q34"/>
    <mergeCell ref="R34:T34"/>
    <mergeCell ref="U34:V34"/>
    <mergeCell ref="M33:Q33"/>
    <mergeCell ref="R33:T33"/>
    <mergeCell ref="U33:V33"/>
    <mergeCell ref="R18:T18"/>
    <mergeCell ref="D17:K17"/>
    <mergeCell ref="M17:Q17"/>
    <mergeCell ref="R17:T17"/>
    <mergeCell ref="U17:V17"/>
    <mergeCell ref="U14:V14"/>
    <mergeCell ref="L13:Q13"/>
    <mergeCell ref="R13:V13"/>
    <mergeCell ref="S42:V42"/>
    <mergeCell ref="W42:AA42"/>
    <mergeCell ref="X28:AA28"/>
    <mergeCell ref="X29:AA29"/>
    <mergeCell ref="X30:AA30"/>
    <mergeCell ref="M36:Q36"/>
    <mergeCell ref="R36:T36"/>
    <mergeCell ref="U36:V36"/>
    <mergeCell ref="U15:V15"/>
    <mergeCell ref="Z32:AA33"/>
    <mergeCell ref="W34:Y34"/>
    <mergeCell ref="Z34:AA34"/>
    <mergeCell ref="W35:Y35"/>
    <mergeCell ref="D38:K38"/>
    <mergeCell ref="M38:Q38"/>
    <mergeCell ref="R38:T38"/>
    <mergeCell ref="U38:V38"/>
    <mergeCell ref="D37:K37"/>
    <mergeCell ref="M37:Q37"/>
    <mergeCell ref="R37:T37"/>
    <mergeCell ref="U37:V37"/>
  </mergeCells>
  <pageMargins left="0.62992125984251968" right="0.23622047244094491" top="0.15748031496062992" bottom="0.15748031496062992" header="0.31496062992125984" footer="0.31496062992125984"/>
  <pageSetup paperSize="9" scale="75" orientation="portrait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 filterMode="1">
    <pageSetUpPr fitToPage="1"/>
  </sheetPr>
  <dimension ref="B1:Y5940"/>
  <sheetViews>
    <sheetView showGridLines="0" showRowColHeaders="0" tabSelected="1" workbookViewId="0">
      <selection activeCell="D7" activeCellId="2" sqref="C3:Q3 D5 D7"/>
    </sheetView>
  </sheetViews>
  <sheetFormatPr defaultRowHeight="15" x14ac:dyDescent="0.25"/>
  <cols>
    <col min="1" max="1" width="0.85546875" customWidth="1"/>
    <col min="2" max="2" width="4.5703125" customWidth="1"/>
    <col min="3" max="3" width="6.42578125" hidden="1" customWidth="1"/>
    <col min="4" max="4" width="5.140625" customWidth="1"/>
    <col min="5" max="5" width="6.42578125" bestFit="1" customWidth="1"/>
    <col min="6" max="7" width="11.7109375" customWidth="1"/>
    <col min="8" max="8" width="36.140625" customWidth="1"/>
    <col min="9" max="9" width="8.140625" customWidth="1"/>
    <col min="10" max="10" width="28.5703125" hidden="1" customWidth="1"/>
    <col min="11" max="11" width="14.85546875" hidden="1" customWidth="1"/>
    <col min="12" max="12" width="7.7109375" bestFit="1" customWidth="1"/>
    <col min="13" max="13" width="8.140625" hidden="1" customWidth="1"/>
    <col min="14" max="14" width="15.28515625" hidden="1" customWidth="1"/>
    <col min="15" max="15" width="14.7109375" hidden="1" customWidth="1"/>
    <col min="16" max="16" width="8.7109375" bestFit="1" customWidth="1"/>
    <col min="17" max="17" width="9.7109375" bestFit="1" customWidth="1"/>
    <col min="18" max="18" width="6" customWidth="1"/>
    <col min="19" max="19" width="15.5703125" customWidth="1"/>
    <col min="20" max="21" width="10.140625" bestFit="1" customWidth="1"/>
    <col min="22" max="22" width="10.5703125" bestFit="1" customWidth="1"/>
    <col min="23" max="23" width="39.7109375" customWidth="1"/>
    <col min="24" max="24" width="13.85546875" bestFit="1" customWidth="1"/>
    <col min="25" max="25" width="11.42578125" bestFit="1" customWidth="1"/>
    <col min="26" max="26" width="27" bestFit="1" customWidth="1"/>
  </cols>
  <sheetData>
    <row r="1" spans="2:25" ht="15.75" thickBot="1" x14ac:dyDescent="0.3"/>
    <row r="2" spans="2:25" x14ac:dyDescent="0.25">
      <c r="D2" s="224"/>
      <c r="E2" s="225"/>
      <c r="F2" s="225"/>
      <c r="G2" s="225"/>
      <c r="H2" s="225"/>
      <c r="I2" s="225"/>
      <c r="L2" s="225"/>
      <c r="P2" s="225"/>
      <c r="Q2" s="225"/>
      <c r="R2" s="225"/>
      <c r="S2" s="225"/>
      <c r="T2" s="226"/>
    </row>
    <row r="3" spans="2:25" x14ac:dyDescent="0.25">
      <c r="D3" s="227"/>
      <c r="E3" s="228"/>
      <c r="F3" s="228" t="s">
        <v>205</v>
      </c>
      <c r="G3" s="228" t="s">
        <v>206</v>
      </c>
      <c r="H3" s="228"/>
      <c r="I3" s="228"/>
      <c r="L3" s="228"/>
      <c r="P3" s="228"/>
      <c r="Q3" s="228"/>
      <c r="R3" s="228"/>
      <c r="S3" s="228"/>
      <c r="T3" s="229"/>
      <c r="U3" s="223"/>
    </row>
    <row r="4" spans="2:25" x14ac:dyDescent="0.25">
      <c r="D4" s="227"/>
      <c r="E4" s="230" t="s">
        <v>212</v>
      </c>
      <c r="F4" s="221">
        <v>43647</v>
      </c>
      <c r="G4" s="221">
        <v>43677</v>
      </c>
      <c r="H4" s="231" t="s">
        <v>201</v>
      </c>
      <c r="I4" s="206">
        <f>$V$2974</f>
        <v>853</v>
      </c>
      <c r="L4" s="231"/>
      <c r="P4" s="231"/>
      <c r="Q4" s="231"/>
      <c r="R4" s="231" t="s">
        <v>203</v>
      </c>
      <c r="S4" s="259">
        <f>$X$2974</f>
        <v>1997.9</v>
      </c>
      <c r="T4" s="229"/>
      <c r="U4" s="223"/>
    </row>
    <row r="5" spans="2:25" x14ac:dyDescent="0.25">
      <c r="D5" s="227"/>
      <c r="E5" s="228"/>
      <c r="F5" s="228"/>
      <c r="G5" s="228"/>
      <c r="H5" s="231" t="s">
        <v>202</v>
      </c>
      <c r="I5" s="206">
        <f>$W$5940</f>
        <v>118</v>
      </c>
      <c r="L5" s="231"/>
      <c r="P5" s="231"/>
      <c r="Q5" s="231"/>
      <c r="R5" s="231" t="s">
        <v>207</v>
      </c>
      <c r="S5" s="259">
        <f>$Y$2974</f>
        <v>5391.2999999999975</v>
      </c>
      <c r="T5" s="229"/>
      <c r="U5" s="223"/>
    </row>
    <row r="6" spans="2:25" x14ac:dyDescent="0.25">
      <c r="D6" s="227"/>
      <c r="E6" s="228"/>
      <c r="F6" s="228"/>
      <c r="G6" s="228"/>
      <c r="H6" s="228"/>
      <c r="I6" s="228"/>
      <c r="L6" s="228"/>
      <c r="P6" s="228"/>
      <c r="Q6" s="228"/>
      <c r="R6" s="231" t="s">
        <v>204</v>
      </c>
      <c r="S6" s="259">
        <f>S4+S5</f>
        <v>7389.1999999999971</v>
      </c>
      <c r="T6" s="229"/>
    </row>
    <row r="7" spans="2:25" x14ac:dyDescent="0.25">
      <c r="D7" s="227"/>
      <c r="E7" s="228"/>
      <c r="F7" s="228"/>
      <c r="G7" s="228"/>
      <c r="H7" s="228"/>
      <c r="I7" s="228"/>
      <c r="L7" s="228"/>
      <c r="P7" s="228"/>
      <c r="Q7" s="228"/>
      <c r="R7" s="231" t="s">
        <v>208</v>
      </c>
      <c r="S7" s="259">
        <f>$S$6/$I$4</f>
        <v>8.6626025791324697</v>
      </c>
      <c r="T7" s="229"/>
    </row>
    <row r="8" spans="2:25" ht="15.75" thickBot="1" x14ac:dyDescent="0.3">
      <c r="D8" s="232"/>
      <c r="E8" s="233"/>
      <c r="F8" s="233"/>
      <c r="G8" s="233"/>
      <c r="H8" s="233"/>
      <c r="I8" s="233"/>
      <c r="L8" s="233"/>
      <c r="P8" s="233"/>
      <c r="Q8" s="233"/>
      <c r="R8" s="234"/>
      <c r="S8" s="233"/>
      <c r="T8" s="235"/>
    </row>
    <row r="9" spans="2:25" ht="15.75" thickBot="1" x14ac:dyDescent="0.3"/>
    <row r="10" spans="2:25" ht="30.75" customHeight="1" x14ac:dyDescent="0.25">
      <c r="B10" s="426" t="s">
        <v>209</v>
      </c>
      <c r="C10" s="428" t="s">
        <v>182</v>
      </c>
      <c r="D10" s="430" t="s">
        <v>210</v>
      </c>
      <c r="E10" s="432" t="s">
        <v>106</v>
      </c>
      <c r="F10" s="432" t="s">
        <v>191</v>
      </c>
      <c r="G10" s="432" t="s">
        <v>192</v>
      </c>
      <c r="H10" s="430" t="s">
        <v>33</v>
      </c>
      <c r="I10" s="434" t="s">
        <v>211</v>
      </c>
      <c r="J10" s="435"/>
      <c r="K10" s="439" t="s">
        <v>107</v>
      </c>
      <c r="L10" s="440"/>
      <c r="M10" s="430" t="s">
        <v>62</v>
      </c>
      <c r="N10" s="432" t="s">
        <v>65</v>
      </c>
      <c r="O10" s="441" t="s">
        <v>64</v>
      </c>
      <c r="P10" s="430" t="s">
        <v>162</v>
      </c>
      <c r="Q10" s="443" t="s">
        <v>163</v>
      </c>
      <c r="R10" s="428" t="s">
        <v>193</v>
      </c>
      <c r="S10" s="428" t="s">
        <v>169</v>
      </c>
      <c r="T10" s="439" t="s">
        <v>194</v>
      </c>
      <c r="U10" s="440"/>
      <c r="V10" s="428" t="s">
        <v>200</v>
      </c>
      <c r="W10" s="428" t="s">
        <v>197</v>
      </c>
      <c r="X10" s="428" t="s">
        <v>198</v>
      </c>
      <c r="Y10" s="428" t="s">
        <v>199</v>
      </c>
    </row>
    <row r="11" spans="2:25" ht="15.75" thickBot="1" x14ac:dyDescent="0.3">
      <c r="B11" s="427"/>
      <c r="C11" s="429"/>
      <c r="D11" s="431"/>
      <c r="E11" s="433"/>
      <c r="F11" s="433"/>
      <c r="G11" s="433"/>
      <c r="H11" s="431"/>
      <c r="I11" s="57" t="s">
        <v>58</v>
      </c>
      <c r="J11" s="58" t="s">
        <v>59</v>
      </c>
      <c r="K11" s="59" t="s">
        <v>59</v>
      </c>
      <c r="L11" s="57" t="s">
        <v>69</v>
      </c>
      <c r="M11" s="431"/>
      <c r="N11" s="433"/>
      <c r="O11" s="442"/>
      <c r="P11" s="431"/>
      <c r="Q11" s="444"/>
      <c r="R11" s="429"/>
      <c r="S11" s="429"/>
      <c r="T11" s="197" t="s">
        <v>174</v>
      </c>
      <c r="U11" s="198" t="s">
        <v>175</v>
      </c>
      <c r="V11" s="429"/>
      <c r="W11" s="429"/>
      <c r="X11" s="429"/>
      <c r="Y11" s="429"/>
    </row>
    <row r="12" spans="2:25" ht="12.75" customHeight="1" thickBot="1" x14ac:dyDescent="0.3">
      <c r="B12" s="123">
        <v>1</v>
      </c>
      <c r="C12" s="124">
        <v>2</v>
      </c>
      <c r="D12" s="124">
        <v>3</v>
      </c>
      <c r="E12" s="126">
        <v>4</v>
      </c>
      <c r="F12" s="127">
        <v>5</v>
      </c>
      <c r="G12" s="127">
        <v>6</v>
      </c>
      <c r="H12" s="125">
        <v>7</v>
      </c>
      <c r="I12" s="125">
        <v>8</v>
      </c>
      <c r="J12" s="126">
        <v>9</v>
      </c>
      <c r="K12" s="123">
        <v>10</v>
      </c>
      <c r="L12" s="125">
        <v>11</v>
      </c>
      <c r="M12" s="125">
        <v>12</v>
      </c>
      <c r="N12" s="126">
        <v>13</v>
      </c>
      <c r="O12" s="128">
        <v>14</v>
      </c>
      <c r="P12" s="125">
        <v>15</v>
      </c>
      <c r="Q12" s="127">
        <v>16</v>
      </c>
      <c r="R12" s="124">
        <v>17</v>
      </c>
      <c r="S12" s="124">
        <v>18</v>
      </c>
      <c r="T12" s="199">
        <v>19</v>
      </c>
      <c r="U12" s="200">
        <v>20</v>
      </c>
      <c r="V12" s="199">
        <v>21</v>
      </c>
      <c r="W12" s="200">
        <v>22</v>
      </c>
      <c r="X12" s="199">
        <v>23</v>
      </c>
      <c r="Y12" s="220">
        <v>24</v>
      </c>
    </row>
    <row r="13" spans="2:25" ht="16.5" hidden="1" thickTop="1" thickBot="1" x14ac:dyDescent="0.3">
      <c r="B13" s="129">
        <v>1</v>
      </c>
      <c r="C13" s="130">
        <v>1</v>
      </c>
      <c r="D13" s="191" t="s">
        <v>30</v>
      </c>
      <c r="E13" s="152"/>
      <c r="F13" s="153"/>
      <c r="G13" s="153"/>
      <c r="H13" s="154"/>
      <c r="I13" s="154"/>
      <c r="J13" s="152"/>
      <c r="K13" s="155"/>
      <c r="L13" s="154"/>
      <c r="M13" s="154"/>
      <c r="N13" s="156"/>
      <c r="O13" s="157"/>
      <c r="P13" s="158"/>
      <c r="Q13" s="159"/>
      <c r="R13" s="160"/>
      <c r="S13" s="161"/>
      <c r="T13" s="215">
        <f t="shared" ref="T13:T76" si="0">$F$4</f>
        <v>43647</v>
      </c>
      <c r="U13" s="216">
        <f t="shared" ref="U13:U76" si="1">$G$4</f>
        <v>43677</v>
      </c>
      <c r="V13" s="217">
        <f>IF(G13-F13+1-IF(G13-U13&gt;0,G13-U13,0)-IF(T13-F13&gt;0,T13-F13,0)&gt;0,G13-F13+1-IF(G13-U13&gt;0,G13-U13,0)-IF(T13-F13&gt;0,T13-F13,0),0)</f>
        <v>0</v>
      </c>
      <c r="W13" s="206" t="str">
        <f t="shared" ref="W13:W18" si="2">IF(V13&gt;0,H13,"")</f>
        <v/>
      </c>
      <c r="X13" s="218">
        <f t="shared" ref="X13:X18" si="3">IF(AND($V13&gt;0,$I13=1),P13/$E13*$V13,0)</f>
        <v>0</v>
      </c>
      <c r="Y13" s="219">
        <f t="shared" ref="Y13:Y18" si="4">IF(AND($V13&gt;0,$I13&lt;&gt;1),Q13/$E13*$V13,0)</f>
        <v>0</v>
      </c>
    </row>
    <row r="14" spans="2:25" ht="15.75" hidden="1" thickBot="1" x14ac:dyDescent="0.3">
      <c r="B14" s="60">
        <f>B13</f>
        <v>1</v>
      </c>
      <c r="C14" s="102">
        <v>2</v>
      </c>
      <c r="D14" s="192" t="str">
        <f>D13</f>
        <v>I</v>
      </c>
      <c r="E14" s="162"/>
      <c r="F14" s="163"/>
      <c r="G14" s="163"/>
      <c r="H14" s="164"/>
      <c r="I14" s="164"/>
      <c r="J14" s="162"/>
      <c r="K14" s="165"/>
      <c r="L14" s="164"/>
      <c r="M14" s="164"/>
      <c r="N14" s="166"/>
      <c r="O14" s="167"/>
      <c r="P14" s="168"/>
      <c r="Q14" s="169"/>
      <c r="R14" s="170"/>
      <c r="S14" s="171"/>
      <c r="T14" s="203">
        <f t="shared" si="0"/>
        <v>43647</v>
      </c>
      <c r="U14" s="205">
        <f t="shared" si="1"/>
        <v>43677</v>
      </c>
      <c r="V14" s="207">
        <f t="shared" ref="V14:V19" si="5">IF(G14-F14+1-IF(G14-U14&gt;0,G14-U14,0)-IF(T14-F14&gt;0,T14-F14,0)&gt;0,G14-F14+1-IF(G14-U14&gt;0,G14-U14,0)-IF(T14-F14&gt;0,T14-F14,0),0)</f>
        <v>0</v>
      </c>
      <c r="W14" s="206" t="str">
        <f t="shared" si="2"/>
        <v/>
      </c>
      <c r="X14" s="206">
        <f t="shared" si="3"/>
        <v>0</v>
      </c>
      <c r="Y14" s="208">
        <f t="shared" si="4"/>
        <v>0</v>
      </c>
    </row>
    <row r="15" spans="2:25" ht="15.75" hidden="1" thickBot="1" x14ac:dyDescent="0.3">
      <c r="B15" s="60">
        <f>B13</f>
        <v>1</v>
      </c>
      <c r="C15" s="102">
        <v>3</v>
      </c>
      <c r="D15" s="192" t="str">
        <f>D14</f>
        <v>I</v>
      </c>
      <c r="E15" s="162"/>
      <c r="F15" s="163"/>
      <c r="G15" s="163"/>
      <c r="H15" s="164"/>
      <c r="I15" s="164"/>
      <c r="J15" s="162"/>
      <c r="K15" s="165"/>
      <c r="L15" s="164"/>
      <c r="M15" s="164"/>
      <c r="N15" s="166"/>
      <c r="O15" s="167"/>
      <c r="P15" s="168"/>
      <c r="Q15" s="169"/>
      <c r="R15" s="170"/>
      <c r="S15" s="171"/>
      <c r="T15" s="203">
        <f t="shared" si="0"/>
        <v>43647</v>
      </c>
      <c r="U15" s="205">
        <f t="shared" si="1"/>
        <v>43677</v>
      </c>
      <c r="V15" s="207">
        <f t="shared" si="5"/>
        <v>0</v>
      </c>
      <c r="W15" s="206" t="str">
        <f t="shared" si="2"/>
        <v/>
      </c>
      <c r="X15" s="206">
        <f t="shared" si="3"/>
        <v>0</v>
      </c>
      <c r="Y15" s="208">
        <f t="shared" si="4"/>
        <v>0</v>
      </c>
    </row>
    <row r="16" spans="2:25" ht="15.75" hidden="1" thickBot="1" x14ac:dyDescent="0.3">
      <c r="B16" s="60">
        <f>B13</f>
        <v>1</v>
      </c>
      <c r="C16" s="102">
        <v>4</v>
      </c>
      <c r="D16" s="192" t="str">
        <f t="shared" ref="D16:D79" si="6">D15</f>
        <v>I</v>
      </c>
      <c r="E16" s="162"/>
      <c r="F16" s="163"/>
      <c r="G16" s="163"/>
      <c r="H16" s="164"/>
      <c r="I16" s="164"/>
      <c r="J16" s="162"/>
      <c r="K16" s="165"/>
      <c r="L16" s="164"/>
      <c r="M16" s="164"/>
      <c r="N16" s="166"/>
      <c r="O16" s="167"/>
      <c r="P16" s="168"/>
      <c r="Q16" s="169"/>
      <c r="R16" s="170"/>
      <c r="S16" s="171"/>
      <c r="T16" s="203">
        <f t="shared" si="0"/>
        <v>43647</v>
      </c>
      <c r="U16" s="205">
        <f t="shared" si="1"/>
        <v>43677</v>
      </c>
      <c r="V16" s="207">
        <f t="shared" si="5"/>
        <v>0</v>
      </c>
      <c r="W16" s="206" t="str">
        <f t="shared" si="2"/>
        <v/>
      </c>
      <c r="X16" s="206">
        <f t="shared" si="3"/>
        <v>0</v>
      </c>
      <c r="Y16" s="208">
        <f t="shared" si="4"/>
        <v>0</v>
      </c>
    </row>
    <row r="17" spans="2:25" ht="15.75" hidden="1" thickBot="1" x14ac:dyDescent="0.3">
      <c r="B17" s="60">
        <f>B13</f>
        <v>1</v>
      </c>
      <c r="C17" s="102">
        <v>5</v>
      </c>
      <c r="D17" s="192" t="str">
        <f t="shared" si="6"/>
        <v>I</v>
      </c>
      <c r="E17" s="162"/>
      <c r="F17" s="163"/>
      <c r="G17" s="163"/>
      <c r="H17" s="164"/>
      <c r="I17" s="164"/>
      <c r="J17" s="162"/>
      <c r="K17" s="165"/>
      <c r="L17" s="164"/>
      <c r="M17" s="164"/>
      <c r="N17" s="166"/>
      <c r="O17" s="167"/>
      <c r="P17" s="168"/>
      <c r="Q17" s="169"/>
      <c r="R17" s="170"/>
      <c r="S17" s="171"/>
      <c r="T17" s="203">
        <f t="shared" si="0"/>
        <v>43647</v>
      </c>
      <c r="U17" s="205">
        <f t="shared" si="1"/>
        <v>43677</v>
      </c>
      <c r="V17" s="207">
        <f t="shared" si="5"/>
        <v>0</v>
      </c>
      <c r="W17" s="206" t="str">
        <f t="shared" si="2"/>
        <v/>
      </c>
      <c r="X17" s="206">
        <f t="shared" si="3"/>
        <v>0</v>
      </c>
      <c r="Y17" s="208">
        <f t="shared" si="4"/>
        <v>0</v>
      </c>
    </row>
    <row r="18" spans="2:25" ht="15.75" hidden="1" thickBot="1" x14ac:dyDescent="0.3">
      <c r="B18" s="86">
        <f>B17</f>
        <v>1</v>
      </c>
      <c r="C18" s="103">
        <v>6</v>
      </c>
      <c r="D18" s="193" t="str">
        <f t="shared" si="6"/>
        <v>I</v>
      </c>
      <c r="E18" s="172"/>
      <c r="F18" s="173"/>
      <c r="G18" s="173"/>
      <c r="H18" s="174"/>
      <c r="I18" s="174"/>
      <c r="J18" s="172"/>
      <c r="K18" s="175"/>
      <c r="L18" s="174"/>
      <c r="M18" s="174"/>
      <c r="N18" s="176"/>
      <c r="O18" s="177"/>
      <c r="P18" s="178"/>
      <c r="Q18" s="179"/>
      <c r="R18" s="180"/>
      <c r="S18" s="181"/>
      <c r="T18" s="203">
        <f t="shared" si="0"/>
        <v>43647</v>
      </c>
      <c r="U18" s="205">
        <f t="shared" si="1"/>
        <v>43677</v>
      </c>
      <c r="V18" s="207">
        <f t="shared" si="5"/>
        <v>0</v>
      </c>
      <c r="W18" s="206" t="str">
        <f t="shared" si="2"/>
        <v/>
      </c>
      <c r="X18" s="206">
        <f t="shared" si="3"/>
        <v>0</v>
      </c>
      <c r="Y18" s="208">
        <f t="shared" si="4"/>
        <v>0</v>
      </c>
    </row>
    <row r="19" spans="2:25" ht="15.75" hidden="1" thickBot="1" x14ac:dyDescent="0.3">
      <c r="B19" s="141">
        <f>B13</f>
        <v>1</v>
      </c>
      <c r="C19" s="142">
        <v>7</v>
      </c>
      <c r="D19" s="194" t="str">
        <f t="shared" si="6"/>
        <v>I</v>
      </c>
      <c r="E19" s="189"/>
      <c r="F19" s="190"/>
      <c r="G19" s="190"/>
      <c r="H19" s="182"/>
      <c r="I19" s="182"/>
      <c r="J19" s="436" t="s">
        <v>181</v>
      </c>
      <c r="K19" s="437"/>
      <c r="L19" s="438"/>
      <c r="M19" s="182"/>
      <c r="N19" s="183"/>
      <c r="O19" s="184"/>
      <c r="P19" s="185"/>
      <c r="Q19" s="186"/>
      <c r="R19" s="187"/>
      <c r="S19" s="188"/>
      <c r="T19" s="213">
        <f t="shared" si="0"/>
        <v>43647</v>
      </c>
      <c r="U19" s="214">
        <f t="shared" si="1"/>
        <v>43677</v>
      </c>
      <c r="V19" s="210">
        <f t="shared" si="5"/>
        <v>0</v>
      </c>
      <c r="W19" s="211"/>
      <c r="X19" s="211">
        <f>IF(AND($V19&gt;0,$I19=1),IF($E19=10,P19/10,P19/$V19),0)</f>
        <v>0</v>
      </c>
      <c r="Y19" s="212">
        <f>IF(AND($V13&gt;0,$I19&lt;&gt;1),Q19/E13*V13,0)</f>
        <v>0</v>
      </c>
    </row>
    <row r="20" spans="2:25" ht="15.75" hidden="1" thickBot="1" x14ac:dyDescent="0.3">
      <c r="B20" s="91">
        <f>B19+1</f>
        <v>2</v>
      </c>
      <c r="C20" s="104">
        <v>8</v>
      </c>
      <c r="D20" s="195" t="str">
        <f t="shared" si="6"/>
        <v>I</v>
      </c>
      <c r="E20" s="92"/>
      <c r="F20" s="107"/>
      <c r="G20" s="107"/>
      <c r="H20" s="93"/>
      <c r="I20" s="93"/>
      <c r="J20" s="92"/>
      <c r="K20" s="94"/>
      <c r="L20" s="93"/>
      <c r="M20" s="93"/>
      <c r="N20" s="119"/>
      <c r="O20" s="120"/>
      <c r="P20" s="121"/>
      <c r="Q20" s="122"/>
      <c r="R20" s="95"/>
      <c r="S20" s="110"/>
      <c r="T20" s="201">
        <f t="shared" si="0"/>
        <v>43647</v>
      </c>
      <c r="U20" s="202">
        <f t="shared" si="1"/>
        <v>43677</v>
      </c>
      <c r="V20" s="207">
        <f>IF(G20-F20+1-IF(G20-U20&gt;0,G20-U20,0)-IF(T20-F20&gt;0,T20-F20,0)&gt;0,G20-F20+1-IF(G20-U20&gt;0,G20-U20,0)-IF(T20-F20&gt;0,T20-F20,0),0)</f>
        <v>0</v>
      </c>
      <c r="W20" s="206" t="str">
        <f t="shared" ref="W20:W25" si="7">IF(V20&gt;0,H20,"")</f>
        <v/>
      </c>
      <c r="X20" s="206">
        <f t="shared" ref="X20:X25" si="8">IF(AND($V20&gt;0,$I20=1),P20/$E20*$V20,0)</f>
        <v>0</v>
      </c>
      <c r="Y20" s="209">
        <f t="shared" ref="Y20:Y25" si="9">IF(AND($V20&gt;0,$I20&lt;&gt;1),Q20/$E20*$V20,0)</f>
        <v>0</v>
      </c>
    </row>
    <row r="21" spans="2:25" ht="15.75" hidden="1" thickBot="1" x14ac:dyDescent="0.3">
      <c r="B21" s="60">
        <f>B20</f>
        <v>2</v>
      </c>
      <c r="C21" s="102">
        <v>9</v>
      </c>
      <c r="D21" s="192" t="str">
        <f t="shared" si="6"/>
        <v>I</v>
      </c>
      <c r="E21" s="62"/>
      <c r="F21" s="105"/>
      <c r="G21" s="105"/>
      <c r="H21" s="61"/>
      <c r="I21" s="61"/>
      <c r="J21" s="62"/>
      <c r="K21" s="63"/>
      <c r="L21" s="61"/>
      <c r="M21" s="61"/>
      <c r="N21" s="111"/>
      <c r="O21" s="112"/>
      <c r="P21" s="113"/>
      <c r="Q21" s="114"/>
      <c r="R21" s="64"/>
      <c r="S21" s="108"/>
      <c r="T21" s="203">
        <f t="shared" si="0"/>
        <v>43647</v>
      </c>
      <c r="U21" s="204">
        <f t="shared" si="1"/>
        <v>43677</v>
      </c>
      <c r="V21" s="207">
        <f t="shared" ref="V21:V26" si="10">IF(G21-F21+1-IF(G21-U21&gt;0,G21-U21,0)-IF(T21-F21&gt;0,T21-F21,0)&gt;0,G21-F21+1-IF(G21-U21&gt;0,G21-U21,0)-IF(T21-F21&gt;0,T21-F21,0),0)</f>
        <v>0</v>
      </c>
      <c r="W21" s="206" t="str">
        <f t="shared" si="7"/>
        <v/>
      </c>
      <c r="X21" s="206">
        <f t="shared" si="8"/>
        <v>0</v>
      </c>
      <c r="Y21" s="209">
        <f t="shared" si="9"/>
        <v>0</v>
      </c>
    </row>
    <row r="22" spans="2:25" ht="15.75" hidden="1" thickBot="1" x14ac:dyDescent="0.3">
      <c r="B22" s="60">
        <f>B20</f>
        <v>2</v>
      </c>
      <c r="C22" s="102">
        <v>10</v>
      </c>
      <c r="D22" s="192" t="str">
        <f t="shared" si="6"/>
        <v>I</v>
      </c>
      <c r="E22" s="62"/>
      <c r="F22" s="105"/>
      <c r="G22" s="105"/>
      <c r="H22" s="61"/>
      <c r="I22" s="61"/>
      <c r="J22" s="62"/>
      <c r="K22" s="63"/>
      <c r="L22" s="61"/>
      <c r="M22" s="61"/>
      <c r="N22" s="111"/>
      <c r="O22" s="112"/>
      <c r="P22" s="113"/>
      <c r="Q22" s="114"/>
      <c r="R22" s="64"/>
      <c r="S22" s="108"/>
      <c r="T22" s="203">
        <f t="shared" si="0"/>
        <v>43647</v>
      </c>
      <c r="U22" s="204">
        <f t="shared" si="1"/>
        <v>43677</v>
      </c>
      <c r="V22" s="207">
        <f t="shared" si="10"/>
        <v>0</v>
      </c>
      <c r="W22" s="206" t="str">
        <f t="shared" si="7"/>
        <v/>
      </c>
      <c r="X22" s="206">
        <f t="shared" si="8"/>
        <v>0</v>
      </c>
      <c r="Y22" s="209">
        <f t="shared" si="9"/>
        <v>0</v>
      </c>
    </row>
    <row r="23" spans="2:25" ht="15.75" hidden="1" thickBot="1" x14ac:dyDescent="0.3">
      <c r="B23" s="60">
        <f>B20</f>
        <v>2</v>
      </c>
      <c r="C23" s="102">
        <v>11</v>
      </c>
      <c r="D23" s="192" t="str">
        <f t="shared" si="6"/>
        <v>I</v>
      </c>
      <c r="E23" s="62"/>
      <c r="F23" s="105"/>
      <c r="G23" s="105"/>
      <c r="H23" s="61"/>
      <c r="I23" s="61"/>
      <c r="J23" s="62"/>
      <c r="K23" s="63"/>
      <c r="L23" s="61"/>
      <c r="M23" s="61"/>
      <c r="N23" s="111"/>
      <c r="O23" s="112"/>
      <c r="P23" s="113"/>
      <c r="Q23" s="114"/>
      <c r="R23" s="64"/>
      <c r="S23" s="108"/>
      <c r="T23" s="203">
        <f t="shared" si="0"/>
        <v>43647</v>
      </c>
      <c r="U23" s="204">
        <f t="shared" si="1"/>
        <v>43677</v>
      </c>
      <c r="V23" s="207">
        <f t="shared" si="10"/>
        <v>0</v>
      </c>
      <c r="W23" s="206" t="str">
        <f t="shared" si="7"/>
        <v/>
      </c>
      <c r="X23" s="206">
        <f t="shared" si="8"/>
        <v>0</v>
      </c>
      <c r="Y23" s="209">
        <f t="shared" si="9"/>
        <v>0</v>
      </c>
    </row>
    <row r="24" spans="2:25" ht="15.75" hidden="1" thickBot="1" x14ac:dyDescent="0.3">
      <c r="B24" s="60">
        <f>B20</f>
        <v>2</v>
      </c>
      <c r="C24" s="102">
        <v>12</v>
      </c>
      <c r="D24" s="192" t="str">
        <f t="shared" si="6"/>
        <v>I</v>
      </c>
      <c r="E24" s="62"/>
      <c r="F24" s="105"/>
      <c r="G24" s="105"/>
      <c r="H24" s="61"/>
      <c r="I24" s="61"/>
      <c r="J24" s="62"/>
      <c r="K24" s="63"/>
      <c r="L24" s="61"/>
      <c r="M24" s="61"/>
      <c r="N24" s="111"/>
      <c r="O24" s="112"/>
      <c r="P24" s="113"/>
      <c r="Q24" s="114"/>
      <c r="R24" s="64"/>
      <c r="S24" s="108"/>
      <c r="T24" s="203">
        <f t="shared" si="0"/>
        <v>43647</v>
      </c>
      <c r="U24" s="204">
        <f t="shared" si="1"/>
        <v>43677</v>
      </c>
      <c r="V24" s="207">
        <f t="shared" si="10"/>
        <v>0</v>
      </c>
      <c r="W24" s="206" t="str">
        <f t="shared" si="7"/>
        <v/>
      </c>
      <c r="X24" s="206">
        <f t="shared" si="8"/>
        <v>0</v>
      </c>
      <c r="Y24" s="209">
        <f t="shared" si="9"/>
        <v>0</v>
      </c>
    </row>
    <row r="25" spans="2:25" ht="15.75" hidden="1" thickBot="1" x14ac:dyDescent="0.3">
      <c r="B25" s="86">
        <f>B20</f>
        <v>2</v>
      </c>
      <c r="C25" s="103">
        <v>13</v>
      </c>
      <c r="D25" s="193" t="str">
        <f t="shared" si="6"/>
        <v>I</v>
      </c>
      <c r="E25" s="87"/>
      <c r="F25" s="106"/>
      <c r="G25" s="106"/>
      <c r="H25" s="88"/>
      <c r="I25" s="88"/>
      <c r="J25" s="87"/>
      <c r="K25" s="89"/>
      <c r="L25" s="88"/>
      <c r="M25" s="88"/>
      <c r="N25" s="115"/>
      <c r="O25" s="116"/>
      <c r="P25" s="117"/>
      <c r="Q25" s="118"/>
      <c r="R25" s="90"/>
      <c r="S25" s="109"/>
      <c r="T25" s="203">
        <f t="shared" si="0"/>
        <v>43647</v>
      </c>
      <c r="U25" s="204">
        <f t="shared" si="1"/>
        <v>43677</v>
      </c>
      <c r="V25" s="207">
        <f t="shared" si="10"/>
        <v>0</v>
      </c>
      <c r="W25" s="206" t="str">
        <f t="shared" si="7"/>
        <v/>
      </c>
      <c r="X25" s="206">
        <f t="shared" si="8"/>
        <v>0</v>
      </c>
      <c r="Y25" s="209">
        <f t="shared" si="9"/>
        <v>0</v>
      </c>
    </row>
    <row r="26" spans="2:25" ht="15.75" hidden="1" thickBot="1" x14ac:dyDescent="0.3">
      <c r="B26" s="141">
        <f>B20</f>
        <v>2</v>
      </c>
      <c r="C26" s="142">
        <v>14</v>
      </c>
      <c r="D26" s="194" t="str">
        <f t="shared" si="6"/>
        <v>I</v>
      </c>
      <c r="E26" s="143"/>
      <c r="F26" s="144"/>
      <c r="G26" s="144"/>
      <c r="H26" s="145"/>
      <c r="I26" s="145"/>
      <c r="J26" s="436" t="s">
        <v>181</v>
      </c>
      <c r="K26" s="437"/>
      <c r="L26" s="438"/>
      <c r="M26" s="145"/>
      <c r="N26" s="146"/>
      <c r="O26" s="147"/>
      <c r="P26" s="148"/>
      <c r="Q26" s="149"/>
      <c r="R26" s="150"/>
      <c r="S26" s="151"/>
      <c r="T26" s="213">
        <f t="shared" si="0"/>
        <v>43647</v>
      </c>
      <c r="U26" s="214">
        <f t="shared" si="1"/>
        <v>43677</v>
      </c>
      <c r="V26" s="210">
        <f t="shared" si="10"/>
        <v>0</v>
      </c>
      <c r="W26" s="211"/>
      <c r="X26" s="211">
        <f>IF(AND($V26&gt;0,$I26=1),IF($E26=10,P26/10,P26/$V26),0)</f>
        <v>0</v>
      </c>
      <c r="Y26" s="212">
        <f>IF(AND($V20&gt;0,$I26&lt;&gt;1),Q26/E20*V20,0)</f>
        <v>0</v>
      </c>
    </row>
    <row r="27" spans="2:25" ht="16.5" hidden="1" thickTop="1" thickBot="1" x14ac:dyDescent="0.3">
      <c r="B27" s="129">
        <f>B25+1</f>
        <v>3</v>
      </c>
      <c r="C27" s="130">
        <v>15</v>
      </c>
      <c r="D27" s="196" t="str">
        <f t="shared" si="6"/>
        <v>I</v>
      </c>
      <c r="E27" s="152"/>
      <c r="F27" s="153"/>
      <c r="G27" s="153"/>
      <c r="H27" s="154"/>
      <c r="I27" s="154"/>
      <c r="J27" s="152"/>
      <c r="K27" s="155"/>
      <c r="L27" s="154"/>
      <c r="M27" s="154"/>
      <c r="N27" s="156"/>
      <c r="O27" s="157"/>
      <c r="P27" s="158"/>
      <c r="Q27" s="159"/>
      <c r="R27" s="160"/>
      <c r="S27" s="161"/>
      <c r="T27" s="203">
        <f t="shared" si="0"/>
        <v>43647</v>
      </c>
      <c r="U27" s="204">
        <f t="shared" si="1"/>
        <v>43677</v>
      </c>
      <c r="V27" s="207">
        <f>IF(G27-F27+1-IF(G27-U27&gt;0,G27-U27,0)-IF(T27-F27&gt;0,T27-F27,0)&gt;0,G27-F27+1-IF(G27-U27&gt;0,G27-U27,0)-IF(T27-F27&gt;0,T27-F27,0),0)</f>
        <v>0</v>
      </c>
      <c r="W27" s="206" t="str">
        <f t="shared" ref="W27:W32" si="11">IF(V27&gt;0,H27,"")</f>
        <v/>
      </c>
      <c r="X27" s="206">
        <f t="shared" ref="X27:X32" si="12">IF(AND($V27&gt;0,$I27=1),P27/$E27*$V27,0)</f>
        <v>0</v>
      </c>
      <c r="Y27" s="209">
        <f t="shared" ref="Y27:Y32" si="13">IF(AND($V27&gt;0,$I27&lt;&gt;1),Q27/$E27*$V27,0)</f>
        <v>0</v>
      </c>
    </row>
    <row r="28" spans="2:25" ht="15.75" hidden="1" thickBot="1" x14ac:dyDescent="0.3">
      <c r="B28" s="60">
        <f>B27</f>
        <v>3</v>
      </c>
      <c r="C28" s="102">
        <v>16</v>
      </c>
      <c r="D28" s="192" t="str">
        <f t="shared" si="6"/>
        <v>I</v>
      </c>
      <c r="E28" s="162"/>
      <c r="F28" s="163"/>
      <c r="G28" s="163"/>
      <c r="H28" s="164"/>
      <c r="I28" s="164"/>
      <c r="J28" s="162"/>
      <c r="K28" s="165"/>
      <c r="L28" s="164"/>
      <c r="M28" s="164"/>
      <c r="N28" s="166"/>
      <c r="O28" s="167"/>
      <c r="P28" s="168"/>
      <c r="Q28" s="169"/>
      <c r="R28" s="170"/>
      <c r="S28" s="171"/>
      <c r="T28" s="203">
        <f t="shared" si="0"/>
        <v>43647</v>
      </c>
      <c r="U28" s="204">
        <f t="shared" si="1"/>
        <v>43677</v>
      </c>
      <c r="V28" s="207">
        <f t="shared" ref="V28:V33" si="14">IF(G28-F28+1-IF(G28-U28&gt;0,G28-U28,0)-IF(T28-F28&gt;0,T28-F28,0)&gt;0,G28-F28+1-IF(G28-U28&gt;0,G28-U28,0)-IF(T28-F28&gt;0,T28-F28,0),0)</f>
        <v>0</v>
      </c>
      <c r="W28" s="206" t="str">
        <f t="shared" si="11"/>
        <v/>
      </c>
      <c r="X28" s="206">
        <f t="shared" si="12"/>
        <v>0</v>
      </c>
      <c r="Y28" s="209">
        <f t="shared" si="13"/>
        <v>0</v>
      </c>
    </row>
    <row r="29" spans="2:25" ht="15.75" hidden="1" thickBot="1" x14ac:dyDescent="0.3">
      <c r="B29" s="60">
        <f>B27</f>
        <v>3</v>
      </c>
      <c r="C29" s="102">
        <v>17</v>
      </c>
      <c r="D29" s="192" t="str">
        <f t="shared" si="6"/>
        <v>I</v>
      </c>
      <c r="E29" s="162"/>
      <c r="F29" s="163"/>
      <c r="G29" s="163"/>
      <c r="H29" s="164"/>
      <c r="I29" s="164"/>
      <c r="J29" s="162"/>
      <c r="K29" s="165"/>
      <c r="L29" s="164"/>
      <c r="M29" s="164"/>
      <c r="N29" s="166"/>
      <c r="O29" s="167"/>
      <c r="P29" s="168"/>
      <c r="Q29" s="169"/>
      <c r="R29" s="170"/>
      <c r="S29" s="171"/>
      <c r="T29" s="203">
        <f t="shared" si="0"/>
        <v>43647</v>
      </c>
      <c r="U29" s="204">
        <f t="shared" si="1"/>
        <v>43677</v>
      </c>
      <c r="V29" s="207">
        <f t="shared" si="14"/>
        <v>0</v>
      </c>
      <c r="W29" s="206" t="str">
        <f t="shared" si="11"/>
        <v/>
      </c>
      <c r="X29" s="206">
        <f t="shared" si="12"/>
        <v>0</v>
      </c>
      <c r="Y29" s="209">
        <f t="shared" si="13"/>
        <v>0</v>
      </c>
    </row>
    <row r="30" spans="2:25" ht="15.75" hidden="1" thickBot="1" x14ac:dyDescent="0.3">
      <c r="B30" s="60">
        <f>B27</f>
        <v>3</v>
      </c>
      <c r="C30" s="102">
        <v>18</v>
      </c>
      <c r="D30" s="192" t="str">
        <f t="shared" si="6"/>
        <v>I</v>
      </c>
      <c r="E30" s="162"/>
      <c r="F30" s="163"/>
      <c r="G30" s="163"/>
      <c r="H30" s="164"/>
      <c r="I30" s="164"/>
      <c r="J30" s="162"/>
      <c r="K30" s="165"/>
      <c r="L30" s="164"/>
      <c r="M30" s="164"/>
      <c r="N30" s="166"/>
      <c r="O30" s="167"/>
      <c r="P30" s="168"/>
      <c r="Q30" s="169"/>
      <c r="R30" s="170"/>
      <c r="S30" s="171"/>
      <c r="T30" s="203">
        <f t="shared" si="0"/>
        <v>43647</v>
      </c>
      <c r="U30" s="204">
        <f t="shared" si="1"/>
        <v>43677</v>
      </c>
      <c r="V30" s="207">
        <f t="shared" si="14"/>
        <v>0</v>
      </c>
      <c r="W30" s="206" t="str">
        <f t="shared" si="11"/>
        <v/>
      </c>
      <c r="X30" s="206">
        <f t="shared" si="12"/>
        <v>0</v>
      </c>
      <c r="Y30" s="209">
        <f t="shared" si="13"/>
        <v>0</v>
      </c>
    </row>
    <row r="31" spans="2:25" ht="15.75" hidden="1" thickBot="1" x14ac:dyDescent="0.3">
      <c r="B31" s="60">
        <f>B27</f>
        <v>3</v>
      </c>
      <c r="C31" s="102">
        <v>19</v>
      </c>
      <c r="D31" s="192" t="str">
        <f t="shared" si="6"/>
        <v>I</v>
      </c>
      <c r="E31" s="162"/>
      <c r="F31" s="163"/>
      <c r="G31" s="163"/>
      <c r="H31" s="164"/>
      <c r="I31" s="164"/>
      <c r="J31" s="162"/>
      <c r="K31" s="165"/>
      <c r="L31" s="164"/>
      <c r="M31" s="164"/>
      <c r="N31" s="166"/>
      <c r="O31" s="167"/>
      <c r="P31" s="168"/>
      <c r="Q31" s="169"/>
      <c r="R31" s="170"/>
      <c r="S31" s="171"/>
      <c r="T31" s="203">
        <f t="shared" si="0"/>
        <v>43647</v>
      </c>
      <c r="U31" s="204">
        <f t="shared" si="1"/>
        <v>43677</v>
      </c>
      <c r="V31" s="207">
        <f t="shared" si="14"/>
        <v>0</v>
      </c>
      <c r="W31" s="206" t="str">
        <f t="shared" si="11"/>
        <v/>
      </c>
      <c r="X31" s="206">
        <f t="shared" si="12"/>
        <v>0</v>
      </c>
      <c r="Y31" s="209">
        <f t="shared" si="13"/>
        <v>0</v>
      </c>
    </row>
    <row r="32" spans="2:25" ht="15.75" hidden="1" thickBot="1" x14ac:dyDescent="0.3">
      <c r="B32" s="60">
        <f>B27</f>
        <v>3</v>
      </c>
      <c r="C32" s="102">
        <v>20</v>
      </c>
      <c r="D32" s="192" t="str">
        <f t="shared" si="6"/>
        <v>I</v>
      </c>
      <c r="E32" s="172"/>
      <c r="F32" s="173"/>
      <c r="G32" s="173"/>
      <c r="H32" s="174"/>
      <c r="I32" s="174"/>
      <c r="J32" s="172"/>
      <c r="K32" s="175"/>
      <c r="L32" s="174"/>
      <c r="M32" s="174"/>
      <c r="N32" s="176"/>
      <c r="O32" s="177"/>
      <c r="P32" s="178"/>
      <c r="Q32" s="179"/>
      <c r="R32" s="180"/>
      <c r="S32" s="181"/>
      <c r="T32" s="203">
        <f t="shared" si="0"/>
        <v>43647</v>
      </c>
      <c r="U32" s="204">
        <f t="shared" si="1"/>
        <v>43677</v>
      </c>
      <c r="V32" s="207">
        <f t="shared" si="14"/>
        <v>0</v>
      </c>
      <c r="W32" s="206" t="str">
        <f t="shared" si="11"/>
        <v/>
      </c>
      <c r="X32" s="206">
        <f t="shared" si="12"/>
        <v>0</v>
      </c>
      <c r="Y32" s="209">
        <f t="shared" si="13"/>
        <v>0</v>
      </c>
    </row>
    <row r="33" spans="2:25" ht="15.75" hidden="1" thickBot="1" x14ac:dyDescent="0.3">
      <c r="B33" s="141">
        <f>B27</f>
        <v>3</v>
      </c>
      <c r="C33" s="142">
        <v>21</v>
      </c>
      <c r="D33" s="194" t="str">
        <f t="shared" si="6"/>
        <v>I</v>
      </c>
      <c r="E33" s="189"/>
      <c r="F33" s="190"/>
      <c r="G33" s="190"/>
      <c r="H33" s="182"/>
      <c r="I33" s="182"/>
      <c r="J33" s="436" t="s">
        <v>181</v>
      </c>
      <c r="K33" s="437"/>
      <c r="L33" s="438"/>
      <c r="M33" s="182"/>
      <c r="N33" s="183"/>
      <c r="O33" s="184"/>
      <c r="P33" s="185"/>
      <c r="Q33" s="186"/>
      <c r="R33" s="187"/>
      <c r="S33" s="188"/>
      <c r="T33" s="213">
        <f t="shared" si="0"/>
        <v>43647</v>
      </c>
      <c r="U33" s="214">
        <f t="shared" si="1"/>
        <v>43677</v>
      </c>
      <c r="V33" s="210">
        <f t="shared" si="14"/>
        <v>0</v>
      </c>
      <c r="W33" s="211"/>
      <c r="X33" s="211">
        <f>IF(AND($V33&gt;0,$I33=1),IF($E33=10,P33/10,P33/$V33),0)</f>
        <v>0</v>
      </c>
      <c r="Y33" s="212">
        <f>IF(AND($V27&gt;0,$I33&lt;&gt;1),Q33/E27*V27,0)</f>
        <v>0</v>
      </c>
    </row>
    <row r="34" spans="2:25" ht="16.5" hidden="1" thickTop="1" thickBot="1" x14ac:dyDescent="0.3">
      <c r="B34" s="129">
        <f>B32+1</f>
        <v>4</v>
      </c>
      <c r="C34" s="130">
        <v>22</v>
      </c>
      <c r="D34" s="196" t="str">
        <f t="shared" si="6"/>
        <v>I</v>
      </c>
      <c r="E34" s="131"/>
      <c r="F34" s="132"/>
      <c r="G34" s="132"/>
      <c r="H34" s="133"/>
      <c r="I34" s="133"/>
      <c r="J34" s="131"/>
      <c r="K34" s="134"/>
      <c r="L34" s="133"/>
      <c r="M34" s="133"/>
      <c r="N34" s="135"/>
      <c r="O34" s="136"/>
      <c r="P34" s="137"/>
      <c r="Q34" s="138"/>
      <c r="R34" s="139"/>
      <c r="S34" s="140"/>
      <c r="T34" s="203">
        <f t="shared" si="0"/>
        <v>43647</v>
      </c>
      <c r="U34" s="204">
        <f t="shared" si="1"/>
        <v>43677</v>
      </c>
      <c r="V34" s="207">
        <f>IF(G34-F34+1-IF(G34-U34&gt;0,G34-U34,0)-IF(T34-F34&gt;0,T34-F34,0)&gt;0,G34-F34+1-IF(G34-U34&gt;0,G34-U34,0)-IF(T34-F34&gt;0,T34-F34,0),0)</f>
        <v>0</v>
      </c>
      <c r="W34" s="206" t="str">
        <f t="shared" ref="W34:W39" si="15">IF(V34&gt;0,H34,"")</f>
        <v/>
      </c>
      <c r="X34" s="206">
        <f t="shared" ref="X34:X39" si="16">IF(AND($V34&gt;0,$I34=1),P34/$E34*$V34,0)</f>
        <v>0</v>
      </c>
      <c r="Y34" s="209">
        <f t="shared" ref="Y34:Y39" si="17">IF(AND($V34&gt;0,$I34&lt;&gt;1),Q34/$E34*$V34,0)</f>
        <v>0</v>
      </c>
    </row>
    <row r="35" spans="2:25" ht="15.75" hidden="1" thickBot="1" x14ac:dyDescent="0.3">
      <c r="B35" s="60">
        <f>B34</f>
        <v>4</v>
      </c>
      <c r="C35" s="102">
        <v>23</v>
      </c>
      <c r="D35" s="192" t="str">
        <f t="shared" si="6"/>
        <v>I</v>
      </c>
      <c r="E35" s="62"/>
      <c r="F35" s="105"/>
      <c r="G35" s="105"/>
      <c r="H35" s="61"/>
      <c r="I35" s="61"/>
      <c r="J35" s="62"/>
      <c r="K35" s="63"/>
      <c r="L35" s="61"/>
      <c r="M35" s="61"/>
      <c r="N35" s="111"/>
      <c r="O35" s="112"/>
      <c r="P35" s="113"/>
      <c r="Q35" s="114"/>
      <c r="R35" s="64"/>
      <c r="S35" s="108"/>
      <c r="T35" s="203">
        <f t="shared" si="0"/>
        <v>43647</v>
      </c>
      <c r="U35" s="204">
        <f t="shared" si="1"/>
        <v>43677</v>
      </c>
      <c r="V35" s="207">
        <f t="shared" ref="V35:V40" si="18">IF(G35-F35+1-IF(G35-U35&gt;0,G35-U35,0)-IF(T35-F35&gt;0,T35-F35,0)&gt;0,G35-F35+1-IF(G35-U35&gt;0,G35-U35,0)-IF(T35-F35&gt;0,T35-F35,0),0)</f>
        <v>0</v>
      </c>
      <c r="W35" s="206" t="str">
        <f t="shared" si="15"/>
        <v/>
      </c>
      <c r="X35" s="206">
        <f t="shared" si="16"/>
        <v>0</v>
      </c>
      <c r="Y35" s="209">
        <f t="shared" si="17"/>
        <v>0</v>
      </c>
    </row>
    <row r="36" spans="2:25" ht="15.75" hidden="1" thickBot="1" x14ac:dyDescent="0.3">
      <c r="B36" s="60">
        <f>B34</f>
        <v>4</v>
      </c>
      <c r="C36" s="102">
        <v>24</v>
      </c>
      <c r="D36" s="192" t="str">
        <f t="shared" si="6"/>
        <v>I</v>
      </c>
      <c r="E36" s="62"/>
      <c r="F36" s="105"/>
      <c r="G36" s="105"/>
      <c r="H36" s="61"/>
      <c r="I36" s="61"/>
      <c r="J36" s="62"/>
      <c r="K36" s="63"/>
      <c r="L36" s="61"/>
      <c r="M36" s="61"/>
      <c r="N36" s="111"/>
      <c r="O36" s="112"/>
      <c r="P36" s="113"/>
      <c r="Q36" s="114"/>
      <c r="R36" s="64"/>
      <c r="S36" s="108"/>
      <c r="T36" s="203">
        <f t="shared" si="0"/>
        <v>43647</v>
      </c>
      <c r="U36" s="204">
        <f t="shared" si="1"/>
        <v>43677</v>
      </c>
      <c r="V36" s="207">
        <f t="shared" si="18"/>
        <v>0</v>
      </c>
      <c r="W36" s="206" t="str">
        <f t="shared" si="15"/>
        <v/>
      </c>
      <c r="X36" s="206">
        <f t="shared" si="16"/>
        <v>0</v>
      </c>
      <c r="Y36" s="209">
        <f t="shared" si="17"/>
        <v>0</v>
      </c>
    </row>
    <row r="37" spans="2:25" ht="15.75" hidden="1" thickBot="1" x14ac:dyDescent="0.3">
      <c r="B37" s="60">
        <f>B34</f>
        <v>4</v>
      </c>
      <c r="C37" s="102">
        <v>25</v>
      </c>
      <c r="D37" s="192" t="str">
        <f t="shared" si="6"/>
        <v>I</v>
      </c>
      <c r="E37" s="62"/>
      <c r="F37" s="105"/>
      <c r="G37" s="105"/>
      <c r="H37" s="61"/>
      <c r="I37" s="61"/>
      <c r="J37" s="62"/>
      <c r="K37" s="63"/>
      <c r="L37" s="61"/>
      <c r="M37" s="61"/>
      <c r="N37" s="111"/>
      <c r="O37" s="112"/>
      <c r="P37" s="113"/>
      <c r="Q37" s="114"/>
      <c r="R37" s="64"/>
      <c r="S37" s="108"/>
      <c r="T37" s="203">
        <f t="shared" si="0"/>
        <v>43647</v>
      </c>
      <c r="U37" s="204">
        <f t="shared" si="1"/>
        <v>43677</v>
      </c>
      <c r="V37" s="207">
        <f t="shared" si="18"/>
        <v>0</v>
      </c>
      <c r="W37" s="206" t="str">
        <f t="shared" si="15"/>
        <v/>
      </c>
      <c r="X37" s="206">
        <f t="shared" si="16"/>
        <v>0</v>
      </c>
      <c r="Y37" s="209">
        <f t="shared" si="17"/>
        <v>0</v>
      </c>
    </row>
    <row r="38" spans="2:25" ht="15.75" hidden="1" thickBot="1" x14ac:dyDescent="0.3">
      <c r="B38" s="60">
        <f>B34</f>
        <v>4</v>
      </c>
      <c r="C38" s="102">
        <v>26</v>
      </c>
      <c r="D38" s="192" t="str">
        <f t="shared" si="6"/>
        <v>I</v>
      </c>
      <c r="E38" s="62"/>
      <c r="F38" s="105"/>
      <c r="G38" s="105"/>
      <c r="H38" s="61"/>
      <c r="I38" s="61"/>
      <c r="J38" s="62"/>
      <c r="K38" s="63"/>
      <c r="L38" s="61"/>
      <c r="M38" s="61"/>
      <c r="N38" s="111"/>
      <c r="O38" s="112"/>
      <c r="P38" s="113"/>
      <c r="Q38" s="114"/>
      <c r="R38" s="64"/>
      <c r="S38" s="108"/>
      <c r="T38" s="203">
        <f t="shared" si="0"/>
        <v>43647</v>
      </c>
      <c r="U38" s="204">
        <f t="shared" si="1"/>
        <v>43677</v>
      </c>
      <c r="V38" s="207">
        <f t="shared" si="18"/>
        <v>0</v>
      </c>
      <c r="W38" s="206" t="str">
        <f t="shared" si="15"/>
        <v/>
      </c>
      <c r="X38" s="206">
        <f t="shared" si="16"/>
        <v>0</v>
      </c>
      <c r="Y38" s="209">
        <f t="shared" si="17"/>
        <v>0</v>
      </c>
    </row>
    <row r="39" spans="2:25" ht="15.75" hidden="1" thickBot="1" x14ac:dyDescent="0.3">
      <c r="B39" s="60">
        <f>B34</f>
        <v>4</v>
      </c>
      <c r="C39" s="102">
        <v>27</v>
      </c>
      <c r="D39" s="192" t="str">
        <f t="shared" si="6"/>
        <v>I</v>
      </c>
      <c r="E39" s="62"/>
      <c r="F39" s="105"/>
      <c r="G39" s="105"/>
      <c r="H39" s="61"/>
      <c r="I39" s="61"/>
      <c r="J39" s="62"/>
      <c r="K39" s="63"/>
      <c r="L39" s="61"/>
      <c r="M39" s="61"/>
      <c r="N39" s="111"/>
      <c r="O39" s="112"/>
      <c r="P39" s="113"/>
      <c r="Q39" s="114"/>
      <c r="R39" s="64"/>
      <c r="S39" s="108"/>
      <c r="T39" s="203">
        <f t="shared" si="0"/>
        <v>43647</v>
      </c>
      <c r="U39" s="204">
        <f t="shared" si="1"/>
        <v>43677</v>
      </c>
      <c r="V39" s="207">
        <f t="shared" si="18"/>
        <v>0</v>
      </c>
      <c r="W39" s="206" t="str">
        <f t="shared" si="15"/>
        <v/>
      </c>
      <c r="X39" s="206">
        <f t="shared" si="16"/>
        <v>0</v>
      </c>
      <c r="Y39" s="209">
        <f t="shared" si="17"/>
        <v>0</v>
      </c>
    </row>
    <row r="40" spans="2:25" ht="15.75" hidden="1" thickBot="1" x14ac:dyDescent="0.3">
      <c r="B40" s="141">
        <f>B34</f>
        <v>4</v>
      </c>
      <c r="C40" s="142">
        <v>28</v>
      </c>
      <c r="D40" s="194" t="str">
        <f t="shared" si="6"/>
        <v>I</v>
      </c>
      <c r="E40" s="143"/>
      <c r="F40" s="144"/>
      <c r="G40" s="144"/>
      <c r="H40" s="145"/>
      <c r="I40" s="145"/>
      <c r="J40" s="436" t="s">
        <v>181</v>
      </c>
      <c r="K40" s="437"/>
      <c r="L40" s="438"/>
      <c r="M40" s="145"/>
      <c r="N40" s="146"/>
      <c r="O40" s="147"/>
      <c r="P40" s="148"/>
      <c r="Q40" s="149"/>
      <c r="R40" s="150"/>
      <c r="S40" s="151"/>
      <c r="T40" s="213">
        <f t="shared" si="0"/>
        <v>43647</v>
      </c>
      <c r="U40" s="214">
        <f t="shared" si="1"/>
        <v>43677</v>
      </c>
      <c r="V40" s="210">
        <f t="shared" si="18"/>
        <v>0</v>
      </c>
      <c r="W40" s="211"/>
      <c r="X40" s="211">
        <f>IF(AND($V40&gt;0,$I40=1),IF($E40=10,P40/10,P40/$V40),0)</f>
        <v>0</v>
      </c>
      <c r="Y40" s="212">
        <f>IF(AND($V34&gt;0,$I40&lt;&gt;1),Q40/E34*V34,0)</f>
        <v>0</v>
      </c>
    </row>
    <row r="41" spans="2:25" ht="16.5" hidden="1" thickTop="1" thickBot="1" x14ac:dyDescent="0.3">
      <c r="B41" s="129">
        <f>B39+1</f>
        <v>5</v>
      </c>
      <c r="C41" s="130">
        <v>29</v>
      </c>
      <c r="D41" s="196" t="str">
        <f t="shared" si="6"/>
        <v>I</v>
      </c>
      <c r="E41" s="152"/>
      <c r="F41" s="153"/>
      <c r="G41" s="153"/>
      <c r="H41" s="154"/>
      <c r="I41" s="154"/>
      <c r="J41" s="152"/>
      <c r="K41" s="155"/>
      <c r="L41" s="154"/>
      <c r="M41" s="154"/>
      <c r="N41" s="156"/>
      <c r="O41" s="157"/>
      <c r="P41" s="158"/>
      <c r="Q41" s="159"/>
      <c r="R41" s="160"/>
      <c r="S41" s="161"/>
      <c r="T41" s="203">
        <f t="shared" si="0"/>
        <v>43647</v>
      </c>
      <c r="U41" s="204">
        <f t="shared" si="1"/>
        <v>43677</v>
      </c>
      <c r="V41" s="207">
        <f>IF(G41-F41+1-IF(G41-U41&gt;0,G41-U41,0)-IF(T41-F41&gt;0,T41-F41,0)&gt;0,G41-F41+1-IF(G41-U41&gt;0,G41-U41,0)-IF(T41-F41&gt;0,T41-F41,0),0)</f>
        <v>0</v>
      </c>
      <c r="W41" s="206" t="str">
        <f t="shared" ref="W41:W46" si="19">IF(V41&gt;0,H41,"")</f>
        <v/>
      </c>
      <c r="X41" s="206">
        <f t="shared" ref="X41:X46" si="20">IF(AND($V41&gt;0,$I41=1),P41/$E41*$V41,0)</f>
        <v>0</v>
      </c>
      <c r="Y41" s="209">
        <f t="shared" ref="Y41:Y46" si="21">IF(AND($V41&gt;0,$I41&lt;&gt;1),Q41/$E41*$V41,0)</f>
        <v>0</v>
      </c>
    </row>
    <row r="42" spans="2:25" ht="15.75" hidden="1" thickBot="1" x14ac:dyDescent="0.3">
      <c r="B42" s="60">
        <f>B41</f>
        <v>5</v>
      </c>
      <c r="C42" s="102">
        <v>30</v>
      </c>
      <c r="D42" s="192" t="str">
        <f t="shared" si="6"/>
        <v>I</v>
      </c>
      <c r="E42" s="162"/>
      <c r="F42" s="163"/>
      <c r="G42" s="163"/>
      <c r="H42" s="164"/>
      <c r="I42" s="164"/>
      <c r="J42" s="162"/>
      <c r="K42" s="165"/>
      <c r="L42" s="164"/>
      <c r="M42" s="164"/>
      <c r="N42" s="166"/>
      <c r="O42" s="167"/>
      <c r="P42" s="168"/>
      <c r="Q42" s="169"/>
      <c r="R42" s="170"/>
      <c r="S42" s="171"/>
      <c r="T42" s="203">
        <f t="shared" si="0"/>
        <v>43647</v>
      </c>
      <c r="U42" s="204">
        <f t="shared" si="1"/>
        <v>43677</v>
      </c>
      <c r="V42" s="207">
        <f t="shared" ref="V42:V47" si="22">IF(G42-F42+1-IF(G42-U42&gt;0,G42-U42,0)-IF(T42-F42&gt;0,T42-F42,0)&gt;0,G42-F42+1-IF(G42-U42&gt;0,G42-U42,0)-IF(T42-F42&gt;0,T42-F42,0),0)</f>
        <v>0</v>
      </c>
      <c r="W42" s="206" t="str">
        <f t="shared" si="19"/>
        <v/>
      </c>
      <c r="X42" s="206">
        <f t="shared" si="20"/>
        <v>0</v>
      </c>
      <c r="Y42" s="209">
        <f t="shared" si="21"/>
        <v>0</v>
      </c>
    </row>
    <row r="43" spans="2:25" ht="15.75" hidden="1" thickBot="1" x14ac:dyDescent="0.3">
      <c r="B43" s="60">
        <f>B41</f>
        <v>5</v>
      </c>
      <c r="C43" s="102">
        <v>31</v>
      </c>
      <c r="D43" s="192" t="str">
        <f t="shared" si="6"/>
        <v>I</v>
      </c>
      <c r="E43" s="162"/>
      <c r="F43" s="163"/>
      <c r="G43" s="163"/>
      <c r="H43" s="164"/>
      <c r="I43" s="164"/>
      <c r="J43" s="162"/>
      <c r="K43" s="165"/>
      <c r="L43" s="164"/>
      <c r="M43" s="164"/>
      <c r="N43" s="166"/>
      <c r="O43" s="167"/>
      <c r="P43" s="168"/>
      <c r="Q43" s="169"/>
      <c r="R43" s="170"/>
      <c r="S43" s="171"/>
      <c r="T43" s="203">
        <f t="shared" si="0"/>
        <v>43647</v>
      </c>
      <c r="U43" s="204">
        <f t="shared" si="1"/>
        <v>43677</v>
      </c>
      <c r="V43" s="207">
        <f t="shared" si="22"/>
        <v>0</v>
      </c>
      <c r="W43" s="206" t="str">
        <f t="shared" si="19"/>
        <v/>
      </c>
      <c r="X43" s="206">
        <f t="shared" si="20"/>
        <v>0</v>
      </c>
      <c r="Y43" s="209">
        <f t="shared" si="21"/>
        <v>0</v>
      </c>
    </row>
    <row r="44" spans="2:25" ht="15.75" hidden="1" thickBot="1" x14ac:dyDescent="0.3">
      <c r="B44" s="60">
        <f>B41</f>
        <v>5</v>
      </c>
      <c r="C44" s="102">
        <v>32</v>
      </c>
      <c r="D44" s="192" t="str">
        <f t="shared" si="6"/>
        <v>I</v>
      </c>
      <c r="E44" s="162"/>
      <c r="F44" s="163"/>
      <c r="G44" s="163"/>
      <c r="H44" s="164"/>
      <c r="I44" s="164"/>
      <c r="J44" s="162"/>
      <c r="K44" s="165"/>
      <c r="L44" s="164"/>
      <c r="M44" s="164"/>
      <c r="N44" s="166"/>
      <c r="O44" s="167"/>
      <c r="P44" s="168"/>
      <c r="Q44" s="169"/>
      <c r="R44" s="170"/>
      <c r="S44" s="171"/>
      <c r="T44" s="203">
        <f t="shared" si="0"/>
        <v>43647</v>
      </c>
      <c r="U44" s="204">
        <f t="shared" si="1"/>
        <v>43677</v>
      </c>
      <c r="V44" s="207">
        <f t="shared" si="22"/>
        <v>0</v>
      </c>
      <c r="W44" s="206" t="str">
        <f t="shared" si="19"/>
        <v/>
      </c>
      <c r="X44" s="206">
        <f t="shared" si="20"/>
        <v>0</v>
      </c>
      <c r="Y44" s="209">
        <f t="shared" si="21"/>
        <v>0</v>
      </c>
    </row>
    <row r="45" spans="2:25" ht="15.75" hidden="1" thickBot="1" x14ac:dyDescent="0.3">
      <c r="B45" s="60">
        <f>B41</f>
        <v>5</v>
      </c>
      <c r="C45" s="102">
        <v>33</v>
      </c>
      <c r="D45" s="192" t="str">
        <f t="shared" si="6"/>
        <v>I</v>
      </c>
      <c r="E45" s="162"/>
      <c r="F45" s="163"/>
      <c r="G45" s="163"/>
      <c r="H45" s="164"/>
      <c r="I45" s="164"/>
      <c r="J45" s="162"/>
      <c r="K45" s="165"/>
      <c r="L45" s="164"/>
      <c r="M45" s="164"/>
      <c r="N45" s="166"/>
      <c r="O45" s="167"/>
      <c r="P45" s="168"/>
      <c r="Q45" s="169"/>
      <c r="R45" s="170"/>
      <c r="S45" s="171"/>
      <c r="T45" s="203">
        <f t="shared" si="0"/>
        <v>43647</v>
      </c>
      <c r="U45" s="204">
        <f t="shared" si="1"/>
        <v>43677</v>
      </c>
      <c r="V45" s="207">
        <f t="shared" si="22"/>
        <v>0</v>
      </c>
      <c r="W45" s="206" t="str">
        <f t="shared" si="19"/>
        <v/>
      </c>
      <c r="X45" s="206">
        <f t="shared" si="20"/>
        <v>0</v>
      </c>
      <c r="Y45" s="209">
        <f t="shared" si="21"/>
        <v>0</v>
      </c>
    </row>
    <row r="46" spans="2:25" ht="15.75" hidden="1" thickBot="1" x14ac:dyDescent="0.3">
      <c r="B46" s="60">
        <f>B41</f>
        <v>5</v>
      </c>
      <c r="C46" s="102">
        <v>34</v>
      </c>
      <c r="D46" s="192" t="str">
        <f t="shared" si="6"/>
        <v>I</v>
      </c>
      <c r="E46" s="172"/>
      <c r="F46" s="173"/>
      <c r="G46" s="173"/>
      <c r="H46" s="174"/>
      <c r="I46" s="174"/>
      <c r="J46" s="172"/>
      <c r="K46" s="175"/>
      <c r="L46" s="174"/>
      <c r="M46" s="174"/>
      <c r="N46" s="176"/>
      <c r="O46" s="177"/>
      <c r="P46" s="178"/>
      <c r="Q46" s="179"/>
      <c r="R46" s="180"/>
      <c r="S46" s="181"/>
      <c r="T46" s="203">
        <f t="shared" si="0"/>
        <v>43647</v>
      </c>
      <c r="U46" s="204">
        <f t="shared" si="1"/>
        <v>43677</v>
      </c>
      <c r="V46" s="207">
        <f t="shared" si="22"/>
        <v>0</v>
      </c>
      <c r="W46" s="206" t="str">
        <f t="shared" si="19"/>
        <v/>
      </c>
      <c r="X46" s="206">
        <f t="shared" si="20"/>
        <v>0</v>
      </c>
      <c r="Y46" s="209">
        <f t="shared" si="21"/>
        <v>0</v>
      </c>
    </row>
    <row r="47" spans="2:25" ht="15.75" hidden="1" thickBot="1" x14ac:dyDescent="0.3">
      <c r="B47" s="141">
        <f>B41</f>
        <v>5</v>
      </c>
      <c r="C47" s="142">
        <v>35</v>
      </c>
      <c r="D47" s="194" t="str">
        <f t="shared" si="6"/>
        <v>I</v>
      </c>
      <c r="E47" s="189"/>
      <c r="F47" s="190"/>
      <c r="G47" s="190"/>
      <c r="H47" s="182"/>
      <c r="I47" s="182"/>
      <c r="J47" s="436" t="s">
        <v>181</v>
      </c>
      <c r="K47" s="437"/>
      <c r="L47" s="438"/>
      <c r="M47" s="182"/>
      <c r="N47" s="183"/>
      <c r="O47" s="184"/>
      <c r="P47" s="185"/>
      <c r="Q47" s="186"/>
      <c r="R47" s="187"/>
      <c r="S47" s="188"/>
      <c r="T47" s="213">
        <f t="shared" si="0"/>
        <v>43647</v>
      </c>
      <c r="U47" s="214">
        <f t="shared" si="1"/>
        <v>43677</v>
      </c>
      <c r="V47" s="210">
        <f t="shared" si="22"/>
        <v>0</v>
      </c>
      <c r="W47" s="211"/>
      <c r="X47" s="211">
        <f>IF(AND($V47&gt;0,$I47=1),IF($E47=10,P47/10,P47/$V47),0)</f>
        <v>0</v>
      </c>
      <c r="Y47" s="212">
        <f>IF(AND($V41&gt;0,$I47&lt;&gt;1),Q47/E41*V41,0)</f>
        <v>0</v>
      </c>
    </row>
    <row r="48" spans="2:25" ht="16.5" hidden="1" thickTop="1" thickBot="1" x14ac:dyDescent="0.3">
      <c r="B48" s="129">
        <f>B46+1</f>
        <v>6</v>
      </c>
      <c r="C48" s="130">
        <v>36</v>
      </c>
      <c r="D48" s="196" t="str">
        <f t="shared" si="6"/>
        <v>I</v>
      </c>
      <c r="E48" s="131"/>
      <c r="F48" s="132"/>
      <c r="G48" s="132"/>
      <c r="H48" s="133"/>
      <c r="I48" s="133"/>
      <c r="J48" s="131"/>
      <c r="K48" s="134"/>
      <c r="L48" s="133"/>
      <c r="M48" s="133"/>
      <c r="N48" s="135"/>
      <c r="O48" s="136"/>
      <c r="P48" s="137"/>
      <c r="Q48" s="138"/>
      <c r="R48" s="139"/>
      <c r="S48" s="140"/>
      <c r="T48" s="203">
        <f t="shared" si="0"/>
        <v>43647</v>
      </c>
      <c r="U48" s="204">
        <f t="shared" si="1"/>
        <v>43677</v>
      </c>
      <c r="V48" s="207">
        <f>IF(G48-F48+1-IF(G48-U48&gt;0,G48-U48,0)-IF(T48-F48&gt;0,T48-F48,0)&gt;0,G48-F48+1-IF(G48-U48&gt;0,G48-U48,0)-IF(T48-F48&gt;0,T48-F48,0),0)</f>
        <v>0</v>
      </c>
      <c r="W48" s="206" t="str">
        <f t="shared" ref="W48:W53" si="23">IF(V48&gt;0,H48,"")</f>
        <v/>
      </c>
      <c r="X48" s="206">
        <f t="shared" ref="X48:X53" si="24">IF(AND($V48&gt;0,$I48=1),P48/$E48*$V48,0)</f>
        <v>0</v>
      </c>
      <c r="Y48" s="209">
        <f t="shared" ref="Y48:Y53" si="25">IF(AND($V48&gt;0,$I48&lt;&gt;1),Q48/$E48*$V48,0)</f>
        <v>0</v>
      </c>
    </row>
    <row r="49" spans="2:25" ht="15.75" hidden="1" thickBot="1" x14ac:dyDescent="0.3">
      <c r="B49" s="60">
        <f>B48</f>
        <v>6</v>
      </c>
      <c r="C49" s="102">
        <v>37</v>
      </c>
      <c r="D49" s="192" t="str">
        <f t="shared" si="6"/>
        <v>I</v>
      </c>
      <c r="E49" s="62"/>
      <c r="F49" s="105"/>
      <c r="G49" s="105"/>
      <c r="H49" s="61"/>
      <c r="I49" s="61"/>
      <c r="J49" s="62"/>
      <c r="K49" s="63"/>
      <c r="L49" s="61"/>
      <c r="M49" s="61"/>
      <c r="N49" s="111"/>
      <c r="O49" s="112"/>
      <c r="P49" s="113"/>
      <c r="Q49" s="114"/>
      <c r="R49" s="64"/>
      <c r="S49" s="108"/>
      <c r="T49" s="203">
        <f t="shared" si="0"/>
        <v>43647</v>
      </c>
      <c r="U49" s="204">
        <f t="shared" si="1"/>
        <v>43677</v>
      </c>
      <c r="V49" s="207">
        <f t="shared" ref="V49:V54" si="26">IF(G49-F49+1-IF(G49-U49&gt;0,G49-U49,0)-IF(T49-F49&gt;0,T49-F49,0)&gt;0,G49-F49+1-IF(G49-U49&gt;0,G49-U49,0)-IF(T49-F49&gt;0,T49-F49,0),0)</f>
        <v>0</v>
      </c>
      <c r="W49" s="206" t="str">
        <f t="shared" si="23"/>
        <v/>
      </c>
      <c r="X49" s="206">
        <f t="shared" si="24"/>
        <v>0</v>
      </c>
      <c r="Y49" s="209">
        <f t="shared" si="25"/>
        <v>0</v>
      </c>
    </row>
    <row r="50" spans="2:25" ht="15.75" hidden="1" thickBot="1" x14ac:dyDescent="0.3">
      <c r="B50" s="60">
        <f>B48</f>
        <v>6</v>
      </c>
      <c r="C50" s="102">
        <v>38</v>
      </c>
      <c r="D50" s="192" t="str">
        <f t="shared" si="6"/>
        <v>I</v>
      </c>
      <c r="E50" s="62"/>
      <c r="F50" s="105"/>
      <c r="G50" s="105"/>
      <c r="H50" s="61"/>
      <c r="I50" s="61"/>
      <c r="J50" s="62"/>
      <c r="K50" s="63"/>
      <c r="L50" s="61"/>
      <c r="M50" s="61"/>
      <c r="N50" s="111"/>
      <c r="O50" s="112"/>
      <c r="P50" s="113"/>
      <c r="Q50" s="114"/>
      <c r="R50" s="64"/>
      <c r="S50" s="108"/>
      <c r="T50" s="203">
        <f t="shared" si="0"/>
        <v>43647</v>
      </c>
      <c r="U50" s="204">
        <f t="shared" si="1"/>
        <v>43677</v>
      </c>
      <c r="V50" s="207">
        <f t="shared" si="26"/>
        <v>0</v>
      </c>
      <c r="W50" s="206" t="str">
        <f t="shared" si="23"/>
        <v/>
      </c>
      <c r="X50" s="206">
        <f t="shared" si="24"/>
        <v>0</v>
      </c>
      <c r="Y50" s="209">
        <f t="shared" si="25"/>
        <v>0</v>
      </c>
    </row>
    <row r="51" spans="2:25" ht="15.75" hidden="1" thickBot="1" x14ac:dyDescent="0.3">
      <c r="B51" s="60">
        <f>B48</f>
        <v>6</v>
      </c>
      <c r="C51" s="102">
        <v>39</v>
      </c>
      <c r="D51" s="192" t="str">
        <f t="shared" si="6"/>
        <v>I</v>
      </c>
      <c r="E51" s="62"/>
      <c r="F51" s="105"/>
      <c r="G51" s="105"/>
      <c r="H51" s="61"/>
      <c r="I51" s="61"/>
      <c r="J51" s="62"/>
      <c r="K51" s="63"/>
      <c r="L51" s="61"/>
      <c r="M51" s="61"/>
      <c r="N51" s="111"/>
      <c r="O51" s="112"/>
      <c r="P51" s="113"/>
      <c r="Q51" s="114"/>
      <c r="R51" s="64"/>
      <c r="S51" s="108"/>
      <c r="T51" s="203">
        <f t="shared" si="0"/>
        <v>43647</v>
      </c>
      <c r="U51" s="204">
        <f t="shared" si="1"/>
        <v>43677</v>
      </c>
      <c r="V51" s="207">
        <f t="shared" si="26"/>
        <v>0</v>
      </c>
      <c r="W51" s="206" t="str">
        <f t="shared" si="23"/>
        <v/>
      </c>
      <c r="X51" s="206">
        <f t="shared" si="24"/>
        <v>0</v>
      </c>
      <c r="Y51" s="209">
        <f t="shared" si="25"/>
        <v>0</v>
      </c>
    </row>
    <row r="52" spans="2:25" ht="15.75" hidden="1" thickBot="1" x14ac:dyDescent="0.3">
      <c r="B52" s="60">
        <f>B48</f>
        <v>6</v>
      </c>
      <c r="C52" s="102">
        <v>40</v>
      </c>
      <c r="D52" s="192" t="str">
        <f t="shared" si="6"/>
        <v>I</v>
      </c>
      <c r="E52" s="62"/>
      <c r="F52" s="105"/>
      <c r="G52" s="105"/>
      <c r="H52" s="61"/>
      <c r="I52" s="61"/>
      <c r="J52" s="62"/>
      <c r="K52" s="63"/>
      <c r="L52" s="61"/>
      <c r="M52" s="61"/>
      <c r="N52" s="111"/>
      <c r="O52" s="112"/>
      <c r="P52" s="113"/>
      <c r="Q52" s="114"/>
      <c r="R52" s="64"/>
      <c r="S52" s="108"/>
      <c r="T52" s="203">
        <f t="shared" si="0"/>
        <v>43647</v>
      </c>
      <c r="U52" s="204">
        <f t="shared" si="1"/>
        <v>43677</v>
      </c>
      <c r="V52" s="207">
        <f t="shared" si="26"/>
        <v>0</v>
      </c>
      <c r="W52" s="206" t="str">
        <f t="shared" si="23"/>
        <v/>
      </c>
      <c r="X52" s="206">
        <f t="shared" si="24"/>
        <v>0</v>
      </c>
      <c r="Y52" s="209">
        <f t="shared" si="25"/>
        <v>0</v>
      </c>
    </row>
    <row r="53" spans="2:25" ht="15.75" hidden="1" thickBot="1" x14ac:dyDescent="0.3">
      <c r="B53" s="60">
        <f>B48</f>
        <v>6</v>
      </c>
      <c r="C53" s="102">
        <v>41</v>
      </c>
      <c r="D53" s="192" t="str">
        <f t="shared" si="6"/>
        <v>I</v>
      </c>
      <c r="E53" s="62"/>
      <c r="F53" s="105"/>
      <c r="G53" s="105"/>
      <c r="H53" s="61"/>
      <c r="I53" s="61"/>
      <c r="J53" s="62"/>
      <c r="K53" s="63"/>
      <c r="L53" s="61"/>
      <c r="M53" s="61"/>
      <c r="N53" s="111"/>
      <c r="O53" s="112"/>
      <c r="P53" s="113"/>
      <c r="Q53" s="114"/>
      <c r="R53" s="64"/>
      <c r="S53" s="108"/>
      <c r="T53" s="203">
        <f t="shared" si="0"/>
        <v>43647</v>
      </c>
      <c r="U53" s="204">
        <f t="shared" si="1"/>
        <v>43677</v>
      </c>
      <c r="V53" s="207">
        <f t="shared" si="26"/>
        <v>0</v>
      </c>
      <c r="W53" s="206" t="str">
        <f t="shared" si="23"/>
        <v/>
      </c>
      <c r="X53" s="206">
        <f t="shared" si="24"/>
        <v>0</v>
      </c>
      <c r="Y53" s="209">
        <f t="shared" si="25"/>
        <v>0</v>
      </c>
    </row>
    <row r="54" spans="2:25" ht="15.75" hidden="1" thickBot="1" x14ac:dyDescent="0.3">
      <c r="B54" s="141">
        <f>B48</f>
        <v>6</v>
      </c>
      <c r="C54" s="142">
        <v>42</v>
      </c>
      <c r="D54" s="194" t="str">
        <f t="shared" si="6"/>
        <v>I</v>
      </c>
      <c r="E54" s="143"/>
      <c r="F54" s="144"/>
      <c r="G54" s="144"/>
      <c r="H54" s="145"/>
      <c r="I54" s="145"/>
      <c r="J54" s="436" t="s">
        <v>181</v>
      </c>
      <c r="K54" s="437"/>
      <c r="L54" s="438"/>
      <c r="M54" s="145"/>
      <c r="N54" s="146"/>
      <c r="O54" s="147"/>
      <c r="P54" s="148"/>
      <c r="Q54" s="149"/>
      <c r="R54" s="150"/>
      <c r="S54" s="151"/>
      <c r="T54" s="213">
        <f t="shared" si="0"/>
        <v>43647</v>
      </c>
      <c r="U54" s="214">
        <f t="shared" si="1"/>
        <v>43677</v>
      </c>
      <c r="V54" s="210">
        <f t="shared" si="26"/>
        <v>0</v>
      </c>
      <c r="W54" s="211"/>
      <c r="X54" s="211">
        <f>IF(AND($V54&gt;0,$I54=1),IF($E54=10,P54/10,P54/$V54),0)</f>
        <v>0</v>
      </c>
      <c r="Y54" s="212">
        <f>IF(AND($V48&gt;0,$I54&lt;&gt;1),Q54/E48*V48,0)</f>
        <v>0</v>
      </c>
    </row>
    <row r="55" spans="2:25" ht="16.5" hidden="1" thickTop="1" thickBot="1" x14ac:dyDescent="0.3">
      <c r="B55" s="129">
        <f>B53+1</f>
        <v>7</v>
      </c>
      <c r="C55" s="130">
        <v>43</v>
      </c>
      <c r="D55" s="196" t="str">
        <f t="shared" si="6"/>
        <v>I</v>
      </c>
      <c r="E55" s="152"/>
      <c r="F55" s="153"/>
      <c r="G55" s="153"/>
      <c r="H55" s="154"/>
      <c r="I55" s="154"/>
      <c r="J55" s="152"/>
      <c r="K55" s="155"/>
      <c r="L55" s="154"/>
      <c r="M55" s="154"/>
      <c r="N55" s="156"/>
      <c r="O55" s="157"/>
      <c r="P55" s="158"/>
      <c r="Q55" s="159"/>
      <c r="R55" s="160"/>
      <c r="S55" s="161"/>
      <c r="T55" s="203">
        <f t="shared" si="0"/>
        <v>43647</v>
      </c>
      <c r="U55" s="204">
        <f t="shared" si="1"/>
        <v>43677</v>
      </c>
      <c r="V55" s="207">
        <f>IF(G55-F55+1-IF(G55-U55&gt;0,G55-U55,0)-IF(T55-F55&gt;0,T55-F55,0)&gt;0,G55-F55+1-IF(G55-U55&gt;0,G55-U55,0)-IF(T55-F55&gt;0,T55-F55,0),0)</f>
        <v>0</v>
      </c>
      <c r="W55" s="206" t="str">
        <f t="shared" ref="W55:W60" si="27">IF(V55&gt;0,H55,"")</f>
        <v/>
      </c>
      <c r="X55" s="206">
        <f t="shared" ref="X55:X60" si="28">IF(AND($V55&gt;0,$I55=1),P55/$E55*$V55,0)</f>
        <v>0</v>
      </c>
      <c r="Y55" s="209">
        <f t="shared" ref="Y55:Y60" si="29">IF(AND($V55&gt;0,$I55&lt;&gt;1),Q55/$E55*$V55,0)</f>
        <v>0</v>
      </c>
    </row>
    <row r="56" spans="2:25" ht="15.75" hidden="1" thickBot="1" x14ac:dyDescent="0.3">
      <c r="B56" s="60">
        <f>B55</f>
        <v>7</v>
      </c>
      <c r="C56" s="102">
        <v>44</v>
      </c>
      <c r="D56" s="192" t="str">
        <f t="shared" si="6"/>
        <v>I</v>
      </c>
      <c r="E56" s="162"/>
      <c r="F56" s="163"/>
      <c r="G56" s="163"/>
      <c r="H56" s="164"/>
      <c r="I56" s="164"/>
      <c r="J56" s="162"/>
      <c r="K56" s="165"/>
      <c r="L56" s="164"/>
      <c r="M56" s="164"/>
      <c r="N56" s="166"/>
      <c r="O56" s="167"/>
      <c r="P56" s="168"/>
      <c r="Q56" s="169"/>
      <c r="R56" s="170"/>
      <c r="S56" s="171"/>
      <c r="T56" s="203">
        <f t="shared" si="0"/>
        <v>43647</v>
      </c>
      <c r="U56" s="204">
        <f t="shared" si="1"/>
        <v>43677</v>
      </c>
      <c r="V56" s="207">
        <f t="shared" ref="V56:V61" si="30">IF(G56-F56+1-IF(G56-U56&gt;0,G56-U56,0)-IF(T56-F56&gt;0,T56-F56,0)&gt;0,G56-F56+1-IF(G56-U56&gt;0,G56-U56,0)-IF(T56-F56&gt;0,T56-F56,0),0)</f>
        <v>0</v>
      </c>
      <c r="W56" s="206" t="str">
        <f t="shared" si="27"/>
        <v/>
      </c>
      <c r="X56" s="206">
        <f t="shared" si="28"/>
        <v>0</v>
      </c>
      <c r="Y56" s="209">
        <f t="shared" si="29"/>
        <v>0</v>
      </c>
    </row>
    <row r="57" spans="2:25" ht="15.75" hidden="1" thickBot="1" x14ac:dyDescent="0.3">
      <c r="B57" s="60">
        <f>B55</f>
        <v>7</v>
      </c>
      <c r="C57" s="102">
        <v>45</v>
      </c>
      <c r="D57" s="192" t="str">
        <f t="shared" si="6"/>
        <v>I</v>
      </c>
      <c r="E57" s="162"/>
      <c r="F57" s="163"/>
      <c r="G57" s="163"/>
      <c r="H57" s="164"/>
      <c r="I57" s="164"/>
      <c r="J57" s="162"/>
      <c r="K57" s="165"/>
      <c r="L57" s="164"/>
      <c r="M57" s="164"/>
      <c r="N57" s="166"/>
      <c r="O57" s="167"/>
      <c r="P57" s="168"/>
      <c r="Q57" s="169"/>
      <c r="R57" s="170"/>
      <c r="S57" s="171"/>
      <c r="T57" s="203">
        <f t="shared" si="0"/>
        <v>43647</v>
      </c>
      <c r="U57" s="204">
        <f t="shared" si="1"/>
        <v>43677</v>
      </c>
      <c r="V57" s="207">
        <f t="shared" si="30"/>
        <v>0</v>
      </c>
      <c r="W57" s="206" t="str">
        <f t="shared" si="27"/>
        <v/>
      </c>
      <c r="X57" s="206">
        <f t="shared" si="28"/>
        <v>0</v>
      </c>
      <c r="Y57" s="209">
        <f t="shared" si="29"/>
        <v>0</v>
      </c>
    </row>
    <row r="58" spans="2:25" ht="15.75" hidden="1" thickBot="1" x14ac:dyDescent="0.3">
      <c r="B58" s="60">
        <f>B55</f>
        <v>7</v>
      </c>
      <c r="C58" s="102">
        <v>46</v>
      </c>
      <c r="D58" s="192" t="str">
        <f t="shared" si="6"/>
        <v>I</v>
      </c>
      <c r="E58" s="162"/>
      <c r="F58" s="163"/>
      <c r="G58" s="163"/>
      <c r="H58" s="164"/>
      <c r="I58" s="164"/>
      <c r="J58" s="162"/>
      <c r="K58" s="165"/>
      <c r="L58" s="164"/>
      <c r="M58" s="164"/>
      <c r="N58" s="166"/>
      <c r="O58" s="167"/>
      <c r="P58" s="168"/>
      <c r="Q58" s="169"/>
      <c r="R58" s="170"/>
      <c r="S58" s="171"/>
      <c r="T58" s="203">
        <f t="shared" si="0"/>
        <v>43647</v>
      </c>
      <c r="U58" s="204">
        <f t="shared" si="1"/>
        <v>43677</v>
      </c>
      <c r="V58" s="207">
        <f t="shared" si="30"/>
        <v>0</v>
      </c>
      <c r="W58" s="206" t="str">
        <f t="shared" si="27"/>
        <v/>
      </c>
      <c r="X58" s="206">
        <f t="shared" si="28"/>
        <v>0</v>
      </c>
      <c r="Y58" s="209">
        <f t="shared" si="29"/>
        <v>0</v>
      </c>
    </row>
    <row r="59" spans="2:25" ht="15.75" hidden="1" thickBot="1" x14ac:dyDescent="0.3">
      <c r="B59" s="60">
        <f>B55</f>
        <v>7</v>
      </c>
      <c r="C59" s="102">
        <v>47</v>
      </c>
      <c r="D59" s="192" t="str">
        <f t="shared" si="6"/>
        <v>I</v>
      </c>
      <c r="E59" s="162"/>
      <c r="F59" s="163"/>
      <c r="G59" s="163"/>
      <c r="H59" s="164"/>
      <c r="I59" s="164"/>
      <c r="J59" s="162"/>
      <c r="K59" s="165"/>
      <c r="L59" s="164"/>
      <c r="M59" s="164"/>
      <c r="N59" s="166"/>
      <c r="O59" s="167"/>
      <c r="P59" s="168"/>
      <c r="Q59" s="169"/>
      <c r="R59" s="170"/>
      <c r="S59" s="171"/>
      <c r="T59" s="203">
        <f t="shared" si="0"/>
        <v>43647</v>
      </c>
      <c r="U59" s="204">
        <f t="shared" si="1"/>
        <v>43677</v>
      </c>
      <c r="V59" s="207">
        <f t="shared" si="30"/>
        <v>0</v>
      </c>
      <c r="W59" s="206" t="str">
        <f t="shared" si="27"/>
        <v/>
      </c>
      <c r="X59" s="206">
        <f t="shared" si="28"/>
        <v>0</v>
      </c>
      <c r="Y59" s="209">
        <f t="shared" si="29"/>
        <v>0</v>
      </c>
    </row>
    <row r="60" spans="2:25" ht="15.75" hidden="1" thickBot="1" x14ac:dyDescent="0.3">
      <c r="B60" s="60">
        <f>B55</f>
        <v>7</v>
      </c>
      <c r="C60" s="102">
        <v>48</v>
      </c>
      <c r="D60" s="192" t="str">
        <f t="shared" si="6"/>
        <v>I</v>
      </c>
      <c r="E60" s="172"/>
      <c r="F60" s="173"/>
      <c r="G60" s="173"/>
      <c r="H60" s="174"/>
      <c r="I60" s="174"/>
      <c r="J60" s="172"/>
      <c r="K60" s="175"/>
      <c r="L60" s="174"/>
      <c r="M60" s="174"/>
      <c r="N60" s="176"/>
      <c r="O60" s="177"/>
      <c r="P60" s="178"/>
      <c r="Q60" s="179"/>
      <c r="R60" s="180"/>
      <c r="S60" s="181"/>
      <c r="T60" s="203">
        <f t="shared" si="0"/>
        <v>43647</v>
      </c>
      <c r="U60" s="204">
        <f t="shared" si="1"/>
        <v>43677</v>
      </c>
      <c r="V60" s="207">
        <f t="shared" si="30"/>
        <v>0</v>
      </c>
      <c r="W60" s="206" t="str">
        <f t="shared" si="27"/>
        <v/>
      </c>
      <c r="X60" s="206">
        <f t="shared" si="28"/>
        <v>0</v>
      </c>
      <c r="Y60" s="209">
        <f t="shared" si="29"/>
        <v>0</v>
      </c>
    </row>
    <row r="61" spans="2:25" ht="15.75" hidden="1" thickBot="1" x14ac:dyDescent="0.3">
      <c r="B61" s="141">
        <f>B55</f>
        <v>7</v>
      </c>
      <c r="C61" s="142">
        <v>49</v>
      </c>
      <c r="D61" s="194" t="str">
        <f t="shared" si="6"/>
        <v>I</v>
      </c>
      <c r="E61" s="189"/>
      <c r="F61" s="190"/>
      <c r="G61" s="190"/>
      <c r="H61" s="182"/>
      <c r="I61" s="182"/>
      <c r="J61" s="436" t="s">
        <v>181</v>
      </c>
      <c r="K61" s="437"/>
      <c r="L61" s="438"/>
      <c r="M61" s="182"/>
      <c r="N61" s="183"/>
      <c r="O61" s="184"/>
      <c r="P61" s="185"/>
      <c r="Q61" s="186"/>
      <c r="R61" s="187"/>
      <c r="S61" s="188"/>
      <c r="T61" s="213">
        <f t="shared" si="0"/>
        <v>43647</v>
      </c>
      <c r="U61" s="214">
        <f t="shared" si="1"/>
        <v>43677</v>
      </c>
      <c r="V61" s="210">
        <f t="shared" si="30"/>
        <v>0</v>
      </c>
      <c r="W61" s="211"/>
      <c r="X61" s="211">
        <f>IF(AND($V61&gt;0,$I61=1),IF($E61=10,P61/10,P61/$V61),0)</f>
        <v>0</v>
      </c>
      <c r="Y61" s="212">
        <f>IF(AND($V55&gt;0,$I61&lt;&gt;1),Q61/E55*V55,0)</f>
        <v>0</v>
      </c>
    </row>
    <row r="62" spans="2:25" ht="16.5" hidden="1" thickTop="1" thickBot="1" x14ac:dyDescent="0.3">
      <c r="B62" s="129">
        <f>B60+1</f>
        <v>8</v>
      </c>
      <c r="C62" s="130">
        <v>50</v>
      </c>
      <c r="D62" s="196" t="str">
        <f t="shared" si="6"/>
        <v>I</v>
      </c>
      <c r="E62" s="131"/>
      <c r="F62" s="132"/>
      <c r="G62" s="132"/>
      <c r="H62" s="133"/>
      <c r="I62" s="133"/>
      <c r="J62" s="131"/>
      <c r="K62" s="134"/>
      <c r="L62" s="133"/>
      <c r="M62" s="133"/>
      <c r="N62" s="135"/>
      <c r="O62" s="136"/>
      <c r="P62" s="137"/>
      <c r="Q62" s="138"/>
      <c r="R62" s="139"/>
      <c r="S62" s="140"/>
      <c r="T62" s="203">
        <f t="shared" si="0"/>
        <v>43647</v>
      </c>
      <c r="U62" s="204">
        <f t="shared" si="1"/>
        <v>43677</v>
      </c>
      <c r="V62" s="207">
        <f>IF(G62-F62+1-IF(G62-U62&gt;0,G62-U62,0)-IF(T62-F62&gt;0,T62-F62,0)&gt;0,G62-F62+1-IF(G62-U62&gt;0,G62-U62,0)-IF(T62-F62&gt;0,T62-F62,0),0)</f>
        <v>0</v>
      </c>
      <c r="W62" s="206" t="str">
        <f t="shared" ref="W62:W67" si="31">IF(V62&gt;0,H62,"")</f>
        <v/>
      </c>
      <c r="X62" s="206">
        <f t="shared" ref="X62:X67" si="32">IF(AND($V62&gt;0,$I62=1),P62/$E62*$V62,0)</f>
        <v>0</v>
      </c>
      <c r="Y62" s="209">
        <f t="shared" ref="Y62:Y67" si="33">IF(AND($V62&gt;0,$I62&lt;&gt;1),Q62/$E62*$V62,0)</f>
        <v>0</v>
      </c>
    </row>
    <row r="63" spans="2:25" ht="15.75" hidden="1" thickBot="1" x14ac:dyDescent="0.3">
      <c r="B63" s="60">
        <f>B62</f>
        <v>8</v>
      </c>
      <c r="C63" s="102">
        <v>51</v>
      </c>
      <c r="D63" s="192" t="str">
        <f t="shared" si="6"/>
        <v>I</v>
      </c>
      <c r="E63" s="62"/>
      <c r="F63" s="105"/>
      <c r="G63" s="105"/>
      <c r="H63" s="61"/>
      <c r="I63" s="61"/>
      <c r="J63" s="62"/>
      <c r="K63" s="63"/>
      <c r="L63" s="61"/>
      <c r="M63" s="61"/>
      <c r="N63" s="111"/>
      <c r="O63" s="112"/>
      <c r="P63" s="113"/>
      <c r="Q63" s="114"/>
      <c r="R63" s="64"/>
      <c r="S63" s="108"/>
      <c r="T63" s="203">
        <f t="shared" si="0"/>
        <v>43647</v>
      </c>
      <c r="U63" s="204">
        <f t="shared" si="1"/>
        <v>43677</v>
      </c>
      <c r="V63" s="207">
        <f t="shared" ref="V63:V68" si="34">IF(G63-F63+1-IF(G63-U63&gt;0,G63-U63,0)-IF(T63-F63&gt;0,T63-F63,0)&gt;0,G63-F63+1-IF(G63-U63&gt;0,G63-U63,0)-IF(T63-F63&gt;0,T63-F63,0),0)</f>
        <v>0</v>
      </c>
      <c r="W63" s="206" t="str">
        <f t="shared" si="31"/>
        <v/>
      </c>
      <c r="X63" s="206">
        <f t="shared" si="32"/>
        <v>0</v>
      </c>
      <c r="Y63" s="209">
        <f t="shared" si="33"/>
        <v>0</v>
      </c>
    </row>
    <row r="64" spans="2:25" ht="15.75" hidden="1" thickBot="1" x14ac:dyDescent="0.3">
      <c r="B64" s="60">
        <f>B62</f>
        <v>8</v>
      </c>
      <c r="C64" s="102">
        <v>52</v>
      </c>
      <c r="D64" s="192" t="str">
        <f t="shared" si="6"/>
        <v>I</v>
      </c>
      <c r="E64" s="62"/>
      <c r="F64" s="105"/>
      <c r="G64" s="105"/>
      <c r="H64" s="61"/>
      <c r="I64" s="61"/>
      <c r="J64" s="62"/>
      <c r="K64" s="63"/>
      <c r="L64" s="61"/>
      <c r="M64" s="61"/>
      <c r="N64" s="111"/>
      <c r="O64" s="112"/>
      <c r="P64" s="113"/>
      <c r="Q64" s="114"/>
      <c r="R64" s="64"/>
      <c r="S64" s="108"/>
      <c r="T64" s="203">
        <f t="shared" si="0"/>
        <v>43647</v>
      </c>
      <c r="U64" s="204">
        <f t="shared" si="1"/>
        <v>43677</v>
      </c>
      <c r="V64" s="207">
        <f t="shared" si="34"/>
        <v>0</v>
      </c>
      <c r="W64" s="206" t="str">
        <f t="shared" si="31"/>
        <v/>
      </c>
      <c r="X64" s="206">
        <f t="shared" si="32"/>
        <v>0</v>
      </c>
      <c r="Y64" s="209">
        <f t="shared" si="33"/>
        <v>0</v>
      </c>
    </row>
    <row r="65" spans="2:25" ht="15.75" hidden="1" thickBot="1" x14ac:dyDescent="0.3">
      <c r="B65" s="60">
        <f>B62</f>
        <v>8</v>
      </c>
      <c r="C65" s="102">
        <v>53</v>
      </c>
      <c r="D65" s="192" t="str">
        <f t="shared" si="6"/>
        <v>I</v>
      </c>
      <c r="E65" s="62"/>
      <c r="F65" s="105"/>
      <c r="G65" s="105"/>
      <c r="H65" s="61"/>
      <c r="I65" s="61"/>
      <c r="J65" s="62"/>
      <c r="K65" s="63"/>
      <c r="L65" s="61"/>
      <c r="M65" s="61"/>
      <c r="N65" s="111"/>
      <c r="O65" s="112"/>
      <c r="P65" s="113"/>
      <c r="Q65" s="114"/>
      <c r="R65" s="64"/>
      <c r="S65" s="108"/>
      <c r="T65" s="203">
        <f t="shared" si="0"/>
        <v>43647</v>
      </c>
      <c r="U65" s="204">
        <f t="shared" si="1"/>
        <v>43677</v>
      </c>
      <c r="V65" s="207">
        <f t="shared" si="34"/>
        <v>0</v>
      </c>
      <c r="W65" s="206" t="str">
        <f t="shared" si="31"/>
        <v/>
      </c>
      <c r="X65" s="206">
        <f t="shared" si="32"/>
        <v>0</v>
      </c>
      <c r="Y65" s="209">
        <f t="shared" si="33"/>
        <v>0</v>
      </c>
    </row>
    <row r="66" spans="2:25" ht="15.75" hidden="1" thickBot="1" x14ac:dyDescent="0.3">
      <c r="B66" s="60">
        <f>B62</f>
        <v>8</v>
      </c>
      <c r="C66" s="102">
        <v>54</v>
      </c>
      <c r="D66" s="192" t="str">
        <f t="shared" si="6"/>
        <v>I</v>
      </c>
      <c r="E66" s="62"/>
      <c r="F66" s="105"/>
      <c r="G66" s="105"/>
      <c r="H66" s="61"/>
      <c r="I66" s="61"/>
      <c r="J66" s="62"/>
      <c r="K66" s="63"/>
      <c r="L66" s="61"/>
      <c r="M66" s="61"/>
      <c r="N66" s="111"/>
      <c r="O66" s="112"/>
      <c r="P66" s="113"/>
      <c r="Q66" s="114"/>
      <c r="R66" s="64"/>
      <c r="S66" s="108"/>
      <c r="T66" s="203">
        <f t="shared" si="0"/>
        <v>43647</v>
      </c>
      <c r="U66" s="204">
        <f t="shared" si="1"/>
        <v>43677</v>
      </c>
      <c r="V66" s="207">
        <f t="shared" si="34"/>
        <v>0</v>
      </c>
      <c r="W66" s="206" t="str">
        <f t="shared" si="31"/>
        <v/>
      </c>
      <c r="X66" s="206">
        <f t="shared" si="32"/>
        <v>0</v>
      </c>
      <c r="Y66" s="209">
        <f t="shared" si="33"/>
        <v>0</v>
      </c>
    </row>
    <row r="67" spans="2:25" ht="15.75" hidden="1" thickBot="1" x14ac:dyDescent="0.3">
      <c r="B67" s="60">
        <f>B62</f>
        <v>8</v>
      </c>
      <c r="C67" s="102">
        <v>55</v>
      </c>
      <c r="D67" s="192" t="str">
        <f t="shared" si="6"/>
        <v>I</v>
      </c>
      <c r="E67" s="62"/>
      <c r="F67" s="105"/>
      <c r="G67" s="105"/>
      <c r="H67" s="61"/>
      <c r="I67" s="61"/>
      <c r="J67" s="62"/>
      <c r="K67" s="63"/>
      <c r="L67" s="61"/>
      <c r="M67" s="61"/>
      <c r="N67" s="111"/>
      <c r="O67" s="112"/>
      <c r="P67" s="113"/>
      <c r="Q67" s="114"/>
      <c r="R67" s="64"/>
      <c r="S67" s="108"/>
      <c r="T67" s="203">
        <f t="shared" si="0"/>
        <v>43647</v>
      </c>
      <c r="U67" s="204">
        <f t="shared" si="1"/>
        <v>43677</v>
      </c>
      <c r="V67" s="207">
        <f t="shared" si="34"/>
        <v>0</v>
      </c>
      <c r="W67" s="206" t="str">
        <f t="shared" si="31"/>
        <v/>
      </c>
      <c r="X67" s="206">
        <f t="shared" si="32"/>
        <v>0</v>
      </c>
      <c r="Y67" s="209">
        <f t="shared" si="33"/>
        <v>0</v>
      </c>
    </row>
    <row r="68" spans="2:25" ht="15.75" hidden="1" thickBot="1" x14ac:dyDescent="0.3">
      <c r="B68" s="141">
        <f>B62</f>
        <v>8</v>
      </c>
      <c r="C68" s="142">
        <v>56</v>
      </c>
      <c r="D68" s="194" t="str">
        <f t="shared" si="6"/>
        <v>I</v>
      </c>
      <c r="E68" s="143"/>
      <c r="F68" s="144"/>
      <c r="G68" s="144"/>
      <c r="H68" s="145"/>
      <c r="I68" s="145"/>
      <c r="J68" s="436" t="s">
        <v>181</v>
      </c>
      <c r="K68" s="437"/>
      <c r="L68" s="438"/>
      <c r="M68" s="145"/>
      <c r="N68" s="146"/>
      <c r="O68" s="147"/>
      <c r="P68" s="148"/>
      <c r="Q68" s="149"/>
      <c r="R68" s="150"/>
      <c r="S68" s="151"/>
      <c r="T68" s="213">
        <f t="shared" si="0"/>
        <v>43647</v>
      </c>
      <c r="U68" s="214">
        <f t="shared" si="1"/>
        <v>43677</v>
      </c>
      <c r="V68" s="210">
        <f t="shared" si="34"/>
        <v>0</v>
      </c>
      <c r="W68" s="211"/>
      <c r="X68" s="211">
        <f>IF(AND($V68&gt;0,$I68=1),IF($E68=10,P68/10,P68/$V68),0)</f>
        <v>0</v>
      </c>
      <c r="Y68" s="212">
        <f>IF(AND($V62&gt;0,$I68&lt;&gt;1),Q68/E62*V62,0)</f>
        <v>0</v>
      </c>
    </row>
    <row r="69" spans="2:25" ht="16.5" hidden="1" thickTop="1" thickBot="1" x14ac:dyDescent="0.3">
      <c r="B69" s="129">
        <f>B67+1</f>
        <v>9</v>
      </c>
      <c r="C69" s="130">
        <v>57</v>
      </c>
      <c r="D69" s="196" t="str">
        <f t="shared" si="6"/>
        <v>I</v>
      </c>
      <c r="E69" s="152"/>
      <c r="F69" s="153"/>
      <c r="G69" s="153"/>
      <c r="H69" s="154"/>
      <c r="I69" s="154"/>
      <c r="J69" s="152"/>
      <c r="K69" s="155"/>
      <c r="L69" s="154"/>
      <c r="M69" s="154"/>
      <c r="N69" s="156"/>
      <c r="O69" s="157"/>
      <c r="P69" s="158"/>
      <c r="Q69" s="159"/>
      <c r="R69" s="160"/>
      <c r="S69" s="161"/>
      <c r="T69" s="203">
        <f t="shared" si="0"/>
        <v>43647</v>
      </c>
      <c r="U69" s="204">
        <f t="shared" si="1"/>
        <v>43677</v>
      </c>
      <c r="V69" s="207">
        <f>IF(G69-F69+1-IF(G69-U69&gt;0,G69-U69,0)-IF(T69-F69&gt;0,T69-F69,0)&gt;0,G69-F69+1-IF(G69-U69&gt;0,G69-U69,0)-IF(T69-F69&gt;0,T69-F69,0),0)</f>
        <v>0</v>
      </c>
      <c r="W69" s="206" t="str">
        <f t="shared" ref="W69:W74" si="35">IF(V69&gt;0,H69,"")</f>
        <v/>
      </c>
      <c r="X69" s="206">
        <f t="shared" ref="X69:X74" si="36">IF(AND($V69&gt;0,$I69=1),P69/$E69*$V69,0)</f>
        <v>0</v>
      </c>
      <c r="Y69" s="209">
        <f t="shared" ref="Y69:Y74" si="37">IF(AND($V69&gt;0,$I69&lt;&gt;1),Q69/$E69*$V69,0)</f>
        <v>0</v>
      </c>
    </row>
    <row r="70" spans="2:25" ht="15.75" hidden="1" thickBot="1" x14ac:dyDescent="0.3">
      <c r="B70" s="60">
        <f>B69</f>
        <v>9</v>
      </c>
      <c r="C70" s="102">
        <v>58</v>
      </c>
      <c r="D70" s="192" t="str">
        <f t="shared" si="6"/>
        <v>I</v>
      </c>
      <c r="E70" s="162"/>
      <c r="F70" s="163"/>
      <c r="G70" s="163"/>
      <c r="H70" s="164"/>
      <c r="I70" s="164"/>
      <c r="J70" s="162"/>
      <c r="K70" s="165"/>
      <c r="L70" s="164"/>
      <c r="M70" s="164"/>
      <c r="N70" s="166"/>
      <c r="O70" s="167"/>
      <c r="P70" s="168"/>
      <c r="Q70" s="169"/>
      <c r="R70" s="170"/>
      <c r="S70" s="171"/>
      <c r="T70" s="203">
        <f t="shared" si="0"/>
        <v>43647</v>
      </c>
      <c r="U70" s="204">
        <f t="shared" si="1"/>
        <v>43677</v>
      </c>
      <c r="V70" s="207">
        <f t="shared" ref="V70:V75" si="38">IF(G70-F70+1-IF(G70-U70&gt;0,G70-U70,0)-IF(T70-F70&gt;0,T70-F70,0)&gt;0,G70-F70+1-IF(G70-U70&gt;0,G70-U70,0)-IF(T70-F70&gt;0,T70-F70,0),0)</f>
        <v>0</v>
      </c>
      <c r="W70" s="206" t="str">
        <f t="shared" si="35"/>
        <v/>
      </c>
      <c r="X70" s="206">
        <f t="shared" si="36"/>
        <v>0</v>
      </c>
      <c r="Y70" s="209">
        <f t="shared" si="37"/>
        <v>0</v>
      </c>
    </row>
    <row r="71" spans="2:25" ht="15.75" hidden="1" thickBot="1" x14ac:dyDescent="0.3">
      <c r="B71" s="60">
        <f>B69</f>
        <v>9</v>
      </c>
      <c r="C71" s="102">
        <v>59</v>
      </c>
      <c r="D71" s="192" t="str">
        <f t="shared" si="6"/>
        <v>I</v>
      </c>
      <c r="E71" s="162"/>
      <c r="F71" s="163"/>
      <c r="G71" s="163"/>
      <c r="H71" s="164"/>
      <c r="I71" s="164"/>
      <c r="J71" s="162"/>
      <c r="K71" s="165"/>
      <c r="L71" s="164"/>
      <c r="M71" s="164"/>
      <c r="N71" s="166"/>
      <c r="O71" s="167"/>
      <c r="P71" s="168"/>
      <c r="Q71" s="169"/>
      <c r="R71" s="170"/>
      <c r="S71" s="171"/>
      <c r="T71" s="203">
        <f t="shared" si="0"/>
        <v>43647</v>
      </c>
      <c r="U71" s="204">
        <f t="shared" si="1"/>
        <v>43677</v>
      </c>
      <c r="V71" s="207">
        <f t="shared" si="38"/>
        <v>0</v>
      </c>
      <c r="W71" s="206" t="str">
        <f t="shared" si="35"/>
        <v/>
      </c>
      <c r="X71" s="206">
        <f t="shared" si="36"/>
        <v>0</v>
      </c>
      <c r="Y71" s="209">
        <f t="shared" si="37"/>
        <v>0</v>
      </c>
    </row>
    <row r="72" spans="2:25" ht="15.75" hidden="1" thickBot="1" x14ac:dyDescent="0.3">
      <c r="B72" s="60">
        <f>B69</f>
        <v>9</v>
      </c>
      <c r="C72" s="102">
        <v>60</v>
      </c>
      <c r="D72" s="192" t="str">
        <f t="shared" si="6"/>
        <v>I</v>
      </c>
      <c r="E72" s="162"/>
      <c r="F72" s="163"/>
      <c r="G72" s="163"/>
      <c r="H72" s="164"/>
      <c r="I72" s="164"/>
      <c r="J72" s="162"/>
      <c r="K72" s="165"/>
      <c r="L72" s="164"/>
      <c r="M72" s="164"/>
      <c r="N72" s="166"/>
      <c r="O72" s="167"/>
      <c r="P72" s="168"/>
      <c r="Q72" s="169"/>
      <c r="R72" s="170"/>
      <c r="S72" s="171"/>
      <c r="T72" s="203">
        <f t="shared" si="0"/>
        <v>43647</v>
      </c>
      <c r="U72" s="204">
        <f t="shared" si="1"/>
        <v>43677</v>
      </c>
      <c r="V72" s="207">
        <f t="shared" si="38"/>
        <v>0</v>
      </c>
      <c r="W72" s="206" t="str">
        <f t="shared" si="35"/>
        <v/>
      </c>
      <c r="X72" s="206">
        <f t="shared" si="36"/>
        <v>0</v>
      </c>
      <c r="Y72" s="209">
        <f t="shared" si="37"/>
        <v>0</v>
      </c>
    </row>
    <row r="73" spans="2:25" ht="15.75" hidden="1" thickBot="1" x14ac:dyDescent="0.3">
      <c r="B73" s="60">
        <f>B69</f>
        <v>9</v>
      </c>
      <c r="C73" s="102">
        <v>61</v>
      </c>
      <c r="D73" s="192" t="str">
        <f t="shared" si="6"/>
        <v>I</v>
      </c>
      <c r="E73" s="162"/>
      <c r="F73" s="163"/>
      <c r="G73" s="163"/>
      <c r="H73" s="164"/>
      <c r="I73" s="164"/>
      <c r="J73" s="162"/>
      <c r="K73" s="165"/>
      <c r="L73" s="164"/>
      <c r="M73" s="164"/>
      <c r="N73" s="166"/>
      <c r="O73" s="167"/>
      <c r="P73" s="168"/>
      <c r="Q73" s="169"/>
      <c r="R73" s="170"/>
      <c r="S73" s="171"/>
      <c r="T73" s="203">
        <f t="shared" si="0"/>
        <v>43647</v>
      </c>
      <c r="U73" s="204">
        <f t="shared" si="1"/>
        <v>43677</v>
      </c>
      <c r="V73" s="207">
        <f t="shared" si="38"/>
        <v>0</v>
      </c>
      <c r="W73" s="206" t="str">
        <f t="shared" si="35"/>
        <v/>
      </c>
      <c r="X73" s="206">
        <f t="shared" si="36"/>
        <v>0</v>
      </c>
      <c r="Y73" s="209">
        <f t="shared" si="37"/>
        <v>0</v>
      </c>
    </row>
    <row r="74" spans="2:25" ht="15.75" hidden="1" thickBot="1" x14ac:dyDescent="0.3">
      <c r="B74" s="60">
        <f>B69</f>
        <v>9</v>
      </c>
      <c r="C74" s="102">
        <v>62</v>
      </c>
      <c r="D74" s="192" t="str">
        <f t="shared" si="6"/>
        <v>I</v>
      </c>
      <c r="E74" s="172"/>
      <c r="F74" s="173"/>
      <c r="G74" s="173"/>
      <c r="H74" s="174"/>
      <c r="I74" s="174"/>
      <c r="J74" s="172"/>
      <c r="K74" s="175"/>
      <c r="L74" s="174"/>
      <c r="M74" s="174"/>
      <c r="N74" s="176"/>
      <c r="O74" s="177"/>
      <c r="P74" s="178"/>
      <c r="Q74" s="179"/>
      <c r="R74" s="180"/>
      <c r="S74" s="181"/>
      <c r="T74" s="203">
        <f t="shared" si="0"/>
        <v>43647</v>
      </c>
      <c r="U74" s="204">
        <f t="shared" si="1"/>
        <v>43677</v>
      </c>
      <c r="V74" s="207">
        <f t="shared" si="38"/>
        <v>0</v>
      </c>
      <c r="W74" s="206" t="str">
        <f t="shared" si="35"/>
        <v/>
      </c>
      <c r="X74" s="206">
        <f t="shared" si="36"/>
        <v>0</v>
      </c>
      <c r="Y74" s="209">
        <f t="shared" si="37"/>
        <v>0</v>
      </c>
    </row>
    <row r="75" spans="2:25" ht="15.75" hidden="1" thickBot="1" x14ac:dyDescent="0.3">
      <c r="B75" s="141">
        <f>B69</f>
        <v>9</v>
      </c>
      <c r="C75" s="142">
        <v>63</v>
      </c>
      <c r="D75" s="194" t="str">
        <f t="shared" si="6"/>
        <v>I</v>
      </c>
      <c r="E75" s="189"/>
      <c r="F75" s="190"/>
      <c r="G75" s="190"/>
      <c r="H75" s="182"/>
      <c r="I75" s="182"/>
      <c r="J75" s="436" t="s">
        <v>181</v>
      </c>
      <c r="K75" s="437"/>
      <c r="L75" s="438"/>
      <c r="M75" s="182"/>
      <c r="N75" s="183"/>
      <c r="O75" s="184"/>
      <c r="P75" s="185"/>
      <c r="Q75" s="186"/>
      <c r="R75" s="187"/>
      <c r="S75" s="188"/>
      <c r="T75" s="213">
        <f t="shared" si="0"/>
        <v>43647</v>
      </c>
      <c r="U75" s="214">
        <f t="shared" si="1"/>
        <v>43677</v>
      </c>
      <c r="V75" s="210">
        <f t="shared" si="38"/>
        <v>0</v>
      </c>
      <c r="W75" s="211"/>
      <c r="X75" s="211">
        <f>IF(AND($V75&gt;0,$I75=1),IF($E75=10,P75/10,P75/$V75),0)</f>
        <v>0</v>
      </c>
      <c r="Y75" s="212">
        <f>IF(AND($V69&gt;0,$I75&lt;&gt;1),Q75/E69*V69,0)</f>
        <v>0</v>
      </c>
    </row>
    <row r="76" spans="2:25" ht="16.5" hidden="1" thickTop="1" thickBot="1" x14ac:dyDescent="0.3">
      <c r="B76" s="129">
        <f>B74+1</f>
        <v>10</v>
      </c>
      <c r="C76" s="130">
        <v>64</v>
      </c>
      <c r="D76" s="196" t="str">
        <f t="shared" si="6"/>
        <v>I</v>
      </c>
      <c r="E76" s="131"/>
      <c r="F76" s="132"/>
      <c r="G76" s="132"/>
      <c r="H76" s="133"/>
      <c r="I76" s="133"/>
      <c r="J76" s="131"/>
      <c r="K76" s="134"/>
      <c r="L76" s="133"/>
      <c r="M76" s="133"/>
      <c r="N76" s="135"/>
      <c r="O76" s="136"/>
      <c r="P76" s="137"/>
      <c r="Q76" s="138"/>
      <c r="R76" s="139"/>
      <c r="S76" s="140"/>
      <c r="T76" s="203">
        <f t="shared" si="0"/>
        <v>43647</v>
      </c>
      <c r="U76" s="204">
        <f t="shared" si="1"/>
        <v>43677</v>
      </c>
      <c r="V76" s="207">
        <f>IF(G76-F76+1-IF(G76-U76&gt;0,G76-U76,0)-IF(T76-F76&gt;0,T76-F76,0)&gt;0,G76-F76+1-IF(G76-U76&gt;0,G76-U76,0)-IF(T76-F76&gt;0,T76-F76,0),0)</f>
        <v>0</v>
      </c>
      <c r="W76" s="206" t="str">
        <f t="shared" ref="W76:W81" si="39">IF(V76&gt;0,H76,"")</f>
        <v/>
      </c>
      <c r="X76" s="206">
        <f t="shared" ref="X76:X81" si="40">IF(AND($V76&gt;0,$I76=1),P76/$E76*$V76,0)</f>
        <v>0</v>
      </c>
      <c r="Y76" s="209">
        <f t="shared" ref="Y76:Y81" si="41">IF(AND($V76&gt;0,$I76&lt;&gt;1),Q76/$E76*$V76,0)</f>
        <v>0</v>
      </c>
    </row>
    <row r="77" spans="2:25" ht="15.75" hidden="1" thickBot="1" x14ac:dyDescent="0.3">
      <c r="B77" s="60">
        <f>B76</f>
        <v>10</v>
      </c>
      <c r="C77" s="102">
        <v>65</v>
      </c>
      <c r="D77" s="192" t="str">
        <f t="shared" si="6"/>
        <v>I</v>
      </c>
      <c r="E77" s="62"/>
      <c r="F77" s="105"/>
      <c r="G77" s="105"/>
      <c r="H77" s="61"/>
      <c r="I77" s="61"/>
      <c r="J77" s="62"/>
      <c r="K77" s="63"/>
      <c r="L77" s="61"/>
      <c r="M77" s="61"/>
      <c r="N77" s="111"/>
      <c r="O77" s="112"/>
      <c r="P77" s="113"/>
      <c r="Q77" s="114"/>
      <c r="R77" s="64"/>
      <c r="S77" s="108"/>
      <c r="T77" s="203">
        <f t="shared" ref="T77:T140" si="42">$F$4</f>
        <v>43647</v>
      </c>
      <c r="U77" s="204">
        <f t="shared" ref="U77:U140" si="43">$G$4</f>
        <v>43677</v>
      </c>
      <c r="V77" s="207">
        <f t="shared" ref="V77:V82" si="44">IF(G77-F77+1-IF(G77-U77&gt;0,G77-U77,0)-IF(T77-F77&gt;0,T77-F77,0)&gt;0,G77-F77+1-IF(G77-U77&gt;0,G77-U77,0)-IF(T77-F77&gt;0,T77-F77,0),0)</f>
        <v>0</v>
      </c>
      <c r="W77" s="206" t="str">
        <f t="shared" si="39"/>
        <v/>
      </c>
      <c r="X77" s="206">
        <f t="shared" si="40"/>
        <v>0</v>
      </c>
      <c r="Y77" s="209">
        <f t="shared" si="41"/>
        <v>0</v>
      </c>
    </row>
    <row r="78" spans="2:25" ht="15.75" hidden="1" thickBot="1" x14ac:dyDescent="0.3">
      <c r="B78" s="60">
        <f>B76</f>
        <v>10</v>
      </c>
      <c r="C78" s="102">
        <v>66</v>
      </c>
      <c r="D78" s="192" t="str">
        <f t="shared" si="6"/>
        <v>I</v>
      </c>
      <c r="E78" s="62"/>
      <c r="F78" s="105"/>
      <c r="G78" s="105"/>
      <c r="H78" s="61"/>
      <c r="I78" s="61"/>
      <c r="J78" s="62"/>
      <c r="K78" s="63"/>
      <c r="L78" s="61"/>
      <c r="M78" s="61"/>
      <c r="N78" s="111"/>
      <c r="O78" s="112"/>
      <c r="P78" s="113"/>
      <c r="Q78" s="114"/>
      <c r="R78" s="64"/>
      <c r="S78" s="108"/>
      <c r="T78" s="203">
        <f t="shared" si="42"/>
        <v>43647</v>
      </c>
      <c r="U78" s="204">
        <f t="shared" si="43"/>
        <v>43677</v>
      </c>
      <c r="V78" s="207">
        <f t="shared" si="44"/>
        <v>0</v>
      </c>
      <c r="W78" s="206" t="str">
        <f t="shared" si="39"/>
        <v/>
      </c>
      <c r="X78" s="206">
        <f t="shared" si="40"/>
        <v>0</v>
      </c>
      <c r="Y78" s="209">
        <f t="shared" si="41"/>
        <v>0</v>
      </c>
    </row>
    <row r="79" spans="2:25" ht="15.75" hidden="1" thickBot="1" x14ac:dyDescent="0.3">
      <c r="B79" s="60">
        <f>B76</f>
        <v>10</v>
      </c>
      <c r="C79" s="102">
        <v>67</v>
      </c>
      <c r="D79" s="192" t="str">
        <f t="shared" si="6"/>
        <v>I</v>
      </c>
      <c r="E79" s="62"/>
      <c r="F79" s="105"/>
      <c r="G79" s="105"/>
      <c r="H79" s="61"/>
      <c r="I79" s="61"/>
      <c r="J79" s="62"/>
      <c r="K79" s="63"/>
      <c r="L79" s="61"/>
      <c r="M79" s="61"/>
      <c r="N79" s="111"/>
      <c r="O79" s="112"/>
      <c r="P79" s="113"/>
      <c r="Q79" s="114"/>
      <c r="R79" s="64"/>
      <c r="S79" s="108"/>
      <c r="T79" s="203">
        <f t="shared" si="42"/>
        <v>43647</v>
      </c>
      <c r="U79" s="204">
        <f t="shared" si="43"/>
        <v>43677</v>
      </c>
      <c r="V79" s="207">
        <f t="shared" si="44"/>
        <v>0</v>
      </c>
      <c r="W79" s="206" t="str">
        <f t="shared" si="39"/>
        <v/>
      </c>
      <c r="X79" s="206">
        <f t="shared" si="40"/>
        <v>0</v>
      </c>
      <c r="Y79" s="209">
        <f t="shared" si="41"/>
        <v>0</v>
      </c>
    </row>
    <row r="80" spans="2:25" ht="15.75" hidden="1" thickBot="1" x14ac:dyDescent="0.3">
      <c r="B80" s="60">
        <f>B76</f>
        <v>10</v>
      </c>
      <c r="C80" s="102">
        <v>68</v>
      </c>
      <c r="D80" s="192" t="str">
        <f t="shared" ref="D80:D143" si="45">D79</f>
        <v>I</v>
      </c>
      <c r="E80" s="62"/>
      <c r="F80" s="105"/>
      <c r="G80" s="105"/>
      <c r="H80" s="61"/>
      <c r="I80" s="61"/>
      <c r="J80" s="62"/>
      <c r="K80" s="63"/>
      <c r="L80" s="61"/>
      <c r="M80" s="61"/>
      <c r="N80" s="111"/>
      <c r="O80" s="112"/>
      <c r="P80" s="113"/>
      <c r="Q80" s="114"/>
      <c r="R80" s="64"/>
      <c r="S80" s="108"/>
      <c r="T80" s="203">
        <f t="shared" si="42"/>
        <v>43647</v>
      </c>
      <c r="U80" s="204">
        <f t="shared" si="43"/>
        <v>43677</v>
      </c>
      <c r="V80" s="207">
        <f t="shared" si="44"/>
        <v>0</v>
      </c>
      <c r="W80" s="206" t="str">
        <f t="shared" si="39"/>
        <v/>
      </c>
      <c r="X80" s="206">
        <f t="shared" si="40"/>
        <v>0</v>
      </c>
      <c r="Y80" s="209">
        <f t="shared" si="41"/>
        <v>0</v>
      </c>
    </row>
    <row r="81" spans="2:25" ht="15.75" hidden="1" thickBot="1" x14ac:dyDescent="0.3">
      <c r="B81" s="60">
        <f>B76</f>
        <v>10</v>
      </c>
      <c r="C81" s="102">
        <v>69</v>
      </c>
      <c r="D81" s="192" t="str">
        <f t="shared" si="45"/>
        <v>I</v>
      </c>
      <c r="E81" s="62"/>
      <c r="F81" s="105"/>
      <c r="G81" s="105"/>
      <c r="H81" s="61"/>
      <c r="I81" s="61"/>
      <c r="J81" s="62"/>
      <c r="K81" s="63"/>
      <c r="L81" s="61"/>
      <c r="M81" s="61"/>
      <c r="N81" s="111"/>
      <c r="O81" s="112"/>
      <c r="P81" s="113"/>
      <c r="Q81" s="114"/>
      <c r="R81" s="64"/>
      <c r="S81" s="108"/>
      <c r="T81" s="203">
        <f t="shared" si="42"/>
        <v>43647</v>
      </c>
      <c r="U81" s="204">
        <f t="shared" si="43"/>
        <v>43677</v>
      </c>
      <c r="V81" s="207">
        <f t="shared" si="44"/>
        <v>0</v>
      </c>
      <c r="W81" s="206" t="str">
        <f t="shared" si="39"/>
        <v/>
      </c>
      <c r="X81" s="206">
        <f t="shared" si="40"/>
        <v>0</v>
      </c>
      <c r="Y81" s="209">
        <f t="shared" si="41"/>
        <v>0</v>
      </c>
    </row>
    <row r="82" spans="2:25" ht="15.75" hidden="1" thickBot="1" x14ac:dyDescent="0.3">
      <c r="B82" s="141">
        <f>B76</f>
        <v>10</v>
      </c>
      <c r="C82" s="142">
        <v>70</v>
      </c>
      <c r="D82" s="194" t="str">
        <f t="shared" si="45"/>
        <v>I</v>
      </c>
      <c r="E82" s="143"/>
      <c r="F82" s="144"/>
      <c r="G82" s="144"/>
      <c r="H82" s="145"/>
      <c r="I82" s="145"/>
      <c r="J82" s="436" t="s">
        <v>181</v>
      </c>
      <c r="K82" s="437"/>
      <c r="L82" s="438"/>
      <c r="M82" s="145"/>
      <c r="N82" s="146"/>
      <c r="O82" s="147"/>
      <c r="P82" s="148"/>
      <c r="Q82" s="149"/>
      <c r="R82" s="150"/>
      <c r="S82" s="151"/>
      <c r="T82" s="213">
        <f t="shared" si="42"/>
        <v>43647</v>
      </c>
      <c r="U82" s="214">
        <f t="shared" si="43"/>
        <v>43677</v>
      </c>
      <c r="V82" s="210">
        <f t="shared" si="44"/>
        <v>0</v>
      </c>
      <c r="W82" s="211"/>
      <c r="X82" s="211">
        <f>IF(AND($V82&gt;0,$I82=1),IF($E82=10,P82/10,P82/$V82),0)</f>
        <v>0</v>
      </c>
      <c r="Y82" s="212">
        <f>IF(AND($V76&gt;0,$I82&lt;&gt;1),Q82/E76*V76,0)</f>
        <v>0</v>
      </c>
    </row>
    <row r="83" spans="2:25" ht="16.5" hidden="1" thickTop="1" thickBot="1" x14ac:dyDescent="0.3">
      <c r="B83" s="129">
        <f>B81+1</f>
        <v>11</v>
      </c>
      <c r="C83" s="130">
        <v>71</v>
      </c>
      <c r="D83" s="196" t="str">
        <f t="shared" si="45"/>
        <v>I</v>
      </c>
      <c r="E83" s="152"/>
      <c r="F83" s="153"/>
      <c r="G83" s="153"/>
      <c r="H83" s="154"/>
      <c r="I83" s="154"/>
      <c r="J83" s="152"/>
      <c r="K83" s="155"/>
      <c r="L83" s="154"/>
      <c r="M83" s="154"/>
      <c r="N83" s="156"/>
      <c r="O83" s="157"/>
      <c r="P83" s="158"/>
      <c r="Q83" s="159"/>
      <c r="R83" s="160"/>
      <c r="S83" s="161"/>
      <c r="T83" s="203">
        <f t="shared" si="42"/>
        <v>43647</v>
      </c>
      <c r="U83" s="204">
        <f t="shared" si="43"/>
        <v>43677</v>
      </c>
      <c r="V83" s="207">
        <f>IF(G83-F83+1-IF(G83-U83&gt;0,G83-U83,0)-IF(T83-F83&gt;0,T83-F83,0)&gt;0,G83-F83+1-IF(G83-U83&gt;0,G83-U83,0)-IF(T83-F83&gt;0,T83-F83,0),0)</f>
        <v>0</v>
      </c>
      <c r="W83" s="206" t="str">
        <f t="shared" ref="W83:W88" si="46">IF(V83&gt;0,H83,"")</f>
        <v/>
      </c>
      <c r="X83" s="206">
        <f t="shared" ref="X83:X88" si="47">IF(AND($V83&gt;0,$I83=1),P83/$E83*$V83,0)</f>
        <v>0</v>
      </c>
      <c r="Y83" s="209">
        <f t="shared" ref="Y83:Y88" si="48">IF(AND($V83&gt;0,$I83&lt;&gt;1),Q83/$E83*$V83,0)</f>
        <v>0</v>
      </c>
    </row>
    <row r="84" spans="2:25" ht="15.75" hidden="1" thickBot="1" x14ac:dyDescent="0.3">
      <c r="B84" s="60">
        <f>B83</f>
        <v>11</v>
      </c>
      <c r="C84" s="102">
        <v>72</v>
      </c>
      <c r="D84" s="192" t="str">
        <f t="shared" si="45"/>
        <v>I</v>
      </c>
      <c r="E84" s="162"/>
      <c r="F84" s="163"/>
      <c r="G84" s="163"/>
      <c r="H84" s="164"/>
      <c r="I84" s="164"/>
      <c r="J84" s="162"/>
      <c r="K84" s="165"/>
      <c r="L84" s="164"/>
      <c r="M84" s="164"/>
      <c r="N84" s="166"/>
      <c r="O84" s="167"/>
      <c r="P84" s="168"/>
      <c r="Q84" s="169"/>
      <c r="R84" s="170"/>
      <c r="S84" s="171"/>
      <c r="T84" s="203">
        <f t="shared" si="42"/>
        <v>43647</v>
      </c>
      <c r="U84" s="204">
        <f t="shared" si="43"/>
        <v>43677</v>
      </c>
      <c r="V84" s="207">
        <f t="shared" ref="V84:V89" si="49">IF(G84-F84+1-IF(G84-U84&gt;0,G84-U84,0)-IF(T84-F84&gt;0,T84-F84,0)&gt;0,G84-F84+1-IF(G84-U84&gt;0,G84-U84,0)-IF(T84-F84&gt;0,T84-F84,0),0)</f>
        <v>0</v>
      </c>
      <c r="W84" s="206" t="str">
        <f t="shared" si="46"/>
        <v/>
      </c>
      <c r="X84" s="206">
        <f t="shared" si="47"/>
        <v>0</v>
      </c>
      <c r="Y84" s="209">
        <f t="shared" si="48"/>
        <v>0</v>
      </c>
    </row>
    <row r="85" spans="2:25" ht="15.75" hidden="1" thickBot="1" x14ac:dyDescent="0.3">
      <c r="B85" s="60">
        <f>B83</f>
        <v>11</v>
      </c>
      <c r="C85" s="102">
        <v>73</v>
      </c>
      <c r="D85" s="192" t="str">
        <f t="shared" si="45"/>
        <v>I</v>
      </c>
      <c r="E85" s="162"/>
      <c r="F85" s="163"/>
      <c r="G85" s="163"/>
      <c r="H85" s="164"/>
      <c r="I85" s="164"/>
      <c r="J85" s="162"/>
      <c r="K85" s="165"/>
      <c r="L85" s="164"/>
      <c r="M85" s="164"/>
      <c r="N85" s="166"/>
      <c r="O85" s="167"/>
      <c r="P85" s="168"/>
      <c r="Q85" s="169"/>
      <c r="R85" s="170"/>
      <c r="S85" s="171"/>
      <c r="T85" s="203">
        <f t="shared" si="42"/>
        <v>43647</v>
      </c>
      <c r="U85" s="204">
        <f t="shared" si="43"/>
        <v>43677</v>
      </c>
      <c r="V85" s="207">
        <f t="shared" si="49"/>
        <v>0</v>
      </c>
      <c r="W85" s="206" t="str">
        <f t="shared" si="46"/>
        <v/>
      </c>
      <c r="X85" s="206">
        <f t="shared" si="47"/>
        <v>0</v>
      </c>
      <c r="Y85" s="209">
        <f t="shared" si="48"/>
        <v>0</v>
      </c>
    </row>
    <row r="86" spans="2:25" ht="15.75" hidden="1" thickBot="1" x14ac:dyDescent="0.3">
      <c r="B86" s="60">
        <f>B83</f>
        <v>11</v>
      </c>
      <c r="C86" s="102">
        <v>74</v>
      </c>
      <c r="D86" s="192" t="str">
        <f t="shared" si="45"/>
        <v>I</v>
      </c>
      <c r="E86" s="162"/>
      <c r="F86" s="163"/>
      <c r="G86" s="163"/>
      <c r="H86" s="164"/>
      <c r="I86" s="164"/>
      <c r="J86" s="162"/>
      <c r="K86" s="165"/>
      <c r="L86" s="164"/>
      <c r="M86" s="164"/>
      <c r="N86" s="166"/>
      <c r="O86" s="167"/>
      <c r="P86" s="168"/>
      <c r="Q86" s="169"/>
      <c r="R86" s="170"/>
      <c r="S86" s="171"/>
      <c r="T86" s="203">
        <f t="shared" si="42"/>
        <v>43647</v>
      </c>
      <c r="U86" s="204">
        <f t="shared" si="43"/>
        <v>43677</v>
      </c>
      <c r="V86" s="207">
        <f t="shared" si="49"/>
        <v>0</v>
      </c>
      <c r="W86" s="206" t="str">
        <f t="shared" si="46"/>
        <v/>
      </c>
      <c r="X86" s="206">
        <f t="shared" si="47"/>
        <v>0</v>
      </c>
      <c r="Y86" s="209">
        <f t="shared" si="48"/>
        <v>0</v>
      </c>
    </row>
    <row r="87" spans="2:25" ht="15.75" hidden="1" thickBot="1" x14ac:dyDescent="0.3">
      <c r="B87" s="60">
        <f>B83</f>
        <v>11</v>
      </c>
      <c r="C87" s="102">
        <v>75</v>
      </c>
      <c r="D87" s="192" t="str">
        <f t="shared" si="45"/>
        <v>I</v>
      </c>
      <c r="E87" s="162"/>
      <c r="F87" s="163"/>
      <c r="G87" s="163"/>
      <c r="H87" s="164"/>
      <c r="I87" s="164"/>
      <c r="J87" s="162"/>
      <c r="K87" s="165"/>
      <c r="L87" s="164"/>
      <c r="M87" s="164"/>
      <c r="N87" s="166"/>
      <c r="O87" s="167"/>
      <c r="P87" s="168"/>
      <c r="Q87" s="169"/>
      <c r="R87" s="170"/>
      <c r="S87" s="171"/>
      <c r="T87" s="203">
        <f t="shared" si="42"/>
        <v>43647</v>
      </c>
      <c r="U87" s="204">
        <f t="shared" si="43"/>
        <v>43677</v>
      </c>
      <c r="V87" s="207">
        <f t="shared" si="49"/>
        <v>0</v>
      </c>
      <c r="W87" s="206" t="str">
        <f t="shared" si="46"/>
        <v/>
      </c>
      <c r="X87" s="206">
        <f t="shared" si="47"/>
        <v>0</v>
      </c>
      <c r="Y87" s="209">
        <f t="shared" si="48"/>
        <v>0</v>
      </c>
    </row>
    <row r="88" spans="2:25" ht="15.75" hidden="1" thickBot="1" x14ac:dyDescent="0.3">
      <c r="B88" s="60">
        <f>B83</f>
        <v>11</v>
      </c>
      <c r="C88" s="102">
        <v>76</v>
      </c>
      <c r="D88" s="192" t="str">
        <f t="shared" si="45"/>
        <v>I</v>
      </c>
      <c r="E88" s="172"/>
      <c r="F88" s="173"/>
      <c r="G88" s="173"/>
      <c r="H88" s="174"/>
      <c r="I88" s="174"/>
      <c r="J88" s="172"/>
      <c r="K88" s="175"/>
      <c r="L88" s="174"/>
      <c r="M88" s="174"/>
      <c r="N88" s="176"/>
      <c r="O88" s="177"/>
      <c r="P88" s="178"/>
      <c r="Q88" s="179"/>
      <c r="R88" s="180"/>
      <c r="S88" s="181"/>
      <c r="T88" s="203">
        <f t="shared" si="42"/>
        <v>43647</v>
      </c>
      <c r="U88" s="204">
        <f t="shared" si="43"/>
        <v>43677</v>
      </c>
      <c r="V88" s="207">
        <f t="shared" si="49"/>
        <v>0</v>
      </c>
      <c r="W88" s="206" t="str">
        <f t="shared" si="46"/>
        <v/>
      </c>
      <c r="X88" s="206">
        <f t="shared" si="47"/>
        <v>0</v>
      </c>
      <c r="Y88" s="209">
        <f t="shared" si="48"/>
        <v>0</v>
      </c>
    </row>
    <row r="89" spans="2:25" ht="15.75" hidden="1" thickBot="1" x14ac:dyDescent="0.3">
      <c r="B89" s="141">
        <f>B83</f>
        <v>11</v>
      </c>
      <c r="C89" s="142">
        <v>77</v>
      </c>
      <c r="D89" s="194" t="str">
        <f t="shared" si="45"/>
        <v>I</v>
      </c>
      <c r="E89" s="189"/>
      <c r="F89" s="190"/>
      <c r="G89" s="190"/>
      <c r="H89" s="182"/>
      <c r="I89" s="182"/>
      <c r="J89" s="436" t="s">
        <v>181</v>
      </c>
      <c r="K89" s="437"/>
      <c r="L89" s="438"/>
      <c r="M89" s="182"/>
      <c r="N89" s="183"/>
      <c r="O89" s="184"/>
      <c r="P89" s="185"/>
      <c r="Q89" s="186"/>
      <c r="R89" s="187"/>
      <c r="S89" s="188"/>
      <c r="T89" s="213">
        <f t="shared" si="42"/>
        <v>43647</v>
      </c>
      <c r="U89" s="214">
        <f t="shared" si="43"/>
        <v>43677</v>
      </c>
      <c r="V89" s="210">
        <f t="shared" si="49"/>
        <v>0</v>
      </c>
      <c r="W89" s="211"/>
      <c r="X89" s="211">
        <f>IF(AND($V89&gt;0,$I89=1),IF($E89=10,P89/10,P89/$V89),0)</f>
        <v>0</v>
      </c>
      <c r="Y89" s="212">
        <f>IF(AND($V83&gt;0,$I89&lt;&gt;1),Q89/E83*V83,0)</f>
        <v>0</v>
      </c>
    </row>
    <row r="90" spans="2:25" ht="16.5" hidden="1" thickTop="1" thickBot="1" x14ac:dyDescent="0.3">
      <c r="B90" s="129">
        <f>B88+1</f>
        <v>12</v>
      </c>
      <c r="C90" s="130">
        <v>78</v>
      </c>
      <c r="D90" s="196" t="str">
        <f t="shared" si="45"/>
        <v>I</v>
      </c>
      <c r="E90" s="131"/>
      <c r="F90" s="132"/>
      <c r="G90" s="132"/>
      <c r="H90" s="133"/>
      <c r="I90" s="133"/>
      <c r="J90" s="131"/>
      <c r="K90" s="134"/>
      <c r="L90" s="133"/>
      <c r="M90" s="133"/>
      <c r="N90" s="135"/>
      <c r="O90" s="136"/>
      <c r="P90" s="137"/>
      <c r="Q90" s="138"/>
      <c r="R90" s="139"/>
      <c r="S90" s="140"/>
      <c r="T90" s="203">
        <f t="shared" si="42"/>
        <v>43647</v>
      </c>
      <c r="U90" s="204">
        <f t="shared" si="43"/>
        <v>43677</v>
      </c>
      <c r="V90" s="207">
        <f>IF(G90-F90+1-IF(G90-U90&gt;0,G90-U90,0)-IF(T90-F90&gt;0,T90-F90,0)&gt;0,G90-F90+1-IF(G90-U90&gt;0,G90-U90,0)-IF(T90-F90&gt;0,T90-F90,0),0)</f>
        <v>0</v>
      </c>
      <c r="W90" s="206" t="str">
        <f t="shared" ref="W90:W95" si="50">IF(V90&gt;0,H90,"")</f>
        <v/>
      </c>
      <c r="X90" s="206">
        <f t="shared" ref="X90:X95" si="51">IF(AND($V90&gt;0,$I90=1),P90/$E90*$V90,0)</f>
        <v>0</v>
      </c>
      <c r="Y90" s="209">
        <f t="shared" ref="Y90:Y95" si="52">IF(AND($V90&gt;0,$I90&lt;&gt;1),Q90/$E90*$V90,0)</f>
        <v>0</v>
      </c>
    </row>
    <row r="91" spans="2:25" ht="15.75" hidden="1" thickBot="1" x14ac:dyDescent="0.3">
      <c r="B91" s="60">
        <f>B90</f>
        <v>12</v>
      </c>
      <c r="C91" s="102">
        <v>79</v>
      </c>
      <c r="D91" s="192" t="str">
        <f t="shared" si="45"/>
        <v>I</v>
      </c>
      <c r="E91" s="62"/>
      <c r="F91" s="105"/>
      <c r="G91" s="105"/>
      <c r="H91" s="61"/>
      <c r="I91" s="61"/>
      <c r="J91" s="62"/>
      <c r="K91" s="63"/>
      <c r="L91" s="61"/>
      <c r="M91" s="61"/>
      <c r="N91" s="111"/>
      <c r="O91" s="112"/>
      <c r="P91" s="113"/>
      <c r="Q91" s="114"/>
      <c r="R91" s="64"/>
      <c r="S91" s="108"/>
      <c r="T91" s="203">
        <f t="shared" si="42"/>
        <v>43647</v>
      </c>
      <c r="U91" s="204">
        <f t="shared" si="43"/>
        <v>43677</v>
      </c>
      <c r="V91" s="207">
        <f t="shared" ref="V91:V96" si="53">IF(G91-F91+1-IF(G91-U91&gt;0,G91-U91,0)-IF(T91-F91&gt;0,T91-F91,0)&gt;0,G91-F91+1-IF(G91-U91&gt;0,G91-U91,0)-IF(T91-F91&gt;0,T91-F91,0),0)</f>
        <v>0</v>
      </c>
      <c r="W91" s="206" t="str">
        <f t="shared" si="50"/>
        <v/>
      </c>
      <c r="X91" s="206">
        <f t="shared" si="51"/>
        <v>0</v>
      </c>
      <c r="Y91" s="209">
        <f t="shared" si="52"/>
        <v>0</v>
      </c>
    </row>
    <row r="92" spans="2:25" ht="15.75" hidden="1" thickBot="1" x14ac:dyDescent="0.3">
      <c r="B92" s="60">
        <f>B90</f>
        <v>12</v>
      </c>
      <c r="C92" s="102">
        <v>80</v>
      </c>
      <c r="D92" s="192" t="str">
        <f t="shared" si="45"/>
        <v>I</v>
      </c>
      <c r="E92" s="62"/>
      <c r="F92" s="105"/>
      <c r="G92" s="105"/>
      <c r="H92" s="61"/>
      <c r="I92" s="61"/>
      <c r="J92" s="62"/>
      <c r="K92" s="63"/>
      <c r="L92" s="61"/>
      <c r="M92" s="61"/>
      <c r="N92" s="111"/>
      <c r="O92" s="112"/>
      <c r="P92" s="113"/>
      <c r="Q92" s="114"/>
      <c r="R92" s="64"/>
      <c r="S92" s="108"/>
      <c r="T92" s="203">
        <f t="shared" si="42"/>
        <v>43647</v>
      </c>
      <c r="U92" s="204">
        <f t="shared" si="43"/>
        <v>43677</v>
      </c>
      <c r="V92" s="207">
        <f t="shared" si="53"/>
        <v>0</v>
      </c>
      <c r="W92" s="206" t="str">
        <f t="shared" si="50"/>
        <v/>
      </c>
      <c r="X92" s="206">
        <f t="shared" si="51"/>
        <v>0</v>
      </c>
      <c r="Y92" s="209">
        <f t="shared" si="52"/>
        <v>0</v>
      </c>
    </row>
    <row r="93" spans="2:25" ht="15.75" hidden="1" thickBot="1" x14ac:dyDescent="0.3">
      <c r="B93" s="60">
        <f>B90</f>
        <v>12</v>
      </c>
      <c r="C93" s="102">
        <v>81</v>
      </c>
      <c r="D93" s="192" t="str">
        <f t="shared" si="45"/>
        <v>I</v>
      </c>
      <c r="E93" s="62"/>
      <c r="F93" s="105"/>
      <c r="G93" s="105"/>
      <c r="H93" s="61"/>
      <c r="I93" s="61"/>
      <c r="J93" s="62"/>
      <c r="K93" s="63"/>
      <c r="L93" s="61"/>
      <c r="M93" s="61"/>
      <c r="N93" s="111"/>
      <c r="O93" s="112"/>
      <c r="P93" s="113"/>
      <c r="Q93" s="114"/>
      <c r="R93" s="64"/>
      <c r="S93" s="108"/>
      <c r="T93" s="203">
        <f t="shared" si="42"/>
        <v>43647</v>
      </c>
      <c r="U93" s="204">
        <f t="shared" si="43"/>
        <v>43677</v>
      </c>
      <c r="V93" s="207">
        <f t="shared" si="53"/>
        <v>0</v>
      </c>
      <c r="W93" s="206" t="str">
        <f t="shared" si="50"/>
        <v/>
      </c>
      <c r="X93" s="206">
        <f t="shared" si="51"/>
        <v>0</v>
      </c>
      <c r="Y93" s="209">
        <f t="shared" si="52"/>
        <v>0</v>
      </c>
    </row>
    <row r="94" spans="2:25" ht="15.75" hidden="1" thickBot="1" x14ac:dyDescent="0.3">
      <c r="B94" s="60">
        <f>B90</f>
        <v>12</v>
      </c>
      <c r="C94" s="102">
        <v>82</v>
      </c>
      <c r="D94" s="192" t="str">
        <f t="shared" si="45"/>
        <v>I</v>
      </c>
      <c r="E94" s="62"/>
      <c r="F94" s="105"/>
      <c r="G94" s="105"/>
      <c r="H94" s="61"/>
      <c r="I94" s="61"/>
      <c r="J94" s="62"/>
      <c r="K94" s="63"/>
      <c r="L94" s="61"/>
      <c r="M94" s="61"/>
      <c r="N94" s="111"/>
      <c r="O94" s="112"/>
      <c r="P94" s="113"/>
      <c r="Q94" s="114"/>
      <c r="R94" s="64"/>
      <c r="S94" s="108"/>
      <c r="T94" s="203">
        <f t="shared" si="42"/>
        <v>43647</v>
      </c>
      <c r="U94" s="204">
        <f t="shared" si="43"/>
        <v>43677</v>
      </c>
      <c r="V94" s="207">
        <f t="shared" si="53"/>
        <v>0</v>
      </c>
      <c r="W94" s="206" t="str">
        <f t="shared" si="50"/>
        <v/>
      </c>
      <c r="X94" s="206">
        <f t="shared" si="51"/>
        <v>0</v>
      </c>
      <c r="Y94" s="209">
        <f t="shared" si="52"/>
        <v>0</v>
      </c>
    </row>
    <row r="95" spans="2:25" ht="15.75" hidden="1" thickBot="1" x14ac:dyDescent="0.3">
      <c r="B95" s="60">
        <f>B90</f>
        <v>12</v>
      </c>
      <c r="C95" s="102">
        <v>83</v>
      </c>
      <c r="D95" s="192" t="str">
        <f t="shared" si="45"/>
        <v>I</v>
      </c>
      <c r="E95" s="62"/>
      <c r="F95" s="105"/>
      <c r="G95" s="105"/>
      <c r="H95" s="61"/>
      <c r="I95" s="61"/>
      <c r="J95" s="62"/>
      <c r="K95" s="63"/>
      <c r="L95" s="61"/>
      <c r="M95" s="61"/>
      <c r="N95" s="111"/>
      <c r="O95" s="112"/>
      <c r="P95" s="113"/>
      <c r="Q95" s="114"/>
      <c r="R95" s="64"/>
      <c r="S95" s="108"/>
      <c r="T95" s="203">
        <f t="shared" si="42"/>
        <v>43647</v>
      </c>
      <c r="U95" s="204">
        <f t="shared" si="43"/>
        <v>43677</v>
      </c>
      <c r="V95" s="207">
        <f t="shared" si="53"/>
        <v>0</v>
      </c>
      <c r="W95" s="206" t="str">
        <f t="shared" si="50"/>
        <v/>
      </c>
      <c r="X95" s="206">
        <f t="shared" si="51"/>
        <v>0</v>
      </c>
      <c r="Y95" s="209">
        <f t="shared" si="52"/>
        <v>0</v>
      </c>
    </row>
    <row r="96" spans="2:25" ht="15.75" hidden="1" thickBot="1" x14ac:dyDescent="0.3">
      <c r="B96" s="141">
        <f>B90</f>
        <v>12</v>
      </c>
      <c r="C96" s="142">
        <v>84</v>
      </c>
      <c r="D96" s="194" t="str">
        <f t="shared" si="45"/>
        <v>I</v>
      </c>
      <c r="E96" s="143"/>
      <c r="F96" s="144"/>
      <c r="G96" s="144"/>
      <c r="H96" s="145"/>
      <c r="I96" s="145"/>
      <c r="J96" s="436" t="s">
        <v>181</v>
      </c>
      <c r="K96" s="437"/>
      <c r="L96" s="438"/>
      <c r="M96" s="145"/>
      <c r="N96" s="146"/>
      <c r="O96" s="147"/>
      <c r="P96" s="148"/>
      <c r="Q96" s="149"/>
      <c r="R96" s="150"/>
      <c r="S96" s="151"/>
      <c r="T96" s="213">
        <f t="shared" si="42"/>
        <v>43647</v>
      </c>
      <c r="U96" s="214">
        <f t="shared" si="43"/>
        <v>43677</v>
      </c>
      <c r="V96" s="210">
        <f t="shared" si="53"/>
        <v>0</v>
      </c>
      <c r="W96" s="211"/>
      <c r="X96" s="211">
        <f>IF(AND($V96&gt;0,$I96=1),IF($E96=10,P96/10,P96/$V96),0)</f>
        <v>0</v>
      </c>
      <c r="Y96" s="212">
        <f>IF(AND($V90&gt;0,$I96&lt;&gt;1),Q96/E90*V90,0)</f>
        <v>0</v>
      </c>
    </row>
    <row r="97" spans="2:25" ht="16.5" hidden="1" thickTop="1" thickBot="1" x14ac:dyDescent="0.3">
      <c r="B97" s="129">
        <f>B95+1</f>
        <v>13</v>
      </c>
      <c r="C97" s="130">
        <v>85</v>
      </c>
      <c r="D97" s="196" t="str">
        <f t="shared" si="45"/>
        <v>I</v>
      </c>
      <c r="E97" s="152"/>
      <c r="F97" s="153"/>
      <c r="G97" s="153"/>
      <c r="H97" s="154"/>
      <c r="I97" s="154"/>
      <c r="J97" s="152"/>
      <c r="K97" s="155"/>
      <c r="L97" s="154"/>
      <c r="M97" s="154"/>
      <c r="N97" s="156"/>
      <c r="O97" s="157"/>
      <c r="P97" s="158"/>
      <c r="Q97" s="159"/>
      <c r="R97" s="160"/>
      <c r="S97" s="161"/>
      <c r="T97" s="203">
        <f t="shared" si="42"/>
        <v>43647</v>
      </c>
      <c r="U97" s="204">
        <f t="shared" si="43"/>
        <v>43677</v>
      </c>
      <c r="V97" s="207">
        <f>IF(G97-F97+1-IF(G97-U97&gt;0,G97-U97,0)-IF(T97-F97&gt;0,T97-F97,0)&gt;0,G97-F97+1-IF(G97-U97&gt;0,G97-U97,0)-IF(T97-F97&gt;0,T97-F97,0),0)</f>
        <v>0</v>
      </c>
      <c r="W97" s="206" t="str">
        <f t="shared" ref="W97:W102" si="54">IF(V97&gt;0,H97,"")</f>
        <v/>
      </c>
      <c r="X97" s="206">
        <f t="shared" ref="X97:X102" si="55">IF(AND($V97&gt;0,$I97=1),P97/$E97*$V97,0)</f>
        <v>0</v>
      </c>
      <c r="Y97" s="209">
        <f t="shared" ref="Y97:Y102" si="56">IF(AND($V97&gt;0,$I97&lt;&gt;1),Q97/$E97*$V97,0)</f>
        <v>0</v>
      </c>
    </row>
    <row r="98" spans="2:25" ht="15.75" hidden="1" thickBot="1" x14ac:dyDescent="0.3">
      <c r="B98" s="60">
        <f>B97</f>
        <v>13</v>
      </c>
      <c r="C98" s="102">
        <v>86</v>
      </c>
      <c r="D98" s="192" t="str">
        <f t="shared" si="45"/>
        <v>I</v>
      </c>
      <c r="E98" s="162"/>
      <c r="F98" s="163"/>
      <c r="G98" s="163"/>
      <c r="H98" s="164"/>
      <c r="I98" s="164"/>
      <c r="J98" s="162"/>
      <c r="K98" s="165"/>
      <c r="L98" s="164"/>
      <c r="M98" s="164"/>
      <c r="N98" s="166"/>
      <c r="O98" s="167"/>
      <c r="P98" s="168"/>
      <c r="Q98" s="169"/>
      <c r="R98" s="170"/>
      <c r="S98" s="171"/>
      <c r="T98" s="203">
        <f t="shared" si="42"/>
        <v>43647</v>
      </c>
      <c r="U98" s="204">
        <f t="shared" si="43"/>
        <v>43677</v>
      </c>
      <c r="V98" s="207">
        <f t="shared" ref="V98:V103" si="57">IF(G98-F98+1-IF(G98-U98&gt;0,G98-U98,0)-IF(T98-F98&gt;0,T98-F98,0)&gt;0,G98-F98+1-IF(G98-U98&gt;0,G98-U98,0)-IF(T98-F98&gt;0,T98-F98,0),0)</f>
        <v>0</v>
      </c>
      <c r="W98" s="206" t="str">
        <f t="shared" si="54"/>
        <v/>
      </c>
      <c r="X98" s="206">
        <f t="shared" si="55"/>
        <v>0</v>
      </c>
      <c r="Y98" s="209">
        <f t="shared" si="56"/>
        <v>0</v>
      </c>
    </row>
    <row r="99" spans="2:25" ht="15.75" hidden="1" thickBot="1" x14ac:dyDescent="0.3">
      <c r="B99" s="60">
        <f>B97</f>
        <v>13</v>
      </c>
      <c r="C99" s="102">
        <v>87</v>
      </c>
      <c r="D99" s="192" t="str">
        <f t="shared" si="45"/>
        <v>I</v>
      </c>
      <c r="E99" s="162"/>
      <c r="F99" s="163"/>
      <c r="G99" s="163"/>
      <c r="H99" s="164"/>
      <c r="I99" s="164"/>
      <c r="J99" s="162"/>
      <c r="K99" s="165"/>
      <c r="L99" s="164"/>
      <c r="M99" s="164"/>
      <c r="N99" s="166"/>
      <c r="O99" s="167"/>
      <c r="P99" s="168"/>
      <c r="Q99" s="169"/>
      <c r="R99" s="170"/>
      <c r="S99" s="171"/>
      <c r="T99" s="203">
        <f t="shared" si="42"/>
        <v>43647</v>
      </c>
      <c r="U99" s="204">
        <f t="shared" si="43"/>
        <v>43677</v>
      </c>
      <c r="V99" s="207">
        <f t="shared" si="57"/>
        <v>0</v>
      </c>
      <c r="W99" s="206" t="str">
        <f t="shared" si="54"/>
        <v/>
      </c>
      <c r="X99" s="206">
        <f t="shared" si="55"/>
        <v>0</v>
      </c>
      <c r="Y99" s="209">
        <f t="shared" si="56"/>
        <v>0</v>
      </c>
    </row>
    <row r="100" spans="2:25" ht="15.75" hidden="1" thickBot="1" x14ac:dyDescent="0.3">
      <c r="B100" s="60">
        <f>B97</f>
        <v>13</v>
      </c>
      <c r="C100" s="102">
        <v>88</v>
      </c>
      <c r="D100" s="192" t="str">
        <f t="shared" si="45"/>
        <v>I</v>
      </c>
      <c r="E100" s="162"/>
      <c r="F100" s="163"/>
      <c r="G100" s="163"/>
      <c r="H100" s="164"/>
      <c r="I100" s="164"/>
      <c r="J100" s="162"/>
      <c r="K100" s="165"/>
      <c r="L100" s="164"/>
      <c r="M100" s="164"/>
      <c r="N100" s="166"/>
      <c r="O100" s="167"/>
      <c r="P100" s="168"/>
      <c r="Q100" s="169"/>
      <c r="R100" s="170"/>
      <c r="S100" s="171"/>
      <c r="T100" s="203">
        <f t="shared" si="42"/>
        <v>43647</v>
      </c>
      <c r="U100" s="204">
        <f t="shared" si="43"/>
        <v>43677</v>
      </c>
      <c r="V100" s="207">
        <f t="shared" si="57"/>
        <v>0</v>
      </c>
      <c r="W100" s="206" t="str">
        <f t="shared" si="54"/>
        <v/>
      </c>
      <c r="X100" s="206">
        <f t="shared" si="55"/>
        <v>0</v>
      </c>
      <c r="Y100" s="209">
        <f t="shared" si="56"/>
        <v>0</v>
      </c>
    </row>
    <row r="101" spans="2:25" ht="15.75" hidden="1" thickBot="1" x14ac:dyDescent="0.3">
      <c r="B101" s="60">
        <f>B97</f>
        <v>13</v>
      </c>
      <c r="C101" s="102">
        <v>89</v>
      </c>
      <c r="D101" s="192" t="str">
        <f t="shared" si="45"/>
        <v>I</v>
      </c>
      <c r="E101" s="162"/>
      <c r="F101" s="163"/>
      <c r="G101" s="163"/>
      <c r="H101" s="164"/>
      <c r="I101" s="164"/>
      <c r="J101" s="162"/>
      <c r="K101" s="165"/>
      <c r="L101" s="164"/>
      <c r="M101" s="164"/>
      <c r="N101" s="166"/>
      <c r="O101" s="167"/>
      <c r="P101" s="168"/>
      <c r="Q101" s="169"/>
      <c r="R101" s="170"/>
      <c r="S101" s="171"/>
      <c r="T101" s="203">
        <f t="shared" si="42"/>
        <v>43647</v>
      </c>
      <c r="U101" s="204">
        <f t="shared" si="43"/>
        <v>43677</v>
      </c>
      <c r="V101" s="207">
        <f t="shared" si="57"/>
        <v>0</v>
      </c>
      <c r="W101" s="206" t="str">
        <f t="shared" si="54"/>
        <v/>
      </c>
      <c r="X101" s="206">
        <f t="shared" si="55"/>
        <v>0</v>
      </c>
      <c r="Y101" s="209">
        <f t="shared" si="56"/>
        <v>0</v>
      </c>
    </row>
    <row r="102" spans="2:25" ht="15.75" hidden="1" thickBot="1" x14ac:dyDescent="0.3">
      <c r="B102" s="60">
        <f>B97</f>
        <v>13</v>
      </c>
      <c r="C102" s="102">
        <v>90</v>
      </c>
      <c r="D102" s="192" t="str">
        <f t="shared" si="45"/>
        <v>I</v>
      </c>
      <c r="E102" s="172"/>
      <c r="F102" s="173"/>
      <c r="G102" s="173"/>
      <c r="H102" s="174"/>
      <c r="I102" s="174"/>
      <c r="J102" s="172"/>
      <c r="K102" s="175"/>
      <c r="L102" s="174"/>
      <c r="M102" s="174"/>
      <c r="N102" s="176"/>
      <c r="O102" s="177"/>
      <c r="P102" s="178"/>
      <c r="Q102" s="179"/>
      <c r="R102" s="180"/>
      <c r="S102" s="181"/>
      <c r="T102" s="203">
        <f t="shared" si="42"/>
        <v>43647</v>
      </c>
      <c r="U102" s="204">
        <f t="shared" si="43"/>
        <v>43677</v>
      </c>
      <c r="V102" s="207">
        <f t="shared" si="57"/>
        <v>0</v>
      </c>
      <c r="W102" s="206" t="str">
        <f t="shared" si="54"/>
        <v/>
      </c>
      <c r="X102" s="206">
        <f t="shared" si="55"/>
        <v>0</v>
      </c>
      <c r="Y102" s="209">
        <f t="shared" si="56"/>
        <v>0</v>
      </c>
    </row>
    <row r="103" spans="2:25" ht="15.75" hidden="1" thickBot="1" x14ac:dyDescent="0.3">
      <c r="B103" s="141">
        <f>B97</f>
        <v>13</v>
      </c>
      <c r="C103" s="142">
        <v>91</v>
      </c>
      <c r="D103" s="194" t="str">
        <f t="shared" si="45"/>
        <v>I</v>
      </c>
      <c r="E103" s="189"/>
      <c r="F103" s="190"/>
      <c r="G103" s="190"/>
      <c r="H103" s="182"/>
      <c r="I103" s="182"/>
      <c r="J103" s="436" t="s">
        <v>181</v>
      </c>
      <c r="K103" s="437"/>
      <c r="L103" s="438"/>
      <c r="M103" s="182"/>
      <c r="N103" s="183"/>
      <c r="O103" s="184"/>
      <c r="P103" s="185"/>
      <c r="Q103" s="186"/>
      <c r="R103" s="187"/>
      <c r="S103" s="188"/>
      <c r="T103" s="213">
        <f t="shared" si="42"/>
        <v>43647</v>
      </c>
      <c r="U103" s="214">
        <f t="shared" si="43"/>
        <v>43677</v>
      </c>
      <c r="V103" s="210">
        <f t="shared" si="57"/>
        <v>0</v>
      </c>
      <c r="W103" s="211"/>
      <c r="X103" s="211">
        <f>IF(AND($V103&gt;0,$I103=1),IF($E103=10,P103/10,P103/$V103),0)</f>
        <v>0</v>
      </c>
      <c r="Y103" s="212">
        <f>IF(AND($V97&gt;0,$I103&lt;&gt;1),Q103/E97*V97,0)</f>
        <v>0</v>
      </c>
    </row>
    <row r="104" spans="2:25" ht="16.5" hidden="1" thickTop="1" thickBot="1" x14ac:dyDescent="0.3">
      <c r="B104" s="129">
        <f>B102+1</f>
        <v>14</v>
      </c>
      <c r="C104" s="130">
        <v>92</v>
      </c>
      <c r="D104" s="196" t="str">
        <f t="shared" si="45"/>
        <v>I</v>
      </c>
      <c r="E104" s="131"/>
      <c r="F104" s="132"/>
      <c r="G104" s="132"/>
      <c r="H104" s="133"/>
      <c r="I104" s="133"/>
      <c r="J104" s="131"/>
      <c r="K104" s="134"/>
      <c r="L104" s="133"/>
      <c r="M104" s="133"/>
      <c r="N104" s="135"/>
      <c r="O104" s="136"/>
      <c r="P104" s="137"/>
      <c r="Q104" s="138"/>
      <c r="R104" s="139"/>
      <c r="S104" s="140"/>
      <c r="T104" s="203">
        <f t="shared" si="42"/>
        <v>43647</v>
      </c>
      <c r="U104" s="204">
        <f t="shared" si="43"/>
        <v>43677</v>
      </c>
      <c r="V104" s="207">
        <f>IF(G104-F104+1-IF(G104-U104&gt;0,G104-U104,0)-IF(T104-F104&gt;0,T104-F104,0)&gt;0,G104-F104+1-IF(G104-U104&gt;0,G104-U104,0)-IF(T104-F104&gt;0,T104-F104,0),0)</f>
        <v>0</v>
      </c>
      <c r="W104" s="206" t="str">
        <f t="shared" ref="W104:W109" si="58">IF(V104&gt;0,H104,"")</f>
        <v/>
      </c>
      <c r="X104" s="206">
        <f t="shared" ref="X104:X109" si="59">IF(AND($V104&gt;0,$I104=1),P104/$E104*$V104,0)</f>
        <v>0</v>
      </c>
      <c r="Y104" s="209">
        <f t="shared" ref="Y104:Y109" si="60">IF(AND($V104&gt;0,$I104&lt;&gt;1),Q104/$E104*$V104,0)</f>
        <v>0</v>
      </c>
    </row>
    <row r="105" spans="2:25" ht="15.75" hidden="1" thickBot="1" x14ac:dyDescent="0.3">
      <c r="B105" s="60">
        <f>B104</f>
        <v>14</v>
      </c>
      <c r="C105" s="102">
        <v>93</v>
      </c>
      <c r="D105" s="192" t="str">
        <f t="shared" si="45"/>
        <v>I</v>
      </c>
      <c r="E105" s="62"/>
      <c r="F105" s="105"/>
      <c r="G105" s="105"/>
      <c r="H105" s="61"/>
      <c r="I105" s="61"/>
      <c r="J105" s="62"/>
      <c r="K105" s="63"/>
      <c r="L105" s="61"/>
      <c r="M105" s="61"/>
      <c r="N105" s="111"/>
      <c r="O105" s="112"/>
      <c r="P105" s="113"/>
      <c r="Q105" s="114"/>
      <c r="R105" s="64"/>
      <c r="S105" s="108"/>
      <c r="T105" s="203">
        <f t="shared" si="42"/>
        <v>43647</v>
      </c>
      <c r="U105" s="204">
        <f t="shared" si="43"/>
        <v>43677</v>
      </c>
      <c r="V105" s="207">
        <f t="shared" ref="V105:V110" si="61">IF(G105-F105+1-IF(G105-U105&gt;0,G105-U105,0)-IF(T105-F105&gt;0,T105-F105,0)&gt;0,G105-F105+1-IF(G105-U105&gt;0,G105-U105,0)-IF(T105-F105&gt;0,T105-F105,0),0)</f>
        <v>0</v>
      </c>
      <c r="W105" s="206" t="str">
        <f t="shared" si="58"/>
        <v/>
      </c>
      <c r="X105" s="206">
        <f t="shared" si="59"/>
        <v>0</v>
      </c>
      <c r="Y105" s="209">
        <f t="shared" si="60"/>
        <v>0</v>
      </c>
    </row>
    <row r="106" spans="2:25" ht="15.75" hidden="1" thickBot="1" x14ac:dyDescent="0.3">
      <c r="B106" s="60">
        <f>B104</f>
        <v>14</v>
      </c>
      <c r="C106" s="102">
        <v>94</v>
      </c>
      <c r="D106" s="192" t="str">
        <f t="shared" si="45"/>
        <v>I</v>
      </c>
      <c r="E106" s="62"/>
      <c r="F106" s="105"/>
      <c r="G106" s="105"/>
      <c r="H106" s="61"/>
      <c r="I106" s="61"/>
      <c r="J106" s="62"/>
      <c r="K106" s="63"/>
      <c r="L106" s="61"/>
      <c r="M106" s="61"/>
      <c r="N106" s="111"/>
      <c r="O106" s="112"/>
      <c r="P106" s="113"/>
      <c r="Q106" s="114"/>
      <c r="R106" s="64"/>
      <c r="S106" s="108"/>
      <c r="T106" s="203">
        <f t="shared" si="42"/>
        <v>43647</v>
      </c>
      <c r="U106" s="204">
        <f t="shared" si="43"/>
        <v>43677</v>
      </c>
      <c r="V106" s="207">
        <f t="shared" si="61"/>
        <v>0</v>
      </c>
      <c r="W106" s="206" t="str">
        <f t="shared" si="58"/>
        <v/>
      </c>
      <c r="X106" s="206">
        <f t="shared" si="59"/>
        <v>0</v>
      </c>
      <c r="Y106" s="209">
        <f t="shared" si="60"/>
        <v>0</v>
      </c>
    </row>
    <row r="107" spans="2:25" ht="15.75" hidden="1" thickBot="1" x14ac:dyDescent="0.3">
      <c r="B107" s="60">
        <f>B104</f>
        <v>14</v>
      </c>
      <c r="C107" s="102">
        <v>95</v>
      </c>
      <c r="D107" s="192" t="str">
        <f t="shared" si="45"/>
        <v>I</v>
      </c>
      <c r="E107" s="62"/>
      <c r="F107" s="105"/>
      <c r="G107" s="105"/>
      <c r="H107" s="61"/>
      <c r="I107" s="61"/>
      <c r="J107" s="62"/>
      <c r="K107" s="63"/>
      <c r="L107" s="61"/>
      <c r="M107" s="61"/>
      <c r="N107" s="111"/>
      <c r="O107" s="112"/>
      <c r="P107" s="113"/>
      <c r="Q107" s="114"/>
      <c r="R107" s="64"/>
      <c r="S107" s="108"/>
      <c r="T107" s="203">
        <f t="shared" si="42"/>
        <v>43647</v>
      </c>
      <c r="U107" s="204">
        <f t="shared" si="43"/>
        <v>43677</v>
      </c>
      <c r="V107" s="207">
        <f t="shared" si="61"/>
        <v>0</v>
      </c>
      <c r="W107" s="206" t="str">
        <f t="shared" si="58"/>
        <v/>
      </c>
      <c r="X107" s="206">
        <f t="shared" si="59"/>
        <v>0</v>
      </c>
      <c r="Y107" s="209">
        <f t="shared" si="60"/>
        <v>0</v>
      </c>
    </row>
    <row r="108" spans="2:25" ht="15.75" hidden="1" thickBot="1" x14ac:dyDescent="0.3">
      <c r="B108" s="60">
        <f>B104</f>
        <v>14</v>
      </c>
      <c r="C108" s="102">
        <v>96</v>
      </c>
      <c r="D108" s="192" t="str">
        <f t="shared" si="45"/>
        <v>I</v>
      </c>
      <c r="E108" s="62"/>
      <c r="F108" s="105"/>
      <c r="G108" s="105"/>
      <c r="H108" s="61"/>
      <c r="I108" s="61"/>
      <c r="J108" s="62"/>
      <c r="K108" s="63"/>
      <c r="L108" s="61"/>
      <c r="M108" s="61"/>
      <c r="N108" s="111"/>
      <c r="O108" s="112"/>
      <c r="P108" s="113"/>
      <c r="Q108" s="114"/>
      <c r="R108" s="64"/>
      <c r="S108" s="108"/>
      <c r="T108" s="203">
        <f t="shared" si="42"/>
        <v>43647</v>
      </c>
      <c r="U108" s="204">
        <f t="shared" si="43"/>
        <v>43677</v>
      </c>
      <c r="V108" s="207">
        <f t="shared" si="61"/>
        <v>0</v>
      </c>
      <c r="W108" s="206" t="str">
        <f t="shared" si="58"/>
        <v/>
      </c>
      <c r="X108" s="206">
        <f t="shared" si="59"/>
        <v>0</v>
      </c>
      <c r="Y108" s="209">
        <f t="shared" si="60"/>
        <v>0</v>
      </c>
    </row>
    <row r="109" spans="2:25" ht="15.75" hidden="1" thickBot="1" x14ac:dyDescent="0.3">
      <c r="B109" s="60">
        <f>B104</f>
        <v>14</v>
      </c>
      <c r="C109" s="102">
        <v>97</v>
      </c>
      <c r="D109" s="192" t="str">
        <f t="shared" si="45"/>
        <v>I</v>
      </c>
      <c r="E109" s="62"/>
      <c r="F109" s="105"/>
      <c r="G109" s="105"/>
      <c r="H109" s="61"/>
      <c r="I109" s="61"/>
      <c r="J109" s="62"/>
      <c r="K109" s="63"/>
      <c r="L109" s="61"/>
      <c r="M109" s="61"/>
      <c r="N109" s="111"/>
      <c r="O109" s="112"/>
      <c r="P109" s="113"/>
      <c r="Q109" s="114"/>
      <c r="R109" s="64"/>
      <c r="S109" s="108"/>
      <c r="T109" s="203">
        <f t="shared" si="42"/>
        <v>43647</v>
      </c>
      <c r="U109" s="204">
        <f t="shared" si="43"/>
        <v>43677</v>
      </c>
      <c r="V109" s="207">
        <f t="shared" si="61"/>
        <v>0</v>
      </c>
      <c r="W109" s="206" t="str">
        <f t="shared" si="58"/>
        <v/>
      </c>
      <c r="X109" s="206">
        <f t="shared" si="59"/>
        <v>0</v>
      </c>
      <c r="Y109" s="209">
        <f t="shared" si="60"/>
        <v>0</v>
      </c>
    </row>
    <row r="110" spans="2:25" ht="15.75" hidden="1" thickBot="1" x14ac:dyDescent="0.3">
      <c r="B110" s="141">
        <f>B104</f>
        <v>14</v>
      </c>
      <c r="C110" s="142">
        <v>98</v>
      </c>
      <c r="D110" s="194" t="str">
        <f t="shared" si="45"/>
        <v>I</v>
      </c>
      <c r="E110" s="143"/>
      <c r="F110" s="144"/>
      <c r="G110" s="144"/>
      <c r="H110" s="145"/>
      <c r="I110" s="145"/>
      <c r="J110" s="436" t="s">
        <v>181</v>
      </c>
      <c r="K110" s="437"/>
      <c r="L110" s="438"/>
      <c r="M110" s="145"/>
      <c r="N110" s="146"/>
      <c r="O110" s="147"/>
      <c r="P110" s="148"/>
      <c r="Q110" s="149"/>
      <c r="R110" s="150"/>
      <c r="S110" s="151"/>
      <c r="T110" s="213">
        <f t="shared" si="42"/>
        <v>43647</v>
      </c>
      <c r="U110" s="214">
        <f t="shared" si="43"/>
        <v>43677</v>
      </c>
      <c r="V110" s="210">
        <f t="shared" si="61"/>
        <v>0</v>
      </c>
      <c r="W110" s="211"/>
      <c r="X110" s="211">
        <f>IF(AND($V110&gt;0,$I110=1),IF($E110=10,P110/10,P110/$V110),0)</f>
        <v>0</v>
      </c>
      <c r="Y110" s="212">
        <f>IF(AND($V104&gt;0,$I110&lt;&gt;1),Q110/E104*V104,0)</f>
        <v>0</v>
      </c>
    </row>
    <row r="111" spans="2:25" ht="16.5" hidden="1" thickTop="1" thickBot="1" x14ac:dyDescent="0.3">
      <c r="B111" s="129">
        <f>B109+1</f>
        <v>15</v>
      </c>
      <c r="C111" s="130">
        <v>99</v>
      </c>
      <c r="D111" s="196" t="str">
        <f t="shared" si="45"/>
        <v>I</v>
      </c>
      <c r="E111" s="152"/>
      <c r="F111" s="153"/>
      <c r="G111" s="153"/>
      <c r="H111" s="154"/>
      <c r="I111" s="154"/>
      <c r="J111" s="152"/>
      <c r="K111" s="155"/>
      <c r="L111" s="154"/>
      <c r="M111" s="154"/>
      <c r="N111" s="156"/>
      <c r="O111" s="157"/>
      <c r="P111" s="158"/>
      <c r="Q111" s="159"/>
      <c r="R111" s="160"/>
      <c r="S111" s="161"/>
      <c r="T111" s="203">
        <f t="shared" si="42"/>
        <v>43647</v>
      </c>
      <c r="U111" s="204">
        <f t="shared" si="43"/>
        <v>43677</v>
      </c>
      <c r="V111" s="207">
        <f>IF(G111-F111+1-IF(G111-U111&gt;0,G111-U111,0)-IF(T111-F111&gt;0,T111-F111,0)&gt;0,G111-F111+1-IF(G111-U111&gt;0,G111-U111,0)-IF(T111-F111&gt;0,T111-F111,0),0)</f>
        <v>0</v>
      </c>
      <c r="W111" s="206" t="str">
        <f t="shared" ref="W111:W116" si="62">IF(V111&gt;0,H111,"")</f>
        <v/>
      </c>
      <c r="X111" s="206">
        <f t="shared" ref="X111:X116" si="63">IF(AND($V111&gt;0,$I111=1),P111/$E111*$V111,0)</f>
        <v>0</v>
      </c>
      <c r="Y111" s="209">
        <f t="shared" ref="Y111:Y116" si="64">IF(AND($V111&gt;0,$I111&lt;&gt;1),Q111/$E111*$V111,0)</f>
        <v>0</v>
      </c>
    </row>
    <row r="112" spans="2:25" ht="15.75" hidden="1" thickBot="1" x14ac:dyDescent="0.3">
      <c r="B112" s="60">
        <f>B111</f>
        <v>15</v>
      </c>
      <c r="C112" s="102">
        <v>100</v>
      </c>
      <c r="D112" s="192" t="str">
        <f t="shared" si="45"/>
        <v>I</v>
      </c>
      <c r="E112" s="162"/>
      <c r="F112" s="163"/>
      <c r="G112" s="163"/>
      <c r="H112" s="164"/>
      <c r="I112" s="164"/>
      <c r="J112" s="162"/>
      <c r="K112" s="165"/>
      <c r="L112" s="164"/>
      <c r="M112" s="164"/>
      <c r="N112" s="166"/>
      <c r="O112" s="167"/>
      <c r="P112" s="168"/>
      <c r="Q112" s="169"/>
      <c r="R112" s="170"/>
      <c r="S112" s="171"/>
      <c r="T112" s="203">
        <f t="shared" si="42"/>
        <v>43647</v>
      </c>
      <c r="U112" s="204">
        <f t="shared" si="43"/>
        <v>43677</v>
      </c>
      <c r="V112" s="207">
        <f t="shared" ref="V112:V117" si="65">IF(G112-F112+1-IF(G112-U112&gt;0,G112-U112,0)-IF(T112-F112&gt;0,T112-F112,0)&gt;0,G112-F112+1-IF(G112-U112&gt;0,G112-U112,0)-IF(T112-F112&gt;0,T112-F112,0),0)</f>
        <v>0</v>
      </c>
      <c r="W112" s="206" t="str">
        <f t="shared" si="62"/>
        <v/>
      </c>
      <c r="X112" s="206">
        <f t="shared" si="63"/>
        <v>0</v>
      </c>
      <c r="Y112" s="209">
        <f t="shared" si="64"/>
        <v>0</v>
      </c>
    </row>
    <row r="113" spans="2:25" ht="15.75" hidden="1" thickBot="1" x14ac:dyDescent="0.3">
      <c r="B113" s="60">
        <f>B111</f>
        <v>15</v>
      </c>
      <c r="C113" s="102">
        <v>101</v>
      </c>
      <c r="D113" s="192" t="str">
        <f t="shared" si="45"/>
        <v>I</v>
      </c>
      <c r="E113" s="162"/>
      <c r="F113" s="163"/>
      <c r="G113" s="163"/>
      <c r="H113" s="164"/>
      <c r="I113" s="164"/>
      <c r="J113" s="162"/>
      <c r="K113" s="165"/>
      <c r="L113" s="164"/>
      <c r="M113" s="164"/>
      <c r="N113" s="166"/>
      <c r="O113" s="167"/>
      <c r="P113" s="168"/>
      <c r="Q113" s="169"/>
      <c r="R113" s="170"/>
      <c r="S113" s="171"/>
      <c r="T113" s="203">
        <f t="shared" si="42"/>
        <v>43647</v>
      </c>
      <c r="U113" s="204">
        <f t="shared" si="43"/>
        <v>43677</v>
      </c>
      <c r="V113" s="207">
        <f t="shared" si="65"/>
        <v>0</v>
      </c>
      <c r="W113" s="206" t="str">
        <f t="shared" si="62"/>
        <v/>
      </c>
      <c r="X113" s="206">
        <f t="shared" si="63"/>
        <v>0</v>
      </c>
      <c r="Y113" s="209">
        <f t="shared" si="64"/>
        <v>0</v>
      </c>
    </row>
    <row r="114" spans="2:25" ht="15.75" hidden="1" thickBot="1" x14ac:dyDescent="0.3">
      <c r="B114" s="60">
        <f>B111</f>
        <v>15</v>
      </c>
      <c r="C114" s="102">
        <v>102</v>
      </c>
      <c r="D114" s="192" t="str">
        <f t="shared" si="45"/>
        <v>I</v>
      </c>
      <c r="E114" s="162"/>
      <c r="F114" s="163"/>
      <c r="G114" s="163"/>
      <c r="H114" s="164"/>
      <c r="I114" s="164"/>
      <c r="J114" s="162"/>
      <c r="K114" s="165"/>
      <c r="L114" s="164"/>
      <c r="M114" s="164"/>
      <c r="N114" s="166"/>
      <c r="O114" s="167"/>
      <c r="P114" s="168"/>
      <c r="Q114" s="169"/>
      <c r="R114" s="170"/>
      <c r="S114" s="171"/>
      <c r="T114" s="203">
        <f t="shared" si="42"/>
        <v>43647</v>
      </c>
      <c r="U114" s="204">
        <f t="shared" si="43"/>
        <v>43677</v>
      </c>
      <c r="V114" s="207">
        <f t="shared" si="65"/>
        <v>0</v>
      </c>
      <c r="W114" s="206" t="str">
        <f t="shared" si="62"/>
        <v/>
      </c>
      <c r="X114" s="206">
        <f t="shared" si="63"/>
        <v>0</v>
      </c>
      <c r="Y114" s="209">
        <f t="shared" si="64"/>
        <v>0</v>
      </c>
    </row>
    <row r="115" spans="2:25" ht="15.75" hidden="1" thickBot="1" x14ac:dyDescent="0.3">
      <c r="B115" s="60">
        <f>B111</f>
        <v>15</v>
      </c>
      <c r="C115" s="102">
        <v>103</v>
      </c>
      <c r="D115" s="192" t="str">
        <f t="shared" si="45"/>
        <v>I</v>
      </c>
      <c r="E115" s="162"/>
      <c r="F115" s="163"/>
      <c r="G115" s="163"/>
      <c r="H115" s="164"/>
      <c r="I115" s="164"/>
      <c r="J115" s="162"/>
      <c r="K115" s="165"/>
      <c r="L115" s="164"/>
      <c r="M115" s="164"/>
      <c r="N115" s="166"/>
      <c r="O115" s="167"/>
      <c r="P115" s="168"/>
      <c r="Q115" s="169"/>
      <c r="R115" s="170"/>
      <c r="S115" s="171"/>
      <c r="T115" s="203">
        <f t="shared" si="42"/>
        <v>43647</v>
      </c>
      <c r="U115" s="204">
        <f t="shared" si="43"/>
        <v>43677</v>
      </c>
      <c r="V115" s="207">
        <f t="shared" si="65"/>
        <v>0</v>
      </c>
      <c r="W115" s="206" t="str">
        <f t="shared" si="62"/>
        <v/>
      </c>
      <c r="X115" s="206">
        <f t="shared" si="63"/>
        <v>0</v>
      </c>
      <c r="Y115" s="209">
        <f t="shared" si="64"/>
        <v>0</v>
      </c>
    </row>
    <row r="116" spans="2:25" ht="15.75" hidden="1" thickBot="1" x14ac:dyDescent="0.3">
      <c r="B116" s="60">
        <f>B111</f>
        <v>15</v>
      </c>
      <c r="C116" s="102">
        <v>104</v>
      </c>
      <c r="D116" s="192" t="str">
        <f t="shared" si="45"/>
        <v>I</v>
      </c>
      <c r="E116" s="172"/>
      <c r="F116" s="173"/>
      <c r="G116" s="173"/>
      <c r="H116" s="174"/>
      <c r="I116" s="174"/>
      <c r="J116" s="172"/>
      <c r="K116" s="175"/>
      <c r="L116" s="174"/>
      <c r="M116" s="174"/>
      <c r="N116" s="176"/>
      <c r="O116" s="177"/>
      <c r="P116" s="178"/>
      <c r="Q116" s="179"/>
      <c r="R116" s="180"/>
      <c r="S116" s="181"/>
      <c r="T116" s="203">
        <f t="shared" si="42"/>
        <v>43647</v>
      </c>
      <c r="U116" s="204">
        <f t="shared" si="43"/>
        <v>43677</v>
      </c>
      <c r="V116" s="207">
        <f t="shared" si="65"/>
        <v>0</v>
      </c>
      <c r="W116" s="206" t="str">
        <f t="shared" si="62"/>
        <v/>
      </c>
      <c r="X116" s="206">
        <f t="shared" si="63"/>
        <v>0</v>
      </c>
      <c r="Y116" s="209">
        <f t="shared" si="64"/>
        <v>0</v>
      </c>
    </row>
    <row r="117" spans="2:25" ht="15.75" hidden="1" thickBot="1" x14ac:dyDescent="0.3">
      <c r="B117" s="141">
        <f>B111</f>
        <v>15</v>
      </c>
      <c r="C117" s="142">
        <v>105</v>
      </c>
      <c r="D117" s="194" t="str">
        <f t="shared" si="45"/>
        <v>I</v>
      </c>
      <c r="E117" s="189"/>
      <c r="F117" s="190"/>
      <c r="G117" s="190"/>
      <c r="H117" s="182"/>
      <c r="I117" s="182"/>
      <c r="J117" s="436" t="s">
        <v>181</v>
      </c>
      <c r="K117" s="437"/>
      <c r="L117" s="438"/>
      <c r="M117" s="182"/>
      <c r="N117" s="183"/>
      <c r="O117" s="184"/>
      <c r="P117" s="185"/>
      <c r="Q117" s="186"/>
      <c r="R117" s="187"/>
      <c r="S117" s="188"/>
      <c r="T117" s="213">
        <f t="shared" si="42"/>
        <v>43647</v>
      </c>
      <c r="U117" s="214">
        <f t="shared" si="43"/>
        <v>43677</v>
      </c>
      <c r="V117" s="210">
        <f t="shared" si="65"/>
        <v>0</v>
      </c>
      <c r="W117" s="211"/>
      <c r="X117" s="211">
        <f>IF(AND($V117&gt;0,$I117=1),IF($E117=10,P117/10,P117/$V117),0)</f>
        <v>0</v>
      </c>
      <c r="Y117" s="212">
        <f>IF(AND($V111&gt;0,$I117&lt;&gt;1),Q117/E111*V111,0)</f>
        <v>0</v>
      </c>
    </row>
    <row r="118" spans="2:25" ht="16.5" hidden="1" thickTop="1" thickBot="1" x14ac:dyDescent="0.3">
      <c r="B118" s="129">
        <f>B116+1</f>
        <v>16</v>
      </c>
      <c r="C118" s="130">
        <v>106</v>
      </c>
      <c r="D118" s="196" t="str">
        <f t="shared" si="45"/>
        <v>I</v>
      </c>
      <c r="E118" s="131"/>
      <c r="F118" s="132"/>
      <c r="G118" s="132"/>
      <c r="H118" s="133"/>
      <c r="I118" s="133"/>
      <c r="J118" s="131"/>
      <c r="K118" s="134"/>
      <c r="L118" s="133"/>
      <c r="M118" s="133"/>
      <c r="N118" s="135"/>
      <c r="O118" s="136"/>
      <c r="P118" s="137"/>
      <c r="Q118" s="138"/>
      <c r="R118" s="139"/>
      <c r="S118" s="140"/>
      <c r="T118" s="203">
        <f t="shared" si="42"/>
        <v>43647</v>
      </c>
      <c r="U118" s="204">
        <f t="shared" si="43"/>
        <v>43677</v>
      </c>
      <c r="V118" s="207">
        <f>IF(G118-F118+1-IF(G118-U118&gt;0,G118-U118,0)-IF(T118-F118&gt;0,T118-F118,0)&gt;0,G118-F118+1-IF(G118-U118&gt;0,G118-U118,0)-IF(T118-F118&gt;0,T118-F118,0),0)</f>
        <v>0</v>
      </c>
      <c r="W118" s="206" t="str">
        <f t="shared" ref="W118:W123" si="66">IF(V118&gt;0,H118,"")</f>
        <v/>
      </c>
      <c r="X118" s="206">
        <f t="shared" ref="X118:X123" si="67">IF(AND($V118&gt;0,$I118=1),P118/$E118*$V118,0)</f>
        <v>0</v>
      </c>
      <c r="Y118" s="209">
        <f t="shared" ref="Y118:Y123" si="68">IF(AND($V118&gt;0,$I118&lt;&gt;1),Q118/$E118*$V118,0)</f>
        <v>0</v>
      </c>
    </row>
    <row r="119" spans="2:25" ht="15.75" hidden="1" thickBot="1" x14ac:dyDescent="0.3">
      <c r="B119" s="60">
        <f>B118</f>
        <v>16</v>
      </c>
      <c r="C119" s="102">
        <v>107</v>
      </c>
      <c r="D119" s="192" t="str">
        <f t="shared" si="45"/>
        <v>I</v>
      </c>
      <c r="E119" s="62"/>
      <c r="F119" s="105"/>
      <c r="G119" s="105"/>
      <c r="H119" s="61"/>
      <c r="I119" s="61"/>
      <c r="J119" s="62"/>
      <c r="K119" s="63"/>
      <c r="L119" s="61"/>
      <c r="M119" s="61"/>
      <c r="N119" s="111"/>
      <c r="O119" s="112"/>
      <c r="P119" s="113"/>
      <c r="Q119" s="114"/>
      <c r="R119" s="64"/>
      <c r="S119" s="108"/>
      <c r="T119" s="203">
        <f t="shared" si="42"/>
        <v>43647</v>
      </c>
      <c r="U119" s="204">
        <f t="shared" si="43"/>
        <v>43677</v>
      </c>
      <c r="V119" s="207">
        <f t="shared" ref="V119:V124" si="69">IF(G119-F119+1-IF(G119-U119&gt;0,G119-U119,0)-IF(T119-F119&gt;0,T119-F119,0)&gt;0,G119-F119+1-IF(G119-U119&gt;0,G119-U119,0)-IF(T119-F119&gt;0,T119-F119,0),0)</f>
        <v>0</v>
      </c>
      <c r="W119" s="206" t="str">
        <f t="shared" si="66"/>
        <v/>
      </c>
      <c r="X119" s="206">
        <f t="shared" si="67"/>
        <v>0</v>
      </c>
      <c r="Y119" s="209">
        <f t="shared" si="68"/>
        <v>0</v>
      </c>
    </row>
    <row r="120" spans="2:25" ht="15.75" hidden="1" thickBot="1" x14ac:dyDescent="0.3">
      <c r="B120" s="60">
        <f>B118</f>
        <v>16</v>
      </c>
      <c r="C120" s="102">
        <v>108</v>
      </c>
      <c r="D120" s="192" t="str">
        <f t="shared" si="45"/>
        <v>I</v>
      </c>
      <c r="E120" s="62"/>
      <c r="F120" s="105"/>
      <c r="G120" s="105"/>
      <c r="H120" s="61"/>
      <c r="I120" s="61"/>
      <c r="J120" s="62"/>
      <c r="K120" s="63"/>
      <c r="L120" s="61"/>
      <c r="M120" s="61"/>
      <c r="N120" s="111"/>
      <c r="O120" s="112"/>
      <c r="P120" s="113"/>
      <c r="Q120" s="114"/>
      <c r="R120" s="64"/>
      <c r="S120" s="108"/>
      <c r="T120" s="203">
        <f t="shared" si="42"/>
        <v>43647</v>
      </c>
      <c r="U120" s="204">
        <f t="shared" si="43"/>
        <v>43677</v>
      </c>
      <c r="V120" s="207">
        <f t="shared" si="69"/>
        <v>0</v>
      </c>
      <c r="W120" s="206" t="str">
        <f t="shared" si="66"/>
        <v/>
      </c>
      <c r="X120" s="206">
        <f t="shared" si="67"/>
        <v>0</v>
      </c>
      <c r="Y120" s="209">
        <f t="shared" si="68"/>
        <v>0</v>
      </c>
    </row>
    <row r="121" spans="2:25" ht="15.75" hidden="1" thickBot="1" x14ac:dyDescent="0.3">
      <c r="B121" s="60">
        <f>B118</f>
        <v>16</v>
      </c>
      <c r="C121" s="102">
        <v>109</v>
      </c>
      <c r="D121" s="192" t="str">
        <f t="shared" si="45"/>
        <v>I</v>
      </c>
      <c r="E121" s="62"/>
      <c r="F121" s="105"/>
      <c r="G121" s="105"/>
      <c r="H121" s="61"/>
      <c r="I121" s="61"/>
      <c r="J121" s="62"/>
      <c r="K121" s="63"/>
      <c r="L121" s="61"/>
      <c r="M121" s="61"/>
      <c r="N121" s="111"/>
      <c r="O121" s="112"/>
      <c r="P121" s="113"/>
      <c r="Q121" s="114"/>
      <c r="R121" s="64"/>
      <c r="S121" s="108"/>
      <c r="T121" s="203">
        <f t="shared" si="42"/>
        <v>43647</v>
      </c>
      <c r="U121" s="204">
        <f t="shared" si="43"/>
        <v>43677</v>
      </c>
      <c r="V121" s="207">
        <f t="shared" si="69"/>
        <v>0</v>
      </c>
      <c r="W121" s="206" t="str">
        <f t="shared" si="66"/>
        <v/>
      </c>
      <c r="X121" s="206">
        <f t="shared" si="67"/>
        <v>0</v>
      </c>
      <c r="Y121" s="209">
        <f t="shared" si="68"/>
        <v>0</v>
      </c>
    </row>
    <row r="122" spans="2:25" ht="15.75" hidden="1" thickBot="1" x14ac:dyDescent="0.3">
      <c r="B122" s="60">
        <f>B118</f>
        <v>16</v>
      </c>
      <c r="C122" s="102">
        <v>110</v>
      </c>
      <c r="D122" s="192" t="str">
        <f t="shared" si="45"/>
        <v>I</v>
      </c>
      <c r="E122" s="62"/>
      <c r="F122" s="105"/>
      <c r="G122" s="105"/>
      <c r="H122" s="61"/>
      <c r="I122" s="61"/>
      <c r="J122" s="62"/>
      <c r="K122" s="63"/>
      <c r="L122" s="61"/>
      <c r="M122" s="61"/>
      <c r="N122" s="111"/>
      <c r="O122" s="112"/>
      <c r="P122" s="113"/>
      <c r="Q122" s="114"/>
      <c r="R122" s="64"/>
      <c r="S122" s="108"/>
      <c r="T122" s="203">
        <f t="shared" si="42"/>
        <v>43647</v>
      </c>
      <c r="U122" s="204">
        <f t="shared" si="43"/>
        <v>43677</v>
      </c>
      <c r="V122" s="207">
        <f t="shared" si="69"/>
        <v>0</v>
      </c>
      <c r="W122" s="206" t="str">
        <f t="shared" si="66"/>
        <v/>
      </c>
      <c r="X122" s="206">
        <f t="shared" si="67"/>
        <v>0</v>
      </c>
      <c r="Y122" s="209">
        <f t="shared" si="68"/>
        <v>0</v>
      </c>
    </row>
    <row r="123" spans="2:25" ht="15.75" hidden="1" thickBot="1" x14ac:dyDescent="0.3">
      <c r="B123" s="60">
        <f>B118</f>
        <v>16</v>
      </c>
      <c r="C123" s="102">
        <v>111</v>
      </c>
      <c r="D123" s="192" t="str">
        <f t="shared" si="45"/>
        <v>I</v>
      </c>
      <c r="E123" s="62"/>
      <c r="F123" s="105"/>
      <c r="G123" s="105"/>
      <c r="H123" s="61"/>
      <c r="I123" s="61"/>
      <c r="J123" s="62"/>
      <c r="K123" s="63"/>
      <c r="L123" s="61"/>
      <c r="M123" s="61"/>
      <c r="N123" s="111"/>
      <c r="O123" s="112"/>
      <c r="P123" s="113"/>
      <c r="Q123" s="114"/>
      <c r="R123" s="64"/>
      <c r="S123" s="108"/>
      <c r="T123" s="203">
        <f t="shared" si="42"/>
        <v>43647</v>
      </c>
      <c r="U123" s="204">
        <f t="shared" si="43"/>
        <v>43677</v>
      </c>
      <c r="V123" s="207">
        <f t="shared" si="69"/>
        <v>0</v>
      </c>
      <c r="W123" s="206" t="str">
        <f t="shared" si="66"/>
        <v/>
      </c>
      <c r="X123" s="206">
        <f t="shared" si="67"/>
        <v>0</v>
      </c>
      <c r="Y123" s="209">
        <f t="shared" si="68"/>
        <v>0</v>
      </c>
    </row>
    <row r="124" spans="2:25" ht="15.75" hidden="1" thickBot="1" x14ac:dyDescent="0.3">
      <c r="B124" s="141">
        <f>B118</f>
        <v>16</v>
      </c>
      <c r="C124" s="142">
        <v>112</v>
      </c>
      <c r="D124" s="194" t="str">
        <f t="shared" si="45"/>
        <v>I</v>
      </c>
      <c r="E124" s="143"/>
      <c r="F124" s="144"/>
      <c r="G124" s="144"/>
      <c r="H124" s="145"/>
      <c r="I124" s="145"/>
      <c r="J124" s="436" t="s">
        <v>181</v>
      </c>
      <c r="K124" s="437"/>
      <c r="L124" s="438"/>
      <c r="M124" s="145"/>
      <c r="N124" s="146"/>
      <c r="O124" s="147"/>
      <c r="P124" s="148"/>
      <c r="Q124" s="149"/>
      <c r="R124" s="150"/>
      <c r="S124" s="151"/>
      <c r="T124" s="213">
        <f t="shared" si="42"/>
        <v>43647</v>
      </c>
      <c r="U124" s="214">
        <f t="shared" si="43"/>
        <v>43677</v>
      </c>
      <c r="V124" s="210">
        <f t="shared" si="69"/>
        <v>0</v>
      </c>
      <c r="W124" s="211"/>
      <c r="X124" s="211">
        <f>IF(AND($V124&gt;0,$I124=1),IF($E124=10,P124/10,P124/$V124),0)</f>
        <v>0</v>
      </c>
      <c r="Y124" s="212">
        <f>IF(AND($V118&gt;0,$I124&lt;&gt;1),Q124/E118*V118,0)</f>
        <v>0</v>
      </c>
    </row>
    <row r="125" spans="2:25" ht="16.5" hidden="1" thickTop="1" thickBot="1" x14ac:dyDescent="0.3">
      <c r="B125" s="129">
        <f>B123+1</f>
        <v>17</v>
      </c>
      <c r="C125" s="130">
        <v>113</v>
      </c>
      <c r="D125" s="196" t="str">
        <f t="shared" si="45"/>
        <v>I</v>
      </c>
      <c r="E125" s="152"/>
      <c r="F125" s="153"/>
      <c r="G125" s="153"/>
      <c r="H125" s="154"/>
      <c r="I125" s="154"/>
      <c r="J125" s="152"/>
      <c r="K125" s="155"/>
      <c r="L125" s="154"/>
      <c r="M125" s="154"/>
      <c r="N125" s="156"/>
      <c r="O125" s="157"/>
      <c r="P125" s="158"/>
      <c r="Q125" s="159"/>
      <c r="R125" s="160"/>
      <c r="S125" s="161"/>
      <c r="T125" s="203">
        <f t="shared" si="42"/>
        <v>43647</v>
      </c>
      <c r="U125" s="204">
        <f t="shared" si="43"/>
        <v>43677</v>
      </c>
      <c r="V125" s="207">
        <f>IF(G125-F125+1-IF(G125-U125&gt;0,G125-U125,0)-IF(T125-F125&gt;0,T125-F125,0)&gt;0,G125-F125+1-IF(G125-U125&gt;0,G125-U125,0)-IF(T125-F125&gt;0,T125-F125,0),0)</f>
        <v>0</v>
      </c>
      <c r="W125" s="206" t="str">
        <f t="shared" ref="W125:W130" si="70">IF(V125&gt;0,H125,"")</f>
        <v/>
      </c>
      <c r="X125" s="206">
        <f t="shared" ref="X125:X130" si="71">IF(AND($V125&gt;0,$I125=1),P125/$E125*$V125,0)</f>
        <v>0</v>
      </c>
      <c r="Y125" s="209">
        <f t="shared" ref="Y125:Y130" si="72">IF(AND($V125&gt;0,$I125&lt;&gt;1),Q125/$E125*$V125,0)</f>
        <v>0</v>
      </c>
    </row>
    <row r="126" spans="2:25" ht="15.75" hidden="1" thickBot="1" x14ac:dyDescent="0.3">
      <c r="B126" s="60">
        <f>B125</f>
        <v>17</v>
      </c>
      <c r="C126" s="102">
        <v>114</v>
      </c>
      <c r="D126" s="192" t="str">
        <f t="shared" si="45"/>
        <v>I</v>
      </c>
      <c r="E126" s="162"/>
      <c r="F126" s="163"/>
      <c r="G126" s="163"/>
      <c r="H126" s="164"/>
      <c r="I126" s="164"/>
      <c r="J126" s="162"/>
      <c r="K126" s="165"/>
      <c r="L126" s="164"/>
      <c r="M126" s="164"/>
      <c r="N126" s="166"/>
      <c r="O126" s="167"/>
      <c r="P126" s="168"/>
      <c r="Q126" s="169"/>
      <c r="R126" s="170"/>
      <c r="S126" s="171"/>
      <c r="T126" s="203">
        <f t="shared" si="42"/>
        <v>43647</v>
      </c>
      <c r="U126" s="204">
        <f t="shared" si="43"/>
        <v>43677</v>
      </c>
      <c r="V126" s="207">
        <f t="shared" ref="V126:V131" si="73">IF(G126-F126+1-IF(G126-U126&gt;0,G126-U126,0)-IF(T126-F126&gt;0,T126-F126,0)&gt;0,G126-F126+1-IF(G126-U126&gt;0,G126-U126,0)-IF(T126-F126&gt;0,T126-F126,0),0)</f>
        <v>0</v>
      </c>
      <c r="W126" s="206" t="str">
        <f t="shared" si="70"/>
        <v/>
      </c>
      <c r="X126" s="206">
        <f t="shared" si="71"/>
        <v>0</v>
      </c>
      <c r="Y126" s="209">
        <f t="shared" si="72"/>
        <v>0</v>
      </c>
    </row>
    <row r="127" spans="2:25" ht="15.75" hidden="1" thickBot="1" x14ac:dyDescent="0.3">
      <c r="B127" s="60">
        <f>B125</f>
        <v>17</v>
      </c>
      <c r="C127" s="102">
        <v>115</v>
      </c>
      <c r="D127" s="192" t="str">
        <f t="shared" si="45"/>
        <v>I</v>
      </c>
      <c r="E127" s="162"/>
      <c r="F127" s="163"/>
      <c r="G127" s="163"/>
      <c r="H127" s="164"/>
      <c r="I127" s="164"/>
      <c r="J127" s="162"/>
      <c r="K127" s="165"/>
      <c r="L127" s="164"/>
      <c r="M127" s="164"/>
      <c r="N127" s="166"/>
      <c r="O127" s="167"/>
      <c r="P127" s="168"/>
      <c r="Q127" s="169"/>
      <c r="R127" s="170"/>
      <c r="S127" s="171"/>
      <c r="T127" s="203">
        <f t="shared" si="42"/>
        <v>43647</v>
      </c>
      <c r="U127" s="204">
        <f t="shared" si="43"/>
        <v>43677</v>
      </c>
      <c r="V127" s="207">
        <f t="shared" si="73"/>
        <v>0</v>
      </c>
      <c r="W127" s="206" t="str">
        <f t="shared" si="70"/>
        <v/>
      </c>
      <c r="X127" s="206">
        <f t="shared" si="71"/>
        <v>0</v>
      </c>
      <c r="Y127" s="209">
        <f t="shared" si="72"/>
        <v>0</v>
      </c>
    </row>
    <row r="128" spans="2:25" ht="15.75" hidden="1" thickBot="1" x14ac:dyDescent="0.3">
      <c r="B128" s="60">
        <f>B125</f>
        <v>17</v>
      </c>
      <c r="C128" s="102">
        <v>116</v>
      </c>
      <c r="D128" s="192" t="str">
        <f t="shared" si="45"/>
        <v>I</v>
      </c>
      <c r="E128" s="162"/>
      <c r="F128" s="163"/>
      <c r="G128" s="163"/>
      <c r="H128" s="164"/>
      <c r="I128" s="164"/>
      <c r="J128" s="162"/>
      <c r="K128" s="165"/>
      <c r="L128" s="164"/>
      <c r="M128" s="164"/>
      <c r="N128" s="166"/>
      <c r="O128" s="167"/>
      <c r="P128" s="168"/>
      <c r="Q128" s="169"/>
      <c r="R128" s="170"/>
      <c r="S128" s="171"/>
      <c r="T128" s="203">
        <f t="shared" si="42"/>
        <v>43647</v>
      </c>
      <c r="U128" s="204">
        <f t="shared" si="43"/>
        <v>43677</v>
      </c>
      <c r="V128" s="207">
        <f t="shared" si="73"/>
        <v>0</v>
      </c>
      <c r="W128" s="206" t="str">
        <f t="shared" si="70"/>
        <v/>
      </c>
      <c r="X128" s="206">
        <f t="shared" si="71"/>
        <v>0</v>
      </c>
      <c r="Y128" s="209">
        <f t="shared" si="72"/>
        <v>0</v>
      </c>
    </row>
    <row r="129" spans="2:25" ht="15.75" hidden="1" thickBot="1" x14ac:dyDescent="0.3">
      <c r="B129" s="60">
        <f>B125</f>
        <v>17</v>
      </c>
      <c r="C129" s="102">
        <v>117</v>
      </c>
      <c r="D129" s="192" t="str">
        <f t="shared" si="45"/>
        <v>I</v>
      </c>
      <c r="E129" s="162"/>
      <c r="F129" s="163"/>
      <c r="G129" s="163"/>
      <c r="H129" s="164"/>
      <c r="I129" s="164"/>
      <c r="J129" s="162"/>
      <c r="K129" s="165"/>
      <c r="L129" s="164"/>
      <c r="M129" s="164"/>
      <c r="N129" s="166"/>
      <c r="O129" s="167"/>
      <c r="P129" s="168"/>
      <c r="Q129" s="169"/>
      <c r="R129" s="170"/>
      <c r="S129" s="171"/>
      <c r="T129" s="203">
        <f t="shared" si="42"/>
        <v>43647</v>
      </c>
      <c r="U129" s="204">
        <f t="shared" si="43"/>
        <v>43677</v>
      </c>
      <c r="V129" s="207">
        <f t="shared" si="73"/>
        <v>0</v>
      </c>
      <c r="W129" s="206" t="str">
        <f t="shared" si="70"/>
        <v/>
      </c>
      <c r="X129" s="206">
        <f t="shared" si="71"/>
        <v>0</v>
      </c>
      <c r="Y129" s="209">
        <f t="shared" si="72"/>
        <v>0</v>
      </c>
    </row>
    <row r="130" spans="2:25" ht="15.75" hidden="1" thickBot="1" x14ac:dyDescent="0.3">
      <c r="B130" s="60">
        <f>B125</f>
        <v>17</v>
      </c>
      <c r="C130" s="102">
        <v>118</v>
      </c>
      <c r="D130" s="192" t="str">
        <f t="shared" si="45"/>
        <v>I</v>
      </c>
      <c r="E130" s="172"/>
      <c r="F130" s="173"/>
      <c r="G130" s="173"/>
      <c r="H130" s="174"/>
      <c r="I130" s="174"/>
      <c r="J130" s="172"/>
      <c r="K130" s="175"/>
      <c r="L130" s="174"/>
      <c r="M130" s="174"/>
      <c r="N130" s="176"/>
      <c r="O130" s="177"/>
      <c r="P130" s="178"/>
      <c r="Q130" s="179"/>
      <c r="R130" s="180"/>
      <c r="S130" s="181"/>
      <c r="T130" s="203">
        <f t="shared" si="42"/>
        <v>43647</v>
      </c>
      <c r="U130" s="204">
        <f t="shared" si="43"/>
        <v>43677</v>
      </c>
      <c r="V130" s="207">
        <f t="shared" si="73"/>
        <v>0</v>
      </c>
      <c r="W130" s="206" t="str">
        <f t="shared" si="70"/>
        <v/>
      </c>
      <c r="X130" s="206">
        <f t="shared" si="71"/>
        <v>0</v>
      </c>
      <c r="Y130" s="209">
        <f t="shared" si="72"/>
        <v>0</v>
      </c>
    </row>
    <row r="131" spans="2:25" ht="15.75" hidden="1" thickBot="1" x14ac:dyDescent="0.3">
      <c r="B131" s="141">
        <f>B125</f>
        <v>17</v>
      </c>
      <c r="C131" s="142">
        <v>119</v>
      </c>
      <c r="D131" s="194" t="str">
        <f t="shared" si="45"/>
        <v>I</v>
      </c>
      <c r="E131" s="189"/>
      <c r="F131" s="190"/>
      <c r="G131" s="190"/>
      <c r="H131" s="182"/>
      <c r="I131" s="182"/>
      <c r="J131" s="436" t="s">
        <v>181</v>
      </c>
      <c r="K131" s="437"/>
      <c r="L131" s="438"/>
      <c r="M131" s="182"/>
      <c r="N131" s="183"/>
      <c r="O131" s="184"/>
      <c r="P131" s="185"/>
      <c r="Q131" s="186"/>
      <c r="R131" s="187"/>
      <c r="S131" s="188"/>
      <c r="T131" s="213">
        <f t="shared" si="42"/>
        <v>43647</v>
      </c>
      <c r="U131" s="214">
        <f t="shared" si="43"/>
        <v>43677</v>
      </c>
      <c r="V131" s="210">
        <f t="shared" si="73"/>
        <v>0</v>
      </c>
      <c r="W131" s="211"/>
      <c r="X131" s="211">
        <f>IF(AND($V131&gt;0,$I131=1),IF($E131=10,P131/10,P131/$V131),0)</f>
        <v>0</v>
      </c>
      <c r="Y131" s="212">
        <f>IF(AND($V125&gt;0,$I131&lt;&gt;1),Q131/E125*V125,0)</f>
        <v>0</v>
      </c>
    </row>
    <row r="132" spans="2:25" ht="16.5" hidden="1" thickTop="1" thickBot="1" x14ac:dyDescent="0.3">
      <c r="B132" s="129">
        <f>B130+1</f>
        <v>18</v>
      </c>
      <c r="C132" s="130">
        <v>120</v>
      </c>
      <c r="D132" s="196" t="str">
        <f t="shared" si="45"/>
        <v>I</v>
      </c>
      <c r="E132" s="131"/>
      <c r="F132" s="132"/>
      <c r="G132" s="132"/>
      <c r="H132" s="133"/>
      <c r="I132" s="133"/>
      <c r="J132" s="131"/>
      <c r="K132" s="134"/>
      <c r="L132" s="133"/>
      <c r="M132" s="133"/>
      <c r="N132" s="135"/>
      <c r="O132" s="136"/>
      <c r="P132" s="137"/>
      <c r="Q132" s="138"/>
      <c r="R132" s="139"/>
      <c r="S132" s="140"/>
      <c r="T132" s="203">
        <f t="shared" si="42"/>
        <v>43647</v>
      </c>
      <c r="U132" s="204">
        <f t="shared" si="43"/>
        <v>43677</v>
      </c>
      <c r="V132" s="207">
        <f>IF(G132-F132+1-IF(G132-U132&gt;0,G132-U132,0)-IF(T132-F132&gt;0,T132-F132,0)&gt;0,G132-F132+1-IF(G132-U132&gt;0,G132-U132,0)-IF(T132-F132&gt;0,T132-F132,0),0)</f>
        <v>0</v>
      </c>
      <c r="W132" s="206" t="str">
        <f t="shared" ref="W132:W137" si="74">IF(V132&gt;0,H132,"")</f>
        <v/>
      </c>
      <c r="X132" s="206">
        <f t="shared" ref="X132:X137" si="75">IF(AND($V132&gt;0,$I132=1),P132/$E132*$V132,0)</f>
        <v>0</v>
      </c>
      <c r="Y132" s="209">
        <f t="shared" ref="Y132:Y137" si="76">IF(AND($V132&gt;0,$I132&lt;&gt;1),Q132/$E132*$V132,0)</f>
        <v>0</v>
      </c>
    </row>
    <row r="133" spans="2:25" ht="15.75" hidden="1" thickBot="1" x14ac:dyDescent="0.3">
      <c r="B133" s="60">
        <f>B132</f>
        <v>18</v>
      </c>
      <c r="C133" s="102">
        <v>121</v>
      </c>
      <c r="D133" s="192" t="str">
        <f t="shared" si="45"/>
        <v>I</v>
      </c>
      <c r="E133" s="62"/>
      <c r="F133" s="105"/>
      <c r="G133" s="105"/>
      <c r="H133" s="61"/>
      <c r="I133" s="61"/>
      <c r="J133" s="62"/>
      <c r="K133" s="63"/>
      <c r="L133" s="61"/>
      <c r="M133" s="61"/>
      <c r="N133" s="111"/>
      <c r="O133" s="112"/>
      <c r="P133" s="113"/>
      <c r="Q133" s="114"/>
      <c r="R133" s="64"/>
      <c r="S133" s="108"/>
      <c r="T133" s="203">
        <f t="shared" si="42"/>
        <v>43647</v>
      </c>
      <c r="U133" s="204">
        <f t="shared" si="43"/>
        <v>43677</v>
      </c>
      <c r="V133" s="207">
        <f t="shared" ref="V133:V138" si="77">IF(G133-F133+1-IF(G133-U133&gt;0,G133-U133,0)-IF(T133-F133&gt;0,T133-F133,0)&gt;0,G133-F133+1-IF(G133-U133&gt;0,G133-U133,0)-IF(T133-F133&gt;0,T133-F133,0),0)</f>
        <v>0</v>
      </c>
      <c r="W133" s="206" t="str">
        <f t="shared" si="74"/>
        <v/>
      </c>
      <c r="X133" s="206">
        <f t="shared" si="75"/>
        <v>0</v>
      </c>
      <c r="Y133" s="209">
        <f t="shared" si="76"/>
        <v>0</v>
      </c>
    </row>
    <row r="134" spans="2:25" ht="15.75" hidden="1" thickBot="1" x14ac:dyDescent="0.3">
      <c r="B134" s="60">
        <f>B132</f>
        <v>18</v>
      </c>
      <c r="C134" s="102">
        <v>122</v>
      </c>
      <c r="D134" s="192" t="str">
        <f t="shared" si="45"/>
        <v>I</v>
      </c>
      <c r="E134" s="62"/>
      <c r="F134" s="105"/>
      <c r="G134" s="105"/>
      <c r="H134" s="61"/>
      <c r="I134" s="61"/>
      <c r="J134" s="62"/>
      <c r="K134" s="63"/>
      <c r="L134" s="61"/>
      <c r="M134" s="61"/>
      <c r="N134" s="111"/>
      <c r="O134" s="112"/>
      <c r="P134" s="113"/>
      <c r="Q134" s="114"/>
      <c r="R134" s="64"/>
      <c r="S134" s="108"/>
      <c r="T134" s="203">
        <f t="shared" si="42"/>
        <v>43647</v>
      </c>
      <c r="U134" s="204">
        <f t="shared" si="43"/>
        <v>43677</v>
      </c>
      <c r="V134" s="207">
        <f t="shared" si="77"/>
        <v>0</v>
      </c>
      <c r="W134" s="206" t="str">
        <f t="shared" si="74"/>
        <v/>
      </c>
      <c r="X134" s="206">
        <f t="shared" si="75"/>
        <v>0</v>
      </c>
      <c r="Y134" s="209">
        <f t="shared" si="76"/>
        <v>0</v>
      </c>
    </row>
    <row r="135" spans="2:25" ht="15.75" hidden="1" thickBot="1" x14ac:dyDescent="0.3">
      <c r="B135" s="60">
        <f>B132</f>
        <v>18</v>
      </c>
      <c r="C135" s="102">
        <v>123</v>
      </c>
      <c r="D135" s="192" t="str">
        <f t="shared" si="45"/>
        <v>I</v>
      </c>
      <c r="E135" s="62"/>
      <c r="F135" s="105"/>
      <c r="G135" s="105"/>
      <c r="H135" s="61"/>
      <c r="I135" s="61"/>
      <c r="J135" s="62"/>
      <c r="K135" s="63"/>
      <c r="L135" s="61"/>
      <c r="M135" s="61"/>
      <c r="N135" s="111"/>
      <c r="O135" s="112"/>
      <c r="P135" s="113"/>
      <c r="Q135" s="114"/>
      <c r="R135" s="64"/>
      <c r="S135" s="108"/>
      <c r="T135" s="203">
        <f t="shared" si="42"/>
        <v>43647</v>
      </c>
      <c r="U135" s="204">
        <f t="shared" si="43"/>
        <v>43677</v>
      </c>
      <c r="V135" s="207">
        <f t="shared" si="77"/>
        <v>0</v>
      </c>
      <c r="W135" s="206" t="str">
        <f t="shared" si="74"/>
        <v/>
      </c>
      <c r="X135" s="206">
        <f t="shared" si="75"/>
        <v>0</v>
      </c>
      <c r="Y135" s="209">
        <f t="shared" si="76"/>
        <v>0</v>
      </c>
    </row>
    <row r="136" spans="2:25" ht="15.75" hidden="1" thickBot="1" x14ac:dyDescent="0.3">
      <c r="B136" s="60">
        <f>B132</f>
        <v>18</v>
      </c>
      <c r="C136" s="102">
        <v>124</v>
      </c>
      <c r="D136" s="192" t="str">
        <f t="shared" si="45"/>
        <v>I</v>
      </c>
      <c r="E136" s="62"/>
      <c r="F136" s="105"/>
      <c r="G136" s="105"/>
      <c r="H136" s="61"/>
      <c r="I136" s="61"/>
      <c r="J136" s="62"/>
      <c r="K136" s="63"/>
      <c r="L136" s="61"/>
      <c r="M136" s="61"/>
      <c r="N136" s="111"/>
      <c r="O136" s="112"/>
      <c r="P136" s="113"/>
      <c r="Q136" s="114"/>
      <c r="R136" s="64"/>
      <c r="S136" s="108"/>
      <c r="T136" s="203">
        <f t="shared" si="42"/>
        <v>43647</v>
      </c>
      <c r="U136" s="204">
        <f t="shared" si="43"/>
        <v>43677</v>
      </c>
      <c r="V136" s="207">
        <f t="shared" si="77"/>
        <v>0</v>
      </c>
      <c r="W136" s="206" t="str">
        <f t="shared" si="74"/>
        <v/>
      </c>
      <c r="X136" s="206">
        <f t="shared" si="75"/>
        <v>0</v>
      </c>
      <c r="Y136" s="209">
        <f t="shared" si="76"/>
        <v>0</v>
      </c>
    </row>
    <row r="137" spans="2:25" ht="15.75" hidden="1" thickBot="1" x14ac:dyDescent="0.3">
      <c r="B137" s="60">
        <f>B132</f>
        <v>18</v>
      </c>
      <c r="C137" s="102">
        <v>125</v>
      </c>
      <c r="D137" s="192" t="str">
        <f t="shared" si="45"/>
        <v>I</v>
      </c>
      <c r="E137" s="62"/>
      <c r="F137" s="105"/>
      <c r="G137" s="105"/>
      <c r="H137" s="61"/>
      <c r="I137" s="61"/>
      <c r="J137" s="62"/>
      <c r="K137" s="63"/>
      <c r="L137" s="61"/>
      <c r="M137" s="61"/>
      <c r="N137" s="111"/>
      <c r="O137" s="112"/>
      <c r="P137" s="113"/>
      <c r="Q137" s="114"/>
      <c r="R137" s="64"/>
      <c r="S137" s="108"/>
      <c r="T137" s="203">
        <f t="shared" si="42"/>
        <v>43647</v>
      </c>
      <c r="U137" s="204">
        <f t="shared" si="43"/>
        <v>43677</v>
      </c>
      <c r="V137" s="207">
        <f t="shared" si="77"/>
        <v>0</v>
      </c>
      <c r="W137" s="206" t="str">
        <f t="shared" si="74"/>
        <v/>
      </c>
      <c r="X137" s="206">
        <f t="shared" si="75"/>
        <v>0</v>
      </c>
      <c r="Y137" s="209">
        <f t="shared" si="76"/>
        <v>0</v>
      </c>
    </row>
    <row r="138" spans="2:25" ht="15.75" hidden="1" thickBot="1" x14ac:dyDescent="0.3">
      <c r="B138" s="141">
        <f>B132</f>
        <v>18</v>
      </c>
      <c r="C138" s="142">
        <v>126</v>
      </c>
      <c r="D138" s="194" t="str">
        <f t="shared" si="45"/>
        <v>I</v>
      </c>
      <c r="E138" s="143"/>
      <c r="F138" s="144"/>
      <c r="G138" s="144"/>
      <c r="H138" s="145"/>
      <c r="I138" s="145"/>
      <c r="J138" s="436" t="s">
        <v>181</v>
      </c>
      <c r="K138" s="437"/>
      <c r="L138" s="438"/>
      <c r="M138" s="145"/>
      <c r="N138" s="146"/>
      <c r="O138" s="147"/>
      <c r="P138" s="148"/>
      <c r="Q138" s="149"/>
      <c r="R138" s="150"/>
      <c r="S138" s="151"/>
      <c r="T138" s="213">
        <f t="shared" si="42"/>
        <v>43647</v>
      </c>
      <c r="U138" s="214">
        <f t="shared" si="43"/>
        <v>43677</v>
      </c>
      <c r="V138" s="210">
        <f t="shared" si="77"/>
        <v>0</v>
      </c>
      <c r="W138" s="211"/>
      <c r="X138" s="211">
        <f>IF(AND($V138&gt;0,$I138=1),IF($E138=10,P138/10,P138/$V138),0)</f>
        <v>0</v>
      </c>
      <c r="Y138" s="212">
        <f>IF(AND($V132&gt;0,$I138&lt;&gt;1),Q138/E132*V132,0)</f>
        <v>0</v>
      </c>
    </row>
    <row r="139" spans="2:25" ht="16.5" hidden="1" thickTop="1" thickBot="1" x14ac:dyDescent="0.3">
      <c r="B139" s="129">
        <f>B137+1</f>
        <v>19</v>
      </c>
      <c r="C139" s="130">
        <v>127</v>
      </c>
      <c r="D139" s="196" t="str">
        <f t="shared" si="45"/>
        <v>I</v>
      </c>
      <c r="E139" s="152"/>
      <c r="F139" s="153"/>
      <c r="G139" s="153"/>
      <c r="H139" s="154"/>
      <c r="I139" s="154"/>
      <c r="J139" s="152"/>
      <c r="K139" s="155"/>
      <c r="L139" s="154"/>
      <c r="M139" s="154"/>
      <c r="N139" s="156"/>
      <c r="O139" s="157"/>
      <c r="P139" s="158"/>
      <c r="Q139" s="159"/>
      <c r="R139" s="160"/>
      <c r="S139" s="161"/>
      <c r="T139" s="203">
        <f t="shared" si="42"/>
        <v>43647</v>
      </c>
      <c r="U139" s="204">
        <f t="shared" si="43"/>
        <v>43677</v>
      </c>
      <c r="V139" s="207">
        <f>IF(G139-F139+1-IF(G139-U139&gt;0,G139-U139,0)-IF(T139-F139&gt;0,T139-F139,0)&gt;0,G139-F139+1-IF(G139-U139&gt;0,G139-U139,0)-IF(T139-F139&gt;0,T139-F139,0),0)</f>
        <v>0</v>
      </c>
      <c r="W139" s="206" t="str">
        <f t="shared" ref="W139:W144" si="78">IF(V139&gt;0,H139,"")</f>
        <v/>
      </c>
      <c r="X139" s="206">
        <f t="shared" ref="X139:X144" si="79">IF(AND($V139&gt;0,$I139=1),P139/$E139*$V139,0)</f>
        <v>0</v>
      </c>
      <c r="Y139" s="209">
        <f t="shared" ref="Y139:Y144" si="80">IF(AND($V139&gt;0,$I139&lt;&gt;1),Q139/$E139*$V139,0)</f>
        <v>0</v>
      </c>
    </row>
    <row r="140" spans="2:25" ht="15.75" hidden="1" thickBot="1" x14ac:dyDescent="0.3">
      <c r="B140" s="60">
        <f>B139</f>
        <v>19</v>
      </c>
      <c r="C140" s="102">
        <v>128</v>
      </c>
      <c r="D140" s="192" t="str">
        <f t="shared" si="45"/>
        <v>I</v>
      </c>
      <c r="E140" s="162"/>
      <c r="F140" s="163"/>
      <c r="G140" s="163"/>
      <c r="H140" s="164"/>
      <c r="I140" s="164"/>
      <c r="J140" s="162"/>
      <c r="K140" s="165"/>
      <c r="L140" s="164"/>
      <c r="M140" s="164"/>
      <c r="N140" s="166"/>
      <c r="O140" s="167"/>
      <c r="P140" s="168"/>
      <c r="Q140" s="169"/>
      <c r="R140" s="170"/>
      <c r="S140" s="171"/>
      <c r="T140" s="203">
        <f t="shared" si="42"/>
        <v>43647</v>
      </c>
      <c r="U140" s="204">
        <f t="shared" si="43"/>
        <v>43677</v>
      </c>
      <c r="V140" s="207">
        <f t="shared" ref="V140:V145" si="81">IF(G140-F140+1-IF(G140-U140&gt;0,G140-U140,0)-IF(T140-F140&gt;0,T140-F140,0)&gt;0,G140-F140+1-IF(G140-U140&gt;0,G140-U140,0)-IF(T140-F140&gt;0,T140-F140,0),0)</f>
        <v>0</v>
      </c>
      <c r="W140" s="206" t="str">
        <f t="shared" si="78"/>
        <v/>
      </c>
      <c r="X140" s="206">
        <f t="shared" si="79"/>
        <v>0</v>
      </c>
      <c r="Y140" s="209">
        <f t="shared" si="80"/>
        <v>0</v>
      </c>
    </row>
    <row r="141" spans="2:25" ht="15.75" hidden="1" thickBot="1" x14ac:dyDescent="0.3">
      <c r="B141" s="60">
        <f>B139</f>
        <v>19</v>
      </c>
      <c r="C141" s="102">
        <v>129</v>
      </c>
      <c r="D141" s="192" t="str">
        <f t="shared" si="45"/>
        <v>I</v>
      </c>
      <c r="E141" s="162"/>
      <c r="F141" s="163"/>
      <c r="G141" s="163"/>
      <c r="H141" s="164"/>
      <c r="I141" s="164"/>
      <c r="J141" s="162"/>
      <c r="K141" s="165"/>
      <c r="L141" s="164"/>
      <c r="M141" s="164"/>
      <c r="N141" s="166"/>
      <c r="O141" s="167"/>
      <c r="P141" s="168"/>
      <c r="Q141" s="169"/>
      <c r="R141" s="170"/>
      <c r="S141" s="171"/>
      <c r="T141" s="203">
        <f t="shared" ref="T141:T204" si="82">$F$4</f>
        <v>43647</v>
      </c>
      <c r="U141" s="204">
        <f t="shared" ref="U141:U204" si="83">$G$4</f>
        <v>43677</v>
      </c>
      <c r="V141" s="207">
        <f t="shared" si="81"/>
        <v>0</v>
      </c>
      <c r="W141" s="206" t="str">
        <f t="shared" si="78"/>
        <v/>
      </c>
      <c r="X141" s="206">
        <f t="shared" si="79"/>
        <v>0</v>
      </c>
      <c r="Y141" s="209">
        <f t="shared" si="80"/>
        <v>0</v>
      </c>
    </row>
    <row r="142" spans="2:25" ht="15.75" hidden="1" thickBot="1" x14ac:dyDescent="0.3">
      <c r="B142" s="60">
        <f>B139</f>
        <v>19</v>
      </c>
      <c r="C142" s="102">
        <v>130</v>
      </c>
      <c r="D142" s="192" t="str">
        <f t="shared" si="45"/>
        <v>I</v>
      </c>
      <c r="E142" s="162"/>
      <c r="F142" s="163"/>
      <c r="G142" s="163"/>
      <c r="H142" s="164"/>
      <c r="I142" s="164"/>
      <c r="J142" s="162"/>
      <c r="K142" s="165"/>
      <c r="L142" s="164"/>
      <c r="M142" s="164"/>
      <c r="N142" s="166"/>
      <c r="O142" s="167"/>
      <c r="P142" s="168"/>
      <c r="Q142" s="169"/>
      <c r="R142" s="170"/>
      <c r="S142" s="171"/>
      <c r="T142" s="203">
        <f t="shared" si="82"/>
        <v>43647</v>
      </c>
      <c r="U142" s="204">
        <f t="shared" si="83"/>
        <v>43677</v>
      </c>
      <c r="V142" s="207">
        <f t="shared" si="81"/>
        <v>0</v>
      </c>
      <c r="W142" s="206" t="str">
        <f t="shared" si="78"/>
        <v/>
      </c>
      <c r="X142" s="206">
        <f t="shared" si="79"/>
        <v>0</v>
      </c>
      <c r="Y142" s="209">
        <f t="shared" si="80"/>
        <v>0</v>
      </c>
    </row>
    <row r="143" spans="2:25" ht="15.75" hidden="1" thickBot="1" x14ac:dyDescent="0.3">
      <c r="B143" s="60">
        <f>B139</f>
        <v>19</v>
      </c>
      <c r="C143" s="102">
        <v>131</v>
      </c>
      <c r="D143" s="192" t="str">
        <f t="shared" si="45"/>
        <v>I</v>
      </c>
      <c r="E143" s="162"/>
      <c r="F143" s="163"/>
      <c r="G143" s="163"/>
      <c r="H143" s="164"/>
      <c r="I143" s="164"/>
      <c r="J143" s="162"/>
      <c r="K143" s="165"/>
      <c r="L143" s="164"/>
      <c r="M143" s="164"/>
      <c r="N143" s="166"/>
      <c r="O143" s="167"/>
      <c r="P143" s="168"/>
      <c r="Q143" s="169"/>
      <c r="R143" s="170"/>
      <c r="S143" s="171"/>
      <c r="T143" s="203">
        <f t="shared" si="82"/>
        <v>43647</v>
      </c>
      <c r="U143" s="204">
        <f t="shared" si="83"/>
        <v>43677</v>
      </c>
      <c r="V143" s="207">
        <f t="shared" si="81"/>
        <v>0</v>
      </c>
      <c r="W143" s="206" t="str">
        <f t="shared" si="78"/>
        <v/>
      </c>
      <c r="X143" s="206">
        <f t="shared" si="79"/>
        <v>0</v>
      </c>
      <c r="Y143" s="209">
        <f t="shared" si="80"/>
        <v>0</v>
      </c>
    </row>
    <row r="144" spans="2:25" ht="15.75" hidden="1" thickBot="1" x14ac:dyDescent="0.3">
      <c r="B144" s="60">
        <f>B139</f>
        <v>19</v>
      </c>
      <c r="C144" s="102">
        <v>132</v>
      </c>
      <c r="D144" s="192" t="str">
        <f t="shared" ref="D144:D207" si="84">D143</f>
        <v>I</v>
      </c>
      <c r="E144" s="172"/>
      <c r="F144" s="173"/>
      <c r="G144" s="173"/>
      <c r="H144" s="174"/>
      <c r="I144" s="174"/>
      <c r="J144" s="172"/>
      <c r="K144" s="175"/>
      <c r="L144" s="174"/>
      <c r="M144" s="174"/>
      <c r="N144" s="176"/>
      <c r="O144" s="177"/>
      <c r="P144" s="178"/>
      <c r="Q144" s="179"/>
      <c r="R144" s="180"/>
      <c r="S144" s="181"/>
      <c r="T144" s="203">
        <f t="shared" si="82"/>
        <v>43647</v>
      </c>
      <c r="U144" s="204">
        <f t="shared" si="83"/>
        <v>43677</v>
      </c>
      <c r="V144" s="207">
        <f t="shared" si="81"/>
        <v>0</v>
      </c>
      <c r="W144" s="206" t="str">
        <f t="shared" si="78"/>
        <v/>
      </c>
      <c r="X144" s="206">
        <f t="shared" si="79"/>
        <v>0</v>
      </c>
      <c r="Y144" s="209">
        <f t="shared" si="80"/>
        <v>0</v>
      </c>
    </row>
    <row r="145" spans="2:25" ht="15.75" hidden="1" thickBot="1" x14ac:dyDescent="0.3">
      <c r="B145" s="141">
        <f>B139</f>
        <v>19</v>
      </c>
      <c r="C145" s="142">
        <v>133</v>
      </c>
      <c r="D145" s="194" t="str">
        <f t="shared" si="84"/>
        <v>I</v>
      </c>
      <c r="E145" s="189"/>
      <c r="F145" s="190"/>
      <c r="G145" s="190"/>
      <c r="H145" s="182"/>
      <c r="I145" s="182"/>
      <c r="J145" s="436" t="s">
        <v>181</v>
      </c>
      <c r="K145" s="437"/>
      <c r="L145" s="438"/>
      <c r="M145" s="182"/>
      <c r="N145" s="183"/>
      <c r="O145" s="184"/>
      <c r="P145" s="185"/>
      <c r="Q145" s="186"/>
      <c r="R145" s="187"/>
      <c r="S145" s="188"/>
      <c r="T145" s="213">
        <f t="shared" si="82"/>
        <v>43647</v>
      </c>
      <c r="U145" s="214">
        <f t="shared" si="83"/>
        <v>43677</v>
      </c>
      <c r="V145" s="210">
        <f t="shared" si="81"/>
        <v>0</v>
      </c>
      <c r="W145" s="211"/>
      <c r="X145" s="211">
        <f>IF(AND($V145&gt;0,$I145=1),IF($E145=10,P145/10,P145/$V145),0)</f>
        <v>0</v>
      </c>
      <c r="Y145" s="212">
        <f>IF(AND($V139&gt;0,$I145&lt;&gt;1),Q145/E139*V139,0)</f>
        <v>0</v>
      </c>
    </row>
    <row r="146" spans="2:25" ht="16.5" hidden="1" thickTop="1" thickBot="1" x14ac:dyDescent="0.3">
      <c r="B146" s="129">
        <f>B144+1</f>
        <v>20</v>
      </c>
      <c r="C146" s="130">
        <v>134</v>
      </c>
      <c r="D146" s="196" t="str">
        <f t="shared" si="84"/>
        <v>I</v>
      </c>
      <c r="E146" s="131"/>
      <c r="F146" s="132"/>
      <c r="G146" s="132"/>
      <c r="H146" s="133"/>
      <c r="I146" s="133"/>
      <c r="J146" s="131"/>
      <c r="K146" s="134"/>
      <c r="L146" s="133"/>
      <c r="M146" s="133"/>
      <c r="N146" s="135"/>
      <c r="O146" s="136"/>
      <c r="P146" s="137"/>
      <c r="Q146" s="138"/>
      <c r="R146" s="139"/>
      <c r="S146" s="140"/>
      <c r="T146" s="203">
        <f t="shared" si="82"/>
        <v>43647</v>
      </c>
      <c r="U146" s="204">
        <f t="shared" si="83"/>
        <v>43677</v>
      </c>
      <c r="V146" s="207">
        <f>IF(G146-F146+1-IF(G146-U146&gt;0,G146-U146,0)-IF(T146-F146&gt;0,T146-F146,0)&gt;0,G146-F146+1-IF(G146-U146&gt;0,G146-U146,0)-IF(T146-F146&gt;0,T146-F146,0),0)</f>
        <v>0</v>
      </c>
      <c r="W146" s="206" t="str">
        <f t="shared" ref="W146:W151" si="85">IF(V146&gt;0,H146,"")</f>
        <v/>
      </c>
      <c r="X146" s="206">
        <f t="shared" ref="X146:X151" si="86">IF(AND($V146&gt;0,$I146=1),P146/$E146*$V146,0)</f>
        <v>0</v>
      </c>
      <c r="Y146" s="209">
        <f t="shared" ref="Y146:Y151" si="87">IF(AND($V146&gt;0,$I146&lt;&gt;1),Q146/$E146*$V146,0)</f>
        <v>0</v>
      </c>
    </row>
    <row r="147" spans="2:25" ht="15.75" hidden="1" thickBot="1" x14ac:dyDescent="0.3">
      <c r="B147" s="60">
        <f>B146</f>
        <v>20</v>
      </c>
      <c r="C147" s="102">
        <v>135</v>
      </c>
      <c r="D147" s="192" t="str">
        <f t="shared" si="84"/>
        <v>I</v>
      </c>
      <c r="E147" s="62"/>
      <c r="F147" s="105"/>
      <c r="G147" s="105"/>
      <c r="H147" s="61"/>
      <c r="I147" s="61"/>
      <c r="J147" s="62"/>
      <c r="K147" s="63"/>
      <c r="L147" s="61"/>
      <c r="M147" s="61"/>
      <c r="N147" s="111"/>
      <c r="O147" s="112"/>
      <c r="P147" s="113"/>
      <c r="Q147" s="114"/>
      <c r="R147" s="64"/>
      <c r="S147" s="108"/>
      <c r="T147" s="203">
        <f t="shared" si="82"/>
        <v>43647</v>
      </c>
      <c r="U147" s="204">
        <f t="shared" si="83"/>
        <v>43677</v>
      </c>
      <c r="V147" s="207">
        <f t="shared" ref="V147:V152" si="88">IF(G147-F147+1-IF(G147-U147&gt;0,G147-U147,0)-IF(T147-F147&gt;0,T147-F147,0)&gt;0,G147-F147+1-IF(G147-U147&gt;0,G147-U147,0)-IF(T147-F147&gt;0,T147-F147,0),0)</f>
        <v>0</v>
      </c>
      <c r="W147" s="206" t="str">
        <f t="shared" si="85"/>
        <v/>
      </c>
      <c r="X147" s="206">
        <f t="shared" si="86"/>
        <v>0</v>
      </c>
      <c r="Y147" s="209">
        <f t="shared" si="87"/>
        <v>0</v>
      </c>
    </row>
    <row r="148" spans="2:25" ht="15.75" hidden="1" thickBot="1" x14ac:dyDescent="0.3">
      <c r="B148" s="60">
        <f>B146</f>
        <v>20</v>
      </c>
      <c r="C148" s="102">
        <v>136</v>
      </c>
      <c r="D148" s="192" t="str">
        <f t="shared" si="84"/>
        <v>I</v>
      </c>
      <c r="E148" s="62"/>
      <c r="F148" s="105"/>
      <c r="G148" s="105"/>
      <c r="H148" s="61"/>
      <c r="I148" s="61"/>
      <c r="J148" s="62"/>
      <c r="K148" s="63"/>
      <c r="L148" s="61"/>
      <c r="M148" s="61"/>
      <c r="N148" s="111"/>
      <c r="O148" s="112"/>
      <c r="P148" s="113"/>
      <c r="Q148" s="114"/>
      <c r="R148" s="64"/>
      <c r="S148" s="108"/>
      <c r="T148" s="203">
        <f t="shared" si="82"/>
        <v>43647</v>
      </c>
      <c r="U148" s="204">
        <f t="shared" si="83"/>
        <v>43677</v>
      </c>
      <c r="V148" s="207">
        <f t="shared" si="88"/>
        <v>0</v>
      </c>
      <c r="W148" s="206" t="str">
        <f t="shared" si="85"/>
        <v/>
      </c>
      <c r="X148" s="206">
        <f t="shared" si="86"/>
        <v>0</v>
      </c>
      <c r="Y148" s="209">
        <f t="shared" si="87"/>
        <v>0</v>
      </c>
    </row>
    <row r="149" spans="2:25" ht="15.75" hidden="1" thickBot="1" x14ac:dyDescent="0.3">
      <c r="B149" s="60">
        <f>B146</f>
        <v>20</v>
      </c>
      <c r="C149" s="102">
        <v>137</v>
      </c>
      <c r="D149" s="192" t="str">
        <f t="shared" si="84"/>
        <v>I</v>
      </c>
      <c r="E149" s="62"/>
      <c r="F149" s="105"/>
      <c r="G149" s="105"/>
      <c r="H149" s="61"/>
      <c r="I149" s="61"/>
      <c r="J149" s="62"/>
      <c r="K149" s="63"/>
      <c r="L149" s="61"/>
      <c r="M149" s="61"/>
      <c r="N149" s="111"/>
      <c r="O149" s="112"/>
      <c r="P149" s="113"/>
      <c r="Q149" s="114"/>
      <c r="R149" s="64"/>
      <c r="S149" s="108"/>
      <c r="T149" s="203">
        <f t="shared" si="82"/>
        <v>43647</v>
      </c>
      <c r="U149" s="204">
        <f t="shared" si="83"/>
        <v>43677</v>
      </c>
      <c r="V149" s="207">
        <f t="shared" si="88"/>
        <v>0</v>
      </c>
      <c r="W149" s="206" t="str">
        <f t="shared" si="85"/>
        <v/>
      </c>
      <c r="X149" s="206">
        <f t="shared" si="86"/>
        <v>0</v>
      </c>
      <c r="Y149" s="209">
        <f t="shared" si="87"/>
        <v>0</v>
      </c>
    </row>
    <row r="150" spans="2:25" ht="15.75" hidden="1" thickBot="1" x14ac:dyDescent="0.3">
      <c r="B150" s="60">
        <f>B146</f>
        <v>20</v>
      </c>
      <c r="C150" s="102">
        <v>138</v>
      </c>
      <c r="D150" s="192" t="str">
        <f t="shared" si="84"/>
        <v>I</v>
      </c>
      <c r="E150" s="62"/>
      <c r="F150" s="105"/>
      <c r="G150" s="105"/>
      <c r="H150" s="61"/>
      <c r="I150" s="61"/>
      <c r="J150" s="62"/>
      <c r="K150" s="63"/>
      <c r="L150" s="61"/>
      <c r="M150" s="61"/>
      <c r="N150" s="111"/>
      <c r="O150" s="112"/>
      <c r="P150" s="113"/>
      <c r="Q150" s="114"/>
      <c r="R150" s="64"/>
      <c r="S150" s="108"/>
      <c r="T150" s="203">
        <f t="shared" si="82"/>
        <v>43647</v>
      </c>
      <c r="U150" s="204">
        <f t="shared" si="83"/>
        <v>43677</v>
      </c>
      <c r="V150" s="207">
        <f t="shared" si="88"/>
        <v>0</v>
      </c>
      <c r="W150" s="206" t="str">
        <f t="shared" si="85"/>
        <v/>
      </c>
      <c r="X150" s="206">
        <f t="shared" si="86"/>
        <v>0</v>
      </c>
      <c r="Y150" s="209">
        <f t="shared" si="87"/>
        <v>0</v>
      </c>
    </row>
    <row r="151" spans="2:25" ht="15.75" hidden="1" thickBot="1" x14ac:dyDescent="0.3">
      <c r="B151" s="60">
        <f>B146</f>
        <v>20</v>
      </c>
      <c r="C151" s="102">
        <v>139</v>
      </c>
      <c r="D151" s="192" t="str">
        <f t="shared" si="84"/>
        <v>I</v>
      </c>
      <c r="E151" s="62"/>
      <c r="F151" s="105"/>
      <c r="G151" s="105"/>
      <c r="H151" s="61"/>
      <c r="I151" s="61"/>
      <c r="J151" s="62"/>
      <c r="K151" s="63"/>
      <c r="L151" s="61"/>
      <c r="M151" s="61"/>
      <c r="N151" s="111"/>
      <c r="O151" s="112"/>
      <c r="P151" s="113"/>
      <c r="Q151" s="114"/>
      <c r="R151" s="64"/>
      <c r="S151" s="108"/>
      <c r="T151" s="203">
        <f t="shared" si="82"/>
        <v>43647</v>
      </c>
      <c r="U151" s="204">
        <f t="shared" si="83"/>
        <v>43677</v>
      </c>
      <c r="V151" s="207">
        <f t="shared" si="88"/>
        <v>0</v>
      </c>
      <c r="W151" s="206" t="str">
        <f t="shared" si="85"/>
        <v/>
      </c>
      <c r="X151" s="206">
        <f t="shared" si="86"/>
        <v>0</v>
      </c>
      <c r="Y151" s="209">
        <f t="shared" si="87"/>
        <v>0</v>
      </c>
    </row>
    <row r="152" spans="2:25" ht="15.75" hidden="1" thickBot="1" x14ac:dyDescent="0.3">
      <c r="B152" s="141">
        <f>B146</f>
        <v>20</v>
      </c>
      <c r="C152" s="142">
        <v>140</v>
      </c>
      <c r="D152" s="194" t="str">
        <f t="shared" si="84"/>
        <v>I</v>
      </c>
      <c r="E152" s="143"/>
      <c r="F152" s="144"/>
      <c r="G152" s="144"/>
      <c r="H152" s="145"/>
      <c r="I152" s="145"/>
      <c r="J152" s="436" t="s">
        <v>181</v>
      </c>
      <c r="K152" s="437"/>
      <c r="L152" s="438"/>
      <c r="M152" s="145"/>
      <c r="N152" s="146"/>
      <c r="O152" s="147"/>
      <c r="P152" s="148"/>
      <c r="Q152" s="149"/>
      <c r="R152" s="150"/>
      <c r="S152" s="151"/>
      <c r="T152" s="213">
        <f t="shared" si="82"/>
        <v>43647</v>
      </c>
      <c r="U152" s="214">
        <f t="shared" si="83"/>
        <v>43677</v>
      </c>
      <c r="V152" s="210">
        <f t="shared" si="88"/>
        <v>0</v>
      </c>
      <c r="W152" s="211"/>
      <c r="X152" s="211">
        <f>IF(AND($V152&gt;0,$I152=1),IF($E152=10,P152/10,P152/$V152),0)</f>
        <v>0</v>
      </c>
      <c r="Y152" s="212">
        <f>IF(AND($V146&gt;0,$I152&lt;&gt;1),Q152/E146*V146,0)</f>
        <v>0</v>
      </c>
    </row>
    <row r="153" spans="2:25" ht="16.5" hidden="1" thickTop="1" thickBot="1" x14ac:dyDescent="0.3">
      <c r="B153" s="129">
        <f>B151+1</f>
        <v>21</v>
      </c>
      <c r="C153" s="130">
        <v>141</v>
      </c>
      <c r="D153" s="196" t="str">
        <f t="shared" si="84"/>
        <v>I</v>
      </c>
      <c r="E153" s="152"/>
      <c r="F153" s="153"/>
      <c r="G153" s="153"/>
      <c r="H153" s="154"/>
      <c r="I153" s="154"/>
      <c r="J153" s="152"/>
      <c r="K153" s="155"/>
      <c r="L153" s="154"/>
      <c r="M153" s="154"/>
      <c r="N153" s="156"/>
      <c r="O153" s="157"/>
      <c r="P153" s="158"/>
      <c r="Q153" s="159"/>
      <c r="R153" s="160"/>
      <c r="S153" s="161"/>
      <c r="T153" s="203">
        <f t="shared" si="82"/>
        <v>43647</v>
      </c>
      <c r="U153" s="204">
        <f t="shared" si="83"/>
        <v>43677</v>
      </c>
      <c r="V153" s="207">
        <f>IF(G153-F153+1-IF(G153-U153&gt;0,G153-U153,0)-IF(T153-F153&gt;0,T153-F153,0)&gt;0,G153-F153+1-IF(G153-U153&gt;0,G153-U153,0)-IF(T153-F153&gt;0,T153-F153,0),0)</f>
        <v>0</v>
      </c>
      <c r="W153" s="206" t="str">
        <f t="shared" ref="W153:W158" si="89">IF(V153&gt;0,H153,"")</f>
        <v/>
      </c>
      <c r="X153" s="206">
        <f t="shared" ref="X153:X158" si="90">IF(AND($V153&gt;0,$I153=1),P153/$E153*$V153,0)</f>
        <v>0</v>
      </c>
      <c r="Y153" s="209">
        <f t="shared" ref="Y153:Y158" si="91">IF(AND($V153&gt;0,$I153&lt;&gt;1),Q153/$E153*$V153,0)</f>
        <v>0</v>
      </c>
    </row>
    <row r="154" spans="2:25" ht="15.75" hidden="1" thickBot="1" x14ac:dyDescent="0.3">
      <c r="B154" s="60">
        <f>B153</f>
        <v>21</v>
      </c>
      <c r="C154" s="102">
        <v>142</v>
      </c>
      <c r="D154" s="192" t="str">
        <f t="shared" si="84"/>
        <v>I</v>
      </c>
      <c r="E154" s="162"/>
      <c r="F154" s="163"/>
      <c r="G154" s="163"/>
      <c r="H154" s="164"/>
      <c r="I154" s="164"/>
      <c r="J154" s="162"/>
      <c r="K154" s="165"/>
      <c r="L154" s="164"/>
      <c r="M154" s="164"/>
      <c r="N154" s="166"/>
      <c r="O154" s="167"/>
      <c r="P154" s="168"/>
      <c r="Q154" s="169"/>
      <c r="R154" s="170"/>
      <c r="S154" s="171"/>
      <c r="T154" s="203">
        <f t="shared" si="82"/>
        <v>43647</v>
      </c>
      <c r="U154" s="204">
        <f t="shared" si="83"/>
        <v>43677</v>
      </c>
      <c r="V154" s="207">
        <f t="shared" ref="V154:V159" si="92">IF(G154-F154+1-IF(G154-U154&gt;0,G154-U154,0)-IF(T154-F154&gt;0,T154-F154,0)&gt;0,G154-F154+1-IF(G154-U154&gt;0,G154-U154,0)-IF(T154-F154&gt;0,T154-F154,0),0)</f>
        <v>0</v>
      </c>
      <c r="W154" s="206" t="str">
        <f t="shared" si="89"/>
        <v/>
      </c>
      <c r="X154" s="206">
        <f t="shared" si="90"/>
        <v>0</v>
      </c>
      <c r="Y154" s="209">
        <f t="shared" si="91"/>
        <v>0</v>
      </c>
    </row>
    <row r="155" spans="2:25" ht="15.75" hidden="1" thickBot="1" x14ac:dyDescent="0.3">
      <c r="B155" s="60">
        <f>B153</f>
        <v>21</v>
      </c>
      <c r="C155" s="102">
        <v>143</v>
      </c>
      <c r="D155" s="192" t="str">
        <f t="shared" si="84"/>
        <v>I</v>
      </c>
      <c r="E155" s="162"/>
      <c r="F155" s="163"/>
      <c r="G155" s="163"/>
      <c r="H155" s="164"/>
      <c r="I155" s="164"/>
      <c r="J155" s="162"/>
      <c r="K155" s="165"/>
      <c r="L155" s="164"/>
      <c r="M155" s="164"/>
      <c r="N155" s="166"/>
      <c r="O155" s="167"/>
      <c r="P155" s="168"/>
      <c r="Q155" s="169"/>
      <c r="R155" s="170"/>
      <c r="S155" s="171"/>
      <c r="T155" s="203">
        <f t="shared" si="82"/>
        <v>43647</v>
      </c>
      <c r="U155" s="204">
        <f t="shared" si="83"/>
        <v>43677</v>
      </c>
      <c r="V155" s="207">
        <f t="shared" si="92"/>
        <v>0</v>
      </c>
      <c r="W155" s="206" t="str">
        <f t="shared" si="89"/>
        <v/>
      </c>
      <c r="X155" s="206">
        <f t="shared" si="90"/>
        <v>0</v>
      </c>
      <c r="Y155" s="209">
        <f t="shared" si="91"/>
        <v>0</v>
      </c>
    </row>
    <row r="156" spans="2:25" ht="15.75" hidden="1" thickBot="1" x14ac:dyDescent="0.3">
      <c r="B156" s="60">
        <f>B153</f>
        <v>21</v>
      </c>
      <c r="C156" s="102">
        <v>144</v>
      </c>
      <c r="D156" s="192" t="str">
        <f t="shared" si="84"/>
        <v>I</v>
      </c>
      <c r="E156" s="162"/>
      <c r="F156" s="163"/>
      <c r="G156" s="163"/>
      <c r="H156" s="164"/>
      <c r="I156" s="164"/>
      <c r="J156" s="162"/>
      <c r="K156" s="165"/>
      <c r="L156" s="164"/>
      <c r="M156" s="164"/>
      <c r="N156" s="166"/>
      <c r="O156" s="167"/>
      <c r="P156" s="168"/>
      <c r="Q156" s="169"/>
      <c r="R156" s="170"/>
      <c r="S156" s="171"/>
      <c r="T156" s="203">
        <f t="shared" si="82"/>
        <v>43647</v>
      </c>
      <c r="U156" s="204">
        <f t="shared" si="83"/>
        <v>43677</v>
      </c>
      <c r="V156" s="207">
        <f t="shared" si="92"/>
        <v>0</v>
      </c>
      <c r="W156" s="206" t="str">
        <f t="shared" si="89"/>
        <v/>
      </c>
      <c r="X156" s="206">
        <f t="shared" si="90"/>
        <v>0</v>
      </c>
      <c r="Y156" s="209">
        <f t="shared" si="91"/>
        <v>0</v>
      </c>
    </row>
    <row r="157" spans="2:25" ht="15.75" hidden="1" thickBot="1" x14ac:dyDescent="0.3">
      <c r="B157" s="60">
        <f>B153</f>
        <v>21</v>
      </c>
      <c r="C157" s="102">
        <v>145</v>
      </c>
      <c r="D157" s="192" t="str">
        <f t="shared" si="84"/>
        <v>I</v>
      </c>
      <c r="E157" s="162"/>
      <c r="F157" s="163"/>
      <c r="G157" s="163"/>
      <c r="H157" s="164"/>
      <c r="I157" s="164"/>
      <c r="J157" s="162"/>
      <c r="K157" s="165"/>
      <c r="L157" s="164"/>
      <c r="M157" s="164"/>
      <c r="N157" s="166"/>
      <c r="O157" s="167"/>
      <c r="P157" s="168"/>
      <c r="Q157" s="169"/>
      <c r="R157" s="170"/>
      <c r="S157" s="171"/>
      <c r="T157" s="203">
        <f t="shared" si="82"/>
        <v>43647</v>
      </c>
      <c r="U157" s="204">
        <f t="shared" si="83"/>
        <v>43677</v>
      </c>
      <c r="V157" s="207">
        <f t="shared" si="92"/>
        <v>0</v>
      </c>
      <c r="W157" s="206" t="str">
        <f t="shared" si="89"/>
        <v/>
      </c>
      <c r="X157" s="206">
        <f t="shared" si="90"/>
        <v>0</v>
      </c>
      <c r="Y157" s="209">
        <f t="shared" si="91"/>
        <v>0</v>
      </c>
    </row>
    <row r="158" spans="2:25" ht="15.75" hidden="1" thickBot="1" x14ac:dyDescent="0.3">
      <c r="B158" s="60">
        <f>B153</f>
        <v>21</v>
      </c>
      <c r="C158" s="102">
        <v>146</v>
      </c>
      <c r="D158" s="192" t="str">
        <f t="shared" si="84"/>
        <v>I</v>
      </c>
      <c r="E158" s="172"/>
      <c r="F158" s="173"/>
      <c r="G158" s="173"/>
      <c r="H158" s="174"/>
      <c r="I158" s="174"/>
      <c r="J158" s="172"/>
      <c r="K158" s="175"/>
      <c r="L158" s="174"/>
      <c r="M158" s="174"/>
      <c r="N158" s="176"/>
      <c r="O158" s="177"/>
      <c r="P158" s="178"/>
      <c r="Q158" s="179"/>
      <c r="R158" s="180"/>
      <c r="S158" s="181"/>
      <c r="T158" s="203">
        <f t="shared" si="82"/>
        <v>43647</v>
      </c>
      <c r="U158" s="204">
        <f t="shared" si="83"/>
        <v>43677</v>
      </c>
      <c r="V158" s="207">
        <f t="shared" si="92"/>
        <v>0</v>
      </c>
      <c r="W158" s="206" t="str">
        <f t="shared" si="89"/>
        <v/>
      </c>
      <c r="X158" s="206">
        <f t="shared" si="90"/>
        <v>0</v>
      </c>
      <c r="Y158" s="209">
        <f t="shared" si="91"/>
        <v>0</v>
      </c>
    </row>
    <row r="159" spans="2:25" ht="15.75" hidden="1" thickBot="1" x14ac:dyDescent="0.3">
      <c r="B159" s="141">
        <f>B153</f>
        <v>21</v>
      </c>
      <c r="C159" s="142">
        <v>147</v>
      </c>
      <c r="D159" s="194" t="str">
        <f t="shared" si="84"/>
        <v>I</v>
      </c>
      <c r="E159" s="189"/>
      <c r="F159" s="190"/>
      <c r="G159" s="190"/>
      <c r="H159" s="182"/>
      <c r="I159" s="182"/>
      <c r="J159" s="436" t="s">
        <v>181</v>
      </c>
      <c r="K159" s="437"/>
      <c r="L159" s="438"/>
      <c r="M159" s="182"/>
      <c r="N159" s="183"/>
      <c r="O159" s="184"/>
      <c r="P159" s="185"/>
      <c r="Q159" s="186"/>
      <c r="R159" s="187"/>
      <c r="S159" s="188"/>
      <c r="T159" s="213">
        <f t="shared" si="82"/>
        <v>43647</v>
      </c>
      <c r="U159" s="214">
        <f t="shared" si="83"/>
        <v>43677</v>
      </c>
      <c r="V159" s="210">
        <f t="shared" si="92"/>
        <v>0</v>
      </c>
      <c r="W159" s="211"/>
      <c r="X159" s="211">
        <f>IF(AND($V159&gt;0,$I159=1),IF($E159=10,P159/10,P159/$V159),0)</f>
        <v>0</v>
      </c>
      <c r="Y159" s="212">
        <f>IF(AND($V153&gt;0,$I159&lt;&gt;1),Q159/E153*V153,0)</f>
        <v>0</v>
      </c>
    </row>
    <row r="160" spans="2:25" ht="16.5" hidden="1" thickTop="1" thickBot="1" x14ac:dyDescent="0.3">
      <c r="B160" s="129">
        <f>B158+1</f>
        <v>22</v>
      </c>
      <c r="C160" s="130">
        <v>148</v>
      </c>
      <c r="D160" s="196" t="str">
        <f t="shared" si="84"/>
        <v>I</v>
      </c>
      <c r="E160" s="131"/>
      <c r="F160" s="132"/>
      <c r="G160" s="132"/>
      <c r="H160" s="133"/>
      <c r="I160" s="133"/>
      <c r="J160" s="131"/>
      <c r="K160" s="134"/>
      <c r="L160" s="133"/>
      <c r="M160" s="133"/>
      <c r="N160" s="135"/>
      <c r="O160" s="136"/>
      <c r="P160" s="137"/>
      <c r="Q160" s="138"/>
      <c r="R160" s="139"/>
      <c r="S160" s="140"/>
      <c r="T160" s="203">
        <f t="shared" si="82"/>
        <v>43647</v>
      </c>
      <c r="U160" s="204">
        <f t="shared" si="83"/>
        <v>43677</v>
      </c>
      <c r="V160" s="207">
        <f>IF(G160-F160+1-IF(G160-U160&gt;0,G160-U160,0)-IF(T160-F160&gt;0,T160-F160,0)&gt;0,G160-F160+1-IF(G160-U160&gt;0,G160-U160,0)-IF(T160-F160&gt;0,T160-F160,0),0)</f>
        <v>0</v>
      </c>
      <c r="W160" s="206" t="str">
        <f t="shared" ref="W160:W165" si="93">IF(V160&gt;0,H160,"")</f>
        <v/>
      </c>
      <c r="X160" s="206">
        <f t="shared" ref="X160:X165" si="94">IF(AND($V160&gt;0,$I160=1),P160/$E160*$V160,0)</f>
        <v>0</v>
      </c>
      <c r="Y160" s="209">
        <f t="shared" ref="Y160:Y165" si="95">IF(AND($V160&gt;0,$I160&lt;&gt;1),Q160/$E160*$V160,0)</f>
        <v>0</v>
      </c>
    </row>
    <row r="161" spans="2:25" ht="15.75" hidden="1" thickBot="1" x14ac:dyDescent="0.3">
      <c r="B161" s="60">
        <f>B160</f>
        <v>22</v>
      </c>
      <c r="C161" s="102">
        <v>149</v>
      </c>
      <c r="D161" s="192" t="str">
        <f t="shared" si="84"/>
        <v>I</v>
      </c>
      <c r="E161" s="62"/>
      <c r="F161" s="105"/>
      <c r="G161" s="105"/>
      <c r="H161" s="61"/>
      <c r="I161" s="61"/>
      <c r="J161" s="62"/>
      <c r="K161" s="63"/>
      <c r="L161" s="61"/>
      <c r="M161" s="61"/>
      <c r="N161" s="111"/>
      <c r="O161" s="112"/>
      <c r="P161" s="113"/>
      <c r="Q161" s="114"/>
      <c r="R161" s="64"/>
      <c r="S161" s="108"/>
      <c r="T161" s="203">
        <f t="shared" si="82"/>
        <v>43647</v>
      </c>
      <c r="U161" s="204">
        <f t="shared" si="83"/>
        <v>43677</v>
      </c>
      <c r="V161" s="207">
        <f t="shared" ref="V161:V166" si="96">IF(G161-F161+1-IF(G161-U161&gt;0,G161-U161,0)-IF(T161-F161&gt;0,T161-F161,0)&gt;0,G161-F161+1-IF(G161-U161&gt;0,G161-U161,0)-IF(T161-F161&gt;0,T161-F161,0),0)</f>
        <v>0</v>
      </c>
      <c r="W161" s="206" t="str">
        <f t="shared" si="93"/>
        <v/>
      </c>
      <c r="X161" s="206">
        <f t="shared" si="94"/>
        <v>0</v>
      </c>
      <c r="Y161" s="209">
        <f t="shared" si="95"/>
        <v>0</v>
      </c>
    </row>
    <row r="162" spans="2:25" ht="15.75" hidden="1" thickBot="1" x14ac:dyDescent="0.3">
      <c r="B162" s="60">
        <f>B160</f>
        <v>22</v>
      </c>
      <c r="C162" s="102">
        <v>150</v>
      </c>
      <c r="D162" s="192" t="str">
        <f t="shared" si="84"/>
        <v>I</v>
      </c>
      <c r="E162" s="62"/>
      <c r="F162" s="105"/>
      <c r="G162" s="105"/>
      <c r="H162" s="61"/>
      <c r="I162" s="61"/>
      <c r="J162" s="62"/>
      <c r="K162" s="63"/>
      <c r="L162" s="61"/>
      <c r="M162" s="61"/>
      <c r="N162" s="111"/>
      <c r="O162" s="112"/>
      <c r="P162" s="113"/>
      <c r="Q162" s="114"/>
      <c r="R162" s="64"/>
      <c r="S162" s="108"/>
      <c r="T162" s="203">
        <f t="shared" si="82"/>
        <v>43647</v>
      </c>
      <c r="U162" s="204">
        <f t="shared" si="83"/>
        <v>43677</v>
      </c>
      <c r="V162" s="207">
        <f t="shared" si="96"/>
        <v>0</v>
      </c>
      <c r="W162" s="206" t="str">
        <f t="shared" si="93"/>
        <v/>
      </c>
      <c r="X162" s="206">
        <f t="shared" si="94"/>
        <v>0</v>
      </c>
      <c r="Y162" s="209">
        <f t="shared" si="95"/>
        <v>0</v>
      </c>
    </row>
    <row r="163" spans="2:25" ht="15.75" hidden="1" thickBot="1" x14ac:dyDescent="0.3">
      <c r="B163" s="60">
        <f>B160</f>
        <v>22</v>
      </c>
      <c r="C163" s="102">
        <v>151</v>
      </c>
      <c r="D163" s="192" t="str">
        <f t="shared" si="84"/>
        <v>I</v>
      </c>
      <c r="E163" s="62"/>
      <c r="F163" s="105"/>
      <c r="G163" s="105"/>
      <c r="H163" s="61"/>
      <c r="I163" s="61"/>
      <c r="J163" s="62"/>
      <c r="K163" s="63"/>
      <c r="L163" s="61"/>
      <c r="M163" s="61"/>
      <c r="N163" s="111"/>
      <c r="O163" s="112"/>
      <c r="P163" s="113"/>
      <c r="Q163" s="114"/>
      <c r="R163" s="64"/>
      <c r="S163" s="108"/>
      <c r="T163" s="203">
        <f t="shared" si="82"/>
        <v>43647</v>
      </c>
      <c r="U163" s="204">
        <f t="shared" si="83"/>
        <v>43677</v>
      </c>
      <c r="V163" s="207">
        <f t="shared" si="96"/>
        <v>0</v>
      </c>
      <c r="W163" s="206" t="str">
        <f t="shared" si="93"/>
        <v/>
      </c>
      <c r="X163" s="206">
        <f t="shared" si="94"/>
        <v>0</v>
      </c>
      <c r="Y163" s="209">
        <f t="shared" si="95"/>
        <v>0</v>
      </c>
    </row>
    <row r="164" spans="2:25" ht="15.75" hidden="1" thickBot="1" x14ac:dyDescent="0.3">
      <c r="B164" s="60">
        <f>B160</f>
        <v>22</v>
      </c>
      <c r="C164" s="102">
        <v>152</v>
      </c>
      <c r="D164" s="192" t="str">
        <f t="shared" si="84"/>
        <v>I</v>
      </c>
      <c r="E164" s="62"/>
      <c r="F164" s="105"/>
      <c r="G164" s="105"/>
      <c r="H164" s="61"/>
      <c r="I164" s="61"/>
      <c r="J164" s="62"/>
      <c r="K164" s="63"/>
      <c r="L164" s="61"/>
      <c r="M164" s="61"/>
      <c r="N164" s="111"/>
      <c r="O164" s="112"/>
      <c r="P164" s="113"/>
      <c r="Q164" s="114"/>
      <c r="R164" s="64"/>
      <c r="S164" s="108"/>
      <c r="T164" s="203">
        <f t="shared" si="82"/>
        <v>43647</v>
      </c>
      <c r="U164" s="204">
        <f t="shared" si="83"/>
        <v>43677</v>
      </c>
      <c r="V164" s="207">
        <f t="shared" si="96"/>
        <v>0</v>
      </c>
      <c r="W164" s="206" t="str">
        <f t="shared" si="93"/>
        <v/>
      </c>
      <c r="X164" s="206">
        <f t="shared" si="94"/>
        <v>0</v>
      </c>
      <c r="Y164" s="209">
        <f t="shared" si="95"/>
        <v>0</v>
      </c>
    </row>
    <row r="165" spans="2:25" ht="15.75" hidden="1" thickBot="1" x14ac:dyDescent="0.3">
      <c r="B165" s="60">
        <f>B160</f>
        <v>22</v>
      </c>
      <c r="C165" s="102">
        <v>153</v>
      </c>
      <c r="D165" s="192" t="str">
        <f t="shared" si="84"/>
        <v>I</v>
      </c>
      <c r="E165" s="62"/>
      <c r="F165" s="105"/>
      <c r="G165" s="105"/>
      <c r="H165" s="61"/>
      <c r="I165" s="61"/>
      <c r="J165" s="62"/>
      <c r="K165" s="63"/>
      <c r="L165" s="61"/>
      <c r="M165" s="61"/>
      <c r="N165" s="111"/>
      <c r="O165" s="112"/>
      <c r="P165" s="113"/>
      <c r="Q165" s="114"/>
      <c r="R165" s="64"/>
      <c r="S165" s="108"/>
      <c r="T165" s="203">
        <f t="shared" si="82"/>
        <v>43647</v>
      </c>
      <c r="U165" s="204">
        <f t="shared" si="83"/>
        <v>43677</v>
      </c>
      <c r="V165" s="207">
        <f t="shared" si="96"/>
        <v>0</v>
      </c>
      <c r="W165" s="206" t="str">
        <f t="shared" si="93"/>
        <v/>
      </c>
      <c r="X165" s="206">
        <f t="shared" si="94"/>
        <v>0</v>
      </c>
      <c r="Y165" s="209">
        <f t="shared" si="95"/>
        <v>0</v>
      </c>
    </row>
    <row r="166" spans="2:25" ht="15.75" hidden="1" thickBot="1" x14ac:dyDescent="0.3">
      <c r="B166" s="141">
        <f>B160</f>
        <v>22</v>
      </c>
      <c r="C166" s="142">
        <v>154</v>
      </c>
      <c r="D166" s="194" t="str">
        <f t="shared" si="84"/>
        <v>I</v>
      </c>
      <c r="E166" s="143"/>
      <c r="F166" s="144"/>
      <c r="G166" s="144"/>
      <c r="H166" s="145"/>
      <c r="I166" s="145"/>
      <c r="J166" s="436" t="s">
        <v>181</v>
      </c>
      <c r="K166" s="437"/>
      <c r="L166" s="438"/>
      <c r="M166" s="145"/>
      <c r="N166" s="146"/>
      <c r="O166" s="147"/>
      <c r="P166" s="148"/>
      <c r="Q166" s="149"/>
      <c r="R166" s="150"/>
      <c r="S166" s="151"/>
      <c r="T166" s="213">
        <f t="shared" si="82"/>
        <v>43647</v>
      </c>
      <c r="U166" s="214">
        <f t="shared" si="83"/>
        <v>43677</v>
      </c>
      <c r="V166" s="210">
        <f t="shared" si="96"/>
        <v>0</v>
      </c>
      <c r="W166" s="211"/>
      <c r="X166" s="211">
        <f>IF(AND($V166&gt;0,$I166=1),IF($E166=10,P166/10,P166/$V166),0)</f>
        <v>0</v>
      </c>
      <c r="Y166" s="212">
        <f>IF(AND($V160&gt;0,$I166&lt;&gt;1),Q166/E160*V160,0)</f>
        <v>0</v>
      </c>
    </row>
    <row r="167" spans="2:25" ht="16.5" hidden="1" thickTop="1" thickBot="1" x14ac:dyDescent="0.3">
      <c r="B167" s="129">
        <f>B165+1</f>
        <v>23</v>
      </c>
      <c r="C167" s="130">
        <v>155</v>
      </c>
      <c r="D167" s="196" t="str">
        <f t="shared" si="84"/>
        <v>I</v>
      </c>
      <c r="E167" s="152"/>
      <c r="F167" s="153"/>
      <c r="G167" s="153"/>
      <c r="H167" s="154"/>
      <c r="I167" s="154"/>
      <c r="J167" s="152"/>
      <c r="K167" s="155"/>
      <c r="L167" s="154"/>
      <c r="M167" s="154"/>
      <c r="N167" s="156"/>
      <c r="O167" s="157"/>
      <c r="P167" s="158"/>
      <c r="Q167" s="159"/>
      <c r="R167" s="160"/>
      <c r="S167" s="161"/>
      <c r="T167" s="203">
        <f t="shared" si="82"/>
        <v>43647</v>
      </c>
      <c r="U167" s="204">
        <f t="shared" si="83"/>
        <v>43677</v>
      </c>
      <c r="V167" s="207">
        <f>IF(G167-F167+1-IF(G167-U167&gt;0,G167-U167,0)-IF(T167-F167&gt;0,T167-F167,0)&gt;0,G167-F167+1-IF(G167-U167&gt;0,G167-U167,0)-IF(T167-F167&gt;0,T167-F167,0),0)</f>
        <v>0</v>
      </c>
      <c r="W167" s="206" t="str">
        <f t="shared" ref="W167:W172" si="97">IF(V167&gt;0,H167,"")</f>
        <v/>
      </c>
      <c r="X167" s="206">
        <f t="shared" ref="X167:X172" si="98">IF(AND($V167&gt;0,$I167=1),P167/$E167*$V167,0)</f>
        <v>0</v>
      </c>
      <c r="Y167" s="209">
        <f t="shared" ref="Y167:Y172" si="99">IF(AND($V167&gt;0,$I167&lt;&gt;1),Q167/$E167*$V167,0)</f>
        <v>0</v>
      </c>
    </row>
    <row r="168" spans="2:25" ht="15.75" hidden="1" thickBot="1" x14ac:dyDescent="0.3">
      <c r="B168" s="60">
        <f>B167</f>
        <v>23</v>
      </c>
      <c r="C168" s="102">
        <v>156</v>
      </c>
      <c r="D168" s="192" t="str">
        <f t="shared" si="84"/>
        <v>I</v>
      </c>
      <c r="E168" s="162"/>
      <c r="F168" s="163"/>
      <c r="G168" s="163"/>
      <c r="H168" s="164"/>
      <c r="I168" s="164"/>
      <c r="J168" s="162"/>
      <c r="K168" s="165"/>
      <c r="L168" s="164"/>
      <c r="M168" s="164"/>
      <c r="N168" s="166"/>
      <c r="O168" s="167"/>
      <c r="P168" s="168"/>
      <c r="Q168" s="169"/>
      <c r="R168" s="170"/>
      <c r="S168" s="171"/>
      <c r="T168" s="203">
        <f t="shared" si="82"/>
        <v>43647</v>
      </c>
      <c r="U168" s="204">
        <f t="shared" si="83"/>
        <v>43677</v>
      </c>
      <c r="V168" s="207">
        <f t="shared" ref="V168:V173" si="100">IF(G168-F168+1-IF(G168-U168&gt;0,G168-U168,0)-IF(T168-F168&gt;0,T168-F168,0)&gt;0,G168-F168+1-IF(G168-U168&gt;0,G168-U168,0)-IF(T168-F168&gt;0,T168-F168,0),0)</f>
        <v>0</v>
      </c>
      <c r="W168" s="206" t="str">
        <f t="shared" si="97"/>
        <v/>
      </c>
      <c r="X168" s="206">
        <f t="shared" si="98"/>
        <v>0</v>
      </c>
      <c r="Y168" s="209">
        <f t="shared" si="99"/>
        <v>0</v>
      </c>
    </row>
    <row r="169" spans="2:25" ht="15.75" hidden="1" thickBot="1" x14ac:dyDescent="0.3">
      <c r="B169" s="60">
        <f>B167</f>
        <v>23</v>
      </c>
      <c r="C169" s="102">
        <v>157</v>
      </c>
      <c r="D169" s="192" t="str">
        <f t="shared" si="84"/>
        <v>I</v>
      </c>
      <c r="E169" s="162"/>
      <c r="F169" s="163"/>
      <c r="G169" s="163"/>
      <c r="H169" s="164"/>
      <c r="I169" s="164"/>
      <c r="J169" s="162"/>
      <c r="K169" s="165"/>
      <c r="L169" s="164"/>
      <c r="M169" s="164"/>
      <c r="N169" s="166"/>
      <c r="O169" s="167"/>
      <c r="P169" s="168"/>
      <c r="Q169" s="169"/>
      <c r="R169" s="170"/>
      <c r="S169" s="171"/>
      <c r="T169" s="203">
        <f t="shared" si="82"/>
        <v>43647</v>
      </c>
      <c r="U169" s="204">
        <f t="shared" si="83"/>
        <v>43677</v>
      </c>
      <c r="V169" s="207">
        <f t="shared" si="100"/>
        <v>0</v>
      </c>
      <c r="W169" s="206" t="str">
        <f t="shared" si="97"/>
        <v/>
      </c>
      <c r="X169" s="206">
        <f t="shared" si="98"/>
        <v>0</v>
      </c>
      <c r="Y169" s="209">
        <f t="shared" si="99"/>
        <v>0</v>
      </c>
    </row>
    <row r="170" spans="2:25" ht="15.75" hidden="1" thickBot="1" x14ac:dyDescent="0.3">
      <c r="B170" s="60">
        <f>B167</f>
        <v>23</v>
      </c>
      <c r="C170" s="102">
        <v>158</v>
      </c>
      <c r="D170" s="192" t="str">
        <f t="shared" si="84"/>
        <v>I</v>
      </c>
      <c r="E170" s="162"/>
      <c r="F170" s="163"/>
      <c r="G170" s="163"/>
      <c r="H170" s="164"/>
      <c r="I170" s="164"/>
      <c r="J170" s="162"/>
      <c r="K170" s="165"/>
      <c r="L170" s="164"/>
      <c r="M170" s="164"/>
      <c r="N170" s="166"/>
      <c r="O170" s="167"/>
      <c r="P170" s="168"/>
      <c r="Q170" s="169"/>
      <c r="R170" s="170"/>
      <c r="S170" s="171"/>
      <c r="T170" s="203">
        <f t="shared" si="82"/>
        <v>43647</v>
      </c>
      <c r="U170" s="204">
        <f t="shared" si="83"/>
        <v>43677</v>
      </c>
      <c r="V170" s="207">
        <f t="shared" si="100"/>
        <v>0</v>
      </c>
      <c r="W170" s="206" t="str">
        <f t="shared" si="97"/>
        <v/>
      </c>
      <c r="X170" s="206">
        <f t="shared" si="98"/>
        <v>0</v>
      </c>
      <c r="Y170" s="209">
        <f t="shared" si="99"/>
        <v>0</v>
      </c>
    </row>
    <row r="171" spans="2:25" ht="15.75" hidden="1" thickBot="1" x14ac:dyDescent="0.3">
      <c r="B171" s="60">
        <f>B167</f>
        <v>23</v>
      </c>
      <c r="C171" s="102">
        <v>159</v>
      </c>
      <c r="D171" s="192" t="str">
        <f t="shared" si="84"/>
        <v>I</v>
      </c>
      <c r="E171" s="162"/>
      <c r="F171" s="163"/>
      <c r="G171" s="163"/>
      <c r="H171" s="164"/>
      <c r="I171" s="164"/>
      <c r="J171" s="162"/>
      <c r="K171" s="165"/>
      <c r="L171" s="164"/>
      <c r="M171" s="164"/>
      <c r="N171" s="166"/>
      <c r="O171" s="167"/>
      <c r="P171" s="168"/>
      <c r="Q171" s="169"/>
      <c r="R171" s="170"/>
      <c r="S171" s="171"/>
      <c r="T171" s="203">
        <f t="shared" si="82"/>
        <v>43647</v>
      </c>
      <c r="U171" s="204">
        <f t="shared" si="83"/>
        <v>43677</v>
      </c>
      <c r="V171" s="207">
        <f t="shared" si="100"/>
        <v>0</v>
      </c>
      <c r="W171" s="206" t="str">
        <f t="shared" si="97"/>
        <v/>
      </c>
      <c r="X171" s="206">
        <f t="shared" si="98"/>
        <v>0</v>
      </c>
      <c r="Y171" s="209">
        <f t="shared" si="99"/>
        <v>0</v>
      </c>
    </row>
    <row r="172" spans="2:25" ht="15.75" hidden="1" thickBot="1" x14ac:dyDescent="0.3">
      <c r="B172" s="60">
        <f>B167</f>
        <v>23</v>
      </c>
      <c r="C172" s="102">
        <v>160</v>
      </c>
      <c r="D172" s="192" t="str">
        <f t="shared" si="84"/>
        <v>I</v>
      </c>
      <c r="E172" s="172"/>
      <c r="F172" s="173"/>
      <c r="G172" s="173"/>
      <c r="H172" s="174"/>
      <c r="I172" s="174"/>
      <c r="J172" s="172"/>
      <c r="K172" s="175"/>
      <c r="L172" s="174"/>
      <c r="M172" s="174"/>
      <c r="N172" s="176"/>
      <c r="O172" s="177"/>
      <c r="P172" s="178"/>
      <c r="Q172" s="179"/>
      <c r="R172" s="180"/>
      <c r="S172" s="181"/>
      <c r="T172" s="203">
        <f t="shared" si="82"/>
        <v>43647</v>
      </c>
      <c r="U172" s="204">
        <f t="shared" si="83"/>
        <v>43677</v>
      </c>
      <c r="V172" s="207">
        <f t="shared" si="100"/>
        <v>0</v>
      </c>
      <c r="W172" s="206" t="str">
        <f t="shared" si="97"/>
        <v/>
      </c>
      <c r="X172" s="206">
        <f t="shared" si="98"/>
        <v>0</v>
      </c>
      <c r="Y172" s="209">
        <f t="shared" si="99"/>
        <v>0</v>
      </c>
    </row>
    <row r="173" spans="2:25" ht="15.75" hidden="1" thickBot="1" x14ac:dyDescent="0.3">
      <c r="B173" s="141">
        <f>B167</f>
        <v>23</v>
      </c>
      <c r="C173" s="142">
        <v>161</v>
      </c>
      <c r="D173" s="194" t="str">
        <f t="shared" si="84"/>
        <v>I</v>
      </c>
      <c r="E173" s="189"/>
      <c r="F173" s="190"/>
      <c r="G173" s="190"/>
      <c r="H173" s="182"/>
      <c r="I173" s="182"/>
      <c r="J173" s="436" t="s">
        <v>181</v>
      </c>
      <c r="K173" s="437"/>
      <c r="L173" s="438"/>
      <c r="M173" s="182"/>
      <c r="N173" s="183"/>
      <c r="O173" s="184"/>
      <c r="P173" s="185"/>
      <c r="Q173" s="186"/>
      <c r="R173" s="187"/>
      <c r="S173" s="188"/>
      <c r="T173" s="213">
        <f t="shared" si="82"/>
        <v>43647</v>
      </c>
      <c r="U173" s="214">
        <f t="shared" si="83"/>
        <v>43677</v>
      </c>
      <c r="V173" s="210">
        <f t="shared" si="100"/>
        <v>0</v>
      </c>
      <c r="W173" s="211"/>
      <c r="X173" s="211">
        <f>IF(AND($V173&gt;0,$I173=1),IF($E173=10,P173/10,P173/$V173),0)</f>
        <v>0</v>
      </c>
      <c r="Y173" s="212">
        <f>IF(AND($V167&gt;0,$I173&lt;&gt;1),Q173/E167*V167,0)</f>
        <v>0</v>
      </c>
    </row>
    <row r="174" spans="2:25" ht="16.5" hidden="1" thickTop="1" thickBot="1" x14ac:dyDescent="0.3">
      <c r="B174" s="129">
        <v>48</v>
      </c>
      <c r="C174" s="130">
        <v>162</v>
      </c>
      <c r="D174" s="196" t="str">
        <f t="shared" si="84"/>
        <v>I</v>
      </c>
      <c r="E174" s="131"/>
      <c r="F174" s="132"/>
      <c r="G174" s="132"/>
      <c r="H174" s="133"/>
      <c r="I174" s="133"/>
      <c r="J174" s="131"/>
      <c r="K174" s="134"/>
      <c r="L174" s="133"/>
      <c r="M174" s="133"/>
      <c r="N174" s="135"/>
      <c r="O174" s="136"/>
      <c r="P174" s="137"/>
      <c r="Q174" s="138"/>
      <c r="R174" s="139"/>
      <c r="S174" s="140"/>
      <c r="T174" s="203">
        <f t="shared" si="82"/>
        <v>43647</v>
      </c>
      <c r="U174" s="204">
        <f t="shared" si="83"/>
        <v>43677</v>
      </c>
      <c r="V174" s="207">
        <f>IF(G174-F174+1-IF(G174-U174&gt;0,G174-U174,0)-IF(T174-F174&gt;0,T174-F174,0)&gt;0,G174-F174+1-IF(G174-U174&gt;0,G174-U174,0)-IF(T174-F174&gt;0,T174-F174,0),0)</f>
        <v>0</v>
      </c>
      <c r="W174" s="206" t="str">
        <f t="shared" ref="W174:W179" si="101">IF(V174&gt;0,H174,"")</f>
        <v/>
      </c>
      <c r="X174" s="206">
        <f t="shared" ref="X174:X179" si="102">IF(AND($V174&gt;0,$I174=1),P174/$E174*$V174,0)</f>
        <v>0</v>
      </c>
      <c r="Y174" s="209">
        <f t="shared" ref="Y174:Y179" si="103">IF(AND($V174&gt;0,$I174&lt;&gt;1),Q174/$E174*$V174,0)</f>
        <v>0</v>
      </c>
    </row>
    <row r="175" spans="2:25" ht="15.75" hidden="1" thickBot="1" x14ac:dyDescent="0.3">
      <c r="B175" s="60">
        <f>B174</f>
        <v>48</v>
      </c>
      <c r="C175" s="102">
        <v>163</v>
      </c>
      <c r="D175" s="192" t="str">
        <f t="shared" si="84"/>
        <v>I</v>
      </c>
      <c r="E175" s="62"/>
      <c r="F175" s="105"/>
      <c r="G175" s="105"/>
      <c r="H175" s="61"/>
      <c r="I175" s="61"/>
      <c r="J175" s="62"/>
      <c r="K175" s="63"/>
      <c r="L175" s="61"/>
      <c r="M175" s="61"/>
      <c r="N175" s="111"/>
      <c r="O175" s="112"/>
      <c r="P175" s="113"/>
      <c r="Q175" s="114"/>
      <c r="R175" s="64"/>
      <c r="S175" s="108"/>
      <c r="T175" s="203">
        <f t="shared" si="82"/>
        <v>43647</v>
      </c>
      <c r="U175" s="204">
        <f t="shared" si="83"/>
        <v>43677</v>
      </c>
      <c r="V175" s="207">
        <f t="shared" ref="V175:V180" si="104">IF(G175-F175+1-IF(G175-U175&gt;0,G175-U175,0)-IF(T175-F175&gt;0,T175-F175,0)&gt;0,G175-F175+1-IF(G175-U175&gt;0,G175-U175,0)-IF(T175-F175&gt;0,T175-F175,0),0)</f>
        <v>0</v>
      </c>
      <c r="W175" s="206" t="str">
        <f t="shared" si="101"/>
        <v/>
      </c>
      <c r="X175" s="206">
        <f t="shared" si="102"/>
        <v>0</v>
      </c>
      <c r="Y175" s="209">
        <f t="shared" si="103"/>
        <v>0</v>
      </c>
    </row>
    <row r="176" spans="2:25" ht="15.75" hidden="1" thickBot="1" x14ac:dyDescent="0.3">
      <c r="B176" s="60">
        <f>B174</f>
        <v>48</v>
      </c>
      <c r="C176" s="102">
        <v>164</v>
      </c>
      <c r="D176" s="192" t="str">
        <f t="shared" si="84"/>
        <v>I</v>
      </c>
      <c r="E176" s="62"/>
      <c r="F176" s="105"/>
      <c r="G176" s="105"/>
      <c r="H176" s="61"/>
      <c r="I176" s="61"/>
      <c r="J176" s="62"/>
      <c r="K176" s="63"/>
      <c r="L176" s="61"/>
      <c r="M176" s="61"/>
      <c r="N176" s="111"/>
      <c r="O176" s="112"/>
      <c r="P176" s="113"/>
      <c r="Q176" s="114"/>
      <c r="R176" s="64"/>
      <c r="S176" s="108"/>
      <c r="T176" s="203">
        <f t="shared" si="82"/>
        <v>43647</v>
      </c>
      <c r="U176" s="204">
        <f t="shared" si="83"/>
        <v>43677</v>
      </c>
      <c r="V176" s="207">
        <f t="shared" si="104"/>
        <v>0</v>
      </c>
      <c r="W176" s="206" t="str">
        <f t="shared" si="101"/>
        <v/>
      </c>
      <c r="X176" s="206">
        <f t="shared" si="102"/>
        <v>0</v>
      </c>
      <c r="Y176" s="209">
        <f t="shared" si="103"/>
        <v>0</v>
      </c>
    </row>
    <row r="177" spans="2:25" ht="15.75" hidden="1" thickBot="1" x14ac:dyDescent="0.3">
      <c r="B177" s="60">
        <f>B174</f>
        <v>48</v>
      </c>
      <c r="C177" s="102">
        <v>165</v>
      </c>
      <c r="D177" s="192" t="str">
        <f t="shared" si="84"/>
        <v>I</v>
      </c>
      <c r="E177" s="62"/>
      <c r="F177" s="105"/>
      <c r="G177" s="105"/>
      <c r="H177" s="61"/>
      <c r="I177" s="61"/>
      <c r="J177" s="62"/>
      <c r="K177" s="63"/>
      <c r="L177" s="61"/>
      <c r="M177" s="61"/>
      <c r="N177" s="111"/>
      <c r="O177" s="112"/>
      <c r="P177" s="113"/>
      <c r="Q177" s="114"/>
      <c r="R177" s="64"/>
      <c r="S177" s="108"/>
      <c r="T177" s="203">
        <f t="shared" si="82"/>
        <v>43647</v>
      </c>
      <c r="U177" s="204">
        <f t="shared" si="83"/>
        <v>43677</v>
      </c>
      <c r="V177" s="207">
        <f t="shared" si="104"/>
        <v>0</v>
      </c>
      <c r="W177" s="206" t="str">
        <f t="shared" si="101"/>
        <v/>
      </c>
      <c r="X177" s="206">
        <f t="shared" si="102"/>
        <v>0</v>
      </c>
      <c r="Y177" s="209">
        <f t="shared" si="103"/>
        <v>0</v>
      </c>
    </row>
    <row r="178" spans="2:25" ht="15.75" hidden="1" thickBot="1" x14ac:dyDescent="0.3">
      <c r="B178" s="60">
        <f>B174</f>
        <v>48</v>
      </c>
      <c r="C178" s="102">
        <v>166</v>
      </c>
      <c r="D178" s="192" t="str">
        <f t="shared" si="84"/>
        <v>I</v>
      </c>
      <c r="E178" s="62"/>
      <c r="F178" s="105"/>
      <c r="G178" s="105"/>
      <c r="H178" s="61"/>
      <c r="I178" s="61"/>
      <c r="J178" s="62"/>
      <c r="K178" s="63"/>
      <c r="L178" s="61"/>
      <c r="M178" s="61"/>
      <c r="N178" s="111"/>
      <c r="O178" s="112"/>
      <c r="P178" s="113"/>
      <c r="Q178" s="114"/>
      <c r="R178" s="64"/>
      <c r="S178" s="108"/>
      <c r="T178" s="203">
        <f t="shared" si="82"/>
        <v>43647</v>
      </c>
      <c r="U178" s="204">
        <f t="shared" si="83"/>
        <v>43677</v>
      </c>
      <c r="V178" s="207">
        <f t="shared" si="104"/>
        <v>0</v>
      </c>
      <c r="W178" s="206" t="str">
        <f t="shared" si="101"/>
        <v/>
      </c>
      <c r="X178" s="206">
        <f t="shared" si="102"/>
        <v>0</v>
      </c>
      <c r="Y178" s="209">
        <f t="shared" si="103"/>
        <v>0</v>
      </c>
    </row>
    <row r="179" spans="2:25" ht="15.75" hidden="1" thickBot="1" x14ac:dyDescent="0.3">
      <c r="B179" s="60">
        <f>B174</f>
        <v>48</v>
      </c>
      <c r="C179" s="102">
        <v>167</v>
      </c>
      <c r="D179" s="192" t="str">
        <f t="shared" si="84"/>
        <v>I</v>
      </c>
      <c r="E179" s="62"/>
      <c r="F179" s="105"/>
      <c r="G179" s="105"/>
      <c r="H179" s="61"/>
      <c r="I179" s="61"/>
      <c r="J179" s="62"/>
      <c r="K179" s="63"/>
      <c r="L179" s="61"/>
      <c r="M179" s="61"/>
      <c r="N179" s="111"/>
      <c r="O179" s="112"/>
      <c r="P179" s="113"/>
      <c r="Q179" s="114"/>
      <c r="R179" s="64"/>
      <c r="S179" s="108"/>
      <c r="T179" s="203">
        <f t="shared" si="82"/>
        <v>43647</v>
      </c>
      <c r="U179" s="204">
        <f t="shared" si="83"/>
        <v>43677</v>
      </c>
      <c r="V179" s="207">
        <f t="shared" si="104"/>
        <v>0</v>
      </c>
      <c r="W179" s="206" t="str">
        <f t="shared" si="101"/>
        <v/>
      </c>
      <c r="X179" s="206">
        <f t="shared" si="102"/>
        <v>0</v>
      </c>
      <c r="Y179" s="209">
        <f t="shared" si="103"/>
        <v>0</v>
      </c>
    </row>
    <row r="180" spans="2:25" ht="15.75" hidden="1" thickBot="1" x14ac:dyDescent="0.3">
      <c r="B180" s="141">
        <f>B174</f>
        <v>48</v>
      </c>
      <c r="C180" s="142">
        <v>168</v>
      </c>
      <c r="D180" s="194" t="str">
        <f t="shared" si="84"/>
        <v>I</v>
      </c>
      <c r="E180" s="143"/>
      <c r="F180" s="144"/>
      <c r="G180" s="144"/>
      <c r="H180" s="145"/>
      <c r="I180" s="145"/>
      <c r="J180" s="436" t="s">
        <v>181</v>
      </c>
      <c r="K180" s="437"/>
      <c r="L180" s="438"/>
      <c r="M180" s="145"/>
      <c r="N180" s="146"/>
      <c r="O180" s="147"/>
      <c r="P180" s="148"/>
      <c r="Q180" s="149"/>
      <c r="R180" s="150"/>
      <c r="S180" s="151"/>
      <c r="T180" s="213">
        <f t="shared" si="82"/>
        <v>43647</v>
      </c>
      <c r="U180" s="214">
        <f t="shared" si="83"/>
        <v>43677</v>
      </c>
      <c r="V180" s="210">
        <f t="shared" si="104"/>
        <v>0</v>
      </c>
      <c r="W180" s="211"/>
      <c r="X180" s="211">
        <f>IF(AND($V180&gt;0,$I180=1),IF($E180=10,P180/10,P180/$V180),0)</f>
        <v>0</v>
      </c>
      <c r="Y180" s="212">
        <f>IF(AND($V174&gt;0,$I180&lt;&gt;1),Q180/E174*V174,0)</f>
        <v>0</v>
      </c>
    </row>
    <row r="181" spans="2:25" ht="16.5" hidden="1" thickTop="1" thickBot="1" x14ac:dyDescent="0.3">
      <c r="B181" s="129">
        <v>25</v>
      </c>
      <c r="C181" s="130">
        <v>169</v>
      </c>
      <c r="D181" s="196" t="str">
        <f t="shared" si="84"/>
        <v>I</v>
      </c>
      <c r="E181" s="152"/>
      <c r="F181" s="153"/>
      <c r="G181" s="153"/>
      <c r="H181" s="154"/>
      <c r="I181" s="154"/>
      <c r="J181" s="152"/>
      <c r="K181" s="155"/>
      <c r="L181" s="154"/>
      <c r="M181" s="154"/>
      <c r="N181" s="156"/>
      <c r="O181" s="157"/>
      <c r="P181" s="158"/>
      <c r="Q181" s="159"/>
      <c r="R181" s="160"/>
      <c r="S181" s="161"/>
      <c r="T181" s="203">
        <f t="shared" si="82"/>
        <v>43647</v>
      </c>
      <c r="U181" s="204">
        <f t="shared" si="83"/>
        <v>43677</v>
      </c>
      <c r="V181" s="207">
        <f>IF(G181-F181+1-IF(G181-U181&gt;0,G181-U181,0)-IF(T181-F181&gt;0,T181-F181,0)&gt;0,G181-F181+1-IF(G181-U181&gt;0,G181-U181,0)-IF(T181-F181&gt;0,T181-F181,0),0)</f>
        <v>0</v>
      </c>
      <c r="W181" s="206" t="str">
        <f t="shared" ref="W181:W186" si="105">IF(V181&gt;0,H181,"")</f>
        <v/>
      </c>
      <c r="X181" s="206">
        <f t="shared" ref="X181:X186" si="106">IF(AND($V181&gt;0,$I181=1),P181/$E181*$V181,0)</f>
        <v>0</v>
      </c>
      <c r="Y181" s="209">
        <f t="shared" ref="Y181:Y186" si="107">IF(AND($V181&gt;0,$I181&lt;&gt;1),Q181/$E181*$V181,0)</f>
        <v>0</v>
      </c>
    </row>
    <row r="182" spans="2:25" ht="15.75" hidden="1" thickBot="1" x14ac:dyDescent="0.3">
      <c r="B182" s="60">
        <f>B181</f>
        <v>25</v>
      </c>
      <c r="C182" s="102">
        <v>170</v>
      </c>
      <c r="D182" s="192" t="str">
        <f t="shared" si="84"/>
        <v>I</v>
      </c>
      <c r="E182" s="162"/>
      <c r="F182" s="163"/>
      <c r="G182" s="163"/>
      <c r="H182" s="164"/>
      <c r="I182" s="164"/>
      <c r="J182" s="162"/>
      <c r="K182" s="165"/>
      <c r="L182" s="164"/>
      <c r="M182" s="164"/>
      <c r="N182" s="166"/>
      <c r="O182" s="167"/>
      <c r="P182" s="168"/>
      <c r="Q182" s="169"/>
      <c r="R182" s="170"/>
      <c r="S182" s="171"/>
      <c r="T182" s="203">
        <f t="shared" si="82"/>
        <v>43647</v>
      </c>
      <c r="U182" s="204">
        <f t="shared" si="83"/>
        <v>43677</v>
      </c>
      <c r="V182" s="207">
        <f t="shared" ref="V182:V187" si="108">IF(G182-F182+1-IF(G182-U182&gt;0,G182-U182,0)-IF(T182-F182&gt;0,T182-F182,0)&gt;0,G182-F182+1-IF(G182-U182&gt;0,G182-U182,0)-IF(T182-F182&gt;0,T182-F182,0),0)</f>
        <v>0</v>
      </c>
      <c r="W182" s="206" t="str">
        <f t="shared" si="105"/>
        <v/>
      </c>
      <c r="X182" s="206">
        <f t="shared" si="106"/>
        <v>0</v>
      </c>
      <c r="Y182" s="209">
        <f t="shared" si="107"/>
        <v>0</v>
      </c>
    </row>
    <row r="183" spans="2:25" ht="15.75" hidden="1" thickBot="1" x14ac:dyDescent="0.3">
      <c r="B183" s="60">
        <f>B181</f>
        <v>25</v>
      </c>
      <c r="C183" s="102">
        <v>171</v>
      </c>
      <c r="D183" s="192" t="str">
        <f t="shared" si="84"/>
        <v>I</v>
      </c>
      <c r="E183" s="162"/>
      <c r="F183" s="163"/>
      <c r="G183" s="163"/>
      <c r="H183" s="164"/>
      <c r="I183" s="164"/>
      <c r="J183" s="162"/>
      <c r="K183" s="165"/>
      <c r="L183" s="164"/>
      <c r="M183" s="164"/>
      <c r="N183" s="166"/>
      <c r="O183" s="167"/>
      <c r="P183" s="168"/>
      <c r="Q183" s="169"/>
      <c r="R183" s="170"/>
      <c r="S183" s="171"/>
      <c r="T183" s="203">
        <f t="shared" si="82"/>
        <v>43647</v>
      </c>
      <c r="U183" s="204">
        <f t="shared" si="83"/>
        <v>43677</v>
      </c>
      <c r="V183" s="207">
        <f t="shared" si="108"/>
        <v>0</v>
      </c>
      <c r="W183" s="206" t="str">
        <f t="shared" si="105"/>
        <v/>
      </c>
      <c r="X183" s="206">
        <f t="shared" si="106"/>
        <v>0</v>
      </c>
      <c r="Y183" s="209">
        <f t="shared" si="107"/>
        <v>0</v>
      </c>
    </row>
    <row r="184" spans="2:25" ht="15.75" hidden="1" thickBot="1" x14ac:dyDescent="0.3">
      <c r="B184" s="60">
        <f>B181</f>
        <v>25</v>
      </c>
      <c r="C184" s="102">
        <v>172</v>
      </c>
      <c r="D184" s="192" t="str">
        <f t="shared" si="84"/>
        <v>I</v>
      </c>
      <c r="E184" s="162"/>
      <c r="F184" s="163"/>
      <c r="G184" s="163"/>
      <c r="H184" s="164"/>
      <c r="I184" s="164"/>
      <c r="J184" s="162"/>
      <c r="K184" s="165"/>
      <c r="L184" s="164"/>
      <c r="M184" s="164"/>
      <c r="N184" s="166"/>
      <c r="O184" s="167"/>
      <c r="P184" s="168"/>
      <c r="Q184" s="169"/>
      <c r="R184" s="170"/>
      <c r="S184" s="171"/>
      <c r="T184" s="203">
        <f t="shared" si="82"/>
        <v>43647</v>
      </c>
      <c r="U184" s="204">
        <f t="shared" si="83"/>
        <v>43677</v>
      </c>
      <c r="V184" s="207">
        <f t="shared" si="108"/>
        <v>0</v>
      </c>
      <c r="W184" s="206" t="str">
        <f t="shared" si="105"/>
        <v/>
      </c>
      <c r="X184" s="206">
        <f t="shared" si="106"/>
        <v>0</v>
      </c>
      <c r="Y184" s="209">
        <f t="shared" si="107"/>
        <v>0</v>
      </c>
    </row>
    <row r="185" spans="2:25" ht="15.75" hidden="1" thickBot="1" x14ac:dyDescent="0.3">
      <c r="B185" s="60">
        <f>B181</f>
        <v>25</v>
      </c>
      <c r="C185" s="102">
        <v>173</v>
      </c>
      <c r="D185" s="192" t="str">
        <f t="shared" si="84"/>
        <v>I</v>
      </c>
      <c r="E185" s="162"/>
      <c r="F185" s="163"/>
      <c r="G185" s="163"/>
      <c r="H185" s="164"/>
      <c r="I185" s="164"/>
      <c r="J185" s="162"/>
      <c r="K185" s="165"/>
      <c r="L185" s="164"/>
      <c r="M185" s="164"/>
      <c r="N185" s="166"/>
      <c r="O185" s="167"/>
      <c r="P185" s="168"/>
      <c r="Q185" s="169"/>
      <c r="R185" s="170"/>
      <c r="S185" s="171"/>
      <c r="T185" s="203">
        <f t="shared" si="82"/>
        <v>43647</v>
      </c>
      <c r="U185" s="204">
        <f t="shared" si="83"/>
        <v>43677</v>
      </c>
      <c r="V185" s="207">
        <f t="shared" si="108"/>
        <v>0</v>
      </c>
      <c r="W185" s="206" t="str">
        <f t="shared" si="105"/>
        <v/>
      </c>
      <c r="X185" s="206">
        <f t="shared" si="106"/>
        <v>0</v>
      </c>
      <c r="Y185" s="209">
        <f t="shared" si="107"/>
        <v>0</v>
      </c>
    </row>
    <row r="186" spans="2:25" ht="15.75" hidden="1" thickBot="1" x14ac:dyDescent="0.3">
      <c r="B186" s="60">
        <f>B181</f>
        <v>25</v>
      </c>
      <c r="C186" s="102">
        <v>174</v>
      </c>
      <c r="D186" s="192" t="str">
        <f t="shared" si="84"/>
        <v>I</v>
      </c>
      <c r="E186" s="172"/>
      <c r="F186" s="173"/>
      <c r="G186" s="173"/>
      <c r="H186" s="174"/>
      <c r="I186" s="174"/>
      <c r="J186" s="172"/>
      <c r="K186" s="175"/>
      <c r="L186" s="174"/>
      <c r="M186" s="174"/>
      <c r="N186" s="176"/>
      <c r="O186" s="177"/>
      <c r="P186" s="178"/>
      <c r="Q186" s="179"/>
      <c r="R186" s="180"/>
      <c r="S186" s="181"/>
      <c r="T186" s="203">
        <f t="shared" si="82"/>
        <v>43647</v>
      </c>
      <c r="U186" s="204">
        <f t="shared" si="83"/>
        <v>43677</v>
      </c>
      <c r="V186" s="207">
        <f t="shared" si="108"/>
        <v>0</v>
      </c>
      <c r="W186" s="206" t="str">
        <f t="shared" si="105"/>
        <v/>
      </c>
      <c r="X186" s="206">
        <f t="shared" si="106"/>
        <v>0</v>
      </c>
      <c r="Y186" s="209">
        <f t="shared" si="107"/>
        <v>0</v>
      </c>
    </row>
    <row r="187" spans="2:25" ht="15.75" hidden="1" thickBot="1" x14ac:dyDescent="0.3">
      <c r="B187" s="141">
        <f>B181</f>
        <v>25</v>
      </c>
      <c r="C187" s="142">
        <v>175</v>
      </c>
      <c r="D187" s="194" t="str">
        <f t="shared" si="84"/>
        <v>I</v>
      </c>
      <c r="E187" s="189"/>
      <c r="F187" s="190"/>
      <c r="G187" s="190"/>
      <c r="H187" s="182"/>
      <c r="I187" s="182"/>
      <c r="J187" s="436" t="s">
        <v>181</v>
      </c>
      <c r="K187" s="437"/>
      <c r="L187" s="438"/>
      <c r="M187" s="182"/>
      <c r="N187" s="183"/>
      <c r="O187" s="184"/>
      <c r="P187" s="185"/>
      <c r="Q187" s="186"/>
      <c r="R187" s="187"/>
      <c r="S187" s="188"/>
      <c r="T187" s="213">
        <f t="shared" si="82"/>
        <v>43647</v>
      </c>
      <c r="U187" s="214">
        <f t="shared" si="83"/>
        <v>43677</v>
      </c>
      <c r="V187" s="210">
        <f t="shared" si="108"/>
        <v>0</v>
      </c>
      <c r="W187" s="211"/>
      <c r="X187" s="211">
        <f>IF(AND($V187&gt;0,$I187=1),IF($E187=10,P187/10,P187/$V187),0)</f>
        <v>0</v>
      </c>
      <c r="Y187" s="212">
        <f>IF(AND($V181&gt;0,$I187&lt;&gt;1),Q187/E181*V181,0)</f>
        <v>0</v>
      </c>
    </row>
    <row r="188" spans="2:25" ht="16.5" hidden="1" thickTop="1" thickBot="1" x14ac:dyDescent="0.3">
      <c r="B188" s="129">
        <f>B186+1</f>
        <v>26</v>
      </c>
      <c r="C188" s="130">
        <v>176</v>
      </c>
      <c r="D188" s="196" t="str">
        <f t="shared" si="84"/>
        <v>I</v>
      </c>
      <c r="E188" s="131"/>
      <c r="F188" s="132"/>
      <c r="G188" s="132"/>
      <c r="H188" s="133"/>
      <c r="I188" s="133"/>
      <c r="J188" s="131"/>
      <c r="K188" s="134"/>
      <c r="L188" s="133"/>
      <c r="M188" s="133"/>
      <c r="N188" s="135"/>
      <c r="O188" s="136"/>
      <c r="P188" s="137"/>
      <c r="Q188" s="138"/>
      <c r="R188" s="139"/>
      <c r="S188" s="140"/>
      <c r="T188" s="203">
        <f t="shared" si="82"/>
        <v>43647</v>
      </c>
      <c r="U188" s="204">
        <f t="shared" si="83"/>
        <v>43677</v>
      </c>
      <c r="V188" s="207">
        <f>IF(G188-F188+1-IF(G188-U188&gt;0,G188-U188,0)-IF(T188-F188&gt;0,T188-F188,0)&gt;0,G188-F188+1-IF(G188-U188&gt;0,G188-U188,0)-IF(T188-F188&gt;0,T188-F188,0),0)</f>
        <v>0</v>
      </c>
      <c r="W188" s="206" t="str">
        <f t="shared" ref="W188:W193" si="109">IF(V188&gt;0,H188,"")</f>
        <v/>
      </c>
      <c r="X188" s="206">
        <f t="shared" ref="X188:X193" si="110">IF(AND($V188&gt;0,$I188=1),P188/$E188*$V188,0)</f>
        <v>0</v>
      </c>
      <c r="Y188" s="209">
        <f t="shared" ref="Y188:Y193" si="111">IF(AND($V188&gt;0,$I188&lt;&gt;1),Q188/$E188*$V188,0)</f>
        <v>0</v>
      </c>
    </row>
    <row r="189" spans="2:25" ht="15.75" hidden="1" thickBot="1" x14ac:dyDescent="0.3">
      <c r="B189" s="60">
        <f>B188</f>
        <v>26</v>
      </c>
      <c r="C189" s="102">
        <v>177</v>
      </c>
      <c r="D189" s="192" t="str">
        <f t="shared" si="84"/>
        <v>I</v>
      </c>
      <c r="E189" s="62"/>
      <c r="F189" s="105"/>
      <c r="G189" s="105"/>
      <c r="H189" s="61"/>
      <c r="I189" s="61"/>
      <c r="J189" s="62"/>
      <c r="K189" s="63"/>
      <c r="L189" s="61"/>
      <c r="M189" s="61"/>
      <c r="N189" s="111"/>
      <c r="O189" s="112"/>
      <c r="P189" s="113"/>
      <c r="Q189" s="114"/>
      <c r="R189" s="64"/>
      <c r="S189" s="108"/>
      <c r="T189" s="203">
        <f t="shared" si="82"/>
        <v>43647</v>
      </c>
      <c r="U189" s="204">
        <f t="shared" si="83"/>
        <v>43677</v>
      </c>
      <c r="V189" s="207">
        <f t="shared" ref="V189:V194" si="112">IF(G189-F189+1-IF(G189-U189&gt;0,G189-U189,0)-IF(T189-F189&gt;0,T189-F189,0)&gt;0,G189-F189+1-IF(G189-U189&gt;0,G189-U189,0)-IF(T189-F189&gt;0,T189-F189,0),0)</f>
        <v>0</v>
      </c>
      <c r="W189" s="206" t="str">
        <f t="shared" si="109"/>
        <v/>
      </c>
      <c r="X189" s="206">
        <f t="shared" si="110"/>
        <v>0</v>
      </c>
      <c r="Y189" s="209">
        <f t="shared" si="111"/>
        <v>0</v>
      </c>
    </row>
    <row r="190" spans="2:25" ht="15.75" hidden="1" thickBot="1" x14ac:dyDescent="0.3">
      <c r="B190" s="60">
        <f>B188</f>
        <v>26</v>
      </c>
      <c r="C190" s="102">
        <v>178</v>
      </c>
      <c r="D190" s="192" t="str">
        <f t="shared" si="84"/>
        <v>I</v>
      </c>
      <c r="E190" s="62"/>
      <c r="F190" s="105"/>
      <c r="G190" s="105"/>
      <c r="H190" s="61"/>
      <c r="I190" s="61"/>
      <c r="J190" s="62"/>
      <c r="K190" s="63"/>
      <c r="L190" s="61"/>
      <c r="M190" s="61"/>
      <c r="N190" s="111"/>
      <c r="O190" s="112"/>
      <c r="P190" s="113"/>
      <c r="Q190" s="114"/>
      <c r="R190" s="64"/>
      <c r="S190" s="108"/>
      <c r="T190" s="203">
        <f t="shared" si="82"/>
        <v>43647</v>
      </c>
      <c r="U190" s="204">
        <f t="shared" si="83"/>
        <v>43677</v>
      </c>
      <c r="V190" s="207">
        <f t="shared" si="112"/>
        <v>0</v>
      </c>
      <c r="W190" s="206" t="str">
        <f t="shared" si="109"/>
        <v/>
      </c>
      <c r="X190" s="206">
        <f t="shared" si="110"/>
        <v>0</v>
      </c>
      <c r="Y190" s="209">
        <f t="shared" si="111"/>
        <v>0</v>
      </c>
    </row>
    <row r="191" spans="2:25" ht="15.75" hidden="1" thickBot="1" x14ac:dyDescent="0.3">
      <c r="B191" s="60">
        <f>B188</f>
        <v>26</v>
      </c>
      <c r="C191" s="102">
        <v>179</v>
      </c>
      <c r="D191" s="192" t="str">
        <f t="shared" si="84"/>
        <v>I</v>
      </c>
      <c r="E191" s="62"/>
      <c r="F191" s="105"/>
      <c r="G191" s="105"/>
      <c r="H191" s="61"/>
      <c r="I191" s="61"/>
      <c r="J191" s="62"/>
      <c r="K191" s="63"/>
      <c r="L191" s="61"/>
      <c r="M191" s="61"/>
      <c r="N191" s="111"/>
      <c r="O191" s="112"/>
      <c r="P191" s="113"/>
      <c r="Q191" s="114"/>
      <c r="R191" s="64"/>
      <c r="S191" s="108"/>
      <c r="T191" s="203">
        <f t="shared" si="82"/>
        <v>43647</v>
      </c>
      <c r="U191" s="204">
        <f t="shared" si="83"/>
        <v>43677</v>
      </c>
      <c r="V191" s="207">
        <f t="shared" si="112"/>
        <v>0</v>
      </c>
      <c r="W191" s="206" t="str">
        <f t="shared" si="109"/>
        <v/>
      </c>
      <c r="X191" s="206">
        <f t="shared" si="110"/>
        <v>0</v>
      </c>
      <c r="Y191" s="209">
        <f t="shared" si="111"/>
        <v>0</v>
      </c>
    </row>
    <row r="192" spans="2:25" ht="15.75" hidden="1" thickBot="1" x14ac:dyDescent="0.3">
      <c r="B192" s="60">
        <f>B188</f>
        <v>26</v>
      </c>
      <c r="C192" s="102">
        <v>180</v>
      </c>
      <c r="D192" s="192" t="str">
        <f t="shared" si="84"/>
        <v>I</v>
      </c>
      <c r="E192" s="62"/>
      <c r="F192" s="105"/>
      <c r="G192" s="105"/>
      <c r="H192" s="61"/>
      <c r="I192" s="61"/>
      <c r="J192" s="62"/>
      <c r="K192" s="63"/>
      <c r="L192" s="61"/>
      <c r="M192" s="61"/>
      <c r="N192" s="111"/>
      <c r="O192" s="112"/>
      <c r="P192" s="113"/>
      <c r="Q192" s="114"/>
      <c r="R192" s="64"/>
      <c r="S192" s="108"/>
      <c r="T192" s="203">
        <f t="shared" si="82"/>
        <v>43647</v>
      </c>
      <c r="U192" s="204">
        <f t="shared" si="83"/>
        <v>43677</v>
      </c>
      <c r="V192" s="207">
        <f t="shared" si="112"/>
        <v>0</v>
      </c>
      <c r="W192" s="206" t="str">
        <f t="shared" si="109"/>
        <v/>
      </c>
      <c r="X192" s="206">
        <f t="shared" si="110"/>
        <v>0</v>
      </c>
      <c r="Y192" s="209">
        <f t="shared" si="111"/>
        <v>0</v>
      </c>
    </row>
    <row r="193" spans="2:25" ht="15.75" hidden="1" thickBot="1" x14ac:dyDescent="0.3">
      <c r="B193" s="60">
        <f>B188</f>
        <v>26</v>
      </c>
      <c r="C193" s="102">
        <v>181</v>
      </c>
      <c r="D193" s="192" t="str">
        <f t="shared" si="84"/>
        <v>I</v>
      </c>
      <c r="E193" s="62"/>
      <c r="F193" s="105"/>
      <c r="G193" s="105"/>
      <c r="H193" s="61"/>
      <c r="I193" s="61"/>
      <c r="J193" s="62"/>
      <c r="K193" s="63"/>
      <c r="L193" s="61"/>
      <c r="M193" s="61"/>
      <c r="N193" s="111"/>
      <c r="O193" s="112"/>
      <c r="P193" s="113"/>
      <c r="Q193" s="114"/>
      <c r="R193" s="64"/>
      <c r="S193" s="108"/>
      <c r="T193" s="203">
        <f t="shared" si="82"/>
        <v>43647</v>
      </c>
      <c r="U193" s="204">
        <f t="shared" si="83"/>
        <v>43677</v>
      </c>
      <c r="V193" s="207">
        <f t="shared" si="112"/>
        <v>0</v>
      </c>
      <c r="W193" s="206" t="str">
        <f t="shared" si="109"/>
        <v/>
      </c>
      <c r="X193" s="206">
        <f t="shared" si="110"/>
        <v>0</v>
      </c>
      <c r="Y193" s="209">
        <f t="shared" si="111"/>
        <v>0</v>
      </c>
    </row>
    <row r="194" spans="2:25" ht="15.75" hidden="1" thickBot="1" x14ac:dyDescent="0.3">
      <c r="B194" s="141">
        <f>B188</f>
        <v>26</v>
      </c>
      <c r="C194" s="142">
        <v>182</v>
      </c>
      <c r="D194" s="194" t="str">
        <f t="shared" si="84"/>
        <v>I</v>
      </c>
      <c r="E194" s="143"/>
      <c r="F194" s="144"/>
      <c r="G194" s="144"/>
      <c r="H194" s="145"/>
      <c r="I194" s="145"/>
      <c r="J194" s="436" t="s">
        <v>181</v>
      </c>
      <c r="K194" s="437"/>
      <c r="L194" s="438"/>
      <c r="M194" s="145"/>
      <c r="N194" s="146"/>
      <c r="O194" s="147"/>
      <c r="P194" s="148"/>
      <c r="Q194" s="149"/>
      <c r="R194" s="150"/>
      <c r="S194" s="151"/>
      <c r="T194" s="213">
        <f t="shared" si="82"/>
        <v>43647</v>
      </c>
      <c r="U194" s="214">
        <f t="shared" si="83"/>
        <v>43677</v>
      </c>
      <c r="V194" s="210">
        <f t="shared" si="112"/>
        <v>0</v>
      </c>
      <c r="W194" s="211"/>
      <c r="X194" s="211">
        <f>IF(AND($V194&gt;0,$I194=1),IF($E194=10,P194/10,P194/$V194),0)</f>
        <v>0</v>
      </c>
      <c r="Y194" s="212">
        <f>IF(AND($V188&gt;0,$I194&lt;&gt;1),Q194/E188*V188,0)</f>
        <v>0</v>
      </c>
    </row>
    <row r="195" spans="2:25" ht="16.5" hidden="1" thickTop="1" thickBot="1" x14ac:dyDescent="0.3">
      <c r="B195" s="129">
        <f>B193+1</f>
        <v>27</v>
      </c>
      <c r="C195" s="130">
        <v>183</v>
      </c>
      <c r="D195" s="196" t="str">
        <f t="shared" si="84"/>
        <v>I</v>
      </c>
      <c r="E195" s="152"/>
      <c r="F195" s="153"/>
      <c r="G195" s="153"/>
      <c r="H195" s="154"/>
      <c r="I195" s="154"/>
      <c r="J195" s="152"/>
      <c r="K195" s="155"/>
      <c r="L195" s="154"/>
      <c r="M195" s="154"/>
      <c r="N195" s="156"/>
      <c r="O195" s="157"/>
      <c r="P195" s="158"/>
      <c r="Q195" s="159"/>
      <c r="R195" s="160"/>
      <c r="S195" s="161"/>
      <c r="T195" s="203">
        <f t="shared" si="82"/>
        <v>43647</v>
      </c>
      <c r="U195" s="204">
        <f t="shared" si="83"/>
        <v>43677</v>
      </c>
      <c r="V195" s="207">
        <f>IF(G195-F195+1-IF(G195-U195&gt;0,G195-U195,0)-IF(T195-F195&gt;0,T195-F195,0)&gt;0,G195-F195+1-IF(G195-U195&gt;0,G195-U195,0)-IF(T195-F195&gt;0,T195-F195,0),0)</f>
        <v>0</v>
      </c>
      <c r="W195" s="206" t="str">
        <f t="shared" ref="W195:W200" si="113">IF(V195&gt;0,H195,"")</f>
        <v/>
      </c>
      <c r="X195" s="206">
        <f t="shared" ref="X195:X200" si="114">IF(AND($V195&gt;0,$I195=1),P195/$E195*$V195,0)</f>
        <v>0</v>
      </c>
      <c r="Y195" s="209">
        <f t="shared" ref="Y195:Y200" si="115">IF(AND($V195&gt;0,$I195&lt;&gt;1),Q195/$E195*$V195,0)</f>
        <v>0</v>
      </c>
    </row>
    <row r="196" spans="2:25" ht="15.75" hidden="1" thickBot="1" x14ac:dyDescent="0.3">
      <c r="B196" s="60">
        <f>B195</f>
        <v>27</v>
      </c>
      <c r="C196" s="102">
        <v>184</v>
      </c>
      <c r="D196" s="192" t="str">
        <f t="shared" si="84"/>
        <v>I</v>
      </c>
      <c r="E196" s="162"/>
      <c r="F196" s="163"/>
      <c r="G196" s="163"/>
      <c r="H196" s="164"/>
      <c r="I196" s="164"/>
      <c r="J196" s="162"/>
      <c r="K196" s="165"/>
      <c r="L196" s="164"/>
      <c r="M196" s="164"/>
      <c r="N196" s="166"/>
      <c r="O196" s="167"/>
      <c r="P196" s="168"/>
      <c r="Q196" s="169"/>
      <c r="R196" s="170"/>
      <c r="S196" s="171"/>
      <c r="T196" s="203">
        <f t="shared" si="82"/>
        <v>43647</v>
      </c>
      <c r="U196" s="204">
        <f t="shared" si="83"/>
        <v>43677</v>
      </c>
      <c r="V196" s="207">
        <f t="shared" ref="V196:V201" si="116">IF(G196-F196+1-IF(G196-U196&gt;0,G196-U196,0)-IF(T196-F196&gt;0,T196-F196,0)&gt;0,G196-F196+1-IF(G196-U196&gt;0,G196-U196,0)-IF(T196-F196&gt;0,T196-F196,0),0)</f>
        <v>0</v>
      </c>
      <c r="W196" s="206" t="str">
        <f t="shared" si="113"/>
        <v/>
      </c>
      <c r="X196" s="206">
        <f t="shared" si="114"/>
        <v>0</v>
      </c>
      <c r="Y196" s="209">
        <f t="shared" si="115"/>
        <v>0</v>
      </c>
    </row>
    <row r="197" spans="2:25" ht="15.75" hidden="1" thickBot="1" x14ac:dyDescent="0.3">
      <c r="B197" s="60">
        <f>B195</f>
        <v>27</v>
      </c>
      <c r="C197" s="102">
        <v>185</v>
      </c>
      <c r="D197" s="192" t="str">
        <f t="shared" si="84"/>
        <v>I</v>
      </c>
      <c r="E197" s="162"/>
      <c r="F197" s="163"/>
      <c r="G197" s="163"/>
      <c r="H197" s="164"/>
      <c r="I197" s="164"/>
      <c r="J197" s="162"/>
      <c r="K197" s="165"/>
      <c r="L197" s="164"/>
      <c r="M197" s="164"/>
      <c r="N197" s="166"/>
      <c r="O197" s="167"/>
      <c r="P197" s="168"/>
      <c r="Q197" s="169"/>
      <c r="R197" s="170"/>
      <c r="S197" s="171"/>
      <c r="T197" s="203">
        <f t="shared" si="82"/>
        <v>43647</v>
      </c>
      <c r="U197" s="204">
        <f t="shared" si="83"/>
        <v>43677</v>
      </c>
      <c r="V197" s="207">
        <f t="shared" si="116"/>
        <v>0</v>
      </c>
      <c r="W197" s="206" t="str">
        <f t="shared" si="113"/>
        <v/>
      </c>
      <c r="X197" s="206">
        <f t="shared" si="114"/>
        <v>0</v>
      </c>
      <c r="Y197" s="209">
        <f t="shared" si="115"/>
        <v>0</v>
      </c>
    </row>
    <row r="198" spans="2:25" ht="15.75" hidden="1" thickBot="1" x14ac:dyDescent="0.3">
      <c r="B198" s="60">
        <f>B195</f>
        <v>27</v>
      </c>
      <c r="C198" s="102">
        <v>186</v>
      </c>
      <c r="D198" s="192" t="str">
        <f t="shared" si="84"/>
        <v>I</v>
      </c>
      <c r="E198" s="162"/>
      <c r="F198" s="163"/>
      <c r="G198" s="163"/>
      <c r="H198" s="164"/>
      <c r="I198" s="164"/>
      <c r="J198" s="162"/>
      <c r="K198" s="165"/>
      <c r="L198" s="164"/>
      <c r="M198" s="164"/>
      <c r="N198" s="166"/>
      <c r="O198" s="167"/>
      <c r="P198" s="168"/>
      <c r="Q198" s="169"/>
      <c r="R198" s="170"/>
      <c r="S198" s="171"/>
      <c r="T198" s="203">
        <f t="shared" si="82"/>
        <v>43647</v>
      </c>
      <c r="U198" s="204">
        <f t="shared" si="83"/>
        <v>43677</v>
      </c>
      <c r="V198" s="207">
        <f t="shared" si="116"/>
        <v>0</v>
      </c>
      <c r="W198" s="206" t="str">
        <f t="shared" si="113"/>
        <v/>
      </c>
      <c r="X198" s="206">
        <f t="shared" si="114"/>
        <v>0</v>
      </c>
      <c r="Y198" s="209">
        <f t="shared" si="115"/>
        <v>0</v>
      </c>
    </row>
    <row r="199" spans="2:25" ht="15.75" hidden="1" thickBot="1" x14ac:dyDescent="0.3">
      <c r="B199" s="60">
        <f>B195</f>
        <v>27</v>
      </c>
      <c r="C199" s="102">
        <v>187</v>
      </c>
      <c r="D199" s="192" t="str">
        <f t="shared" si="84"/>
        <v>I</v>
      </c>
      <c r="E199" s="162"/>
      <c r="F199" s="163"/>
      <c r="G199" s="163"/>
      <c r="H199" s="164"/>
      <c r="I199" s="164"/>
      <c r="J199" s="162"/>
      <c r="K199" s="165"/>
      <c r="L199" s="164"/>
      <c r="M199" s="164"/>
      <c r="N199" s="166"/>
      <c r="O199" s="167"/>
      <c r="P199" s="168"/>
      <c r="Q199" s="169"/>
      <c r="R199" s="170"/>
      <c r="S199" s="171"/>
      <c r="T199" s="203">
        <f t="shared" si="82"/>
        <v>43647</v>
      </c>
      <c r="U199" s="204">
        <f t="shared" si="83"/>
        <v>43677</v>
      </c>
      <c r="V199" s="207">
        <f t="shared" si="116"/>
        <v>0</v>
      </c>
      <c r="W199" s="206" t="str">
        <f t="shared" si="113"/>
        <v/>
      </c>
      <c r="X199" s="206">
        <f t="shared" si="114"/>
        <v>0</v>
      </c>
      <c r="Y199" s="209">
        <f t="shared" si="115"/>
        <v>0</v>
      </c>
    </row>
    <row r="200" spans="2:25" ht="15.75" hidden="1" thickBot="1" x14ac:dyDescent="0.3">
      <c r="B200" s="60">
        <f>B195</f>
        <v>27</v>
      </c>
      <c r="C200" s="102">
        <v>188</v>
      </c>
      <c r="D200" s="192" t="str">
        <f t="shared" si="84"/>
        <v>I</v>
      </c>
      <c r="E200" s="172"/>
      <c r="F200" s="173"/>
      <c r="G200" s="173"/>
      <c r="H200" s="174"/>
      <c r="I200" s="174"/>
      <c r="J200" s="172"/>
      <c r="K200" s="175"/>
      <c r="L200" s="174"/>
      <c r="M200" s="174"/>
      <c r="N200" s="176"/>
      <c r="O200" s="177"/>
      <c r="P200" s="178"/>
      <c r="Q200" s="179"/>
      <c r="R200" s="180"/>
      <c r="S200" s="181"/>
      <c r="T200" s="203">
        <f t="shared" si="82"/>
        <v>43647</v>
      </c>
      <c r="U200" s="204">
        <f t="shared" si="83"/>
        <v>43677</v>
      </c>
      <c r="V200" s="207">
        <f t="shared" si="116"/>
        <v>0</v>
      </c>
      <c r="W200" s="206" t="str">
        <f t="shared" si="113"/>
        <v/>
      </c>
      <c r="X200" s="206">
        <f t="shared" si="114"/>
        <v>0</v>
      </c>
      <c r="Y200" s="209">
        <f t="shared" si="115"/>
        <v>0</v>
      </c>
    </row>
    <row r="201" spans="2:25" ht="15.75" hidden="1" thickBot="1" x14ac:dyDescent="0.3">
      <c r="B201" s="141">
        <f>B195</f>
        <v>27</v>
      </c>
      <c r="C201" s="142">
        <v>189</v>
      </c>
      <c r="D201" s="194" t="str">
        <f t="shared" si="84"/>
        <v>I</v>
      </c>
      <c r="E201" s="189"/>
      <c r="F201" s="190"/>
      <c r="G201" s="190"/>
      <c r="H201" s="182"/>
      <c r="I201" s="182"/>
      <c r="J201" s="436" t="s">
        <v>181</v>
      </c>
      <c r="K201" s="437"/>
      <c r="L201" s="438"/>
      <c r="M201" s="182"/>
      <c r="N201" s="183"/>
      <c r="O201" s="184"/>
      <c r="P201" s="185"/>
      <c r="Q201" s="186"/>
      <c r="R201" s="187"/>
      <c r="S201" s="188"/>
      <c r="T201" s="213">
        <f t="shared" si="82"/>
        <v>43647</v>
      </c>
      <c r="U201" s="214">
        <f t="shared" si="83"/>
        <v>43677</v>
      </c>
      <c r="V201" s="210">
        <f t="shared" si="116"/>
        <v>0</v>
      </c>
      <c r="W201" s="211"/>
      <c r="X201" s="211">
        <f>IF(AND($V201&gt;0,$I201=1),IF($E201=10,P201/10,P201/$V201),0)</f>
        <v>0</v>
      </c>
      <c r="Y201" s="212">
        <f>IF(AND($V195&gt;0,$I201&lt;&gt;1),Q201/E195*V195,0)</f>
        <v>0</v>
      </c>
    </row>
    <row r="202" spans="2:25" ht="16.5" hidden="1" thickTop="1" thickBot="1" x14ac:dyDescent="0.3">
      <c r="B202" s="129">
        <f>B200+1</f>
        <v>28</v>
      </c>
      <c r="C202" s="130">
        <v>190</v>
      </c>
      <c r="D202" s="196" t="str">
        <f t="shared" si="84"/>
        <v>I</v>
      </c>
      <c r="E202" s="131"/>
      <c r="F202" s="132"/>
      <c r="G202" s="132"/>
      <c r="H202" s="133"/>
      <c r="I202" s="133"/>
      <c r="J202" s="131"/>
      <c r="K202" s="134"/>
      <c r="L202" s="133"/>
      <c r="M202" s="133"/>
      <c r="N202" s="135"/>
      <c r="O202" s="136"/>
      <c r="P202" s="137"/>
      <c r="Q202" s="138"/>
      <c r="R202" s="139"/>
      <c r="S202" s="140"/>
      <c r="T202" s="203">
        <f t="shared" si="82"/>
        <v>43647</v>
      </c>
      <c r="U202" s="204">
        <f t="shared" si="83"/>
        <v>43677</v>
      </c>
      <c r="V202" s="207">
        <f>IF(G202-F202+1-IF(G202-U202&gt;0,G202-U202,0)-IF(T202-F202&gt;0,T202-F202,0)&gt;0,G202-F202+1-IF(G202-U202&gt;0,G202-U202,0)-IF(T202-F202&gt;0,T202-F202,0),0)</f>
        <v>0</v>
      </c>
      <c r="W202" s="206" t="str">
        <f t="shared" ref="W202:W207" si="117">IF(V202&gt;0,H202,"")</f>
        <v/>
      </c>
      <c r="X202" s="206">
        <f t="shared" ref="X202:X207" si="118">IF(AND($V202&gt;0,$I202=1),P202/$E202*$V202,0)</f>
        <v>0</v>
      </c>
      <c r="Y202" s="209">
        <f t="shared" ref="Y202:Y207" si="119">IF(AND($V202&gt;0,$I202&lt;&gt;1),Q202/$E202*$V202,0)</f>
        <v>0</v>
      </c>
    </row>
    <row r="203" spans="2:25" ht="15.75" hidden="1" thickBot="1" x14ac:dyDescent="0.3">
      <c r="B203" s="60">
        <f>B202</f>
        <v>28</v>
      </c>
      <c r="C203" s="102">
        <v>191</v>
      </c>
      <c r="D203" s="192" t="str">
        <f t="shared" si="84"/>
        <v>I</v>
      </c>
      <c r="E203" s="62"/>
      <c r="F203" s="105"/>
      <c r="G203" s="105"/>
      <c r="H203" s="61"/>
      <c r="I203" s="61"/>
      <c r="J203" s="62"/>
      <c r="K203" s="63"/>
      <c r="L203" s="61"/>
      <c r="M203" s="61"/>
      <c r="N203" s="111"/>
      <c r="O203" s="112"/>
      <c r="P203" s="113"/>
      <c r="Q203" s="114"/>
      <c r="R203" s="64"/>
      <c r="S203" s="108"/>
      <c r="T203" s="203">
        <f t="shared" si="82"/>
        <v>43647</v>
      </c>
      <c r="U203" s="204">
        <f t="shared" si="83"/>
        <v>43677</v>
      </c>
      <c r="V203" s="207">
        <f t="shared" ref="V203:V208" si="120">IF(G203-F203+1-IF(G203-U203&gt;0,G203-U203,0)-IF(T203-F203&gt;0,T203-F203,0)&gt;0,G203-F203+1-IF(G203-U203&gt;0,G203-U203,0)-IF(T203-F203&gt;0,T203-F203,0),0)</f>
        <v>0</v>
      </c>
      <c r="W203" s="206" t="str">
        <f t="shared" si="117"/>
        <v/>
      </c>
      <c r="X203" s="206">
        <f t="shared" si="118"/>
        <v>0</v>
      </c>
      <c r="Y203" s="209">
        <f t="shared" si="119"/>
        <v>0</v>
      </c>
    </row>
    <row r="204" spans="2:25" ht="15.75" hidden="1" thickBot="1" x14ac:dyDescent="0.3">
      <c r="B204" s="60">
        <f>B202</f>
        <v>28</v>
      </c>
      <c r="C204" s="102">
        <v>192</v>
      </c>
      <c r="D204" s="192" t="str">
        <f t="shared" si="84"/>
        <v>I</v>
      </c>
      <c r="E204" s="62"/>
      <c r="F204" s="105"/>
      <c r="G204" s="105"/>
      <c r="H204" s="61"/>
      <c r="I204" s="61"/>
      <c r="J204" s="62"/>
      <c r="K204" s="63"/>
      <c r="L204" s="61"/>
      <c r="M204" s="61"/>
      <c r="N204" s="111"/>
      <c r="O204" s="112"/>
      <c r="P204" s="113"/>
      <c r="Q204" s="114"/>
      <c r="R204" s="64"/>
      <c r="S204" s="108"/>
      <c r="T204" s="203">
        <f t="shared" si="82"/>
        <v>43647</v>
      </c>
      <c r="U204" s="204">
        <f t="shared" si="83"/>
        <v>43677</v>
      </c>
      <c r="V204" s="207">
        <f t="shared" si="120"/>
        <v>0</v>
      </c>
      <c r="W204" s="206" t="str">
        <f t="shared" si="117"/>
        <v/>
      </c>
      <c r="X204" s="206">
        <f t="shared" si="118"/>
        <v>0</v>
      </c>
      <c r="Y204" s="209">
        <f t="shared" si="119"/>
        <v>0</v>
      </c>
    </row>
    <row r="205" spans="2:25" ht="15.75" hidden="1" thickBot="1" x14ac:dyDescent="0.3">
      <c r="B205" s="60">
        <f>B202</f>
        <v>28</v>
      </c>
      <c r="C205" s="102">
        <v>193</v>
      </c>
      <c r="D205" s="192" t="str">
        <f t="shared" si="84"/>
        <v>I</v>
      </c>
      <c r="E205" s="62"/>
      <c r="F205" s="105"/>
      <c r="G205" s="105"/>
      <c r="H205" s="61"/>
      <c r="I205" s="61"/>
      <c r="J205" s="62"/>
      <c r="K205" s="63"/>
      <c r="L205" s="61"/>
      <c r="M205" s="61"/>
      <c r="N205" s="111"/>
      <c r="O205" s="112"/>
      <c r="P205" s="113"/>
      <c r="Q205" s="114"/>
      <c r="R205" s="64"/>
      <c r="S205" s="108"/>
      <c r="T205" s="203">
        <f t="shared" ref="T205:T268" si="121">$F$4</f>
        <v>43647</v>
      </c>
      <c r="U205" s="204">
        <f t="shared" ref="U205:U268" si="122">$G$4</f>
        <v>43677</v>
      </c>
      <c r="V205" s="207">
        <f t="shared" si="120"/>
        <v>0</v>
      </c>
      <c r="W205" s="206" t="str">
        <f t="shared" si="117"/>
        <v/>
      </c>
      <c r="X205" s="206">
        <f t="shared" si="118"/>
        <v>0</v>
      </c>
      <c r="Y205" s="209">
        <f t="shared" si="119"/>
        <v>0</v>
      </c>
    </row>
    <row r="206" spans="2:25" ht="15.75" hidden="1" thickBot="1" x14ac:dyDescent="0.3">
      <c r="B206" s="60">
        <f>B202</f>
        <v>28</v>
      </c>
      <c r="C206" s="102">
        <v>194</v>
      </c>
      <c r="D206" s="192" t="str">
        <f t="shared" si="84"/>
        <v>I</v>
      </c>
      <c r="E206" s="62"/>
      <c r="F206" s="105"/>
      <c r="G206" s="105"/>
      <c r="H206" s="61"/>
      <c r="I206" s="61"/>
      <c r="J206" s="62"/>
      <c r="K206" s="63"/>
      <c r="L206" s="61"/>
      <c r="M206" s="61"/>
      <c r="N206" s="111"/>
      <c r="O206" s="112"/>
      <c r="P206" s="113"/>
      <c r="Q206" s="114"/>
      <c r="R206" s="64"/>
      <c r="S206" s="108"/>
      <c r="T206" s="203">
        <f t="shared" si="121"/>
        <v>43647</v>
      </c>
      <c r="U206" s="204">
        <f t="shared" si="122"/>
        <v>43677</v>
      </c>
      <c r="V206" s="207">
        <f t="shared" si="120"/>
        <v>0</v>
      </c>
      <c r="W206" s="206" t="str">
        <f t="shared" si="117"/>
        <v/>
      </c>
      <c r="X206" s="206">
        <f t="shared" si="118"/>
        <v>0</v>
      </c>
      <c r="Y206" s="209">
        <f t="shared" si="119"/>
        <v>0</v>
      </c>
    </row>
    <row r="207" spans="2:25" ht="15.75" hidden="1" thickBot="1" x14ac:dyDescent="0.3">
      <c r="B207" s="60">
        <f>B202</f>
        <v>28</v>
      </c>
      <c r="C207" s="102">
        <v>195</v>
      </c>
      <c r="D207" s="192" t="str">
        <f t="shared" si="84"/>
        <v>I</v>
      </c>
      <c r="E207" s="62"/>
      <c r="F207" s="105"/>
      <c r="G207" s="105"/>
      <c r="H207" s="61"/>
      <c r="I207" s="61"/>
      <c r="J207" s="62"/>
      <c r="K207" s="63"/>
      <c r="L207" s="61"/>
      <c r="M207" s="61"/>
      <c r="N207" s="111"/>
      <c r="O207" s="112"/>
      <c r="P207" s="113"/>
      <c r="Q207" s="114"/>
      <c r="R207" s="64"/>
      <c r="S207" s="108"/>
      <c r="T207" s="203">
        <f t="shared" si="121"/>
        <v>43647</v>
      </c>
      <c r="U207" s="204">
        <f t="shared" si="122"/>
        <v>43677</v>
      </c>
      <c r="V207" s="207">
        <f t="shared" si="120"/>
        <v>0</v>
      </c>
      <c r="W207" s="206" t="str">
        <f t="shared" si="117"/>
        <v/>
      </c>
      <c r="X207" s="206">
        <f t="shared" si="118"/>
        <v>0</v>
      </c>
      <c r="Y207" s="209">
        <f t="shared" si="119"/>
        <v>0</v>
      </c>
    </row>
    <row r="208" spans="2:25" ht="15.75" hidden="1" thickBot="1" x14ac:dyDescent="0.3">
      <c r="B208" s="141">
        <f>B202</f>
        <v>28</v>
      </c>
      <c r="C208" s="142">
        <v>196</v>
      </c>
      <c r="D208" s="194" t="str">
        <f t="shared" ref="D208:D271" si="123">D207</f>
        <v>I</v>
      </c>
      <c r="E208" s="143"/>
      <c r="F208" s="144"/>
      <c r="G208" s="144"/>
      <c r="H208" s="145"/>
      <c r="I208" s="145"/>
      <c r="J208" s="436" t="s">
        <v>181</v>
      </c>
      <c r="K208" s="437"/>
      <c r="L208" s="438"/>
      <c r="M208" s="145"/>
      <c r="N208" s="146"/>
      <c r="O208" s="147"/>
      <c r="P208" s="148"/>
      <c r="Q208" s="149"/>
      <c r="R208" s="150"/>
      <c r="S208" s="151"/>
      <c r="T208" s="213">
        <f t="shared" si="121"/>
        <v>43647</v>
      </c>
      <c r="U208" s="214">
        <f t="shared" si="122"/>
        <v>43677</v>
      </c>
      <c r="V208" s="210">
        <f t="shared" si="120"/>
        <v>0</v>
      </c>
      <c r="W208" s="211"/>
      <c r="X208" s="211">
        <f>IF(AND($V208&gt;0,$I208=1),IF($E208=10,P208/10,P208/$V208),0)</f>
        <v>0</v>
      </c>
      <c r="Y208" s="212">
        <f>IF(AND($V202&gt;0,$I208&lt;&gt;1),Q208/E202*V202,0)</f>
        <v>0</v>
      </c>
    </row>
    <row r="209" spans="2:25" ht="16.5" hidden="1" thickTop="1" thickBot="1" x14ac:dyDescent="0.3">
      <c r="B209" s="129">
        <f>B207+1</f>
        <v>29</v>
      </c>
      <c r="C209" s="130">
        <v>197</v>
      </c>
      <c r="D209" s="196" t="str">
        <f t="shared" si="123"/>
        <v>I</v>
      </c>
      <c r="E209" s="152"/>
      <c r="F209" s="153"/>
      <c r="G209" s="153"/>
      <c r="H209" s="154"/>
      <c r="I209" s="154"/>
      <c r="J209" s="152"/>
      <c r="K209" s="155"/>
      <c r="L209" s="154"/>
      <c r="M209" s="154"/>
      <c r="N209" s="156"/>
      <c r="O209" s="157"/>
      <c r="P209" s="158"/>
      <c r="Q209" s="159"/>
      <c r="R209" s="160"/>
      <c r="S209" s="161"/>
      <c r="T209" s="203">
        <f t="shared" si="121"/>
        <v>43647</v>
      </c>
      <c r="U209" s="204">
        <f t="shared" si="122"/>
        <v>43677</v>
      </c>
      <c r="V209" s="207">
        <f>IF(G209-F209+1-IF(G209-U209&gt;0,G209-U209,0)-IF(T209-F209&gt;0,T209-F209,0)&gt;0,G209-F209+1-IF(G209-U209&gt;0,G209-U209,0)-IF(T209-F209&gt;0,T209-F209,0),0)</f>
        <v>0</v>
      </c>
      <c r="W209" s="206" t="str">
        <f t="shared" ref="W209:W214" si="124">IF(V209&gt;0,H209,"")</f>
        <v/>
      </c>
      <c r="X209" s="206">
        <f t="shared" ref="X209:X214" si="125">IF(AND($V209&gt;0,$I209=1),P209/$E209*$V209,0)</f>
        <v>0</v>
      </c>
      <c r="Y209" s="209">
        <f t="shared" ref="Y209:Y214" si="126">IF(AND($V209&gt;0,$I209&lt;&gt;1),Q209/$E209*$V209,0)</f>
        <v>0</v>
      </c>
    </row>
    <row r="210" spans="2:25" ht="15.75" hidden="1" thickBot="1" x14ac:dyDescent="0.3">
      <c r="B210" s="60">
        <f>B209</f>
        <v>29</v>
      </c>
      <c r="C210" s="102">
        <v>198</v>
      </c>
      <c r="D210" s="192" t="str">
        <f t="shared" si="123"/>
        <v>I</v>
      </c>
      <c r="E210" s="162"/>
      <c r="F210" s="163"/>
      <c r="G210" s="163"/>
      <c r="H210" s="164"/>
      <c r="I210" s="164"/>
      <c r="J210" s="162"/>
      <c r="K210" s="165"/>
      <c r="L210" s="164"/>
      <c r="M210" s="164"/>
      <c r="N210" s="166"/>
      <c r="O210" s="167"/>
      <c r="P210" s="168"/>
      <c r="Q210" s="169"/>
      <c r="R210" s="170"/>
      <c r="S210" s="171"/>
      <c r="T210" s="203">
        <f t="shared" si="121"/>
        <v>43647</v>
      </c>
      <c r="U210" s="204">
        <f t="shared" si="122"/>
        <v>43677</v>
      </c>
      <c r="V210" s="207">
        <f t="shared" ref="V210:V215" si="127">IF(G210-F210+1-IF(G210-U210&gt;0,G210-U210,0)-IF(T210-F210&gt;0,T210-F210,0)&gt;0,G210-F210+1-IF(G210-U210&gt;0,G210-U210,0)-IF(T210-F210&gt;0,T210-F210,0),0)</f>
        <v>0</v>
      </c>
      <c r="W210" s="206" t="str">
        <f t="shared" si="124"/>
        <v/>
      </c>
      <c r="X210" s="206">
        <f t="shared" si="125"/>
        <v>0</v>
      </c>
      <c r="Y210" s="209">
        <f t="shared" si="126"/>
        <v>0</v>
      </c>
    </row>
    <row r="211" spans="2:25" ht="15.75" hidden="1" thickBot="1" x14ac:dyDescent="0.3">
      <c r="B211" s="60">
        <f>B209</f>
        <v>29</v>
      </c>
      <c r="C211" s="102">
        <v>199</v>
      </c>
      <c r="D211" s="192" t="str">
        <f t="shared" si="123"/>
        <v>I</v>
      </c>
      <c r="E211" s="162"/>
      <c r="F211" s="163"/>
      <c r="G211" s="163"/>
      <c r="H211" s="164"/>
      <c r="I211" s="164"/>
      <c r="J211" s="162"/>
      <c r="K211" s="165"/>
      <c r="L211" s="164"/>
      <c r="M211" s="164"/>
      <c r="N211" s="166"/>
      <c r="O211" s="167"/>
      <c r="P211" s="168"/>
      <c r="Q211" s="169"/>
      <c r="R211" s="170"/>
      <c r="S211" s="171"/>
      <c r="T211" s="203">
        <f t="shared" si="121"/>
        <v>43647</v>
      </c>
      <c r="U211" s="204">
        <f t="shared" si="122"/>
        <v>43677</v>
      </c>
      <c r="V211" s="207">
        <f t="shared" si="127"/>
        <v>0</v>
      </c>
      <c r="W211" s="206" t="str">
        <f t="shared" si="124"/>
        <v/>
      </c>
      <c r="X211" s="206">
        <f t="shared" si="125"/>
        <v>0</v>
      </c>
      <c r="Y211" s="209">
        <f t="shared" si="126"/>
        <v>0</v>
      </c>
    </row>
    <row r="212" spans="2:25" ht="15.75" hidden="1" thickBot="1" x14ac:dyDescent="0.3">
      <c r="B212" s="60">
        <f>B209</f>
        <v>29</v>
      </c>
      <c r="C212" s="102">
        <v>200</v>
      </c>
      <c r="D212" s="192" t="str">
        <f t="shared" si="123"/>
        <v>I</v>
      </c>
      <c r="E212" s="162"/>
      <c r="F212" s="163"/>
      <c r="G212" s="163"/>
      <c r="H212" s="164"/>
      <c r="I212" s="164"/>
      <c r="J212" s="162"/>
      <c r="K212" s="165"/>
      <c r="L212" s="164"/>
      <c r="M212" s="164"/>
      <c r="N212" s="166"/>
      <c r="O212" s="167"/>
      <c r="P212" s="168"/>
      <c r="Q212" s="169"/>
      <c r="R212" s="170"/>
      <c r="S212" s="171"/>
      <c r="T212" s="203">
        <f t="shared" si="121"/>
        <v>43647</v>
      </c>
      <c r="U212" s="204">
        <f t="shared" si="122"/>
        <v>43677</v>
      </c>
      <c r="V212" s="207">
        <f t="shared" si="127"/>
        <v>0</v>
      </c>
      <c r="W212" s="206" t="str">
        <f t="shared" si="124"/>
        <v/>
      </c>
      <c r="X212" s="206">
        <f t="shared" si="125"/>
        <v>0</v>
      </c>
      <c r="Y212" s="209">
        <f t="shared" si="126"/>
        <v>0</v>
      </c>
    </row>
    <row r="213" spans="2:25" ht="15.75" hidden="1" thickBot="1" x14ac:dyDescent="0.3">
      <c r="B213" s="60">
        <f>B209</f>
        <v>29</v>
      </c>
      <c r="C213" s="102">
        <v>201</v>
      </c>
      <c r="D213" s="192" t="str">
        <f t="shared" si="123"/>
        <v>I</v>
      </c>
      <c r="E213" s="162"/>
      <c r="F213" s="163"/>
      <c r="G213" s="163"/>
      <c r="H213" s="164"/>
      <c r="I213" s="164"/>
      <c r="J213" s="162"/>
      <c r="K213" s="165"/>
      <c r="L213" s="164"/>
      <c r="M213" s="164"/>
      <c r="N213" s="166"/>
      <c r="O213" s="167"/>
      <c r="P213" s="168"/>
      <c r="Q213" s="169"/>
      <c r="R213" s="170"/>
      <c r="S213" s="171"/>
      <c r="T213" s="203">
        <f t="shared" si="121"/>
        <v>43647</v>
      </c>
      <c r="U213" s="204">
        <f t="shared" si="122"/>
        <v>43677</v>
      </c>
      <c r="V213" s="207">
        <f t="shared" si="127"/>
        <v>0</v>
      </c>
      <c r="W213" s="206" t="str">
        <f t="shared" si="124"/>
        <v/>
      </c>
      <c r="X213" s="206">
        <f t="shared" si="125"/>
        <v>0</v>
      </c>
      <c r="Y213" s="209">
        <f t="shared" si="126"/>
        <v>0</v>
      </c>
    </row>
    <row r="214" spans="2:25" ht="15.75" hidden="1" thickBot="1" x14ac:dyDescent="0.3">
      <c r="B214" s="60">
        <f>B209</f>
        <v>29</v>
      </c>
      <c r="C214" s="102">
        <v>202</v>
      </c>
      <c r="D214" s="192" t="str">
        <f t="shared" si="123"/>
        <v>I</v>
      </c>
      <c r="E214" s="172"/>
      <c r="F214" s="173"/>
      <c r="G214" s="173"/>
      <c r="H214" s="174"/>
      <c r="I214" s="174"/>
      <c r="J214" s="172"/>
      <c r="K214" s="175"/>
      <c r="L214" s="174"/>
      <c r="M214" s="174"/>
      <c r="N214" s="176"/>
      <c r="O214" s="177"/>
      <c r="P214" s="178"/>
      <c r="Q214" s="179"/>
      <c r="R214" s="180"/>
      <c r="S214" s="181"/>
      <c r="T214" s="203">
        <f t="shared" si="121"/>
        <v>43647</v>
      </c>
      <c r="U214" s="204">
        <f t="shared" si="122"/>
        <v>43677</v>
      </c>
      <c r="V214" s="207">
        <f t="shared" si="127"/>
        <v>0</v>
      </c>
      <c r="W214" s="206" t="str">
        <f t="shared" si="124"/>
        <v/>
      </c>
      <c r="X214" s="206">
        <f t="shared" si="125"/>
        <v>0</v>
      </c>
      <c r="Y214" s="209">
        <f t="shared" si="126"/>
        <v>0</v>
      </c>
    </row>
    <row r="215" spans="2:25" ht="15.75" hidden="1" thickBot="1" x14ac:dyDescent="0.3">
      <c r="B215" s="141">
        <f>B209</f>
        <v>29</v>
      </c>
      <c r="C215" s="142">
        <v>203</v>
      </c>
      <c r="D215" s="194" t="str">
        <f t="shared" si="123"/>
        <v>I</v>
      </c>
      <c r="E215" s="189"/>
      <c r="F215" s="190"/>
      <c r="G215" s="190"/>
      <c r="H215" s="182"/>
      <c r="I215" s="182"/>
      <c r="J215" s="436" t="s">
        <v>181</v>
      </c>
      <c r="K215" s="437"/>
      <c r="L215" s="438"/>
      <c r="M215" s="182"/>
      <c r="N215" s="183"/>
      <c r="O215" s="184"/>
      <c r="P215" s="185"/>
      <c r="Q215" s="186"/>
      <c r="R215" s="187"/>
      <c r="S215" s="188"/>
      <c r="T215" s="213">
        <f t="shared" si="121"/>
        <v>43647</v>
      </c>
      <c r="U215" s="214">
        <f t="shared" si="122"/>
        <v>43677</v>
      </c>
      <c r="V215" s="210">
        <f t="shared" si="127"/>
        <v>0</v>
      </c>
      <c r="W215" s="211"/>
      <c r="X215" s="211">
        <f>IF(AND($V215&gt;0,$I215=1),IF($E215=10,P215/10,P215/$V215),0)</f>
        <v>0</v>
      </c>
      <c r="Y215" s="212">
        <f>IF(AND($V209&gt;0,$I215&lt;&gt;1),Q215/E209*V209,0)</f>
        <v>0</v>
      </c>
    </row>
    <row r="216" spans="2:25" ht="16.5" hidden="1" thickTop="1" thickBot="1" x14ac:dyDescent="0.3">
      <c r="B216" s="129">
        <f>B214+1</f>
        <v>30</v>
      </c>
      <c r="C216" s="130">
        <v>204</v>
      </c>
      <c r="D216" s="196" t="str">
        <f t="shared" si="123"/>
        <v>I</v>
      </c>
      <c r="E216" s="131"/>
      <c r="F216" s="132"/>
      <c r="G216" s="132"/>
      <c r="H216" s="133"/>
      <c r="I216" s="133"/>
      <c r="J216" s="131"/>
      <c r="K216" s="134"/>
      <c r="L216" s="133"/>
      <c r="M216" s="133"/>
      <c r="N216" s="135"/>
      <c r="O216" s="136"/>
      <c r="P216" s="137"/>
      <c r="Q216" s="138"/>
      <c r="R216" s="139"/>
      <c r="S216" s="140"/>
      <c r="T216" s="203">
        <f t="shared" si="121"/>
        <v>43647</v>
      </c>
      <c r="U216" s="204">
        <f t="shared" si="122"/>
        <v>43677</v>
      </c>
      <c r="V216" s="207">
        <f>IF(G216-F216+1-IF(G216-U216&gt;0,G216-U216,0)-IF(T216-F216&gt;0,T216-F216,0)&gt;0,G216-F216+1-IF(G216-U216&gt;0,G216-U216,0)-IF(T216-F216&gt;0,T216-F216,0),0)</f>
        <v>0</v>
      </c>
      <c r="W216" s="206" t="str">
        <f t="shared" ref="W216:W221" si="128">IF(V216&gt;0,H216,"")</f>
        <v/>
      </c>
      <c r="X216" s="206">
        <f t="shared" ref="X216:X221" si="129">IF(AND($V216&gt;0,$I216=1),P216/$E216*$V216,0)</f>
        <v>0</v>
      </c>
      <c r="Y216" s="209">
        <f t="shared" ref="Y216:Y221" si="130">IF(AND($V216&gt;0,$I216&lt;&gt;1),Q216/$E216*$V216,0)</f>
        <v>0</v>
      </c>
    </row>
    <row r="217" spans="2:25" ht="15.75" hidden="1" thickBot="1" x14ac:dyDescent="0.3">
      <c r="B217" s="60">
        <f>B216</f>
        <v>30</v>
      </c>
      <c r="C217" s="102">
        <v>205</v>
      </c>
      <c r="D217" s="192" t="str">
        <f t="shared" si="123"/>
        <v>I</v>
      </c>
      <c r="E217" s="62"/>
      <c r="F217" s="105"/>
      <c r="G217" s="105"/>
      <c r="H217" s="61"/>
      <c r="I217" s="61"/>
      <c r="J217" s="62"/>
      <c r="K217" s="63"/>
      <c r="L217" s="61"/>
      <c r="M217" s="61"/>
      <c r="N217" s="111"/>
      <c r="O217" s="112"/>
      <c r="P217" s="113"/>
      <c r="Q217" s="114"/>
      <c r="R217" s="64"/>
      <c r="S217" s="108"/>
      <c r="T217" s="203">
        <f t="shared" si="121"/>
        <v>43647</v>
      </c>
      <c r="U217" s="204">
        <f t="shared" si="122"/>
        <v>43677</v>
      </c>
      <c r="V217" s="207">
        <f t="shared" ref="V217:V222" si="131">IF(G217-F217+1-IF(G217-U217&gt;0,G217-U217,0)-IF(T217-F217&gt;0,T217-F217,0)&gt;0,G217-F217+1-IF(G217-U217&gt;0,G217-U217,0)-IF(T217-F217&gt;0,T217-F217,0),0)</f>
        <v>0</v>
      </c>
      <c r="W217" s="206" t="str">
        <f t="shared" si="128"/>
        <v/>
      </c>
      <c r="X217" s="206">
        <f t="shared" si="129"/>
        <v>0</v>
      </c>
      <c r="Y217" s="209">
        <f t="shared" si="130"/>
        <v>0</v>
      </c>
    </row>
    <row r="218" spans="2:25" ht="15.75" hidden="1" thickBot="1" x14ac:dyDescent="0.3">
      <c r="B218" s="60">
        <f>B216</f>
        <v>30</v>
      </c>
      <c r="C218" s="102">
        <v>206</v>
      </c>
      <c r="D218" s="192" t="str">
        <f t="shared" si="123"/>
        <v>I</v>
      </c>
      <c r="E218" s="62"/>
      <c r="F218" s="105"/>
      <c r="G218" s="105"/>
      <c r="H218" s="61"/>
      <c r="I218" s="61"/>
      <c r="J218" s="62"/>
      <c r="K218" s="63"/>
      <c r="L218" s="61"/>
      <c r="M218" s="61"/>
      <c r="N218" s="111"/>
      <c r="O218" s="112"/>
      <c r="P218" s="113"/>
      <c r="Q218" s="114"/>
      <c r="R218" s="64"/>
      <c r="S218" s="108"/>
      <c r="T218" s="203">
        <f t="shared" si="121"/>
        <v>43647</v>
      </c>
      <c r="U218" s="204">
        <f t="shared" si="122"/>
        <v>43677</v>
      </c>
      <c r="V218" s="207">
        <f t="shared" si="131"/>
        <v>0</v>
      </c>
      <c r="W218" s="206" t="str">
        <f t="shared" si="128"/>
        <v/>
      </c>
      <c r="X218" s="206">
        <f t="shared" si="129"/>
        <v>0</v>
      </c>
      <c r="Y218" s="209">
        <f t="shared" si="130"/>
        <v>0</v>
      </c>
    </row>
    <row r="219" spans="2:25" ht="15.75" hidden="1" thickBot="1" x14ac:dyDescent="0.3">
      <c r="B219" s="60">
        <f>B216</f>
        <v>30</v>
      </c>
      <c r="C219" s="102">
        <v>207</v>
      </c>
      <c r="D219" s="192" t="str">
        <f t="shared" si="123"/>
        <v>I</v>
      </c>
      <c r="E219" s="62"/>
      <c r="F219" s="105"/>
      <c r="G219" s="105"/>
      <c r="H219" s="61"/>
      <c r="I219" s="61"/>
      <c r="J219" s="62"/>
      <c r="K219" s="63"/>
      <c r="L219" s="61"/>
      <c r="M219" s="61"/>
      <c r="N219" s="111"/>
      <c r="O219" s="112"/>
      <c r="P219" s="113"/>
      <c r="Q219" s="114"/>
      <c r="R219" s="64"/>
      <c r="S219" s="108"/>
      <c r="T219" s="203">
        <f t="shared" si="121"/>
        <v>43647</v>
      </c>
      <c r="U219" s="204">
        <f t="shared" si="122"/>
        <v>43677</v>
      </c>
      <c r="V219" s="207">
        <f t="shared" si="131"/>
        <v>0</v>
      </c>
      <c r="W219" s="206" t="str">
        <f t="shared" si="128"/>
        <v/>
      </c>
      <c r="X219" s="206">
        <f t="shared" si="129"/>
        <v>0</v>
      </c>
      <c r="Y219" s="209">
        <f t="shared" si="130"/>
        <v>0</v>
      </c>
    </row>
    <row r="220" spans="2:25" ht="15.75" hidden="1" thickBot="1" x14ac:dyDescent="0.3">
      <c r="B220" s="60">
        <f>B216</f>
        <v>30</v>
      </c>
      <c r="C220" s="102">
        <v>208</v>
      </c>
      <c r="D220" s="192" t="str">
        <f t="shared" si="123"/>
        <v>I</v>
      </c>
      <c r="E220" s="62"/>
      <c r="F220" s="105"/>
      <c r="G220" s="105"/>
      <c r="H220" s="61"/>
      <c r="I220" s="61"/>
      <c r="J220" s="62"/>
      <c r="K220" s="63"/>
      <c r="L220" s="61"/>
      <c r="M220" s="61"/>
      <c r="N220" s="111"/>
      <c r="O220" s="112"/>
      <c r="P220" s="113"/>
      <c r="Q220" s="114"/>
      <c r="R220" s="64"/>
      <c r="S220" s="108"/>
      <c r="T220" s="203">
        <f t="shared" si="121"/>
        <v>43647</v>
      </c>
      <c r="U220" s="204">
        <f t="shared" si="122"/>
        <v>43677</v>
      </c>
      <c r="V220" s="207">
        <f t="shared" si="131"/>
        <v>0</v>
      </c>
      <c r="W220" s="206" t="str">
        <f t="shared" si="128"/>
        <v/>
      </c>
      <c r="X220" s="206">
        <f t="shared" si="129"/>
        <v>0</v>
      </c>
      <c r="Y220" s="209">
        <f t="shared" si="130"/>
        <v>0</v>
      </c>
    </row>
    <row r="221" spans="2:25" ht="15.75" hidden="1" thickBot="1" x14ac:dyDescent="0.3">
      <c r="B221" s="60">
        <f>B216</f>
        <v>30</v>
      </c>
      <c r="C221" s="102">
        <v>209</v>
      </c>
      <c r="D221" s="192" t="str">
        <f t="shared" si="123"/>
        <v>I</v>
      </c>
      <c r="E221" s="62"/>
      <c r="F221" s="105"/>
      <c r="G221" s="105"/>
      <c r="H221" s="61"/>
      <c r="I221" s="61"/>
      <c r="J221" s="62"/>
      <c r="K221" s="63"/>
      <c r="L221" s="61"/>
      <c r="M221" s="61"/>
      <c r="N221" s="111"/>
      <c r="O221" s="112"/>
      <c r="P221" s="113"/>
      <c r="Q221" s="114"/>
      <c r="R221" s="64"/>
      <c r="S221" s="108"/>
      <c r="T221" s="203">
        <f t="shared" si="121"/>
        <v>43647</v>
      </c>
      <c r="U221" s="204">
        <f t="shared" si="122"/>
        <v>43677</v>
      </c>
      <c r="V221" s="207">
        <f t="shared" si="131"/>
        <v>0</v>
      </c>
      <c r="W221" s="206" t="str">
        <f t="shared" si="128"/>
        <v/>
      </c>
      <c r="X221" s="206">
        <f t="shared" si="129"/>
        <v>0</v>
      </c>
      <c r="Y221" s="209">
        <f t="shared" si="130"/>
        <v>0</v>
      </c>
    </row>
    <row r="222" spans="2:25" ht="15.75" hidden="1" thickBot="1" x14ac:dyDescent="0.3">
      <c r="B222" s="141">
        <f>B216</f>
        <v>30</v>
      </c>
      <c r="C222" s="142">
        <v>210</v>
      </c>
      <c r="D222" s="194" t="str">
        <f t="shared" si="123"/>
        <v>I</v>
      </c>
      <c r="E222" s="143"/>
      <c r="F222" s="144"/>
      <c r="G222" s="144"/>
      <c r="H222" s="145"/>
      <c r="I222" s="145"/>
      <c r="J222" s="436" t="s">
        <v>181</v>
      </c>
      <c r="K222" s="437"/>
      <c r="L222" s="438"/>
      <c r="M222" s="145"/>
      <c r="N222" s="146"/>
      <c r="O222" s="147"/>
      <c r="P222" s="148"/>
      <c r="Q222" s="149"/>
      <c r="R222" s="150"/>
      <c r="S222" s="151"/>
      <c r="T222" s="213">
        <f t="shared" si="121"/>
        <v>43647</v>
      </c>
      <c r="U222" s="214">
        <f t="shared" si="122"/>
        <v>43677</v>
      </c>
      <c r="V222" s="210">
        <f t="shared" si="131"/>
        <v>0</v>
      </c>
      <c r="W222" s="211"/>
      <c r="X222" s="211">
        <f>IF(AND($V222&gt;0,$I222=1),IF($E222=10,P222/10,P222/$V222),0)</f>
        <v>0</v>
      </c>
      <c r="Y222" s="212">
        <f>IF(AND($V216&gt;0,$I222&lt;&gt;1),Q222/E216*V216,0)</f>
        <v>0</v>
      </c>
    </row>
    <row r="223" spans="2:25" ht="16.5" hidden="1" thickTop="1" thickBot="1" x14ac:dyDescent="0.3">
      <c r="B223" s="129">
        <f>B221+1</f>
        <v>31</v>
      </c>
      <c r="C223" s="130">
        <v>211</v>
      </c>
      <c r="D223" s="196" t="str">
        <f t="shared" si="123"/>
        <v>I</v>
      </c>
      <c r="E223" s="152"/>
      <c r="F223" s="153"/>
      <c r="G223" s="153"/>
      <c r="H223" s="154"/>
      <c r="I223" s="154"/>
      <c r="J223" s="152"/>
      <c r="K223" s="155"/>
      <c r="L223" s="154"/>
      <c r="M223" s="154"/>
      <c r="N223" s="156"/>
      <c r="O223" s="157"/>
      <c r="P223" s="158"/>
      <c r="Q223" s="159"/>
      <c r="R223" s="160"/>
      <c r="S223" s="161"/>
      <c r="T223" s="203">
        <f t="shared" si="121"/>
        <v>43647</v>
      </c>
      <c r="U223" s="204">
        <f t="shared" si="122"/>
        <v>43677</v>
      </c>
      <c r="V223" s="207">
        <f>IF(G223-F223+1-IF(G223-U223&gt;0,G223-U223,0)-IF(T223-F223&gt;0,T223-F223,0)&gt;0,G223-F223+1-IF(G223-U223&gt;0,G223-U223,0)-IF(T223-F223&gt;0,T223-F223,0),0)</f>
        <v>0</v>
      </c>
      <c r="W223" s="206" t="str">
        <f t="shared" ref="W223:W228" si="132">IF(V223&gt;0,H223,"")</f>
        <v/>
      </c>
      <c r="X223" s="206">
        <f t="shared" ref="X223:X228" si="133">IF(AND($V223&gt;0,$I223=1),P223/$E223*$V223,0)</f>
        <v>0</v>
      </c>
      <c r="Y223" s="209">
        <f t="shared" ref="Y223:Y228" si="134">IF(AND($V223&gt;0,$I223&lt;&gt;1),Q223/$E223*$V223,0)</f>
        <v>0</v>
      </c>
    </row>
    <row r="224" spans="2:25" ht="15.75" hidden="1" thickBot="1" x14ac:dyDescent="0.3">
      <c r="B224" s="60">
        <f>B223</f>
        <v>31</v>
      </c>
      <c r="C224" s="102">
        <v>212</v>
      </c>
      <c r="D224" s="192" t="str">
        <f t="shared" si="123"/>
        <v>I</v>
      </c>
      <c r="E224" s="162"/>
      <c r="F224" s="163"/>
      <c r="G224" s="163"/>
      <c r="H224" s="164"/>
      <c r="I224" s="164"/>
      <c r="J224" s="162"/>
      <c r="K224" s="165"/>
      <c r="L224" s="164"/>
      <c r="M224" s="164"/>
      <c r="N224" s="166"/>
      <c r="O224" s="167"/>
      <c r="P224" s="168"/>
      <c r="Q224" s="169"/>
      <c r="R224" s="170"/>
      <c r="S224" s="171"/>
      <c r="T224" s="203">
        <f t="shared" si="121"/>
        <v>43647</v>
      </c>
      <c r="U224" s="204">
        <f t="shared" si="122"/>
        <v>43677</v>
      </c>
      <c r="V224" s="207">
        <f t="shared" ref="V224:V229" si="135">IF(G224-F224+1-IF(G224-U224&gt;0,G224-U224,0)-IF(T224-F224&gt;0,T224-F224,0)&gt;0,G224-F224+1-IF(G224-U224&gt;0,G224-U224,0)-IF(T224-F224&gt;0,T224-F224,0),0)</f>
        <v>0</v>
      </c>
      <c r="W224" s="206" t="str">
        <f t="shared" si="132"/>
        <v/>
      </c>
      <c r="X224" s="206">
        <f t="shared" si="133"/>
        <v>0</v>
      </c>
      <c r="Y224" s="209">
        <f t="shared" si="134"/>
        <v>0</v>
      </c>
    </row>
    <row r="225" spans="2:25" ht="15.75" hidden="1" thickBot="1" x14ac:dyDescent="0.3">
      <c r="B225" s="60">
        <f>B223</f>
        <v>31</v>
      </c>
      <c r="C225" s="102">
        <v>213</v>
      </c>
      <c r="D225" s="192" t="str">
        <f t="shared" si="123"/>
        <v>I</v>
      </c>
      <c r="E225" s="162"/>
      <c r="F225" s="163"/>
      <c r="G225" s="163"/>
      <c r="H225" s="164"/>
      <c r="I225" s="164"/>
      <c r="J225" s="162"/>
      <c r="K225" s="165"/>
      <c r="L225" s="164"/>
      <c r="M225" s="164"/>
      <c r="N225" s="166"/>
      <c r="O225" s="167"/>
      <c r="P225" s="168"/>
      <c r="Q225" s="169"/>
      <c r="R225" s="170"/>
      <c r="S225" s="171"/>
      <c r="T225" s="203">
        <f t="shared" si="121"/>
        <v>43647</v>
      </c>
      <c r="U225" s="204">
        <f t="shared" si="122"/>
        <v>43677</v>
      </c>
      <c r="V225" s="207">
        <f t="shared" si="135"/>
        <v>0</v>
      </c>
      <c r="W225" s="206" t="str">
        <f t="shared" si="132"/>
        <v/>
      </c>
      <c r="X225" s="206">
        <f t="shared" si="133"/>
        <v>0</v>
      </c>
      <c r="Y225" s="209">
        <f t="shared" si="134"/>
        <v>0</v>
      </c>
    </row>
    <row r="226" spans="2:25" ht="15.75" hidden="1" thickBot="1" x14ac:dyDescent="0.3">
      <c r="B226" s="60">
        <f>B223</f>
        <v>31</v>
      </c>
      <c r="C226" s="102">
        <v>214</v>
      </c>
      <c r="D226" s="192" t="str">
        <f t="shared" si="123"/>
        <v>I</v>
      </c>
      <c r="E226" s="162"/>
      <c r="F226" s="163"/>
      <c r="G226" s="163"/>
      <c r="H226" s="164"/>
      <c r="I226" s="164"/>
      <c r="J226" s="162"/>
      <c r="K226" s="165"/>
      <c r="L226" s="164"/>
      <c r="M226" s="164"/>
      <c r="N226" s="166"/>
      <c r="O226" s="167"/>
      <c r="P226" s="168"/>
      <c r="Q226" s="169"/>
      <c r="R226" s="170"/>
      <c r="S226" s="171"/>
      <c r="T226" s="203">
        <f t="shared" si="121"/>
        <v>43647</v>
      </c>
      <c r="U226" s="204">
        <f t="shared" si="122"/>
        <v>43677</v>
      </c>
      <c r="V226" s="207">
        <f t="shared" si="135"/>
        <v>0</v>
      </c>
      <c r="W226" s="206" t="str">
        <f t="shared" si="132"/>
        <v/>
      </c>
      <c r="X226" s="206">
        <f t="shared" si="133"/>
        <v>0</v>
      </c>
      <c r="Y226" s="209">
        <f t="shared" si="134"/>
        <v>0</v>
      </c>
    </row>
    <row r="227" spans="2:25" ht="15.75" hidden="1" thickBot="1" x14ac:dyDescent="0.3">
      <c r="B227" s="60">
        <f>B223</f>
        <v>31</v>
      </c>
      <c r="C227" s="102">
        <v>215</v>
      </c>
      <c r="D227" s="192" t="str">
        <f t="shared" si="123"/>
        <v>I</v>
      </c>
      <c r="E227" s="162"/>
      <c r="F227" s="163"/>
      <c r="G227" s="163"/>
      <c r="H227" s="164"/>
      <c r="I227" s="164"/>
      <c r="J227" s="162"/>
      <c r="K227" s="165"/>
      <c r="L227" s="164"/>
      <c r="M227" s="164"/>
      <c r="N227" s="166"/>
      <c r="O227" s="167"/>
      <c r="P227" s="168"/>
      <c r="Q227" s="169"/>
      <c r="R227" s="170"/>
      <c r="S227" s="171"/>
      <c r="T227" s="203">
        <f t="shared" si="121"/>
        <v>43647</v>
      </c>
      <c r="U227" s="204">
        <f t="shared" si="122"/>
        <v>43677</v>
      </c>
      <c r="V227" s="207">
        <f t="shared" si="135"/>
        <v>0</v>
      </c>
      <c r="W227" s="206" t="str">
        <f t="shared" si="132"/>
        <v/>
      </c>
      <c r="X227" s="206">
        <f t="shared" si="133"/>
        <v>0</v>
      </c>
      <c r="Y227" s="209">
        <f t="shared" si="134"/>
        <v>0</v>
      </c>
    </row>
    <row r="228" spans="2:25" ht="15.75" hidden="1" thickBot="1" x14ac:dyDescent="0.3">
      <c r="B228" s="60">
        <f>B223</f>
        <v>31</v>
      </c>
      <c r="C228" s="102">
        <v>216</v>
      </c>
      <c r="D228" s="192" t="str">
        <f t="shared" si="123"/>
        <v>I</v>
      </c>
      <c r="E228" s="172"/>
      <c r="F228" s="173"/>
      <c r="G228" s="173"/>
      <c r="H228" s="174"/>
      <c r="I228" s="174"/>
      <c r="J228" s="172"/>
      <c r="K228" s="175"/>
      <c r="L228" s="174"/>
      <c r="M228" s="174"/>
      <c r="N228" s="176"/>
      <c r="O228" s="177"/>
      <c r="P228" s="178"/>
      <c r="Q228" s="179"/>
      <c r="R228" s="180"/>
      <c r="S228" s="181"/>
      <c r="T228" s="203">
        <f t="shared" si="121"/>
        <v>43647</v>
      </c>
      <c r="U228" s="204">
        <f t="shared" si="122"/>
        <v>43677</v>
      </c>
      <c r="V228" s="207">
        <f t="shared" si="135"/>
        <v>0</v>
      </c>
      <c r="W228" s="206" t="str">
        <f t="shared" si="132"/>
        <v/>
      </c>
      <c r="X228" s="206">
        <f t="shared" si="133"/>
        <v>0</v>
      </c>
      <c r="Y228" s="209">
        <f t="shared" si="134"/>
        <v>0</v>
      </c>
    </row>
    <row r="229" spans="2:25" ht="15.75" hidden="1" thickBot="1" x14ac:dyDescent="0.3">
      <c r="B229" s="141">
        <f>B223</f>
        <v>31</v>
      </c>
      <c r="C229" s="142">
        <v>217</v>
      </c>
      <c r="D229" s="194" t="str">
        <f t="shared" si="123"/>
        <v>I</v>
      </c>
      <c r="E229" s="189"/>
      <c r="F229" s="190"/>
      <c r="G229" s="190"/>
      <c r="H229" s="182"/>
      <c r="I229" s="182"/>
      <c r="J229" s="436" t="s">
        <v>181</v>
      </c>
      <c r="K229" s="437"/>
      <c r="L229" s="438"/>
      <c r="M229" s="182"/>
      <c r="N229" s="183"/>
      <c r="O229" s="184"/>
      <c r="P229" s="185"/>
      <c r="Q229" s="186"/>
      <c r="R229" s="187"/>
      <c r="S229" s="188"/>
      <c r="T229" s="213">
        <f t="shared" si="121"/>
        <v>43647</v>
      </c>
      <c r="U229" s="214">
        <f t="shared" si="122"/>
        <v>43677</v>
      </c>
      <c r="V229" s="210">
        <f t="shared" si="135"/>
        <v>0</v>
      </c>
      <c r="W229" s="211"/>
      <c r="X229" s="211">
        <f>IF(AND($V229&gt;0,$I229=1),IF($E229=10,P229/10,P229/$V229),0)</f>
        <v>0</v>
      </c>
      <c r="Y229" s="212">
        <f>IF(AND($V223&gt;0,$I229&lt;&gt;1),Q229/E223*V223,0)</f>
        <v>0</v>
      </c>
    </row>
    <row r="230" spans="2:25" ht="16.5" hidden="1" thickTop="1" thickBot="1" x14ac:dyDescent="0.3">
      <c r="B230" s="129">
        <f>B228+1</f>
        <v>32</v>
      </c>
      <c r="C230" s="130">
        <v>218</v>
      </c>
      <c r="D230" s="196" t="str">
        <f t="shared" si="123"/>
        <v>I</v>
      </c>
      <c r="E230" s="131"/>
      <c r="F230" s="132"/>
      <c r="G230" s="132"/>
      <c r="H230" s="133"/>
      <c r="I230" s="133"/>
      <c r="J230" s="131"/>
      <c r="K230" s="134"/>
      <c r="L230" s="133"/>
      <c r="M230" s="133"/>
      <c r="N230" s="135"/>
      <c r="O230" s="136"/>
      <c r="P230" s="137"/>
      <c r="Q230" s="138"/>
      <c r="R230" s="139"/>
      <c r="S230" s="140"/>
      <c r="T230" s="203">
        <f t="shared" si="121"/>
        <v>43647</v>
      </c>
      <c r="U230" s="204">
        <f t="shared" si="122"/>
        <v>43677</v>
      </c>
      <c r="V230" s="207">
        <f>IF(G230-F230+1-IF(G230-U230&gt;0,G230-U230,0)-IF(T230-F230&gt;0,T230-F230,0)&gt;0,G230-F230+1-IF(G230-U230&gt;0,G230-U230,0)-IF(T230-F230&gt;0,T230-F230,0),0)</f>
        <v>0</v>
      </c>
      <c r="W230" s="206" t="str">
        <f t="shared" ref="W230:W235" si="136">IF(V230&gt;0,H230,"")</f>
        <v/>
      </c>
      <c r="X230" s="206">
        <f t="shared" ref="X230:X235" si="137">IF(AND($V230&gt;0,$I230=1),P230/$E230*$V230,0)</f>
        <v>0</v>
      </c>
      <c r="Y230" s="209">
        <f t="shared" ref="Y230:Y235" si="138">IF(AND($V230&gt;0,$I230&lt;&gt;1),Q230/$E230*$V230,0)</f>
        <v>0</v>
      </c>
    </row>
    <row r="231" spans="2:25" ht="15.75" hidden="1" thickBot="1" x14ac:dyDescent="0.3">
      <c r="B231" s="60">
        <f>B230</f>
        <v>32</v>
      </c>
      <c r="C231" s="102">
        <v>219</v>
      </c>
      <c r="D231" s="192" t="str">
        <f t="shared" si="123"/>
        <v>I</v>
      </c>
      <c r="E231" s="62"/>
      <c r="F231" s="105"/>
      <c r="G231" s="105"/>
      <c r="H231" s="61"/>
      <c r="I231" s="61"/>
      <c r="J231" s="62"/>
      <c r="K231" s="63"/>
      <c r="L231" s="61"/>
      <c r="M231" s="61"/>
      <c r="N231" s="111"/>
      <c r="O231" s="112"/>
      <c r="P231" s="113"/>
      <c r="Q231" s="114"/>
      <c r="R231" s="64"/>
      <c r="S231" s="108"/>
      <c r="T231" s="203">
        <f t="shared" si="121"/>
        <v>43647</v>
      </c>
      <c r="U231" s="204">
        <f t="shared" si="122"/>
        <v>43677</v>
      </c>
      <c r="V231" s="207">
        <f t="shared" ref="V231:V236" si="139">IF(G231-F231+1-IF(G231-U231&gt;0,G231-U231,0)-IF(T231-F231&gt;0,T231-F231,0)&gt;0,G231-F231+1-IF(G231-U231&gt;0,G231-U231,0)-IF(T231-F231&gt;0,T231-F231,0),0)</f>
        <v>0</v>
      </c>
      <c r="W231" s="206" t="str">
        <f t="shared" si="136"/>
        <v/>
      </c>
      <c r="X231" s="206">
        <f t="shared" si="137"/>
        <v>0</v>
      </c>
      <c r="Y231" s="209">
        <f t="shared" si="138"/>
        <v>0</v>
      </c>
    </row>
    <row r="232" spans="2:25" ht="15.75" hidden="1" thickBot="1" x14ac:dyDescent="0.3">
      <c r="B232" s="60">
        <f>B230</f>
        <v>32</v>
      </c>
      <c r="C232" s="102">
        <v>220</v>
      </c>
      <c r="D232" s="192" t="str">
        <f t="shared" si="123"/>
        <v>I</v>
      </c>
      <c r="E232" s="62"/>
      <c r="F232" s="105"/>
      <c r="G232" s="105"/>
      <c r="H232" s="61"/>
      <c r="I232" s="61"/>
      <c r="J232" s="62"/>
      <c r="K232" s="63"/>
      <c r="L232" s="61"/>
      <c r="M232" s="61"/>
      <c r="N232" s="111"/>
      <c r="O232" s="112"/>
      <c r="P232" s="113"/>
      <c r="Q232" s="114"/>
      <c r="R232" s="64"/>
      <c r="S232" s="108"/>
      <c r="T232" s="203">
        <f t="shared" si="121"/>
        <v>43647</v>
      </c>
      <c r="U232" s="204">
        <f t="shared" si="122"/>
        <v>43677</v>
      </c>
      <c r="V232" s="207">
        <f t="shared" si="139"/>
        <v>0</v>
      </c>
      <c r="W232" s="206" t="str">
        <f t="shared" si="136"/>
        <v/>
      </c>
      <c r="X232" s="206">
        <f t="shared" si="137"/>
        <v>0</v>
      </c>
      <c r="Y232" s="209">
        <f t="shared" si="138"/>
        <v>0</v>
      </c>
    </row>
    <row r="233" spans="2:25" ht="15.75" hidden="1" thickBot="1" x14ac:dyDescent="0.3">
      <c r="B233" s="60">
        <f>B230</f>
        <v>32</v>
      </c>
      <c r="C233" s="102">
        <v>221</v>
      </c>
      <c r="D233" s="192" t="str">
        <f t="shared" si="123"/>
        <v>I</v>
      </c>
      <c r="E233" s="62"/>
      <c r="F233" s="105"/>
      <c r="G233" s="105"/>
      <c r="H233" s="61"/>
      <c r="I233" s="61"/>
      <c r="J233" s="62"/>
      <c r="K233" s="63"/>
      <c r="L233" s="61"/>
      <c r="M233" s="61"/>
      <c r="N233" s="111"/>
      <c r="O233" s="112"/>
      <c r="P233" s="113"/>
      <c r="Q233" s="114"/>
      <c r="R233" s="64"/>
      <c r="S233" s="108"/>
      <c r="T233" s="203">
        <f t="shared" si="121"/>
        <v>43647</v>
      </c>
      <c r="U233" s="204">
        <f t="shared" si="122"/>
        <v>43677</v>
      </c>
      <c r="V233" s="207">
        <f t="shared" si="139"/>
        <v>0</v>
      </c>
      <c r="W233" s="206" t="str">
        <f t="shared" si="136"/>
        <v/>
      </c>
      <c r="X233" s="206">
        <f t="shared" si="137"/>
        <v>0</v>
      </c>
      <c r="Y233" s="209">
        <f t="shared" si="138"/>
        <v>0</v>
      </c>
    </row>
    <row r="234" spans="2:25" ht="15.75" hidden="1" thickBot="1" x14ac:dyDescent="0.3">
      <c r="B234" s="60">
        <f>B230</f>
        <v>32</v>
      </c>
      <c r="C234" s="102">
        <v>222</v>
      </c>
      <c r="D234" s="192" t="str">
        <f t="shared" si="123"/>
        <v>I</v>
      </c>
      <c r="E234" s="62"/>
      <c r="F234" s="105"/>
      <c r="G234" s="105"/>
      <c r="H234" s="61"/>
      <c r="I234" s="61"/>
      <c r="J234" s="62"/>
      <c r="K234" s="63"/>
      <c r="L234" s="61"/>
      <c r="M234" s="61"/>
      <c r="N234" s="111"/>
      <c r="O234" s="112"/>
      <c r="P234" s="113"/>
      <c r="Q234" s="114"/>
      <c r="R234" s="64"/>
      <c r="S234" s="108"/>
      <c r="T234" s="203">
        <f t="shared" si="121"/>
        <v>43647</v>
      </c>
      <c r="U234" s="204">
        <f t="shared" si="122"/>
        <v>43677</v>
      </c>
      <c r="V234" s="207">
        <f t="shared" si="139"/>
        <v>0</v>
      </c>
      <c r="W234" s="206" t="str">
        <f t="shared" si="136"/>
        <v/>
      </c>
      <c r="X234" s="206">
        <f t="shared" si="137"/>
        <v>0</v>
      </c>
      <c r="Y234" s="209">
        <f t="shared" si="138"/>
        <v>0</v>
      </c>
    </row>
    <row r="235" spans="2:25" ht="15.75" hidden="1" thickBot="1" x14ac:dyDescent="0.3">
      <c r="B235" s="60">
        <f>B230</f>
        <v>32</v>
      </c>
      <c r="C235" s="102">
        <v>223</v>
      </c>
      <c r="D235" s="192" t="str">
        <f t="shared" si="123"/>
        <v>I</v>
      </c>
      <c r="E235" s="62"/>
      <c r="F235" s="105"/>
      <c r="G235" s="105"/>
      <c r="H235" s="61"/>
      <c r="I235" s="61"/>
      <c r="J235" s="62"/>
      <c r="K235" s="63"/>
      <c r="L235" s="61"/>
      <c r="M235" s="61"/>
      <c r="N235" s="111"/>
      <c r="O235" s="112"/>
      <c r="P235" s="113"/>
      <c r="Q235" s="114"/>
      <c r="R235" s="64"/>
      <c r="S235" s="108"/>
      <c r="T235" s="203">
        <f t="shared" si="121"/>
        <v>43647</v>
      </c>
      <c r="U235" s="204">
        <f t="shared" si="122"/>
        <v>43677</v>
      </c>
      <c r="V235" s="207">
        <f t="shared" si="139"/>
        <v>0</v>
      </c>
      <c r="W235" s="206" t="str">
        <f t="shared" si="136"/>
        <v/>
      </c>
      <c r="X235" s="206">
        <f t="shared" si="137"/>
        <v>0</v>
      </c>
      <c r="Y235" s="209">
        <f t="shared" si="138"/>
        <v>0</v>
      </c>
    </row>
    <row r="236" spans="2:25" ht="15.75" hidden="1" thickBot="1" x14ac:dyDescent="0.3">
      <c r="B236" s="141">
        <f>B230</f>
        <v>32</v>
      </c>
      <c r="C236" s="142">
        <v>224</v>
      </c>
      <c r="D236" s="194" t="str">
        <f t="shared" si="123"/>
        <v>I</v>
      </c>
      <c r="E236" s="143"/>
      <c r="F236" s="144"/>
      <c r="G236" s="144"/>
      <c r="H236" s="145"/>
      <c r="I236" s="145"/>
      <c r="J236" s="436" t="s">
        <v>181</v>
      </c>
      <c r="K236" s="437"/>
      <c r="L236" s="438"/>
      <c r="M236" s="145"/>
      <c r="N236" s="146"/>
      <c r="O236" s="147"/>
      <c r="P236" s="148"/>
      <c r="Q236" s="149"/>
      <c r="R236" s="150"/>
      <c r="S236" s="151"/>
      <c r="T236" s="213">
        <f t="shared" si="121"/>
        <v>43647</v>
      </c>
      <c r="U236" s="214">
        <f t="shared" si="122"/>
        <v>43677</v>
      </c>
      <c r="V236" s="210">
        <f t="shared" si="139"/>
        <v>0</v>
      </c>
      <c r="W236" s="211"/>
      <c r="X236" s="211">
        <f>IF(AND($V236&gt;0,$I236=1),IF($E236=10,P236/10,P236/$V236),0)</f>
        <v>0</v>
      </c>
      <c r="Y236" s="212">
        <f>IF(AND($V230&gt;0,$I236&lt;&gt;1),Q236/E230*V230,0)</f>
        <v>0</v>
      </c>
    </row>
    <row r="237" spans="2:25" ht="16.5" hidden="1" thickTop="1" thickBot="1" x14ac:dyDescent="0.3">
      <c r="B237" s="129">
        <f>B235+1</f>
        <v>33</v>
      </c>
      <c r="C237" s="130">
        <v>225</v>
      </c>
      <c r="D237" s="196" t="str">
        <f t="shared" si="123"/>
        <v>I</v>
      </c>
      <c r="E237" s="152"/>
      <c r="F237" s="153"/>
      <c r="G237" s="153"/>
      <c r="H237" s="154"/>
      <c r="I237" s="154"/>
      <c r="J237" s="152"/>
      <c r="K237" s="155"/>
      <c r="L237" s="154"/>
      <c r="M237" s="154"/>
      <c r="N237" s="156"/>
      <c r="O237" s="157"/>
      <c r="P237" s="158"/>
      <c r="Q237" s="159"/>
      <c r="R237" s="160"/>
      <c r="S237" s="161"/>
      <c r="T237" s="203">
        <f t="shared" si="121"/>
        <v>43647</v>
      </c>
      <c r="U237" s="204">
        <f t="shared" si="122"/>
        <v>43677</v>
      </c>
      <c r="V237" s="207">
        <f>IF(G237-F237+1-IF(G237-U237&gt;0,G237-U237,0)-IF(T237-F237&gt;0,T237-F237,0)&gt;0,G237-F237+1-IF(G237-U237&gt;0,G237-U237,0)-IF(T237-F237&gt;0,T237-F237,0),0)</f>
        <v>0</v>
      </c>
      <c r="W237" s="206" t="str">
        <f t="shared" ref="W237:W242" si="140">IF(V237&gt;0,H237,"")</f>
        <v/>
      </c>
      <c r="X237" s="206">
        <f t="shared" ref="X237:X242" si="141">IF(AND($V237&gt;0,$I237=1),P237/$E237*$V237,0)</f>
        <v>0</v>
      </c>
      <c r="Y237" s="209">
        <f t="shared" ref="Y237:Y242" si="142">IF(AND($V237&gt;0,$I237&lt;&gt;1),Q237/$E237*$V237,0)</f>
        <v>0</v>
      </c>
    </row>
    <row r="238" spans="2:25" ht="15.75" hidden="1" thickBot="1" x14ac:dyDescent="0.3">
      <c r="B238" s="60">
        <f>B237</f>
        <v>33</v>
      </c>
      <c r="C238" s="102">
        <v>226</v>
      </c>
      <c r="D238" s="192" t="str">
        <f t="shared" si="123"/>
        <v>I</v>
      </c>
      <c r="E238" s="162"/>
      <c r="F238" s="163"/>
      <c r="G238" s="163"/>
      <c r="H238" s="164"/>
      <c r="I238" s="164"/>
      <c r="J238" s="162"/>
      <c r="K238" s="165"/>
      <c r="L238" s="164"/>
      <c r="M238" s="164"/>
      <c r="N238" s="166"/>
      <c r="O238" s="167"/>
      <c r="P238" s="168"/>
      <c r="Q238" s="169"/>
      <c r="R238" s="170"/>
      <c r="S238" s="171"/>
      <c r="T238" s="203">
        <f t="shared" si="121"/>
        <v>43647</v>
      </c>
      <c r="U238" s="204">
        <f t="shared" si="122"/>
        <v>43677</v>
      </c>
      <c r="V238" s="207">
        <f t="shared" ref="V238:V243" si="143">IF(G238-F238+1-IF(G238-U238&gt;0,G238-U238,0)-IF(T238-F238&gt;0,T238-F238,0)&gt;0,G238-F238+1-IF(G238-U238&gt;0,G238-U238,0)-IF(T238-F238&gt;0,T238-F238,0),0)</f>
        <v>0</v>
      </c>
      <c r="W238" s="206" t="str">
        <f t="shared" si="140"/>
        <v/>
      </c>
      <c r="X238" s="206">
        <f t="shared" si="141"/>
        <v>0</v>
      </c>
      <c r="Y238" s="209">
        <f t="shared" si="142"/>
        <v>0</v>
      </c>
    </row>
    <row r="239" spans="2:25" ht="15.75" hidden="1" thickBot="1" x14ac:dyDescent="0.3">
      <c r="B239" s="60">
        <f>B237</f>
        <v>33</v>
      </c>
      <c r="C239" s="102">
        <v>227</v>
      </c>
      <c r="D239" s="192" t="str">
        <f t="shared" si="123"/>
        <v>I</v>
      </c>
      <c r="E239" s="162"/>
      <c r="F239" s="163"/>
      <c r="G239" s="163"/>
      <c r="H239" s="164"/>
      <c r="I239" s="164"/>
      <c r="J239" s="162"/>
      <c r="K239" s="165"/>
      <c r="L239" s="164"/>
      <c r="M239" s="164"/>
      <c r="N239" s="166"/>
      <c r="O239" s="167"/>
      <c r="P239" s="168"/>
      <c r="Q239" s="169"/>
      <c r="R239" s="170"/>
      <c r="S239" s="171"/>
      <c r="T239" s="203">
        <f t="shared" si="121"/>
        <v>43647</v>
      </c>
      <c r="U239" s="204">
        <f t="shared" si="122"/>
        <v>43677</v>
      </c>
      <c r="V239" s="207">
        <f t="shared" si="143"/>
        <v>0</v>
      </c>
      <c r="W239" s="206" t="str">
        <f t="shared" si="140"/>
        <v/>
      </c>
      <c r="X239" s="206">
        <f t="shared" si="141"/>
        <v>0</v>
      </c>
      <c r="Y239" s="209">
        <f t="shared" si="142"/>
        <v>0</v>
      </c>
    </row>
    <row r="240" spans="2:25" ht="15.75" hidden="1" thickBot="1" x14ac:dyDescent="0.3">
      <c r="B240" s="60">
        <f>B237</f>
        <v>33</v>
      </c>
      <c r="C240" s="102">
        <v>228</v>
      </c>
      <c r="D240" s="192" t="str">
        <f t="shared" si="123"/>
        <v>I</v>
      </c>
      <c r="E240" s="162"/>
      <c r="F240" s="163"/>
      <c r="G240" s="163"/>
      <c r="H240" s="164"/>
      <c r="I240" s="164"/>
      <c r="J240" s="162"/>
      <c r="K240" s="165"/>
      <c r="L240" s="164"/>
      <c r="M240" s="164"/>
      <c r="N240" s="166"/>
      <c r="O240" s="167"/>
      <c r="P240" s="168"/>
      <c r="Q240" s="169"/>
      <c r="R240" s="170"/>
      <c r="S240" s="171"/>
      <c r="T240" s="203">
        <f t="shared" si="121"/>
        <v>43647</v>
      </c>
      <c r="U240" s="204">
        <f t="shared" si="122"/>
        <v>43677</v>
      </c>
      <c r="V240" s="207">
        <f t="shared" si="143"/>
        <v>0</v>
      </c>
      <c r="W240" s="206" t="str">
        <f t="shared" si="140"/>
        <v/>
      </c>
      <c r="X240" s="206">
        <f t="shared" si="141"/>
        <v>0</v>
      </c>
      <c r="Y240" s="209">
        <f t="shared" si="142"/>
        <v>0</v>
      </c>
    </row>
    <row r="241" spans="2:25" ht="15.75" hidden="1" thickBot="1" x14ac:dyDescent="0.3">
      <c r="B241" s="60">
        <f>B237</f>
        <v>33</v>
      </c>
      <c r="C241" s="102">
        <v>229</v>
      </c>
      <c r="D241" s="192" t="str">
        <f t="shared" si="123"/>
        <v>I</v>
      </c>
      <c r="E241" s="162"/>
      <c r="F241" s="163"/>
      <c r="G241" s="163"/>
      <c r="H241" s="164"/>
      <c r="I241" s="164"/>
      <c r="J241" s="162"/>
      <c r="K241" s="165"/>
      <c r="L241" s="164"/>
      <c r="M241" s="164"/>
      <c r="N241" s="166"/>
      <c r="O241" s="167"/>
      <c r="P241" s="168"/>
      <c r="Q241" s="169"/>
      <c r="R241" s="170"/>
      <c r="S241" s="171"/>
      <c r="T241" s="203">
        <f t="shared" si="121"/>
        <v>43647</v>
      </c>
      <c r="U241" s="204">
        <f t="shared" si="122"/>
        <v>43677</v>
      </c>
      <c r="V241" s="207">
        <f t="shared" si="143"/>
        <v>0</v>
      </c>
      <c r="W241" s="206" t="str">
        <f t="shared" si="140"/>
        <v/>
      </c>
      <c r="X241" s="206">
        <f t="shared" si="141"/>
        <v>0</v>
      </c>
      <c r="Y241" s="209">
        <f t="shared" si="142"/>
        <v>0</v>
      </c>
    </row>
    <row r="242" spans="2:25" ht="15.75" hidden="1" thickBot="1" x14ac:dyDescent="0.3">
      <c r="B242" s="60">
        <f>B237</f>
        <v>33</v>
      </c>
      <c r="C242" s="102">
        <v>230</v>
      </c>
      <c r="D242" s="192" t="str">
        <f t="shared" si="123"/>
        <v>I</v>
      </c>
      <c r="E242" s="172"/>
      <c r="F242" s="173"/>
      <c r="G242" s="173"/>
      <c r="H242" s="174"/>
      <c r="I242" s="174"/>
      <c r="J242" s="172"/>
      <c r="K242" s="175"/>
      <c r="L242" s="174"/>
      <c r="M242" s="174"/>
      <c r="N242" s="176"/>
      <c r="O242" s="177"/>
      <c r="P242" s="178"/>
      <c r="Q242" s="179"/>
      <c r="R242" s="180"/>
      <c r="S242" s="181"/>
      <c r="T242" s="203">
        <f t="shared" si="121"/>
        <v>43647</v>
      </c>
      <c r="U242" s="204">
        <f t="shared" si="122"/>
        <v>43677</v>
      </c>
      <c r="V242" s="207">
        <f t="shared" si="143"/>
        <v>0</v>
      </c>
      <c r="W242" s="206" t="str">
        <f t="shared" si="140"/>
        <v/>
      </c>
      <c r="X242" s="206">
        <f t="shared" si="141"/>
        <v>0</v>
      </c>
      <c r="Y242" s="209">
        <f t="shared" si="142"/>
        <v>0</v>
      </c>
    </row>
    <row r="243" spans="2:25" ht="15.75" hidden="1" thickBot="1" x14ac:dyDescent="0.3">
      <c r="B243" s="141">
        <f>B237</f>
        <v>33</v>
      </c>
      <c r="C243" s="142">
        <v>231</v>
      </c>
      <c r="D243" s="194" t="str">
        <f t="shared" si="123"/>
        <v>I</v>
      </c>
      <c r="E243" s="189"/>
      <c r="F243" s="190"/>
      <c r="G243" s="190"/>
      <c r="H243" s="182"/>
      <c r="I243" s="182"/>
      <c r="J243" s="436" t="s">
        <v>181</v>
      </c>
      <c r="K243" s="437"/>
      <c r="L243" s="438"/>
      <c r="M243" s="182"/>
      <c r="N243" s="183"/>
      <c r="O243" s="184"/>
      <c r="P243" s="185"/>
      <c r="Q243" s="186"/>
      <c r="R243" s="187"/>
      <c r="S243" s="188"/>
      <c r="T243" s="213">
        <f t="shared" si="121"/>
        <v>43647</v>
      </c>
      <c r="U243" s="214">
        <f t="shared" si="122"/>
        <v>43677</v>
      </c>
      <c r="V243" s="210">
        <f t="shared" si="143"/>
        <v>0</v>
      </c>
      <c r="W243" s="211"/>
      <c r="X243" s="211">
        <f>IF(AND($V243&gt;0,$I243=1),IF($E243=10,P243/10,P243/$V243),0)</f>
        <v>0</v>
      </c>
      <c r="Y243" s="212">
        <f>IF(AND($V237&gt;0,$I243&lt;&gt;1),Q243/E237*V237,0)</f>
        <v>0</v>
      </c>
    </row>
    <row r="244" spans="2:25" ht="16.5" hidden="1" thickTop="1" thickBot="1" x14ac:dyDescent="0.3">
      <c r="B244" s="129">
        <f>B242+1</f>
        <v>34</v>
      </c>
      <c r="C244" s="130">
        <v>232</v>
      </c>
      <c r="D244" s="196" t="str">
        <f t="shared" si="123"/>
        <v>I</v>
      </c>
      <c r="E244" s="131"/>
      <c r="F244" s="132"/>
      <c r="G244" s="132"/>
      <c r="H244" s="133"/>
      <c r="I244" s="133"/>
      <c r="J244" s="131"/>
      <c r="K244" s="134"/>
      <c r="L244" s="133"/>
      <c r="M244" s="133"/>
      <c r="N244" s="135"/>
      <c r="O244" s="136"/>
      <c r="P244" s="137"/>
      <c r="Q244" s="138"/>
      <c r="R244" s="139"/>
      <c r="S244" s="140"/>
      <c r="T244" s="203">
        <f t="shared" si="121"/>
        <v>43647</v>
      </c>
      <c r="U244" s="204">
        <f t="shared" si="122"/>
        <v>43677</v>
      </c>
      <c r="V244" s="207">
        <f>IF(G244-F244+1-IF(G244-U244&gt;0,G244-U244,0)-IF(T244-F244&gt;0,T244-F244,0)&gt;0,G244-F244+1-IF(G244-U244&gt;0,G244-U244,0)-IF(T244-F244&gt;0,T244-F244,0),0)</f>
        <v>0</v>
      </c>
      <c r="W244" s="206" t="str">
        <f t="shared" ref="W244:W249" si="144">IF(V244&gt;0,H244,"")</f>
        <v/>
      </c>
      <c r="X244" s="206">
        <f t="shared" ref="X244:X249" si="145">IF(AND($V244&gt;0,$I244=1),P244/$E244*$V244,0)</f>
        <v>0</v>
      </c>
      <c r="Y244" s="209">
        <f t="shared" ref="Y244:Y249" si="146">IF(AND($V244&gt;0,$I244&lt;&gt;1),Q244/$E244*$V244,0)</f>
        <v>0</v>
      </c>
    </row>
    <row r="245" spans="2:25" ht="15.75" hidden="1" thickBot="1" x14ac:dyDescent="0.3">
      <c r="B245" s="60">
        <f>B244</f>
        <v>34</v>
      </c>
      <c r="C245" s="102">
        <v>233</v>
      </c>
      <c r="D245" s="192" t="str">
        <f t="shared" si="123"/>
        <v>I</v>
      </c>
      <c r="E245" s="62"/>
      <c r="F245" s="105"/>
      <c r="G245" s="105"/>
      <c r="H245" s="61"/>
      <c r="I245" s="61"/>
      <c r="J245" s="62"/>
      <c r="K245" s="63"/>
      <c r="L245" s="61"/>
      <c r="M245" s="61"/>
      <c r="N245" s="111"/>
      <c r="O245" s="112"/>
      <c r="P245" s="113"/>
      <c r="Q245" s="114"/>
      <c r="R245" s="64"/>
      <c r="S245" s="108"/>
      <c r="T245" s="203">
        <f t="shared" si="121"/>
        <v>43647</v>
      </c>
      <c r="U245" s="204">
        <f t="shared" si="122"/>
        <v>43677</v>
      </c>
      <c r="V245" s="207">
        <f t="shared" ref="V245:V250" si="147">IF(G245-F245+1-IF(G245-U245&gt;0,G245-U245,0)-IF(T245-F245&gt;0,T245-F245,0)&gt;0,G245-F245+1-IF(G245-U245&gt;0,G245-U245,0)-IF(T245-F245&gt;0,T245-F245,0),0)</f>
        <v>0</v>
      </c>
      <c r="W245" s="206" t="str">
        <f t="shared" si="144"/>
        <v/>
      </c>
      <c r="X245" s="206">
        <f t="shared" si="145"/>
        <v>0</v>
      </c>
      <c r="Y245" s="209">
        <f t="shared" si="146"/>
        <v>0</v>
      </c>
    </row>
    <row r="246" spans="2:25" ht="15.75" hidden="1" thickBot="1" x14ac:dyDescent="0.3">
      <c r="B246" s="60">
        <f>B244</f>
        <v>34</v>
      </c>
      <c r="C246" s="102">
        <v>234</v>
      </c>
      <c r="D246" s="192" t="str">
        <f t="shared" si="123"/>
        <v>I</v>
      </c>
      <c r="E246" s="62"/>
      <c r="F246" s="105"/>
      <c r="G246" s="105"/>
      <c r="H246" s="61"/>
      <c r="I246" s="61"/>
      <c r="J246" s="62"/>
      <c r="K246" s="63"/>
      <c r="L246" s="61"/>
      <c r="M246" s="61"/>
      <c r="N246" s="111"/>
      <c r="O246" s="112"/>
      <c r="P246" s="113"/>
      <c r="Q246" s="114"/>
      <c r="R246" s="64"/>
      <c r="S246" s="108"/>
      <c r="T246" s="203">
        <f t="shared" si="121"/>
        <v>43647</v>
      </c>
      <c r="U246" s="204">
        <f t="shared" si="122"/>
        <v>43677</v>
      </c>
      <c r="V246" s="207">
        <f t="shared" si="147"/>
        <v>0</v>
      </c>
      <c r="W246" s="206" t="str">
        <f t="shared" si="144"/>
        <v/>
      </c>
      <c r="X246" s="206">
        <f t="shared" si="145"/>
        <v>0</v>
      </c>
      <c r="Y246" s="209">
        <f t="shared" si="146"/>
        <v>0</v>
      </c>
    </row>
    <row r="247" spans="2:25" ht="15.75" hidden="1" thickBot="1" x14ac:dyDescent="0.3">
      <c r="B247" s="60">
        <f>B244</f>
        <v>34</v>
      </c>
      <c r="C247" s="102">
        <v>235</v>
      </c>
      <c r="D247" s="192" t="str">
        <f t="shared" si="123"/>
        <v>I</v>
      </c>
      <c r="E247" s="62"/>
      <c r="F247" s="105"/>
      <c r="G247" s="105"/>
      <c r="H247" s="61"/>
      <c r="I247" s="61"/>
      <c r="J247" s="62"/>
      <c r="K247" s="63"/>
      <c r="L247" s="61"/>
      <c r="M247" s="61"/>
      <c r="N247" s="111"/>
      <c r="O247" s="112"/>
      <c r="P247" s="113"/>
      <c r="Q247" s="114"/>
      <c r="R247" s="64"/>
      <c r="S247" s="108"/>
      <c r="T247" s="203">
        <f t="shared" si="121"/>
        <v>43647</v>
      </c>
      <c r="U247" s="204">
        <f t="shared" si="122"/>
        <v>43677</v>
      </c>
      <c r="V247" s="207">
        <f t="shared" si="147"/>
        <v>0</v>
      </c>
      <c r="W247" s="206" t="str">
        <f t="shared" si="144"/>
        <v/>
      </c>
      <c r="X247" s="206">
        <f t="shared" si="145"/>
        <v>0</v>
      </c>
      <c r="Y247" s="209">
        <f t="shared" si="146"/>
        <v>0</v>
      </c>
    </row>
    <row r="248" spans="2:25" ht="15.75" hidden="1" thickBot="1" x14ac:dyDescent="0.3">
      <c r="B248" s="60">
        <f>B244</f>
        <v>34</v>
      </c>
      <c r="C248" s="102">
        <v>236</v>
      </c>
      <c r="D248" s="192" t="str">
        <f t="shared" si="123"/>
        <v>I</v>
      </c>
      <c r="E248" s="62"/>
      <c r="F248" s="105"/>
      <c r="G248" s="105"/>
      <c r="H248" s="61"/>
      <c r="I248" s="61"/>
      <c r="J248" s="62"/>
      <c r="K248" s="63"/>
      <c r="L248" s="61"/>
      <c r="M248" s="61"/>
      <c r="N248" s="111"/>
      <c r="O248" s="112"/>
      <c r="P248" s="113"/>
      <c r="Q248" s="114"/>
      <c r="R248" s="64"/>
      <c r="S248" s="108"/>
      <c r="T248" s="203">
        <f t="shared" si="121"/>
        <v>43647</v>
      </c>
      <c r="U248" s="204">
        <f t="shared" si="122"/>
        <v>43677</v>
      </c>
      <c r="V248" s="207">
        <f t="shared" si="147"/>
        <v>0</v>
      </c>
      <c r="W248" s="206" t="str">
        <f t="shared" si="144"/>
        <v/>
      </c>
      <c r="X248" s="206">
        <f t="shared" si="145"/>
        <v>0</v>
      </c>
      <c r="Y248" s="209">
        <f t="shared" si="146"/>
        <v>0</v>
      </c>
    </row>
    <row r="249" spans="2:25" ht="15.75" hidden="1" thickBot="1" x14ac:dyDescent="0.3">
      <c r="B249" s="60">
        <f>B244</f>
        <v>34</v>
      </c>
      <c r="C249" s="102">
        <v>237</v>
      </c>
      <c r="D249" s="192" t="str">
        <f t="shared" si="123"/>
        <v>I</v>
      </c>
      <c r="E249" s="62"/>
      <c r="F249" s="105"/>
      <c r="G249" s="105"/>
      <c r="H249" s="61"/>
      <c r="I249" s="61"/>
      <c r="J249" s="62"/>
      <c r="K249" s="63"/>
      <c r="L249" s="61"/>
      <c r="M249" s="61"/>
      <c r="N249" s="111"/>
      <c r="O249" s="112"/>
      <c r="P249" s="113"/>
      <c r="Q249" s="114"/>
      <c r="R249" s="64"/>
      <c r="S249" s="108"/>
      <c r="T249" s="203">
        <f t="shared" si="121"/>
        <v>43647</v>
      </c>
      <c r="U249" s="204">
        <f t="shared" si="122"/>
        <v>43677</v>
      </c>
      <c r="V249" s="207">
        <f t="shared" si="147"/>
        <v>0</v>
      </c>
      <c r="W249" s="206" t="str">
        <f t="shared" si="144"/>
        <v/>
      </c>
      <c r="X249" s="206">
        <f t="shared" si="145"/>
        <v>0</v>
      </c>
      <c r="Y249" s="209">
        <f t="shared" si="146"/>
        <v>0</v>
      </c>
    </row>
    <row r="250" spans="2:25" ht="15.75" hidden="1" thickBot="1" x14ac:dyDescent="0.3">
      <c r="B250" s="141">
        <f>B244</f>
        <v>34</v>
      </c>
      <c r="C250" s="142">
        <v>238</v>
      </c>
      <c r="D250" s="194" t="str">
        <f t="shared" si="123"/>
        <v>I</v>
      </c>
      <c r="E250" s="143"/>
      <c r="F250" s="144"/>
      <c r="G250" s="144"/>
      <c r="H250" s="145"/>
      <c r="I250" s="145"/>
      <c r="J250" s="436" t="s">
        <v>181</v>
      </c>
      <c r="K250" s="437"/>
      <c r="L250" s="438"/>
      <c r="M250" s="145"/>
      <c r="N250" s="146"/>
      <c r="O250" s="147"/>
      <c r="P250" s="148"/>
      <c r="Q250" s="149"/>
      <c r="R250" s="150"/>
      <c r="S250" s="151"/>
      <c r="T250" s="213">
        <f t="shared" si="121"/>
        <v>43647</v>
      </c>
      <c r="U250" s="214">
        <f t="shared" si="122"/>
        <v>43677</v>
      </c>
      <c r="V250" s="210">
        <f t="shared" si="147"/>
        <v>0</v>
      </c>
      <c r="W250" s="211"/>
      <c r="X250" s="211">
        <f>IF(AND($V250&gt;0,$I250=1),IF($E250=10,P250/10,P250/$V250),0)</f>
        <v>0</v>
      </c>
      <c r="Y250" s="212">
        <f>IF(AND($V244&gt;0,$I250&lt;&gt;1),Q250/E244*V244,0)</f>
        <v>0</v>
      </c>
    </row>
    <row r="251" spans="2:25" ht="16.5" hidden="1" thickTop="1" thickBot="1" x14ac:dyDescent="0.3">
      <c r="B251" s="129">
        <f>B249+1</f>
        <v>35</v>
      </c>
      <c r="C251" s="130">
        <v>239</v>
      </c>
      <c r="D251" s="196" t="str">
        <f t="shared" si="123"/>
        <v>I</v>
      </c>
      <c r="E251" s="152"/>
      <c r="F251" s="153"/>
      <c r="G251" s="153"/>
      <c r="H251" s="154"/>
      <c r="I251" s="154"/>
      <c r="J251" s="152"/>
      <c r="K251" s="155"/>
      <c r="L251" s="154"/>
      <c r="M251" s="154"/>
      <c r="N251" s="156"/>
      <c r="O251" s="157"/>
      <c r="P251" s="158"/>
      <c r="Q251" s="159"/>
      <c r="R251" s="160"/>
      <c r="S251" s="161"/>
      <c r="T251" s="203">
        <f t="shared" si="121"/>
        <v>43647</v>
      </c>
      <c r="U251" s="204">
        <f t="shared" si="122"/>
        <v>43677</v>
      </c>
      <c r="V251" s="207">
        <f>IF(G251-F251+1-IF(G251-U251&gt;0,G251-U251,0)-IF(T251-F251&gt;0,T251-F251,0)&gt;0,G251-F251+1-IF(G251-U251&gt;0,G251-U251,0)-IF(T251-F251&gt;0,T251-F251,0),0)</f>
        <v>0</v>
      </c>
      <c r="W251" s="206" t="str">
        <f t="shared" ref="W251:W256" si="148">IF(V251&gt;0,H251,"")</f>
        <v/>
      </c>
      <c r="X251" s="206">
        <f t="shared" ref="X251:X256" si="149">IF(AND($V251&gt;0,$I251=1),P251/$E251*$V251,0)</f>
        <v>0</v>
      </c>
      <c r="Y251" s="209">
        <f t="shared" ref="Y251:Y256" si="150">IF(AND($V251&gt;0,$I251&lt;&gt;1),Q251/$E251*$V251,0)</f>
        <v>0</v>
      </c>
    </row>
    <row r="252" spans="2:25" ht="15.75" hidden="1" thickBot="1" x14ac:dyDescent="0.3">
      <c r="B252" s="60">
        <f>B251</f>
        <v>35</v>
      </c>
      <c r="C252" s="102">
        <v>240</v>
      </c>
      <c r="D252" s="192" t="str">
        <f t="shared" si="123"/>
        <v>I</v>
      </c>
      <c r="E252" s="162"/>
      <c r="F252" s="163"/>
      <c r="G252" s="163"/>
      <c r="H252" s="164"/>
      <c r="I252" s="164"/>
      <c r="J252" s="162"/>
      <c r="K252" s="165"/>
      <c r="L252" s="164"/>
      <c r="M252" s="164"/>
      <c r="N252" s="166"/>
      <c r="O252" s="167"/>
      <c r="P252" s="168"/>
      <c r="Q252" s="169"/>
      <c r="R252" s="170"/>
      <c r="S252" s="171"/>
      <c r="T252" s="203">
        <f t="shared" si="121"/>
        <v>43647</v>
      </c>
      <c r="U252" s="204">
        <f t="shared" si="122"/>
        <v>43677</v>
      </c>
      <c r="V252" s="207">
        <f t="shared" ref="V252:V257" si="151">IF(G252-F252+1-IF(G252-U252&gt;0,G252-U252,0)-IF(T252-F252&gt;0,T252-F252,0)&gt;0,G252-F252+1-IF(G252-U252&gt;0,G252-U252,0)-IF(T252-F252&gt;0,T252-F252,0),0)</f>
        <v>0</v>
      </c>
      <c r="W252" s="206" t="str">
        <f t="shared" si="148"/>
        <v/>
      </c>
      <c r="X252" s="206">
        <f t="shared" si="149"/>
        <v>0</v>
      </c>
      <c r="Y252" s="209">
        <f t="shared" si="150"/>
        <v>0</v>
      </c>
    </row>
    <row r="253" spans="2:25" ht="15.75" hidden="1" thickBot="1" x14ac:dyDescent="0.3">
      <c r="B253" s="60">
        <f>B251</f>
        <v>35</v>
      </c>
      <c r="C253" s="102">
        <v>241</v>
      </c>
      <c r="D253" s="192" t="str">
        <f t="shared" si="123"/>
        <v>I</v>
      </c>
      <c r="E253" s="162"/>
      <c r="F253" s="163"/>
      <c r="G253" s="163"/>
      <c r="H253" s="164"/>
      <c r="I253" s="164"/>
      <c r="J253" s="162"/>
      <c r="K253" s="165"/>
      <c r="L253" s="164"/>
      <c r="M253" s="164"/>
      <c r="N253" s="166"/>
      <c r="O253" s="167"/>
      <c r="P253" s="168"/>
      <c r="Q253" s="169"/>
      <c r="R253" s="170"/>
      <c r="S253" s="171"/>
      <c r="T253" s="203">
        <f t="shared" si="121"/>
        <v>43647</v>
      </c>
      <c r="U253" s="204">
        <f t="shared" si="122"/>
        <v>43677</v>
      </c>
      <c r="V253" s="207">
        <f t="shared" si="151"/>
        <v>0</v>
      </c>
      <c r="W253" s="206" t="str">
        <f t="shared" si="148"/>
        <v/>
      </c>
      <c r="X253" s="206">
        <f t="shared" si="149"/>
        <v>0</v>
      </c>
      <c r="Y253" s="209">
        <f t="shared" si="150"/>
        <v>0</v>
      </c>
    </row>
    <row r="254" spans="2:25" ht="15.75" hidden="1" thickBot="1" x14ac:dyDescent="0.3">
      <c r="B254" s="60">
        <f>B251</f>
        <v>35</v>
      </c>
      <c r="C254" s="102">
        <v>242</v>
      </c>
      <c r="D254" s="192" t="str">
        <f t="shared" si="123"/>
        <v>I</v>
      </c>
      <c r="E254" s="162"/>
      <c r="F254" s="163"/>
      <c r="G254" s="163"/>
      <c r="H254" s="164"/>
      <c r="I254" s="164"/>
      <c r="J254" s="162"/>
      <c r="K254" s="165"/>
      <c r="L254" s="164"/>
      <c r="M254" s="164"/>
      <c r="N254" s="166"/>
      <c r="O254" s="167"/>
      <c r="P254" s="168"/>
      <c r="Q254" s="169"/>
      <c r="R254" s="170"/>
      <c r="S254" s="171"/>
      <c r="T254" s="203">
        <f t="shared" si="121"/>
        <v>43647</v>
      </c>
      <c r="U254" s="204">
        <f t="shared" si="122"/>
        <v>43677</v>
      </c>
      <c r="V254" s="207">
        <f t="shared" si="151"/>
        <v>0</v>
      </c>
      <c r="W254" s="206" t="str">
        <f t="shared" si="148"/>
        <v/>
      </c>
      <c r="X254" s="206">
        <f t="shared" si="149"/>
        <v>0</v>
      </c>
      <c r="Y254" s="209">
        <f t="shared" si="150"/>
        <v>0</v>
      </c>
    </row>
    <row r="255" spans="2:25" ht="15.75" hidden="1" thickBot="1" x14ac:dyDescent="0.3">
      <c r="B255" s="60">
        <f>B251</f>
        <v>35</v>
      </c>
      <c r="C255" s="102">
        <v>243</v>
      </c>
      <c r="D255" s="192" t="str">
        <f t="shared" si="123"/>
        <v>I</v>
      </c>
      <c r="E255" s="162"/>
      <c r="F255" s="163"/>
      <c r="G255" s="163"/>
      <c r="H255" s="164"/>
      <c r="I255" s="164"/>
      <c r="J255" s="162"/>
      <c r="K255" s="165"/>
      <c r="L255" s="164"/>
      <c r="M255" s="164"/>
      <c r="N255" s="166"/>
      <c r="O255" s="167"/>
      <c r="P255" s="168"/>
      <c r="Q255" s="169"/>
      <c r="R255" s="170"/>
      <c r="S255" s="171"/>
      <c r="T255" s="203">
        <f t="shared" si="121"/>
        <v>43647</v>
      </c>
      <c r="U255" s="204">
        <f t="shared" si="122"/>
        <v>43677</v>
      </c>
      <c r="V255" s="207">
        <f t="shared" si="151"/>
        <v>0</v>
      </c>
      <c r="W255" s="206" t="str">
        <f t="shared" si="148"/>
        <v/>
      </c>
      <c r="X255" s="206">
        <f t="shared" si="149"/>
        <v>0</v>
      </c>
      <c r="Y255" s="209">
        <f t="shared" si="150"/>
        <v>0</v>
      </c>
    </row>
    <row r="256" spans="2:25" ht="15.75" hidden="1" thickBot="1" x14ac:dyDescent="0.3">
      <c r="B256" s="60">
        <f>B251</f>
        <v>35</v>
      </c>
      <c r="C256" s="102">
        <v>244</v>
      </c>
      <c r="D256" s="192" t="str">
        <f t="shared" si="123"/>
        <v>I</v>
      </c>
      <c r="E256" s="172"/>
      <c r="F256" s="173"/>
      <c r="G256" s="173"/>
      <c r="H256" s="174"/>
      <c r="I256" s="174"/>
      <c r="J256" s="172"/>
      <c r="K256" s="175"/>
      <c r="L256" s="174"/>
      <c r="M256" s="174"/>
      <c r="N256" s="176"/>
      <c r="O256" s="177"/>
      <c r="P256" s="178"/>
      <c r="Q256" s="179"/>
      <c r="R256" s="180"/>
      <c r="S256" s="181"/>
      <c r="T256" s="203">
        <f t="shared" si="121"/>
        <v>43647</v>
      </c>
      <c r="U256" s="204">
        <f t="shared" si="122"/>
        <v>43677</v>
      </c>
      <c r="V256" s="207">
        <f t="shared" si="151"/>
        <v>0</v>
      </c>
      <c r="W256" s="206" t="str">
        <f t="shared" si="148"/>
        <v/>
      </c>
      <c r="X256" s="206">
        <f t="shared" si="149"/>
        <v>0</v>
      </c>
      <c r="Y256" s="209">
        <f t="shared" si="150"/>
        <v>0</v>
      </c>
    </row>
    <row r="257" spans="2:25" ht="15.75" hidden="1" thickBot="1" x14ac:dyDescent="0.3">
      <c r="B257" s="141">
        <f>B251</f>
        <v>35</v>
      </c>
      <c r="C257" s="142">
        <v>245</v>
      </c>
      <c r="D257" s="194" t="str">
        <f t="shared" si="123"/>
        <v>I</v>
      </c>
      <c r="E257" s="189"/>
      <c r="F257" s="190"/>
      <c r="G257" s="190"/>
      <c r="H257" s="182"/>
      <c r="I257" s="182"/>
      <c r="J257" s="436" t="s">
        <v>181</v>
      </c>
      <c r="K257" s="437"/>
      <c r="L257" s="438"/>
      <c r="M257" s="182"/>
      <c r="N257" s="183"/>
      <c r="O257" s="184"/>
      <c r="P257" s="185"/>
      <c r="Q257" s="186"/>
      <c r="R257" s="187"/>
      <c r="S257" s="188"/>
      <c r="T257" s="213">
        <f t="shared" si="121"/>
        <v>43647</v>
      </c>
      <c r="U257" s="214">
        <f t="shared" si="122"/>
        <v>43677</v>
      </c>
      <c r="V257" s="210">
        <f t="shared" si="151"/>
        <v>0</v>
      </c>
      <c r="W257" s="211"/>
      <c r="X257" s="211">
        <f>IF(AND($V257&gt;0,$I257=1),IF($E257=10,P257/10,P257/$V257),0)</f>
        <v>0</v>
      </c>
      <c r="Y257" s="212">
        <f>IF(AND($V251&gt;0,$I257&lt;&gt;1),Q257/E251*V251,0)</f>
        <v>0</v>
      </c>
    </row>
    <row r="258" spans="2:25" ht="16.5" hidden="1" thickTop="1" thickBot="1" x14ac:dyDescent="0.3">
      <c r="B258" s="129">
        <f>B256+1</f>
        <v>36</v>
      </c>
      <c r="C258" s="130">
        <v>246</v>
      </c>
      <c r="D258" s="196" t="str">
        <f t="shared" si="123"/>
        <v>I</v>
      </c>
      <c r="E258" s="131"/>
      <c r="F258" s="132"/>
      <c r="G258" s="132"/>
      <c r="H258" s="133"/>
      <c r="I258" s="133"/>
      <c r="J258" s="131"/>
      <c r="K258" s="134"/>
      <c r="L258" s="133"/>
      <c r="M258" s="133"/>
      <c r="N258" s="135"/>
      <c r="O258" s="136"/>
      <c r="P258" s="137"/>
      <c r="Q258" s="138"/>
      <c r="R258" s="139"/>
      <c r="S258" s="140"/>
      <c r="T258" s="203">
        <f t="shared" si="121"/>
        <v>43647</v>
      </c>
      <c r="U258" s="204">
        <f t="shared" si="122"/>
        <v>43677</v>
      </c>
      <c r="V258" s="207">
        <f>IF(G258-F258+1-IF(G258-U258&gt;0,G258-U258,0)-IF(T258-F258&gt;0,T258-F258,0)&gt;0,G258-F258+1-IF(G258-U258&gt;0,G258-U258,0)-IF(T258-F258&gt;0,T258-F258,0),0)</f>
        <v>0</v>
      </c>
      <c r="W258" s="206" t="str">
        <f t="shared" ref="W258:W263" si="152">IF(V258&gt;0,H258,"")</f>
        <v/>
      </c>
      <c r="X258" s="206">
        <f t="shared" ref="X258:X263" si="153">IF(AND($V258&gt;0,$I258=1),P258/$E258*$V258,0)</f>
        <v>0</v>
      </c>
      <c r="Y258" s="209">
        <f t="shared" ref="Y258:Y263" si="154">IF(AND($V258&gt;0,$I258&lt;&gt;1),Q258/$E258*$V258,0)</f>
        <v>0</v>
      </c>
    </row>
    <row r="259" spans="2:25" ht="15.75" hidden="1" thickBot="1" x14ac:dyDescent="0.3">
      <c r="B259" s="60">
        <f>B258</f>
        <v>36</v>
      </c>
      <c r="C259" s="102">
        <v>247</v>
      </c>
      <c r="D259" s="192" t="str">
        <f t="shared" si="123"/>
        <v>I</v>
      </c>
      <c r="E259" s="62"/>
      <c r="F259" s="105"/>
      <c r="G259" s="105"/>
      <c r="H259" s="61"/>
      <c r="I259" s="61"/>
      <c r="J259" s="62"/>
      <c r="K259" s="63"/>
      <c r="L259" s="61"/>
      <c r="M259" s="61"/>
      <c r="N259" s="111"/>
      <c r="O259" s="112"/>
      <c r="P259" s="113"/>
      <c r="Q259" s="114"/>
      <c r="R259" s="64"/>
      <c r="S259" s="108"/>
      <c r="T259" s="203">
        <f t="shared" si="121"/>
        <v>43647</v>
      </c>
      <c r="U259" s="204">
        <f t="shared" si="122"/>
        <v>43677</v>
      </c>
      <c r="V259" s="207">
        <f t="shared" ref="V259:V264" si="155">IF(G259-F259+1-IF(G259-U259&gt;0,G259-U259,0)-IF(T259-F259&gt;0,T259-F259,0)&gt;0,G259-F259+1-IF(G259-U259&gt;0,G259-U259,0)-IF(T259-F259&gt;0,T259-F259,0),0)</f>
        <v>0</v>
      </c>
      <c r="W259" s="206" t="str">
        <f t="shared" si="152"/>
        <v/>
      </c>
      <c r="X259" s="206">
        <f t="shared" si="153"/>
        <v>0</v>
      </c>
      <c r="Y259" s="209">
        <f t="shared" si="154"/>
        <v>0</v>
      </c>
    </row>
    <row r="260" spans="2:25" ht="15.75" hidden="1" thickBot="1" x14ac:dyDescent="0.3">
      <c r="B260" s="60">
        <f>B258</f>
        <v>36</v>
      </c>
      <c r="C260" s="102">
        <v>248</v>
      </c>
      <c r="D260" s="192" t="str">
        <f t="shared" si="123"/>
        <v>I</v>
      </c>
      <c r="E260" s="62"/>
      <c r="F260" s="105"/>
      <c r="G260" s="105"/>
      <c r="H260" s="61"/>
      <c r="I260" s="61"/>
      <c r="J260" s="62"/>
      <c r="K260" s="63"/>
      <c r="L260" s="61"/>
      <c r="M260" s="61"/>
      <c r="N260" s="111"/>
      <c r="O260" s="112"/>
      <c r="P260" s="113"/>
      <c r="Q260" s="114"/>
      <c r="R260" s="64"/>
      <c r="S260" s="108"/>
      <c r="T260" s="203">
        <f t="shared" si="121"/>
        <v>43647</v>
      </c>
      <c r="U260" s="204">
        <f t="shared" si="122"/>
        <v>43677</v>
      </c>
      <c r="V260" s="207">
        <f t="shared" si="155"/>
        <v>0</v>
      </c>
      <c r="W260" s="206" t="str">
        <f t="shared" si="152"/>
        <v/>
      </c>
      <c r="X260" s="206">
        <f t="shared" si="153"/>
        <v>0</v>
      </c>
      <c r="Y260" s="209">
        <f t="shared" si="154"/>
        <v>0</v>
      </c>
    </row>
    <row r="261" spans="2:25" ht="15.75" hidden="1" thickBot="1" x14ac:dyDescent="0.3">
      <c r="B261" s="60">
        <f>B258</f>
        <v>36</v>
      </c>
      <c r="C261" s="102">
        <v>249</v>
      </c>
      <c r="D261" s="192" t="str">
        <f t="shared" si="123"/>
        <v>I</v>
      </c>
      <c r="E261" s="62"/>
      <c r="F261" s="105"/>
      <c r="G261" s="105"/>
      <c r="H261" s="61"/>
      <c r="I261" s="61"/>
      <c r="J261" s="62"/>
      <c r="K261" s="63"/>
      <c r="L261" s="61"/>
      <c r="M261" s="61"/>
      <c r="N261" s="111"/>
      <c r="O261" s="112"/>
      <c r="P261" s="113"/>
      <c r="Q261" s="114"/>
      <c r="R261" s="64"/>
      <c r="S261" s="108"/>
      <c r="T261" s="203">
        <f t="shared" si="121"/>
        <v>43647</v>
      </c>
      <c r="U261" s="204">
        <f t="shared" si="122"/>
        <v>43677</v>
      </c>
      <c r="V261" s="207">
        <f t="shared" si="155"/>
        <v>0</v>
      </c>
      <c r="W261" s="206" t="str">
        <f t="shared" si="152"/>
        <v/>
      </c>
      <c r="X261" s="206">
        <f t="shared" si="153"/>
        <v>0</v>
      </c>
      <c r="Y261" s="209">
        <f t="shared" si="154"/>
        <v>0</v>
      </c>
    </row>
    <row r="262" spans="2:25" ht="15.75" hidden="1" thickBot="1" x14ac:dyDescent="0.3">
      <c r="B262" s="60">
        <f>B258</f>
        <v>36</v>
      </c>
      <c r="C262" s="102">
        <v>250</v>
      </c>
      <c r="D262" s="192" t="str">
        <f t="shared" si="123"/>
        <v>I</v>
      </c>
      <c r="E262" s="62"/>
      <c r="F262" s="105"/>
      <c r="G262" s="105"/>
      <c r="H262" s="61"/>
      <c r="I262" s="61"/>
      <c r="J262" s="62"/>
      <c r="K262" s="63"/>
      <c r="L262" s="61"/>
      <c r="M262" s="61"/>
      <c r="N262" s="111"/>
      <c r="O262" s="112"/>
      <c r="P262" s="113"/>
      <c r="Q262" s="114"/>
      <c r="R262" s="64"/>
      <c r="S262" s="108"/>
      <c r="T262" s="203">
        <f t="shared" si="121"/>
        <v>43647</v>
      </c>
      <c r="U262" s="204">
        <f t="shared" si="122"/>
        <v>43677</v>
      </c>
      <c r="V262" s="207">
        <f t="shared" si="155"/>
        <v>0</v>
      </c>
      <c r="W262" s="206" t="str">
        <f t="shared" si="152"/>
        <v/>
      </c>
      <c r="X262" s="206">
        <f t="shared" si="153"/>
        <v>0</v>
      </c>
      <c r="Y262" s="209">
        <f t="shared" si="154"/>
        <v>0</v>
      </c>
    </row>
    <row r="263" spans="2:25" ht="15.75" hidden="1" thickBot="1" x14ac:dyDescent="0.3">
      <c r="B263" s="60">
        <f>B258</f>
        <v>36</v>
      </c>
      <c r="C263" s="102">
        <v>251</v>
      </c>
      <c r="D263" s="192" t="str">
        <f t="shared" si="123"/>
        <v>I</v>
      </c>
      <c r="E263" s="62"/>
      <c r="F263" s="105"/>
      <c r="G263" s="105"/>
      <c r="H263" s="61"/>
      <c r="I263" s="61"/>
      <c r="J263" s="62"/>
      <c r="K263" s="63"/>
      <c r="L263" s="61"/>
      <c r="M263" s="61"/>
      <c r="N263" s="111"/>
      <c r="O263" s="112"/>
      <c r="P263" s="113"/>
      <c r="Q263" s="114"/>
      <c r="R263" s="64"/>
      <c r="S263" s="108"/>
      <c r="T263" s="203">
        <f t="shared" si="121"/>
        <v>43647</v>
      </c>
      <c r="U263" s="204">
        <f t="shared" si="122"/>
        <v>43677</v>
      </c>
      <c r="V263" s="207">
        <f t="shared" si="155"/>
        <v>0</v>
      </c>
      <c r="W263" s="206" t="str">
        <f t="shared" si="152"/>
        <v/>
      </c>
      <c r="X263" s="206">
        <f t="shared" si="153"/>
        <v>0</v>
      </c>
      <c r="Y263" s="209">
        <f t="shared" si="154"/>
        <v>0</v>
      </c>
    </row>
    <row r="264" spans="2:25" ht="15.75" hidden="1" thickBot="1" x14ac:dyDescent="0.3">
      <c r="B264" s="141">
        <f>B258</f>
        <v>36</v>
      </c>
      <c r="C264" s="142">
        <v>252</v>
      </c>
      <c r="D264" s="194" t="str">
        <f t="shared" si="123"/>
        <v>I</v>
      </c>
      <c r="E264" s="143"/>
      <c r="F264" s="144"/>
      <c r="G264" s="144"/>
      <c r="H264" s="145"/>
      <c r="I264" s="145"/>
      <c r="J264" s="436" t="s">
        <v>181</v>
      </c>
      <c r="K264" s="437"/>
      <c r="L264" s="438"/>
      <c r="M264" s="145"/>
      <c r="N264" s="146"/>
      <c r="O264" s="147"/>
      <c r="P264" s="148"/>
      <c r="Q264" s="149"/>
      <c r="R264" s="150"/>
      <c r="S264" s="151"/>
      <c r="T264" s="213">
        <f t="shared" si="121"/>
        <v>43647</v>
      </c>
      <c r="U264" s="214">
        <f t="shared" si="122"/>
        <v>43677</v>
      </c>
      <c r="V264" s="210">
        <f t="shared" si="155"/>
        <v>0</v>
      </c>
      <c r="W264" s="211"/>
      <c r="X264" s="211">
        <f>IF(AND($V264&gt;0,$I264=1),IF($E264=10,P264/10,P264/$V264),0)</f>
        <v>0</v>
      </c>
      <c r="Y264" s="212">
        <f>IF(AND($V258&gt;0,$I264&lt;&gt;1),Q264/E258*V258,0)</f>
        <v>0</v>
      </c>
    </row>
    <row r="265" spans="2:25" ht="16.5" hidden="1" thickTop="1" thickBot="1" x14ac:dyDescent="0.3">
      <c r="B265" s="129">
        <f>B263+1</f>
        <v>37</v>
      </c>
      <c r="C265" s="130">
        <v>253</v>
      </c>
      <c r="D265" s="196" t="str">
        <f t="shared" si="123"/>
        <v>I</v>
      </c>
      <c r="E265" s="152"/>
      <c r="F265" s="153"/>
      <c r="G265" s="153"/>
      <c r="H265" s="154"/>
      <c r="I265" s="154"/>
      <c r="J265" s="152"/>
      <c r="K265" s="155"/>
      <c r="L265" s="154"/>
      <c r="M265" s="154"/>
      <c r="N265" s="156"/>
      <c r="O265" s="157"/>
      <c r="P265" s="158"/>
      <c r="Q265" s="159"/>
      <c r="R265" s="160"/>
      <c r="S265" s="161"/>
      <c r="T265" s="203">
        <f t="shared" si="121"/>
        <v>43647</v>
      </c>
      <c r="U265" s="204">
        <f t="shared" si="122"/>
        <v>43677</v>
      </c>
      <c r="V265" s="207">
        <f>IF(G265-F265+1-IF(G265-U265&gt;0,G265-U265,0)-IF(T265-F265&gt;0,T265-F265,0)&gt;0,G265-F265+1-IF(G265-U265&gt;0,G265-U265,0)-IF(T265-F265&gt;0,T265-F265,0),0)</f>
        <v>0</v>
      </c>
      <c r="W265" s="206" t="str">
        <f t="shared" ref="W265:W270" si="156">IF(V265&gt;0,H265,"")</f>
        <v/>
      </c>
      <c r="X265" s="206">
        <f t="shared" ref="X265:X270" si="157">IF(AND($V265&gt;0,$I265=1),P265/$E265*$V265,0)</f>
        <v>0</v>
      </c>
      <c r="Y265" s="209">
        <f t="shared" ref="Y265:Y270" si="158">IF(AND($V265&gt;0,$I265&lt;&gt;1),Q265/$E265*$V265,0)</f>
        <v>0</v>
      </c>
    </row>
    <row r="266" spans="2:25" ht="15.75" hidden="1" thickBot="1" x14ac:dyDescent="0.3">
      <c r="B266" s="60">
        <f>B265</f>
        <v>37</v>
      </c>
      <c r="C266" s="102">
        <v>254</v>
      </c>
      <c r="D266" s="192" t="str">
        <f t="shared" si="123"/>
        <v>I</v>
      </c>
      <c r="E266" s="162"/>
      <c r="F266" s="163"/>
      <c r="G266" s="163"/>
      <c r="H266" s="164"/>
      <c r="I266" s="164"/>
      <c r="J266" s="162"/>
      <c r="K266" s="165"/>
      <c r="L266" s="164"/>
      <c r="M266" s="164"/>
      <c r="N266" s="166"/>
      <c r="O266" s="167"/>
      <c r="P266" s="168"/>
      <c r="Q266" s="169"/>
      <c r="R266" s="170"/>
      <c r="S266" s="171"/>
      <c r="T266" s="203">
        <f t="shared" si="121"/>
        <v>43647</v>
      </c>
      <c r="U266" s="204">
        <f t="shared" si="122"/>
        <v>43677</v>
      </c>
      <c r="V266" s="207">
        <f t="shared" ref="V266:V271" si="159">IF(G266-F266+1-IF(G266-U266&gt;0,G266-U266,0)-IF(T266-F266&gt;0,T266-F266,0)&gt;0,G266-F266+1-IF(G266-U266&gt;0,G266-U266,0)-IF(T266-F266&gt;0,T266-F266,0),0)</f>
        <v>0</v>
      </c>
      <c r="W266" s="206" t="str">
        <f t="shared" si="156"/>
        <v/>
      </c>
      <c r="X266" s="206">
        <f t="shared" si="157"/>
        <v>0</v>
      </c>
      <c r="Y266" s="209">
        <f t="shared" si="158"/>
        <v>0</v>
      </c>
    </row>
    <row r="267" spans="2:25" ht="15.75" hidden="1" thickBot="1" x14ac:dyDescent="0.3">
      <c r="B267" s="60">
        <f>B265</f>
        <v>37</v>
      </c>
      <c r="C267" s="102">
        <v>255</v>
      </c>
      <c r="D267" s="192" t="str">
        <f t="shared" si="123"/>
        <v>I</v>
      </c>
      <c r="E267" s="162"/>
      <c r="F267" s="163"/>
      <c r="G267" s="163"/>
      <c r="H267" s="164"/>
      <c r="I267" s="164"/>
      <c r="J267" s="162"/>
      <c r="K267" s="165"/>
      <c r="L267" s="164"/>
      <c r="M267" s="164"/>
      <c r="N267" s="166"/>
      <c r="O267" s="167"/>
      <c r="P267" s="168"/>
      <c r="Q267" s="169"/>
      <c r="R267" s="170"/>
      <c r="S267" s="171"/>
      <c r="T267" s="203">
        <f t="shared" si="121"/>
        <v>43647</v>
      </c>
      <c r="U267" s="204">
        <f t="shared" si="122"/>
        <v>43677</v>
      </c>
      <c r="V267" s="207">
        <f t="shared" si="159"/>
        <v>0</v>
      </c>
      <c r="W267" s="206" t="str">
        <f t="shared" si="156"/>
        <v/>
      </c>
      <c r="X267" s="206">
        <f t="shared" si="157"/>
        <v>0</v>
      </c>
      <c r="Y267" s="209">
        <f t="shared" si="158"/>
        <v>0</v>
      </c>
    </row>
    <row r="268" spans="2:25" ht="15.75" hidden="1" thickBot="1" x14ac:dyDescent="0.3">
      <c r="B268" s="60">
        <f>B265</f>
        <v>37</v>
      </c>
      <c r="C268" s="102">
        <v>256</v>
      </c>
      <c r="D268" s="192" t="str">
        <f t="shared" si="123"/>
        <v>I</v>
      </c>
      <c r="E268" s="162"/>
      <c r="F268" s="163"/>
      <c r="G268" s="163"/>
      <c r="H268" s="164"/>
      <c r="I268" s="164"/>
      <c r="J268" s="162"/>
      <c r="K268" s="165"/>
      <c r="L268" s="164"/>
      <c r="M268" s="164"/>
      <c r="N268" s="166"/>
      <c r="O268" s="167"/>
      <c r="P268" s="168"/>
      <c r="Q268" s="169"/>
      <c r="R268" s="170"/>
      <c r="S268" s="171"/>
      <c r="T268" s="203">
        <f t="shared" si="121"/>
        <v>43647</v>
      </c>
      <c r="U268" s="204">
        <f t="shared" si="122"/>
        <v>43677</v>
      </c>
      <c r="V268" s="207">
        <f t="shared" si="159"/>
        <v>0</v>
      </c>
      <c r="W268" s="206" t="str">
        <f t="shared" si="156"/>
        <v/>
      </c>
      <c r="X268" s="206">
        <f t="shared" si="157"/>
        <v>0</v>
      </c>
      <c r="Y268" s="209">
        <f t="shared" si="158"/>
        <v>0</v>
      </c>
    </row>
    <row r="269" spans="2:25" ht="15.75" hidden="1" thickBot="1" x14ac:dyDescent="0.3">
      <c r="B269" s="60">
        <f>B265</f>
        <v>37</v>
      </c>
      <c r="C269" s="102">
        <v>257</v>
      </c>
      <c r="D269" s="192" t="str">
        <f t="shared" si="123"/>
        <v>I</v>
      </c>
      <c r="E269" s="162"/>
      <c r="F269" s="163"/>
      <c r="G269" s="163"/>
      <c r="H269" s="164"/>
      <c r="I269" s="164"/>
      <c r="J269" s="162"/>
      <c r="K269" s="165"/>
      <c r="L269" s="164"/>
      <c r="M269" s="164"/>
      <c r="N269" s="166"/>
      <c r="O269" s="167"/>
      <c r="P269" s="168"/>
      <c r="Q269" s="169"/>
      <c r="R269" s="170"/>
      <c r="S269" s="171"/>
      <c r="T269" s="203">
        <f t="shared" ref="T269:T332" si="160">$F$4</f>
        <v>43647</v>
      </c>
      <c r="U269" s="204">
        <f t="shared" ref="U269:U332" si="161">$G$4</f>
        <v>43677</v>
      </c>
      <c r="V269" s="207">
        <f t="shared" si="159"/>
        <v>0</v>
      </c>
      <c r="W269" s="206" t="str">
        <f t="shared" si="156"/>
        <v/>
      </c>
      <c r="X269" s="206">
        <f t="shared" si="157"/>
        <v>0</v>
      </c>
      <c r="Y269" s="209">
        <f t="shared" si="158"/>
        <v>0</v>
      </c>
    </row>
    <row r="270" spans="2:25" ht="15.75" hidden="1" thickBot="1" x14ac:dyDescent="0.3">
      <c r="B270" s="60">
        <f>B265</f>
        <v>37</v>
      </c>
      <c r="C270" s="102">
        <v>258</v>
      </c>
      <c r="D270" s="192" t="str">
        <f t="shared" si="123"/>
        <v>I</v>
      </c>
      <c r="E270" s="172"/>
      <c r="F270" s="173"/>
      <c r="G270" s="173"/>
      <c r="H270" s="174"/>
      <c r="I270" s="174"/>
      <c r="J270" s="172"/>
      <c r="K270" s="175"/>
      <c r="L270" s="174"/>
      <c r="M270" s="174"/>
      <c r="N270" s="176"/>
      <c r="O270" s="177"/>
      <c r="P270" s="178"/>
      <c r="Q270" s="179"/>
      <c r="R270" s="180"/>
      <c r="S270" s="181"/>
      <c r="T270" s="203">
        <f t="shared" si="160"/>
        <v>43647</v>
      </c>
      <c r="U270" s="204">
        <f t="shared" si="161"/>
        <v>43677</v>
      </c>
      <c r="V270" s="207">
        <f t="shared" si="159"/>
        <v>0</v>
      </c>
      <c r="W270" s="206" t="str">
        <f t="shared" si="156"/>
        <v/>
      </c>
      <c r="X270" s="206">
        <f t="shared" si="157"/>
        <v>0</v>
      </c>
      <c r="Y270" s="209">
        <f t="shared" si="158"/>
        <v>0</v>
      </c>
    </row>
    <row r="271" spans="2:25" ht="15.75" hidden="1" thickBot="1" x14ac:dyDescent="0.3">
      <c r="B271" s="141">
        <f>B265</f>
        <v>37</v>
      </c>
      <c r="C271" s="142">
        <v>259</v>
      </c>
      <c r="D271" s="194" t="str">
        <f t="shared" si="123"/>
        <v>I</v>
      </c>
      <c r="E271" s="189"/>
      <c r="F271" s="190"/>
      <c r="G271" s="190"/>
      <c r="H271" s="182"/>
      <c r="I271" s="182"/>
      <c r="J271" s="436" t="s">
        <v>181</v>
      </c>
      <c r="K271" s="437"/>
      <c r="L271" s="438"/>
      <c r="M271" s="182"/>
      <c r="N271" s="183"/>
      <c r="O271" s="184"/>
      <c r="P271" s="185"/>
      <c r="Q271" s="186"/>
      <c r="R271" s="187"/>
      <c r="S271" s="188"/>
      <c r="T271" s="213">
        <f t="shared" si="160"/>
        <v>43647</v>
      </c>
      <c r="U271" s="214">
        <f t="shared" si="161"/>
        <v>43677</v>
      </c>
      <c r="V271" s="210">
        <f t="shared" si="159"/>
        <v>0</v>
      </c>
      <c r="W271" s="211"/>
      <c r="X271" s="211">
        <f>IF(AND($V271&gt;0,$I271=1),IF($E271=10,P271/10,P271/$V271),0)</f>
        <v>0</v>
      </c>
      <c r="Y271" s="212">
        <f>IF(AND($V265&gt;0,$I271&lt;&gt;1),Q271/E265*V265,0)</f>
        <v>0</v>
      </c>
    </row>
    <row r="272" spans="2:25" ht="16.5" hidden="1" thickTop="1" thickBot="1" x14ac:dyDescent="0.3">
      <c r="B272" s="129">
        <f>B270+1</f>
        <v>38</v>
      </c>
      <c r="C272" s="130">
        <v>260</v>
      </c>
      <c r="D272" s="196" t="str">
        <f t="shared" ref="D272:D335" si="162">D271</f>
        <v>I</v>
      </c>
      <c r="E272" s="131"/>
      <c r="F272" s="132"/>
      <c r="G272" s="132"/>
      <c r="H272" s="133"/>
      <c r="I272" s="133"/>
      <c r="J272" s="131"/>
      <c r="K272" s="134"/>
      <c r="L272" s="133"/>
      <c r="M272" s="133"/>
      <c r="N272" s="135"/>
      <c r="O272" s="136"/>
      <c r="P272" s="137"/>
      <c r="Q272" s="138"/>
      <c r="R272" s="139"/>
      <c r="S272" s="140"/>
      <c r="T272" s="203">
        <f t="shared" si="160"/>
        <v>43647</v>
      </c>
      <c r="U272" s="204">
        <f t="shared" si="161"/>
        <v>43677</v>
      </c>
      <c r="V272" s="207">
        <f>IF(G272-F272+1-IF(G272-U272&gt;0,G272-U272,0)-IF(T272-F272&gt;0,T272-F272,0)&gt;0,G272-F272+1-IF(G272-U272&gt;0,G272-U272,0)-IF(T272-F272&gt;0,T272-F272,0),0)</f>
        <v>0</v>
      </c>
      <c r="W272" s="206" t="str">
        <f t="shared" ref="W272:W277" si="163">IF(V272&gt;0,H272,"")</f>
        <v/>
      </c>
      <c r="X272" s="206">
        <f t="shared" ref="X272:X277" si="164">IF(AND($V272&gt;0,$I272=1),P272/$E272*$V272,0)</f>
        <v>0</v>
      </c>
      <c r="Y272" s="209">
        <f t="shared" ref="Y272:Y277" si="165">IF(AND($V272&gt;0,$I272&lt;&gt;1),Q272/$E272*$V272,0)</f>
        <v>0</v>
      </c>
    </row>
    <row r="273" spans="2:25" ht="15.75" hidden="1" thickBot="1" x14ac:dyDescent="0.3">
      <c r="B273" s="60">
        <f>B272</f>
        <v>38</v>
      </c>
      <c r="C273" s="102">
        <v>261</v>
      </c>
      <c r="D273" s="192" t="str">
        <f t="shared" si="162"/>
        <v>I</v>
      </c>
      <c r="E273" s="62"/>
      <c r="F273" s="105"/>
      <c r="G273" s="105"/>
      <c r="H273" s="61"/>
      <c r="I273" s="61"/>
      <c r="J273" s="62"/>
      <c r="K273" s="63"/>
      <c r="L273" s="61"/>
      <c r="M273" s="61"/>
      <c r="N273" s="111"/>
      <c r="O273" s="112"/>
      <c r="P273" s="113"/>
      <c r="Q273" s="114"/>
      <c r="R273" s="64"/>
      <c r="S273" s="108"/>
      <c r="T273" s="203">
        <f t="shared" si="160"/>
        <v>43647</v>
      </c>
      <c r="U273" s="204">
        <f t="shared" si="161"/>
        <v>43677</v>
      </c>
      <c r="V273" s="207">
        <f t="shared" ref="V273:V278" si="166">IF(G273-F273+1-IF(G273-U273&gt;0,G273-U273,0)-IF(T273-F273&gt;0,T273-F273,0)&gt;0,G273-F273+1-IF(G273-U273&gt;0,G273-U273,0)-IF(T273-F273&gt;0,T273-F273,0),0)</f>
        <v>0</v>
      </c>
      <c r="W273" s="206" t="str">
        <f t="shared" si="163"/>
        <v/>
      </c>
      <c r="X273" s="206">
        <f t="shared" si="164"/>
        <v>0</v>
      </c>
      <c r="Y273" s="209">
        <f t="shared" si="165"/>
        <v>0</v>
      </c>
    </row>
    <row r="274" spans="2:25" ht="15.75" hidden="1" thickBot="1" x14ac:dyDescent="0.3">
      <c r="B274" s="60">
        <f>B272</f>
        <v>38</v>
      </c>
      <c r="C274" s="102">
        <v>262</v>
      </c>
      <c r="D274" s="192" t="str">
        <f t="shared" si="162"/>
        <v>I</v>
      </c>
      <c r="E274" s="62"/>
      <c r="F274" s="105"/>
      <c r="G274" s="105"/>
      <c r="H274" s="61"/>
      <c r="I274" s="61"/>
      <c r="J274" s="62"/>
      <c r="K274" s="63"/>
      <c r="L274" s="61"/>
      <c r="M274" s="61"/>
      <c r="N274" s="111"/>
      <c r="O274" s="112"/>
      <c r="P274" s="113"/>
      <c r="Q274" s="114"/>
      <c r="R274" s="64"/>
      <c r="S274" s="108"/>
      <c r="T274" s="203">
        <f t="shared" si="160"/>
        <v>43647</v>
      </c>
      <c r="U274" s="204">
        <f t="shared" si="161"/>
        <v>43677</v>
      </c>
      <c r="V274" s="207">
        <f t="shared" si="166"/>
        <v>0</v>
      </c>
      <c r="W274" s="206" t="str">
        <f t="shared" si="163"/>
        <v/>
      </c>
      <c r="X274" s="206">
        <f t="shared" si="164"/>
        <v>0</v>
      </c>
      <c r="Y274" s="209">
        <f t="shared" si="165"/>
        <v>0</v>
      </c>
    </row>
    <row r="275" spans="2:25" ht="15.75" hidden="1" thickBot="1" x14ac:dyDescent="0.3">
      <c r="B275" s="60">
        <f>B272</f>
        <v>38</v>
      </c>
      <c r="C275" s="102">
        <v>263</v>
      </c>
      <c r="D275" s="192" t="str">
        <f t="shared" si="162"/>
        <v>I</v>
      </c>
      <c r="E275" s="62"/>
      <c r="F275" s="105"/>
      <c r="G275" s="105"/>
      <c r="H275" s="61"/>
      <c r="I275" s="61"/>
      <c r="J275" s="62"/>
      <c r="K275" s="63"/>
      <c r="L275" s="61"/>
      <c r="M275" s="61"/>
      <c r="N275" s="111"/>
      <c r="O275" s="112"/>
      <c r="P275" s="113"/>
      <c r="Q275" s="114"/>
      <c r="R275" s="64"/>
      <c r="S275" s="108"/>
      <c r="T275" s="203">
        <f t="shared" si="160"/>
        <v>43647</v>
      </c>
      <c r="U275" s="204">
        <f t="shared" si="161"/>
        <v>43677</v>
      </c>
      <c r="V275" s="207">
        <f t="shared" si="166"/>
        <v>0</v>
      </c>
      <c r="W275" s="206" t="str">
        <f t="shared" si="163"/>
        <v/>
      </c>
      <c r="X275" s="206">
        <f t="shared" si="164"/>
        <v>0</v>
      </c>
      <c r="Y275" s="209">
        <f t="shared" si="165"/>
        <v>0</v>
      </c>
    </row>
    <row r="276" spans="2:25" ht="15.75" hidden="1" thickBot="1" x14ac:dyDescent="0.3">
      <c r="B276" s="60">
        <f>B272</f>
        <v>38</v>
      </c>
      <c r="C276" s="102">
        <v>264</v>
      </c>
      <c r="D276" s="192" t="str">
        <f t="shared" si="162"/>
        <v>I</v>
      </c>
      <c r="E276" s="62"/>
      <c r="F276" s="105"/>
      <c r="G276" s="105"/>
      <c r="H276" s="61"/>
      <c r="I276" s="61"/>
      <c r="J276" s="62"/>
      <c r="K276" s="63"/>
      <c r="L276" s="61"/>
      <c r="M276" s="61"/>
      <c r="N276" s="111"/>
      <c r="O276" s="112"/>
      <c r="P276" s="113"/>
      <c r="Q276" s="114"/>
      <c r="R276" s="64"/>
      <c r="S276" s="108"/>
      <c r="T276" s="203">
        <f t="shared" si="160"/>
        <v>43647</v>
      </c>
      <c r="U276" s="204">
        <f t="shared" si="161"/>
        <v>43677</v>
      </c>
      <c r="V276" s="207">
        <f t="shared" si="166"/>
        <v>0</v>
      </c>
      <c r="W276" s="206" t="str">
        <f t="shared" si="163"/>
        <v/>
      </c>
      <c r="X276" s="206">
        <f t="shared" si="164"/>
        <v>0</v>
      </c>
      <c r="Y276" s="209">
        <f t="shared" si="165"/>
        <v>0</v>
      </c>
    </row>
    <row r="277" spans="2:25" ht="15.75" hidden="1" thickBot="1" x14ac:dyDescent="0.3">
      <c r="B277" s="60">
        <f>B272</f>
        <v>38</v>
      </c>
      <c r="C277" s="102">
        <v>265</v>
      </c>
      <c r="D277" s="192" t="str">
        <f t="shared" si="162"/>
        <v>I</v>
      </c>
      <c r="E277" s="62"/>
      <c r="F277" s="105"/>
      <c r="G277" s="105"/>
      <c r="H277" s="61"/>
      <c r="I277" s="61"/>
      <c r="J277" s="62"/>
      <c r="K277" s="63"/>
      <c r="L277" s="61"/>
      <c r="M277" s="61"/>
      <c r="N277" s="111"/>
      <c r="O277" s="112"/>
      <c r="P277" s="113"/>
      <c r="Q277" s="114"/>
      <c r="R277" s="64"/>
      <c r="S277" s="108"/>
      <c r="T277" s="203">
        <f t="shared" si="160"/>
        <v>43647</v>
      </c>
      <c r="U277" s="204">
        <f t="shared" si="161"/>
        <v>43677</v>
      </c>
      <c r="V277" s="207">
        <f t="shared" si="166"/>
        <v>0</v>
      </c>
      <c r="W277" s="206" t="str">
        <f t="shared" si="163"/>
        <v/>
      </c>
      <c r="X277" s="206">
        <f t="shared" si="164"/>
        <v>0</v>
      </c>
      <c r="Y277" s="209">
        <f t="shared" si="165"/>
        <v>0</v>
      </c>
    </row>
    <row r="278" spans="2:25" ht="15.75" hidden="1" thickBot="1" x14ac:dyDescent="0.3">
      <c r="B278" s="141">
        <f>B272</f>
        <v>38</v>
      </c>
      <c r="C278" s="142">
        <v>266</v>
      </c>
      <c r="D278" s="194" t="str">
        <f t="shared" si="162"/>
        <v>I</v>
      </c>
      <c r="E278" s="143"/>
      <c r="F278" s="144"/>
      <c r="G278" s="144"/>
      <c r="H278" s="145"/>
      <c r="I278" s="145"/>
      <c r="J278" s="436" t="s">
        <v>181</v>
      </c>
      <c r="K278" s="437"/>
      <c r="L278" s="438"/>
      <c r="M278" s="145"/>
      <c r="N278" s="146"/>
      <c r="O278" s="147"/>
      <c r="P278" s="148"/>
      <c r="Q278" s="149"/>
      <c r="R278" s="150"/>
      <c r="S278" s="151"/>
      <c r="T278" s="213">
        <f t="shared" si="160"/>
        <v>43647</v>
      </c>
      <c r="U278" s="214">
        <f t="shared" si="161"/>
        <v>43677</v>
      </c>
      <c r="V278" s="210">
        <f t="shared" si="166"/>
        <v>0</v>
      </c>
      <c r="W278" s="211"/>
      <c r="X278" s="211">
        <f>IF(AND($V278&gt;0,$I278=1),IF($E278=10,P278/10,P278/$V278),0)</f>
        <v>0</v>
      </c>
      <c r="Y278" s="212">
        <f>IF(AND($V272&gt;0,$I278&lt;&gt;1),Q278/E272*V272,0)</f>
        <v>0</v>
      </c>
    </row>
    <row r="279" spans="2:25" ht="16.5" hidden="1" thickTop="1" thickBot="1" x14ac:dyDescent="0.3">
      <c r="B279" s="129">
        <f>B277+1</f>
        <v>39</v>
      </c>
      <c r="C279" s="130">
        <v>267</v>
      </c>
      <c r="D279" s="196" t="str">
        <f t="shared" si="162"/>
        <v>I</v>
      </c>
      <c r="E279" s="152"/>
      <c r="F279" s="153"/>
      <c r="G279" s="153"/>
      <c r="H279" s="154"/>
      <c r="I279" s="154"/>
      <c r="J279" s="152"/>
      <c r="K279" s="155"/>
      <c r="L279" s="154"/>
      <c r="M279" s="154"/>
      <c r="N279" s="156"/>
      <c r="O279" s="157"/>
      <c r="P279" s="158"/>
      <c r="Q279" s="159"/>
      <c r="R279" s="160"/>
      <c r="S279" s="161"/>
      <c r="T279" s="203">
        <f t="shared" si="160"/>
        <v>43647</v>
      </c>
      <c r="U279" s="204">
        <f t="shared" si="161"/>
        <v>43677</v>
      </c>
      <c r="V279" s="207">
        <f>IF(G279-F279+1-IF(G279-U279&gt;0,G279-U279,0)-IF(T279-F279&gt;0,T279-F279,0)&gt;0,G279-F279+1-IF(G279-U279&gt;0,G279-U279,0)-IF(T279-F279&gt;0,T279-F279,0),0)</f>
        <v>0</v>
      </c>
      <c r="W279" s="206" t="str">
        <f t="shared" ref="W279:W284" si="167">IF(V279&gt;0,H279,"")</f>
        <v/>
      </c>
      <c r="X279" s="206">
        <f t="shared" ref="X279:X284" si="168">IF(AND($V279&gt;0,$I279=1),P279/$E279*$V279,0)</f>
        <v>0</v>
      </c>
      <c r="Y279" s="209">
        <f t="shared" ref="Y279:Y284" si="169">IF(AND($V279&gt;0,$I279&lt;&gt;1),Q279/$E279*$V279,0)</f>
        <v>0</v>
      </c>
    </row>
    <row r="280" spans="2:25" ht="15.75" hidden="1" thickBot="1" x14ac:dyDescent="0.3">
      <c r="B280" s="60">
        <f>B279</f>
        <v>39</v>
      </c>
      <c r="C280" s="102">
        <v>268</v>
      </c>
      <c r="D280" s="192" t="str">
        <f t="shared" si="162"/>
        <v>I</v>
      </c>
      <c r="E280" s="162"/>
      <c r="F280" s="163"/>
      <c r="G280" s="163"/>
      <c r="H280" s="164"/>
      <c r="I280" s="164"/>
      <c r="J280" s="162"/>
      <c r="K280" s="165"/>
      <c r="L280" s="164"/>
      <c r="M280" s="164"/>
      <c r="N280" s="166"/>
      <c r="O280" s="167"/>
      <c r="P280" s="168"/>
      <c r="Q280" s="169"/>
      <c r="R280" s="170"/>
      <c r="S280" s="171"/>
      <c r="T280" s="203">
        <f t="shared" si="160"/>
        <v>43647</v>
      </c>
      <c r="U280" s="204">
        <f t="shared" si="161"/>
        <v>43677</v>
      </c>
      <c r="V280" s="207">
        <f t="shared" ref="V280:V285" si="170">IF(G280-F280+1-IF(G280-U280&gt;0,G280-U280,0)-IF(T280-F280&gt;0,T280-F280,0)&gt;0,G280-F280+1-IF(G280-U280&gt;0,G280-U280,0)-IF(T280-F280&gt;0,T280-F280,0),0)</f>
        <v>0</v>
      </c>
      <c r="W280" s="206" t="str">
        <f t="shared" si="167"/>
        <v/>
      </c>
      <c r="X280" s="206">
        <f t="shared" si="168"/>
        <v>0</v>
      </c>
      <c r="Y280" s="209">
        <f t="shared" si="169"/>
        <v>0</v>
      </c>
    </row>
    <row r="281" spans="2:25" ht="15.75" hidden="1" thickBot="1" x14ac:dyDescent="0.3">
      <c r="B281" s="60">
        <f>B279</f>
        <v>39</v>
      </c>
      <c r="C281" s="102">
        <v>269</v>
      </c>
      <c r="D281" s="192" t="str">
        <f t="shared" si="162"/>
        <v>I</v>
      </c>
      <c r="E281" s="162"/>
      <c r="F281" s="163"/>
      <c r="G281" s="163"/>
      <c r="H281" s="164"/>
      <c r="I281" s="164"/>
      <c r="J281" s="162"/>
      <c r="K281" s="165"/>
      <c r="L281" s="164"/>
      <c r="M281" s="164"/>
      <c r="N281" s="166"/>
      <c r="O281" s="167"/>
      <c r="P281" s="168"/>
      <c r="Q281" s="169"/>
      <c r="R281" s="170"/>
      <c r="S281" s="171"/>
      <c r="T281" s="203">
        <f t="shared" si="160"/>
        <v>43647</v>
      </c>
      <c r="U281" s="204">
        <f t="shared" si="161"/>
        <v>43677</v>
      </c>
      <c r="V281" s="207">
        <f t="shared" si="170"/>
        <v>0</v>
      </c>
      <c r="W281" s="206" t="str">
        <f t="shared" si="167"/>
        <v/>
      </c>
      <c r="X281" s="206">
        <f t="shared" si="168"/>
        <v>0</v>
      </c>
      <c r="Y281" s="209">
        <f t="shared" si="169"/>
        <v>0</v>
      </c>
    </row>
    <row r="282" spans="2:25" ht="15.75" hidden="1" thickBot="1" x14ac:dyDescent="0.3">
      <c r="B282" s="60">
        <f>B279</f>
        <v>39</v>
      </c>
      <c r="C282" s="102">
        <v>270</v>
      </c>
      <c r="D282" s="192" t="str">
        <f t="shared" si="162"/>
        <v>I</v>
      </c>
      <c r="E282" s="162"/>
      <c r="F282" s="163"/>
      <c r="G282" s="163"/>
      <c r="H282" s="164"/>
      <c r="I282" s="164"/>
      <c r="J282" s="162"/>
      <c r="K282" s="165"/>
      <c r="L282" s="164"/>
      <c r="M282" s="164"/>
      <c r="N282" s="166"/>
      <c r="O282" s="167"/>
      <c r="P282" s="168"/>
      <c r="Q282" s="169"/>
      <c r="R282" s="170"/>
      <c r="S282" s="171"/>
      <c r="T282" s="203">
        <f t="shared" si="160"/>
        <v>43647</v>
      </c>
      <c r="U282" s="204">
        <f t="shared" si="161"/>
        <v>43677</v>
      </c>
      <c r="V282" s="207">
        <f t="shared" si="170"/>
        <v>0</v>
      </c>
      <c r="W282" s="206" t="str">
        <f t="shared" si="167"/>
        <v/>
      </c>
      <c r="X282" s="206">
        <f t="shared" si="168"/>
        <v>0</v>
      </c>
      <c r="Y282" s="209">
        <f t="shared" si="169"/>
        <v>0</v>
      </c>
    </row>
    <row r="283" spans="2:25" ht="15.75" hidden="1" thickBot="1" x14ac:dyDescent="0.3">
      <c r="B283" s="60">
        <f>B279</f>
        <v>39</v>
      </c>
      <c r="C283" s="102">
        <v>271</v>
      </c>
      <c r="D283" s="192" t="str">
        <f t="shared" si="162"/>
        <v>I</v>
      </c>
      <c r="E283" s="162"/>
      <c r="F283" s="163"/>
      <c r="G283" s="163"/>
      <c r="H283" s="164"/>
      <c r="I283" s="164"/>
      <c r="J283" s="162"/>
      <c r="K283" s="165"/>
      <c r="L283" s="164"/>
      <c r="M283" s="164"/>
      <c r="N283" s="166"/>
      <c r="O283" s="167"/>
      <c r="P283" s="168"/>
      <c r="Q283" s="169"/>
      <c r="R283" s="170"/>
      <c r="S283" s="171"/>
      <c r="T283" s="203">
        <f t="shared" si="160"/>
        <v>43647</v>
      </c>
      <c r="U283" s="204">
        <f t="shared" si="161"/>
        <v>43677</v>
      </c>
      <c r="V283" s="207">
        <f t="shared" si="170"/>
        <v>0</v>
      </c>
      <c r="W283" s="206" t="str">
        <f t="shared" si="167"/>
        <v/>
      </c>
      <c r="X283" s="206">
        <f t="shared" si="168"/>
        <v>0</v>
      </c>
      <c r="Y283" s="209">
        <f t="shared" si="169"/>
        <v>0</v>
      </c>
    </row>
    <row r="284" spans="2:25" ht="15.75" hidden="1" thickBot="1" x14ac:dyDescent="0.3">
      <c r="B284" s="60">
        <f>B279</f>
        <v>39</v>
      </c>
      <c r="C284" s="102">
        <v>272</v>
      </c>
      <c r="D284" s="192" t="str">
        <f t="shared" si="162"/>
        <v>I</v>
      </c>
      <c r="E284" s="172"/>
      <c r="F284" s="173"/>
      <c r="G284" s="173"/>
      <c r="H284" s="174"/>
      <c r="I284" s="174"/>
      <c r="J284" s="172"/>
      <c r="K284" s="175"/>
      <c r="L284" s="174"/>
      <c r="M284" s="174"/>
      <c r="N284" s="176"/>
      <c r="O284" s="177"/>
      <c r="P284" s="178"/>
      <c r="Q284" s="179"/>
      <c r="R284" s="180"/>
      <c r="S284" s="181"/>
      <c r="T284" s="203">
        <f t="shared" si="160"/>
        <v>43647</v>
      </c>
      <c r="U284" s="204">
        <f t="shared" si="161"/>
        <v>43677</v>
      </c>
      <c r="V284" s="207">
        <f t="shared" si="170"/>
        <v>0</v>
      </c>
      <c r="W284" s="206" t="str">
        <f t="shared" si="167"/>
        <v/>
      </c>
      <c r="X284" s="206">
        <f t="shared" si="168"/>
        <v>0</v>
      </c>
      <c r="Y284" s="209">
        <f t="shared" si="169"/>
        <v>0</v>
      </c>
    </row>
    <row r="285" spans="2:25" ht="15.75" hidden="1" thickBot="1" x14ac:dyDescent="0.3">
      <c r="B285" s="141">
        <f>B279</f>
        <v>39</v>
      </c>
      <c r="C285" s="142">
        <v>273</v>
      </c>
      <c r="D285" s="194" t="str">
        <f t="shared" si="162"/>
        <v>I</v>
      </c>
      <c r="E285" s="189"/>
      <c r="F285" s="190"/>
      <c r="G285" s="190"/>
      <c r="H285" s="182"/>
      <c r="I285" s="182"/>
      <c r="J285" s="436" t="s">
        <v>181</v>
      </c>
      <c r="K285" s="437"/>
      <c r="L285" s="438"/>
      <c r="M285" s="182"/>
      <c r="N285" s="183"/>
      <c r="O285" s="184"/>
      <c r="P285" s="185"/>
      <c r="Q285" s="186"/>
      <c r="R285" s="187"/>
      <c r="S285" s="188"/>
      <c r="T285" s="213">
        <f t="shared" si="160"/>
        <v>43647</v>
      </c>
      <c r="U285" s="214">
        <f t="shared" si="161"/>
        <v>43677</v>
      </c>
      <c r="V285" s="210">
        <f t="shared" si="170"/>
        <v>0</v>
      </c>
      <c r="W285" s="211"/>
      <c r="X285" s="211">
        <f>IF(AND($V285&gt;0,$I285=1),IF($E285=10,P285/10,P285/$V285),0)</f>
        <v>0</v>
      </c>
      <c r="Y285" s="212">
        <f>IF(AND($V279&gt;0,$I285&lt;&gt;1),Q285/E279*V279,0)</f>
        <v>0</v>
      </c>
    </row>
    <row r="286" spans="2:25" ht="16.5" hidden="1" thickTop="1" thickBot="1" x14ac:dyDescent="0.3">
      <c r="B286" s="129">
        <f>B284+1</f>
        <v>40</v>
      </c>
      <c r="C286" s="130">
        <v>274</v>
      </c>
      <c r="D286" s="196" t="str">
        <f t="shared" si="162"/>
        <v>I</v>
      </c>
      <c r="E286" s="131"/>
      <c r="F286" s="132"/>
      <c r="G286" s="132"/>
      <c r="H286" s="133"/>
      <c r="I286" s="133"/>
      <c r="J286" s="131"/>
      <c r="K286" s="134"/>
      <c r="L286" s="133"/>
      <c r="M286" s="133"/>
      <c r="N286" s="135"/>
      <c r="O286" s="136"/>
      <c r="P286" s="137"/>
      <c r="Q286" s="138"/>
      <c r="R286" s="139"/>
      <c r="S286" s="140"/>
      <c r="T286" s="203">
        <f t="shared" si="160"/>
        <v>43647</v>
      </c>
      <c r="U286" s="204">
        <f t="shared" si="161"/>
        <v>43677</v>
      </c>
      <c r="V286" s="207">
        <f>IF(G286-F286+1-IF(G286-U286&gt;0,G286-U286,0)-IF(T286-F286&gt;0,T286-F286,0)&gt;0,G286-F286+1-IF(G286-U286&gt;0,G286-U286,0)-IF(T286-F286&gt;0,T286-F286,0),0)</f>
        <v>0</v>
      </c>
      <c r="W286" s="206" t="str">
        <f t="shared" ref="W286:W291" si="171">IF(V286&gt;0,H286,"")</f>
        <v/>
      </c>
      <c r="X286" s="206">
        <f t="shared" ref="X286:X291" si="172">IF(AND($V286&gt;0,$I286=1),P286/$E286*$V286,0)</f>
        <v>0</v>
      </c>
      <c r="Y286" s="209">
        <f t="shared" ref="Y286:Y291" si="173">IF(AND($V286&gt;0,$I286&lt;&gt;1),Q286/$E286*$V286,0)</f>
        <v>0</v>
      </c>
    </row>
    <row r="287" spans="2:25" ht="15.75" hidden="1" thickBot="1" x14ac:dyDescent="0.3">
      <c r="B287" s="60">
        <f>B286</f>
        <v>40</v>
      </c>
      <c r="C287" s="102">
        <v>275</v>
      </c>
      <c r="D287" s="192" t="str">
        <f t="shared" si="162"/>
        <v>I</v>
      </c>
      <c r="E287" s="62"/>
      <c r="F287" s="105"/>
      <c r="G287" s="105"/>
      <c r="H287" s="61"/>
      <c r="I287" s="61"/>
      <c r="J287" s="62"/>
      <c r="K287" s="63"/>
      <c r="L287" s="61"/>
      <c r="M287" s="61"/>
      <c r="N287" s="111"/>
      <c r="O287" s="112"/>
      <c r="P287" s="113"/>
      <c r="Q287" s="114"/>
      <c r="R287" s="64"/>
      <c r="S287" s="108"/>
      <c r="T287" s="203">
        <f t="shared" si="160"/>
        <v>43647</v>
      </c>
      <c r="U287" s="204">
        <f t="shared" si="161"/>
        <v>43677</v>
      </c>
      <c r="V287" s="207">
        <f t="shared" ref="V287:V292" si="174">IF(G287-F287+1-IF(G287-U287&gt;0,G287-U287,0)-IF(T287-F287&gt;0,T287-F287,0)&gt;0,G287-F287+1-IF(G287-U287&gt;0,G287-U287,0)-IF(T287-F287&gt;0,T287-F287,0),0)</f>
        <v>0</v>
      </c>
      <c r="W287" s="206" t="str">
        <f t="shared" si="171"/>
        <v/>
      </c>
      <c r="X287" s="206">
        <f t="shared" si="172"/>
        <v>0</v>
      </c>
      <c r="Y287" s="209">
        <f t="shared" si="173"/>
        <v>0</v>
      </c>
    </row>
    <row r="288" spans="2:25" ht="15.75" hidden="1" thickBot="1" x14ac:dyDescent="0.3">
      <c r="B288" s="60">
        <f>B286</f>
        <v>40</v>
      </c>
      <c r="C288" s="102">
        <v>276</v>
      </c>
      <c r="D288" s="192" t="str">
        <f t="shared" si="162"/>
        <v>I</v>
      </c>
      <c r="E288" s="62"/>
      <c r="F288" s="105"/>
      <c r="G288" s="105"/>
      <c r="H288" s="61"/>
      <c r="I288" s="61"/>
      <c r="J288" s="62"/>
      <c r="K288" s="63"/>
      <c r="L288" s="61"/>
      <c r="M288" s="61"/>
      <c r="N288" s="111"/>
      <c r="O288" s="112"/>
      <c r="P288" s="113"/>
      <c r="Q288" s="114"/>
      <c r="R288" s="64"/>
      <c r="S288" s="108"/>
      <c r="T288" s="203">
        <f t="shared" si="160"/>
        <v>43647</v>
      </c>
      <c r="U288" s="204">
        <f t="shared" si="161"/>
        <v>43677</v>
      </c>
      <c r="V288" s="207">
        <f t="shared" si="174"/>
        <v>0</v>
      </c>
      <c r="W288" s="206" t="str">
        <f t="shared" si="171"/>
        <v/>
      </c>
      <c r="X288" s="206">
        <f t="shared" si="172"/>
        <v>0</v>
      </c>
      <c r="Y288" s="209">
        <f t="shared" si="173"/>
        <v>0</v>
      </c>
    </row>
    <row r="289" spans="2:25" ht="15.75" hidden="1" thickBot="1" x14ac:dyDescent="0.3">
      <c r="B289" s="60">
        <f>B286</f>
        <v>40</v>
      </c>
      <c r="C289" s="102">
        <v>277</v>
      </c>
      <c r="D289" s="192" t="str">
        <f t="shared" si="162"/>
        <v>I</v>
      </c>
      <c r="E289" s="62"/>
      <c r="F289" s="105"/>
      <c r="G289" s="105"/>
      <c r="H289" s="61"/>
      <c r="I289" s="61"/>
      <c r="J289" s="62"/>
      <c r="K289" s="63"/>
      <c r="L289" s="61"/>
      <c r="M289" s="61"/>
      <c r="N289" s="111"/>
      <c r="O289" s="112"/>
      <c r="P289" s="113"/>
      <c r="Q289" s="114"/>
      <c r="R289" s="64"/>
      <c r="S289" s="108"/>
      <c r="T289" s="203">
        <f t="shared" si="160"/>
        <v>43647</v>
      </c>
      <c r="U289" s="204">
        <f t="shared" si="161"/>
        <v>43677</v>
      </c>
      <c r="V289" s="207">
        <f t="shared" si="174"/>
        <v>0</v>
      </c>
      <c r="W289" s="206" t="str">
        <f t="shared" si="171"/>
        <v/>
      </c>
      <c r="X289" s="206">
        <f t="shared" si="172"/>
        <v>0</v>
      </c>
      <c r="Y289" s="209">
        <f t="shared" si="173"/>
        <v>0</v>
      </c>
    </row>
    <row r="290" spans="2:25" ht="15.75" hidden="1" thickBot="1" x14ac:dyDescent="0.3">
      <c r="B290" s="60">
        <f>B286</f>
        <v>40</v>
      </c>
      <c r="C290" s="102">
        <v>278</v>
      </c>
      <c r="D290" s="192" t="str">
        <f t="shared" si="162"/>
        <v>I</v>
      </c>
      <c r="E290" s="62"/>
      <c r="F290" s="105"/>
      <c r="G290" s="105"/>
      <c r="H290" s="61"/>
      <c r="I290" s="61"/>
      <c r="J290" s="62"/>
      <c r="K290" s="63"/>
      <c r="L290" s="61"/>
      <c r="M290" s="61"/>
      <c r="N290" s="111"/>
      <c r="O290" s="112"/>
      <c r="P290" s="113"/>
      <c r="Q290" s="114"/>
      <c r="R290" s="64"/>
      <c r="S290" s="108"/>
      <c r="T290" s="203">
        <f t="shared" si="160"/>
        <v>43647</v>
      </c>
      <c r="U290" s="204">
        <f t="shared" si="161"/>
        <v>43677</v>
      </c>
      <c r="V290" s="207">
        <f t="shared" si="174"/>
        <v>0</v>
      </c>
      <c r="W290" s="206" t="str">
        <f t="shared" si="171"/>
        <v/>
      </c>
      <c r="X290" s="206">
        <f t="shared" si="172"/>
        <v>0</v>
      </c>
      <c r="Y290" s="209">
        <f t="shared" si="173"/>
        <v>0</v>
      </c>
    </row>
    <row r="291" spans="2:25" ht="15.75" hidden="1" thickBot="1" x14ac:dyDescent="0.3">
      <c r="B291" s="60">
        <f>B286</f>
        <v>40</v>
      </c>
      <c r="C291" s="102">
        <v>279</v>
      </c>
      <c r="D291" s="192" t="str">
        <f t="shared" si="162"/>
        <v>I</v>
      </c>
      <c r="E291" s="62"/>
      <c r="F291" s="105"/>
      <c r="G291" s="105"/>
      <c r="H291" s="61"/>
      <c r="I291" s="61"/>
      <c r="J291" s="62"/>
      <c r="K291" s="63"/>
      <c r="L291" s="61"/>
      <c r="M291" s="61"/>
      <c r="N291" s="111"/>
      <c r="O291" s="112"/>
      <c r="P291" s="113"/>
      <c r="Q291" s="114"/>
      <c r="R291" s="64"/>
      <c r="S291" s="108"/>
      <c r="T291" s="203">
        <f t="shared" si="160"/>
        <v>43647</v>
      </c>
      <c r="U291" s="204">
        <f t="shared" si="161"/>
        <v>43677</v>
      </c>
      <c r="V291" s="207">
        <f t="shared" si="174"/>
        <v>0</v>
      </c>
      <c r="W291" s="206" t="str">
        <f t="shared" si="171"/>
        <v/>
      </c>
      <c r="X291" s="206">
        <f t="shared" si="172"/>
        <v>0</v>
      </c>
      <c r="Y291" s="209">
        <f t="shared" si="173"/>
        <v>0</v>
      </c>
    </row>
    <row r="292" spans="2:25" ht="15.75" hidden="1" thickBot="1" x14ac:dyDescent="0.3">
      <c r="B292" s="141">
        <f>B286</f>
        <v>40</v>
      </c>
      <c r="C292" s="142">
        <v>280</v>
      </c>
      <c r="D292" s="194" t="str">
        <f t="shared" si="162"/>
        <v>I</v>
      </c>
      <c r="E292" s="143"/>
      <c r="F292" s="144"/>
      <c r="G292" s="144"/>
      <c r="H292" s="145"/>
      <c r="I292" s="145"/>
      <c r="J292" s="436" t="s">
        <v>181</v>
      </c>
      <c r="K292" s="437"/>
      <c r="L292" s="438"/>
      <c r="M292" s="145"/>
      <c r="N292" s="146"/>
      <c r="O292" s="147"/>
      <c r="P292" s="148"/>
      <c r="Q292" s="149"/>
      <c r="R292" s="150"/>
      <c r="S292" s="151"/>
      <c r="T292" s="213">
        <f t="shared" si="160"/>
        <v>43647</v>
      </c>
      <c r="U292" s="214">
        <f t="shared" si="161"/>
        <v>43677</v>
      </c>
      <c r="V292" s="210">
        <f t="shared" si="174"/>
        <v>0</v>
      </c>
      <c r="W292" s="211"/>
      <c r="X292" s="211">
        <f>IF(AND($V292&gt;0,$I292=1),IF($E292=10,P292/10,P292/$V292),0)</f>
        <v>0</v>
      </c>
      <c r="Y292" s="212">
        <f>IF(AND($V286&gt;0,$I292&lt;&gt;1),Q292/E286*V286,0)</f>
        <v>0</v>
      </c>
    </row>
    <row r="293" spans="2:25" ht="16.5" hidden="1" thickTop="1" thickBot="1" x14ac:dyDescent="0.3">
      <c r="B293" s="129">
        <f>B291+1</f>
        <v>41</v>
      </c>
      <c r="C293" s="130">
        <v>281</v>
      </c>
      <c r="D293" s="196" t="str">
        <f t="shared" si="162"/>
        <v>I</v>
      </c>
      <c r="E293" s="152"/>
      <c r="F293" s="153"/>
      <c r="G293" s="153"/>
      <c r="H293" s="154"/>
      <c r="I293" s="154"/>
      <c r="J293" s="152"/>
      <c r="K293" s="155"/>
      <c r="L293" s="154"/>
      <c r="M293" s="154"/>
      <c r="N293" s="156"/>
      <c r="O293" s="157"/>
      <c r="P293" s="158"/>
      <c r="Q293" s="159"/>
      <c r="R293" s="160"/>
      <c r="S293" s="161"/>
      <c r="T293" s="203">
        <f t="shared" si="160"/>
        <v>43647</v>
      </c>
      <c r="U293" s="204">
        <f t="shared" si="161"/>
        <v>43677</v>
      </c>
      <c r="V293" s="207">
        <f>IF(G293-F293+1-IF(G293-U293&gt;0,G293-U293,0)-IF(T293-F293&gt;0,T293-F293,0)&gt;0,G293-F293+1-IF(G293-U293&gt;0,G293-U293,0)-IF(T293-F293&gt;0,T293-F293,0),0)</f>
        <v>0</v>
      </c>
      <c r="W293" s="206" t="str">
        <f t="shared" ref="W293:W298" si="175">IF(V293&gt;0,H293,"")</f>
        <v/>
      </c>
      <c r="X293" s="206">
        <f t="shared" ref="X293:X298" si="176">IF(AND($V293&gt;0,$I293=1),P293/$E293*$V293,0)</f>
        <v>0</v>
      </c>
      <c r="Y293" s="209">
        <f t="shared" ref="Y293:Y298" si="177">IF(AND($V293&gt;0,$I293&lt;&gt;1),Q293/$E293*$V293,0)</f>
        <v>0</v>
      </c>
    </row>
    <row r="294" spans="2:25" ht="15.75" hidden="1" thickBot="1" x14ac:dyDescent="0.3">
      <c r="B294" s="60">
        <f>B293</f>
        <v>41</v>
      </c>
      <c r="C294" s="102">
        <v>282</v>
      </c>
      <c r="D294" s="192" t="str">
        <f t="shared" si="162"/>
        <v>I</v>
      </c>
      <c r="E294" s="162"/>
      <c r="F294" s="163"/>
      <c r="G294" s="163"/>
      <c r="H294" s="164"/>
      <c r="I294" s="164"/>
      <c r="J294" s="162"/>
      <c r="K294" s="165"/>
      <c r="L294" s="164"/>
      <c r="M294" s="164"/>
      <c r="N294" s="166"/>
      <c r="O294" s="167"/>
      <c r="P294" s="168"/>
      <c r="Q294" s="169"/>
      <c r="R294" s="170"/>
      <c r="S294" s="171"/>
      <c r="T294" s="203">
        <f t="shared" si="160"/>
        <v>43647</v>
      </c>
      <c r="U294" s="204">
        <f t="shared" si="161"/>
        <v>43677</v>
      </c>
      <c r="V294" s="207">
        <f t="shared" ref="V294:V299" si="178">IF(G294-F294+1-IF(G294-U294&gt;0,G294-U294,0)-IF(T294-F294&gt;0,T294-F294,0)&gt;0,G294-F294+1-IF(G294-U294&gt;0,G294-U294,0)-IF(T294-F294&gt;0,T294-F294,0),0)</f>
        <v>0</v>
      </c>
      <c r="W294" s="206" t="str">
        <f t="shared" si="175"/>
        <v/>
      </c>
      <c r="X294" s="206">
        <f t="shared" si="176"/>
        <v>0</v>
      </c>
      <c r="Y294" s="209">
        <f t="shared" si="177"/>
        <v>0</v>
      </c>
    </row>
    <row r="295" spans="2:25" ht="15.75" hidden="1" thickBot="1" x14ac:dyDescent="0.3">
      <c r="B295" s="60">
        <f>B293</f>
        <v>41</v>
      </c>
      <c r="C295" s="102">
        <v>283</v>
      </c>
      <c r="D295" s="192" t="str">
        <f t="shared" si="162"/>
        <v>I</v>
      </c>
      <c r="E295" s="162"/>
      <c r="F295" s="163"/>
      <c r="G295" s="163"/>
      <c r="H295" s="164"/>
      <c r="I295" s="164"/>
      <c r="J295" s="162"/>
      <c r="K295" s="165"/>
      <c r="L295" s="164"/>
      <c r="M295" s="164"/>
      <c r="N295" s="166"/>
      <c r="O295" s="167"/>
      <c r="P295" s="168"/>
      <c r="Q295" s="169"/>
      <c r="R295" s="170"/>
      <c r="S295" s="171"/>
      <c r="T295" s="203">
        <f t="shared" si="160"/>
        <v>43647</v>
      </c>
      <c r="U295" s="204">
        <f t="shared" si="161"/>
        <v>43677</v>
      </c>
      <c r="V295" s="207">
        <f t="shared" si="178"/>
        <v>0</v>
      </c>
      <c r="W295" s="206" t="str">
        <f t="shared" si="175"/>
        <v/>
      </c>
      <c r="X295" s="206">
        <f t="shared" si="176"/>
        <v>0</v>
      </c>
      <c r="Y295" s="209">
        <f t="shared" si="177"/>
        <v>0</v>
      </c>
    </row>
    <row r="296" spans="2:25" ht="15.75" hidden="1" thickBot="1" x14ac:dyDescent="0.3">
      <c r="B296" s="60">
        <f>B293</f>
        <v>41</v>
      </c>
      <c r="C296" s="102">
        <v>284</v>
      </c>
      <c r="D296" s="192" t="str">
        <f t="shared" si="162"/>
        <v>I</v>
      </c>
      <c r="E296" s="162"/>
      <c r="F296" s="163"/>
      <c r="G296" s="163"/>
      <c r="H296" s="164"/>
      <c r="I296" s="164"/>
      <c r="J296" s="162"/>
      <c r="K296" s="165"/>
      <c r="L296" s="164"/>
      <c r="M296" s="164"/>
      <c r="N296" s="166"/>
      <c r="O296" s="167"/>
      <c r="P296" s="168"/>
      <c r="Q296" s="169"/>
      <c r="R296" s="170"/>
      <c r="S296" s="171"/>
      <c r="T296" s="203">
        <f t="shared" si="160"/>
        <v>43647</v>
      </c>
      <c r="U296" s="204">
        <f t="shared" si="161"/>
        <v>43677</v>
      </c>
      <c r="V296" s="207">
        <f t="shared" si="178"/>
        <v>0</v>
      </c>
      <c r="W296" s="206" t="str">
        <f t="shared" si="175"/>
        <v/>
      </c>
      <c r="X296" s="206">
        <f t="shared" si="176"/>
        <v>0</v>
      </c>
      <c r="Y296" s="209">
        <f t="shared" si="177"/>
        <v>0</v>
      </c>
    </row>
    <row r="297" spans="2:25" ht="15.75" hidden="1" thickBot="1" x14ac:dyDescent="0.3">
      <c r="B297" s="60">
        <f>B293</f>
        <v>41</v>
      </c>
      <c r="C297" s="102">
        <v>285</v>
      </c>
      <c r="D297" s="192" t="str">
        <f t="shared" si="162"/>
        <v>I</v>
      </c>
      <c r="E297" s="162"/>
      <c r="F297" s="163"/>
      <c r="G297" s="163"/>
      <c r="H297" s="164"/>
      <c r="I297" s="164"/>
      <c r="J297" s="162"/>
      <c r="K297" s="165"/>
      <c r="L297" s="164"/>
      <c r="M297" s="164"/>
      <c r="N297" s="166"/>
      <c r="O297" s="167"/>
      <c r="P297" s="168"/>
      <c r="Q297" s="169"/>
      <c r="R297" s="170"/>
      <c r="S297" s="171"/>
      <c r="T297" s="203">
        <f t="shared" si="160"/>
        <v>43647</v>
      </c>
      <c r="U297" s="204">
        <f t="shared" si="161"/>
        <v>43677</v>
      </c>
      <c r="V297" s="207">
        <f t="shared" si="178"/>
        <v>0</v>
      </c>
      <c r="W297" s="206" t="str">
        <f t="shared" si="175"/>
        <v/>
      </c>
      <c r="X297" s="206">
        <f t="shared" si="176"/>
        <v>0</v>
      </c>
      <c r="Y297" s="209">
        <f t="shared" si="177"/>
        <v>0</v>
      </c>
    </row>
    <row r="298" spans="2:25" ht="15.75" hidden="1" thickBot="1" x14ac:dyDescent="0.3">
      <c r="B298" s="60">
        <f>B293</f>
        <v>41</v>
      </c>
      <c r="C298" s="102">
        <v>286</v>
      </c>
      <c r="D298" s="192" t="str">
        <f t="shared" si="162"/>
        <v>I</v>
      </c>
      <c r="E298" s="172"/>
      <c r="F298" s="173"/>
      <c r="G298" s="173"/>
      <c r="H298" s="174"/>
      <c r="I298" s="174"/>
      <c r="J298" s="172"/>
      <c r="K298" s="175"/>
      <c r="L298" s="174"/>
      <c r="M298" s="174"/>
      <c r="N298" s="176"/>
      <c r="O298" s="177"/>
      <c r="P298" s="178"/>
      <c r="Q298" s="179"/>
      <c r="R298" s="180"/>
      <c r="S298" s="181"/>
      <c r="T298" s="203">
        <f t="shared" si="160"/>
        <v>43647</v>
      </c>
      <c r="U298" s="204">
        <f t="shared" si="161"/>
        <v>43677</v>
      </c>
      <c r="V298" s="207">
        <f t="shared" si="178"/>
        <v>0</v>
      </c>
      <c r="W298" s="206" t="str">
        <f t="shared" si="175"/>
        <v/>
      </c>
      <c r="X298" s="206">
        <f t="shared" si="176"/>
        <v>0</v>
      </c>
      <c r="Y298" s="209">
        <f t="shared" si="177"/>
        <v>0</v>
      </c>
    </row>
    <row r="299" spans="2:25" ht="15.75" hidden="1" thickBot="1" x14ac:dyDescent="0.3">
      <c r="B299" s="141">
        <f>B293</f>
        <v>41</v>
      </c>
      <c r="C299" s="142">
        <v>287</v>
      </c>
      <c r="D299" s="194" t="str">
        <f t="shared" si="162"/>
        <v>I</v>
      </c>
      <c r="E299" s="189"/>
      <c r="F299" s="190"/>
      <c r="G299" s="190"/>
      <c r="H299" s="182"/>
      <c r="I299" s="182"/>
      <c r="J299" s="436" t="s">
        <v>181</v>
      </c>
      <c r="K299" s="437"/>
      <c r="L299" s="438"/>
      <c r="M299" s="182"/>
      <c r="N299" s="183"/>
      <c r="O299" s="184"/>
      <c r="P299" s="185"/>
      <c r="Q299" s="186"/>
      <c r="R299" s="187"/>
      <c r="S299" s="188"/>
      <c r="T299" s="213">
        <f t="shared" si="160"/>
        <v>43647</v>
      </c>
      <c r="U299" s="214">
        <f t="shared" si="161"/>
        <v>43677</v>
      </c>
      <c r="V299" s="210">
        <f t="shared" si="178"/>
        <v>0</v>
      </c>
      <c r="W299" s="211"/>
      <c r="X299" s="211">
        <f>IF(AND($V299&gt;0,$I299=1),IF($E299=10,P299/10,P299/$V299),0)</f>
        <v>0</v>
      </c>
      <c r="Y299" s="212">
        <f>IF(AND($V293&gt;0,$I299&lt;&gt;1),Q299/E293*V293,0)</f>
        <v>0</v>
      </c>
    </row>
    <row r="300" spans="2:25" ht="16.5" hidden="1" thickTop="1" thickBot="1" x14ac:dyDescent="0.3">
      <c r="B300" s="129">
        <f>B298+1</f>
        <v>42</v>
      </c>
      <c r="C300" s="130">
        <v>288</v>
      </c>
      <c r="D300" s="196" t="str">
        <f t="shared" si="162"/>
        <v>I</v>
      </c>
      <c r="E300" s="131"/>
      <c r="F300" s="132"/>
      <c r="G300" s="132"/>
      <c r="H300" s="133"/>
      <c r="I300" s="133"/>
      <c r="J300" s="131"/>
      <c r="K300" s="134"/>
      <c r="L300" s="133"/>
      <c r="M300" s="133"/>
      <c r="N300" s="135"/>
      <c r="O300" s="136"/>
      <c r="P300" s="137"/>
      <c r="Q300" s="138"/>
      <c r="R300" s="139"/>
      <c r="S300" s="140"/>
      <c r="T300" s="203">
        <f t="shared" si="160"/>
        <v>43647</v>
      </c>
      <c r="U300" s="204">
        <f t="shared" si="161"/>
        <v>43677</v>
      </c>
      <c r="V300" s="207">
        <f>IF(G300-F300+1-IF(G300-U300&gt;0,G300-U300,0)-IF(T300-F300&gt;0,T300-F300,0)&gt;0,G300-F300+1-IF(G300-U300&gt;0,G300-U300,0)-IF(T300-F300&gt;0,T300-F300,0),0)</f>
        <v>0</v>
      </c>
      <c r="W300" s="206" t="str">
        <f t="shared" ref="W300:W305" si="179">IF(V300&gt;0,H300,"")</f>
        <v/>
      </c>
      <c r="X300" s="206">
        <f t="shared" ref="X300:X305" si="180">IF(AND($V300&gt;0,$I300=1),P300/$E300*$V300,0)</f>
        <v>0</v>
      </c>
      <c r="Y300" s="209">
        <f t="shared" ref="Y300:Y305" si="181">IF(AND($V300&gt;0,$I300&lt;&gt;1),Q300/$E300*$V300,0)</f>
        <v>0</v>
      </c>
    </row>
    <row r="301" spans="2:25" ht="15.75" hidden="1" thickBot="1" x14ac:dyDescent="0.3">
      <c r="B301" s="60">
        <f>B300</f>
        <v>42</v>
      </c>
      <c r="C301" s="102">
        <v>289</v>
      </c>
      <c r="D301" s="192" t="str">
        <f t="shared" si="162"/>
        <v>I</v>
      </c>
      <c r="E301" s="62"/>
      <c r="F301" s="105"/>
      <c r="G301" s="105"/>
      <c r="H301" s="61"/>
      <c r="I301" s="61"/>
      <c r="J301" s="62"/>
      <c r="K301" s="63"/>
      <c r="L301" s="61"/>
      <c r="M301" s="61"/>
      <c r="N301" s="111"/>
      <c r="O301" s="112"/>
      <c r="P301" s="113"/>
      <c r="Q301" s="114"/>
      <c r="R301" s="64"/>
      <c r="S301" s="108"/>
      <c r="T301" s="203">
        <f t="shared" si="160"/>
        <v>43647</v>
      </c>
      <c r="U301" s="204">
        <f t="shared" si="161"/>
        <v>43677</v>
      </c>
      <c r="V301" s="207">
        <f t="shared" ref="V301:V306" si="182">IF(G301-F301+1-IF(G301-U301&gt;0,G301-U301,0)-IF(T301-F301&gt;0,T301-F301,0)&gt;0,G301-F301+1-IF(G301-U301&gt;0,G301-U301,0)-IF(T301-F301&gt;0,T301-F301,0),0)</f>
        <v>0</v>
      </c>
      <c r="W301" s="206" t="str">
        <f t="shared" si="179"/>
        <v/>
      </c>
      <c r="X301" s="206">
        <f t="shared" si="180"/>
        <v>0</v>
      </c>
      <c r="Y301" s="209">
        <f t="shared" si="181"/>
        <v>0</v>
      </c>
    </row>
    <row r="302" spans="2:25" ht="15.75" hidden="1" thickBot="1" x14ac:dyDescent="0.3">
      <c r="B302" s="60">
        <f>B300</f>
        <v>42</v>
      </c>
      <c r="C302" s="102">
        <v>290</v>
      </c>
      <c r="D302" s="192" t="str">
        <f t="shared" si="162"/>
        <v>I</v>
      </c>
      <c r="E302" s="62"/>
      <c r="F302" s="105"/>
      <c r="G302" s="105"/>
      <c r="H302" s="61"/>
      <c r="I302" s="61"/>
      <c r="J302" s="62"/>
      <c r="K302" s="63"/>
      <c r="L302" s="61"/>
      <c r="M302" s="61"/>
      <c r="N302" s="111"/>
      <c r="O302" s="112"/>
      <c r="P302" s="113"/>
      <c r="Q302" s="114"/>
      <c r="R302" s="64"/>
      <c r="S302" s="108"/>
      <c r="T302" s="203">
        <f t="shared" si="160"/>
        <v>43647</v>
      </c>
      <c r="U302" s="204">
        <f t="shared" si="161"/>
        <v>43677</v>
      </c>
      <c r="V302" s="207">
        <f t="shared" si="182"/>
        <v>0</v>
      </c>
      <c r="W302" s="206" t="str">
        <f t="shared" si="179"/>
        <v/>
      </c>
      <c r="X302" s="206">
        <f t="shared" si="180"/>
        <v>0</v>
      </c>
      <c r="Y302" s="209">
        <f t="shared" si="181"/>
        <v>0</v>
      </c>
    </row>
    <row r="303" spans="2:25" ht="15.75" hidden="1" thickBot="1" x14ac:dyDescent="0.3">
      <c r="B303" s="60">
        <f>B300</f>
        <v>42</v>
      </c>
      <c r="C303" s="102">
        <v>291</v>
      </c>
      <c r="D303" s="192" t="str">
        <f t="shared" si="162"/>
        <v>I</v>
      </c>
      <c r="E303" s="62"/>
      <c r="F303" s="105"/>
      <c r="G303" s="105"/>
      <c r="H303" s="61"/>
      <c r="I303" s="61"/>
      <c r="J303" s="62"/>
      <c r="K303" s="63"/>
      <c r="L303" s="61"/>
      <c r="M303" s="61"/>
      <c r="N303" s="111"/>
      <c r="O303" s="112"/>
      <c r="P303" s="113"/>
      <c r="Q303" s="114"/>
      <c r="R303" s="64"/>
      <c r="S303" s="108"/>
      <c r="T303" s="203">
        <f t="shared" si="160"/>
        <v>43647</v>
      </c>
      <c r="U303" s="204">
        <f t="shared" si="161"/>
        <v>43677</v>
      </c>
      <c r="V303" s="207">
        <f t="shared" si="182"/>
        <v>0</v>
      </c>
      <c r="W303" s="206" t="str">
        <f t="shared" si="179"/>
        <v/>
      </c>
      <c r="X303" s="206">
        <f t="shared" si="180"/>
        <v>0</v>
      </c>
      <c r="Y303" s="209">
        <f t="shared" si="181"/>
        <v>0</v>
      </c>
    </row>
    <row r="304" spans="2:25" ht="15.75" hidden="1" thickBot="1" x14ac:dyDescent="0.3">
      <c r="B304" s="60">
        <f>B300</f>
        <v>42</v>
      </c>
      <c r="C304" s="102">
        <v>292</v>
      </c>
      <c r="D304" s="192" t="str">
        <f t="shared" si="162"/>
        <v>I</v>
      </c>
      <c r="E304" s="62"/>
      <c r="F304" s="105"/>
      <c r="G304" s="105"/>
      <c r="H304" s="61"/>
      <c r="I304" s="61"/>
      <c r="J304" s="62"/>
      <c r="K304" s="63"/>
      <c r="L304" s="61"/>
      <c r="M304" s="61"/>
      <c r="N304" s="111"/>
      <c r="O304" s="112"/>
      <c r="P304" s="113"/>
      <c r="Q304" s="114"/>
      <c r="R304" s="64"/>
      <c r="S304" s="108"/>
      <c r="T304" s="203">
        <f t="shared" si="160"/>
        <v>43647</v>
      </c>
      <c r="U304" s="204">
        <f t="shared" si="161"/>
        <v>43677</v>
      </c>
      <c r="V304" s="207">
        <f t="shared" si="182"/>
        <v>0</v>
      </c>
      <c r="W304" s="206" t="str">
        <f t="shared" si="179"/>
        <v/>
      </c>
      <c r="X304" s="206">
        <f t="shared" si="180"/>
        <v>0</v>
      </c>
      <c r="Y304" s="209">
        <f t="shared" si="181"/>
        <v>0</v>
      </c>
    </row>
    <row r="305" spans="2:25" ht="15.75" hidden="1" thickBot="1" x14ac:dyDescent="0.3">
      <c r="B305" s="60">
        <f>B300</f>
        <v>42</v>
      </c>
      <c r="C305" s="102">
        <v>293</v>
      </c>
      <c r="D305" s="192" t="str">
        <f t="shared" si="162"/>
        <v>I</v>
      </c>
      <c r="E305" s="62"/>
      <c r="F305" s="105"/>
      <c r="G305" s="105"/>
      <c r="H305" s="61"/>
      <c r="I305" s="61"/>
      <c r="J305" s="62"/>
      <c r="K305" s="63"/>
      <c r="L305" s="61"/>
      <c r="M305" s="61"/>
      <c r="N305" s="111"/>
      <c r="O305" s="112"/>
      <c r="P305" s="113"/>
      <c r="Q305" s="114"/>
      <c r="R305" s="64"/>
      <c r="S305" s="108"/>
      <c r="T305" s="203">
        <f t="shared" si="160"/>
        <v>43647</v>
      </c>
      <c r="U305" s="204">
        <f t="shared" si="161"/>
        <v>43677</v>
      </c>
      <c r="V305" s="207">
        <f t="shared" si="182"/>
        <v>0</v>
      </c>
      <c r="W305" s="206" t="str">
        <f t="shared" si="179"/>
        <v/>
      </c>
      <c r="X305" s="206">
        <f t="shared" si="180"/>
        <v>0</v>
      </c>
      <c r="Y305" s="209">
        <f t="shared" si="181"/>
        <v>0</v>
      </c>
    </row>
    <row r="306" spans="2:25" ht="15.75" hidden="1" thickBot="1" x14ac:dyDescent="0.3">
      <c r="B306" s="141">
        <f>B300</f>
        <v>42</v>
      </c>
      <c r="C306" s="142">
        <v>294</v>
      </c>
      <c r="D306" s="194" t="str">
        <f t="shared" si="162"/>
        <v>I</v>
      </c>
      <c r="E306" s="143"/>
      <c r="F306" s="144"/>
      <c r="G306" s="144"/>
      <c r="H306" s="145"/>
      <c r="I306" s="145"/>
      <c r="J306" s="436" t="s">
        <v>181</v>
      </c>
      <c r="K306" s="437"/>
      <c r="L306" s="438"/>
      <c r="M306" s="145"/>
      <c r="N306" s="146"/>
      <c r="O306" s="147"/>
      <c r="P306" s="148"/>
      <c r="Q306" s="149"/>
      <c r="R306" s="150"/>
      <c r="S306" s="151"/>
      <c r="T306" s="213">
        <f t="shared" si="160"/>
        <v>43647</v>
      </c>
      <c r="U306" s="214">
        <f t="shared" si="161"/>
        <v>43677</v>
      </c>
      <c r="V306" s="210">
        <f t="shared" si="182"/>
        <v>0</v>
      </c>
      <c r="W306" s="211"/>
      <c r="X306" s="211">
        <f>IF(AND($V306&gt;0,$I306=1),IF($E306=10,P306/10,P306/$V306),0)</f>
        <v>0</v>
      </c>
      <c r="Y306" s="212">
        <f>IF(AND($V300&gt;0,$I306&lt;&gt;1),Q306/E300*V300,0)</f>
        <v>0</v>
      </c>
    </row>
    <row r="307" spans="2:25" ht="16.5" hidden="1" thickTop="1" thickBot="1" x14ac:dyDescent="0.3">
      <c r="B307" s="129">
        <f>B305+1</f>
        <v>43</v>
      </c>
      <c r="C307" s="130">
        <v>295</v>
      </c>
      <c r="D307" s="196" t="str">
        <f t="shared" si="162"/>
        <v>I</v>
      </c>
      <c r="E307" s="152"/>
      <c r="F307" s="153"/>
      <c r="G307" s="153"/>
      <c r="H307" s="154"/>
      <c r="I307" s="154"/>
      <c r="J307" s="152"/>
      <c r="K307" s="155"/>
      <c r="L307" s="154"/>
      <c r="M307" s="154"/>
      <c r="N307" s="156"/>
      <c r="O307" s="157"/>
      <c r="P307" s="158"/>
      <c r="Q307" s="159"/>
      <c r="R307" s="160"/>
      <c r="S307" s="161"/>
      <c r="T307" s="203">
        <f t="shared" si="160"/>
        <v>43647</v>
      </c>
      <c r="U307" s="204">
        <f t="shared" si="161"/>
        <v>43677</v>
      </c>
      <c r="V307" s="207">
        <f>IF(G307-F307+1-IF(G307-U307&gt;0,G307-U307,0)-IF(T307-F307&gt;0,T307-F307,0)&gt;0,G307-F307+1-IF(G307-U307&gt;0,G307-U307,0)-IF(T307-F307&gt;0,T307-F307,0),0)</f>
        <v>0</v>
      </c>
      <c r="W307" s="206" t="str">
        <f t="shared" ref="W307:W312" si="183">IF(V307&gt;0,H307,"")</f>
        <v/>
      </c>
      <c r="X307" s="206">
        <f t="shared" ref="X307:X312" si="184">IF(AND($V307&gt;0,$I307=1),P307/$E307*$V307,0)</f>
        <v>0</v>
      </c>
      <c r="Y307" s="209">
        <f t="shared" ref="Y307:Y312" si="185">IF(AND($V307&gt;0,$I307&lt;&gt;1),Q307/$E307*$V307,0)</f>
        <v>0</v>
      </c>
    </row>
    <row r="308" spans="2:25" ht="15.75" hidden="1" thickBot="1" x14ac:dyDescent="0.3">
      <c r="B308" s="60">
        <f>B307</f>
        <v>43</v>
      </c>
      <c r="C308" s="102">
        <v>296</v>
      </c>
      <c r="D308" s="192" t="str">
        <f t="shared" si="162"/>
        <v>I</v>
      </c>
      <c r="E308" s="162"/>
      <c r="F308" s="163"/>
      <c r="G308" s="163"/>
      <c r="H308" s="164"/>
      <c r="I308" s="164"/>
      <c r="J308" s="162"/>
      <c r="K308" s="165"/>
      <c r="L308" s="164"/>
      <c r="M308" s="164"/>
      <c r="N308" s="166"/>
      <c r="O308" s="167"/>
      <c r="P308" s="168"/>
      <c r="Q308" s="169"/>
      <c r="R308" s="170"/>
      <c r="S308" s="171"/>
      <c r="T308" s="203">
        <f t="shared" si="160"/>
        <v>43647</v>
      </c>
      <c r="U308" s="204">
        <f t="shared" si="161"/>
        <v>43677</v>
      </c>
      <c r="V308" s="207">
        <f t="shared" ref="V308:V313" si="186">IF(G308-F308+1-IF(G308-U308&gt;0,G308-U308,0)-IF(T308-F308&gt;0,T308-F308,0)&gt;0,G308-F308+1-IF(G308-U308&gt;0,G308-U308,0)-IF(T308-F308&gt;0,T308-F308,0),0)</f>
        <v>0</v>
      </c>
      <c r="W308" s="206" t="str">
        <f t="shared" si="183"/>
        <v/>
      </c>
      <c r="X308" s="206">
        <f t="shared" si="184"/>
        <v>0</v>
      </c>
      <c r="Y308" s="209">
        <f t="shared" si="185"/>
        <v>0</v>
      </c>
    </row>
    <row r="309" spans="2:25" ht="15.75" hidden="1" thickBot="1" x14ac:dyDescent="0.3">
      <c r="B309" s="60">
        <f>B307</f>
        <v>43</v>
      </c>
      <c r="C309" s="102">
        <v>297</v>
      </c>
      <c r="D309" s="192" t="str">
        <f t="shared" si="162"/>
        <v>I</v>
      </c>
      <c r="E309" s="162"/>
      <c r="F309" s="163"/>
      <c r="G309" s="163"/>
      <c r="H309" s="164"/>
      <c r="I309" s="164"/>
      <c r="J309" s="162"/>
      <c r="K309" s="165"/>
      <c r="L309" s="164"/>
      <c r="M309" s="164"/>
      <c r="N309" s="166"/>
      <c r="O309" s="167"/>
      <c r="P309" s="168"/>
      <c r="Q309" s="169"/>
      <c r="R309" s="170"/>
      <c r="S309" s="171"/>
      <c r="T309" s="203">
        <f t="shared" si="160"/>
        <v>43647</v>
      </c>
      <c r="U309" s="204">
        <f t="shared" si="161"/>
        <v>43677</v>
      </c>
      <c r="V309" s="207">
        <f t="shared" si="186"/>
        <v>0</v>
      </c>
      <c r="W309" s="206" t="str">
        <f t="shared" si="183"/>
        <v/>
      </c>
      <c r="X309" s="206">
        <f t="shared" si="184"/>
        <v>0</v>
      </c>
      <c r="Y309" s="209">
        <f t="shared" si="185"/>
        <v>0</v>
      </c>
    </row>
    <row r="310" spans="2:25" ht="15.75" hidden="1" thickBot="1" x14ac:dyDescent="0.3">
      <c r="B310" s="60">
        <f>B307</f>
        <v>43</v>
      </c>
      <c r="C310" s="102">
        <v>298</v>
      </c>
      <c r="D310" s="192" t="str">
        <f t="shared" si="162"/>
        <v>I</v>
      </c>
      <c r="E310" s="162"/>
      <c r="F310" s="163"/>
      <c r="G310" s="163"/>
      <c r="H310" s="164"/>
      <c r="I310" s="164"/>
      <c r="J310" s="162"/>
      <c r="K310" s="165"/>
      <c r="L310" s="164"/>
      <c r="M310" s="164"/>
      <c r="N310" s="166"/>
      <c r="O310" s="167"/>
      <c r="P310" s="168"/>
      <c r="Q310" s="169"/>
      <c r="R310" s="170"/>
      <c r="S310" s="171"/>
      <c r="T310" s="203">
        <f t="shared" si="160"/>
        <v>43647</v>
      </c>
      <c r="U310" s="204">
        <f t="shared" si="161"/>
        <v>43677</v>
      </c>
      <c r="V310" s="207">
        <f t="shared" si="186"/>
        <v>0</v>
      </c>
      <c r="W310" s="206" t="str">
        <f t="shared" si="183"/>
        <v/>
      </c>
      <c r="X310" s="206">
        <f t="shared" si="184"/>
        <v>0</v>
      </c>
      <c r="Y310" s="209">
        <f t="shared" si="185"/>
        <v>0</v>
      </c>
    </row>
    <row r="311" spans="2:25" ht="15.75" hidden="1" thickBot="1" x14ac:dyDescent="0.3">
      <c r="B311" s="60">
        <f>B307</f>
        <v>43</v>
      </c>
      <c r="C311" s="102">
        <v>299</v>
      </c>
      <c r="D311" s="192" t="str">
        <f t="shared" si="162"/>
        <v>I</v>
      </c>
      <c r="E311" s="162"/>
      <c r="F311" s="163"/>
      <c r="G311" s="163"/>
      <c r="H311" s="164"/>
      <c r="I311" s="164"/>
      <c r="J311" s="162"/>
      <c r="K311" s="165"/>
      <c r="L311" s="164"/>
      <c r="M311" s="164"/>
      <c r="N311" s="166"/>
      <c r="O311" s="167"/>
      <c r="P311" s="168"/>
      <c r="Q311" s="169"/>
      <c r="R311" s="170"/>
      <c r="S311" s="171"/>
      <c r="T311" s="203">
        <f t="shared" si="160"/>
        <v>43647</v>
      </c>
      <c r="U311" s="204">
        <f t="shared" si="161"/>
        <v>43677</v>
      </c>
      <c r="V311" s="207">
        <f t="shared" si="186"/>
        <v>0</v>
      </c>
      <c r="W311" s="206" t="str">
        <f t="shared" si="183"/>
        <v/>
      </c>
      <c r="X311" s="206">
        <f t="shared" si="184"/>
        <v>0</v>
      </c>
      <c r="Y311" s="209">
        <f t="shared" si="185"/>
        <v>0</v>
      </c>
    </row>
    <row r="312" spans="2:25" ht="15.75" hidden="1" thickBot="1" x14ac:dyDescent="0.3">
      <c r="B312" s="60">
        <f>B307</f>
        <v>43</v>
      </c>
      <c r="C312" s="102">
        <v>300</v>
      </c>
      <c r="D312" s="192" t="str">
        <f t="shared" si="162"/>
        <v>I</v>
      </c>
      <c r="E312" s="172"/>
      <c r="F312" s="173"/>
      <c r="G312" s="173"/>
      <c r="H312" s="174"/>
      <c r="I312" s="174"/>
      <c r="J312" s="172"/>
      <c r="K312" s="175"/>
      <c r="L312" s="174"/>
      <c r="M312" s="174"/>
      <c r="N312" s="176"/>
      <c r="O312" s="177"/>
      <c r="P312" s="178"/>
      <c r="Q312" s="179"/>
      <c r="R312" s="180"/>
      <c r="S312" s="181"/>
      <c r="T312" s="203">
        <f t="shared" si="160"/>
        <v>43647</v>
      </c>
      <c r="U312" s="204">
        <f t="shared" si="161"/>
        <v>43677</v>
      </c>
      <c r="V312" s="207">
        <f t="shared" si="186"/>
        <v>0</v>
      </c>
      <c r="W312" s="206" t="str">
        <f t="shared" si="183"/>
        <v/>
      </c>
      <c r="X312" s="206">
        <f t="shared" si="184"/>
        <v>0</v>
      </c>
      <c r="Y312" s="209">
        <f t="shared" si="185"/>
        <v>0</v>
      </c>
    </row>
    <row r="313" spans="2:25" ht="15.75" hidden="1" thickBot="1" x14ac:dyDescent="0.3">
      <c r="B313" s="141">
        <f>B307</f>
        <v>43</v>
      </c>
      <c r="C313" s="142">
        <v>301</v>
      </c>
      <c r="D313" s="194" t="str">
        <f t="shared" si="162"/>
        <v>I</v>
      </c>
      <c r="E313" s="189"/>
      <c r="F313" s="190"/>
      <c r="G313" s="190"/>
      <c r="H313" s="182"/>
      <c r="I313" s="182"/>
      <c r="J313" s="436" t="s">
        <v>181</v>
      </c>
      <c r="K313" s="437"/>
      <c r="L313" s="438"/>
      <c r="M313" s="182"/>
      <c r="N313" s="183"/>
      <c r="O313" s="184"/>
      <c r="P313" s="185"/>
      <c r="Q313" s="186"/>
      <c r="R313" s="187"/>
      <c r="S313" s="188"/>
      <c r="T313" s="213">
        <f t="shared" si="160"/>
        <v>43647</v>
      </c>
      <c r="U313" s="214">
        <f t="shared" si="161"/>
        <v>43677</v>
      </c>
      <c r="V313" s="210">
        <f t="shared" si="186"/>
        <v>0</v>
      </c>
      <c r="W313" s="211"/>
      <c r="X313" s="211">
        <f>IF(AND($V313&gt;0,$I313=1),IF($E313=10,P313/10,P313/$V313),0)</f>
        <v>0</v>
      </c>
      <c r="Y313" s="212">
        <f>IF(AND($V307&gt;0,$I313&lt;&gt;1),Q313/E307*V307,0)</f>
        <v>0</v>
      </c>
    </row>
    <row r="314" spans="2:25" ht="16.5" hidden="1" thickTop="1" thickBot="1" x14ac:dyDescent="0.3">
      <c r="B314" s="129">
        <f>B312+1</f>
        <v>44</v>
      </c>
      <c r="C314" s="130">
        <v>302</v>
      </c>
      <c r="D314" s="196" t="str">
        <f t="shared" si="162"/>
        <v>I</v>
      </c>
      <c r="E314" s="131"/>
      <c r="F314" s="132"/>
      <c r="G314" s="132"/>
      <c r="H314" s="133"/>
      <c r="I314" s="133"/>
      <c r="J314" s="131"/>
      <c r="K314" s="134"/>
      <c r="L314" s="133"/>
      <c r="M314" s="133"/>
      <c r="N314" s="135"/>
      <c r="O314" s="136"/>
      <c r="P314" s="137"/>
      <c r="Q314" s="138"/>
      <c r="R314" s="139"/>
      <c r="S314" s="140"/>
      <c r="T314" s="203">
        <f t="shared" si="160"/>
        <v>43647</v>
      </c>
      <c r="U314" s="204">
        <f t="shared" si="161"/>
        <v>43677</v>
      </c>
      <c r="V314" s="207">
        <f>IF(G314-F314+1-IF(G314-U314&gt;0,G314-U314,0)-IF(T314-F314&gt;0,T314-F314,0)&gt;0,G314-F314+1-IF(G314-U314&gt;0,G314-U314,0)-IF(T314-F314&gt;0,T314-F314,0),0)</f>
        <v>0</v>
      </c>
      <c r="W314" s="206" t="str">
        <f t="shared" ref="W314:W319" si="187">IF(V314&gt;0,H314,"")</f>
        <v/>
      </c>
      <c r="X314" s="206">
        <f t="shared" ref="X314:X319" si="188">IF(AND($V314&gt;0,$I314=1),P314/$E314*$V314,0)</f>
        <v>0</v>
      </c>
      <c r="Y314" s="209">
        <f t="shared" ref="Y314:Y319" si="189">IF(AND($V314&gt;0,$I314&lt;&gt;1),Q314/$E314*$V314,0)</f>
        <v>0</v>
      </c>
    </row>
    <row r="315" spans="2:25" ht="15.75" hidden="1" thickBot="1" x14ac:dyDescent="0.3">
      <c r="B315" s="60">
        <f>B314</f>
        <v>44</v>
      </c>
      <c r="C315" s="102">
        <v>303</v>
      </c>
      <c r="D315" s="192" t="str">
        <f t="shared" si="162"/>
        <v>I</v>
      </c>
      <c r="E315" s="62"/>
      <c r="F315" s="105"/>
      <c r="G315" s="105"/>
      <c r="H315" s="61"/>
      <c r="I315" s="61"/>
      <c r="J315" s="62"/>
      <c r="K315" s="63"/>
      <c r="L315" s="61"/>
      <c r="M315" s="61"/>
      <c r="N315" s="111"/>
      <c r="O315" s="112"/>
      <c r="P315" s="113"/>
      <c r="Q315" s="114"/>
      <c r="R315" s="64"/>
      <c r="S315" s="108"/>
      <c r="T315" s="203">
        <f t="shared" si="160"/>
        <v>43647</v>
      </c>
      <c r="U315" s="204">
        <f t="shared" si="161"/>
        <v>43677</v>
      </c>
      <c r="V315" s="207">
        <f t="shared" ref="V315:V320" si="190">IF(G315-F315+1-IF(G315-U315&gt;0,G315-U315,0)-IF(T315-F315&gt;0,T315-F315,0)&gt;0,G315-F315+1-IF(G315-U315&gt;0,G315-U315,0)-IF(T315-F315&gt;0,T315-F315,0),0)</f>
        <v>0</v>
      </c>
      <c r="W315" s="206" t="str">
        <f t="shared" si="187"/>
        <v/>
      </c>
      <c r="X315" s="206">
        <f t="shared" si="188"/>
        <v>0</v>
      </c>
      <c r="Y315" s="209">
        <f t="shared" si="189"/>
        <v>0</v>
      </c>
    </row>
    <row r="316" spans="2:25" ht="15.75" hidden="1" thickBot="1" x14ac:dyDescent="0.3">
      <c r="B316" s="60">
        <f>B314</f>
        <v>44</v>
      </c>
      <c r="C316" s="102">
        <v>304</v>
      </c>
      <c r="D316" s="192" t="str">
        <f t="shared" si="162"/>
        <v>I</v>
      </c>
      <c r="E316" s="62"/>
      <c r="F316" s="105"/>
      <c r="G316" s="105"/>
      <c r="H316" s="61"/>
      <c r="I316" s="61"/>
      <c r="J316" s="62"/>
      <c r="K316" s="63"/>
      <c r="L316" s="61"/>
      <c r="M316" s="61"/>
      <c r="N316" s="111"/>
      <c r="O316" s="112"/>
      <c r="P316" s="113"/>
      <c r="Q316" s="114"/>
      <c r="R316" s="64"/>
      <c r="S316" s="108"/>
      <c r="T316" s="203">
        <f t="shared" si="160"/>
        <v>43647</v>
      </c>
      <c r="U316" s="204">
        <f t="shared" si="161"/>
        <v>43677</v>
      </c>
      <c r="V316" s="207">
        <f t="shared" si="190"/>
        <v>0</v>
      </c>
      <c r="W316" s="206" t="str">
        <f t="shared" si="187"/>
        <v/>
      </c>
      <c r="X316" s="206">
        <f t="shared" si="188"/>
        <v>0</v>
      </c>
      <c r="Y316" s="209">
        <f t="shared" si="189"/>
        <v>0</v>
      </c>
    </row>
    <row r="317" spans="2:25" ht="15.75" hidden="1" thickBot="1" x14ac:dyDescent="0.3">
      <c r="B317" s="60">
        <f>B314</f>
        <v>44</v>
      </c>
      <c r="C317" s="102">
        <v>305</v>
      </c>
      <c r="D317" s="192" t="str">
        <f t="shared" si="162"/>
        <v>I</v>
      </c>
      <c r="E317" s="62"/>
      <c r="F317" s="105"/>
      <c r="G317" s="105"/>
      <c r="H317" s="61"/>
      <c r="I317" s="61"/>
      <c r="J317" s="62"/>
      <c r="K317" s="63"/>
      <c r="L317" s="61"/>
      <c r="M317" s="61"/>
      <c r="N317" s="111"/>
      <c r="O317" s="112"/>
      <c r="P317" s="113"/>
      <c r="Q317" s="114"/>
      <c r="R317" s="64"/>
      <c r="S317" s="108"/>
      <c r="T317" s="203">
        <f t="shared" si="160"/>
        <v>43647</v>
      </c>
      <c r="U317" s="204">
        <f t="shared" si="161"/>
        <v>43677</v>
      </c>
      <c r="V317" s="207">
        <f t="shared" si="190"/>
        <v>0</v>
      </c>
      <c r="W317" s="206" t="str">
        <f t="shared" si="187"/>
        <v/>
      </c>
      <c r="X317" s="206">
        <f t="shared" si="188"/>
        <v>0</v>
      </c>
      <c r="Y317" s="209">
        <f t="shared" si="189"/>
        <v>0</v>
      </c>
    </row>
    <row r="318" spans="2:25" ht="15.75" hidden="1" thickBot="1" x14ac:dyDescent="0.3">
      <c r="B318" s="60">
        <f>B314</f>
        <v>44</v>
      </c>
      <c r="C318" s="102">
        <v>306</v>
      </c>
      <c r="D318" s="192" t="str">
        <f t="shared" si="162"/>
        <v>I</v>
      </c>
      <c r="E318" s="62"/>
      <c r="F318" s="105"/>
      <c r="G318" s="105"/>
      <c r="H318" s="61"/>
      <c r="I318" s="61"/>
      <c r="J318" s="62"/>
      <c r="K318" s="63"/>
      <c r="L318" s="61"/>
      <c r="M318" s="61"/>
      <c r="N318" s="111"/>
      <c r="O318" s="112"/>
      <c r="P318" s="113"/>
      <c r="Q318" s="114"/>
      <c r="R318" s="64"/>
      <c r="S318" s="108"/>
      <c r="T318" s="203">
        <f t="shared" si="160"/>
        <v>43647</v>
      </c>
      <c r="U318" s="204">
        <f t="shared" si="161"/>
        <v>43677</v>
      </c>
      <c r="V318" s="207">
        <f t="shared" si="190"/>
        <v>0</v>
      </c>
      <c r="W318" s="206" t="str">
        <f t="shared" si="187"/>
        <v/>
      </c>
      <c r="X318" s="206">
        <f t="shared" si="188"/>
        <v>0</v>
      </c>
      <c r="Y318" s="209">
        <f t="shared" si="189"/>
        <v>0</v>
      </c>
    </row>
    <row r="319" spans="2:25" ht="15.75" hidden="1" thickBot="1" x14ac:dyDescent="0.3">
      <c r="B319" s="60">
        <f>B314</f>
        <v>44</v>
      </c>
      <c r="C319" s="102">
        <v>307</v>
      </c>
      <c r="D319" s="192" t="str">
        <f t="shared" si="162"/>
        <v>I</v>
      </c>
      <c r="E319" s="62"/>
      <c r="F319" s="105"/>
      <c r="G319" s="105"/>
      <c r="H319" s="61"/>
      <c r="I319" s="61"/>
      <c r="J319" s="62"/>
      <c r="K319" s="63"/>
      <c r="L319" s="61"/>
      <c r="M319" s="61"/>
      <c r="N319" s="111"/>
      <c r="O319" s="112"/>
      <c r="P319" s="113"/>
      <c r="Q319" s="114"/>
      <c r="R319" s="64"/>
      <c r="S319" s="108"/>
      <c r="T319" s="203">
        <f t="shared" si="160"/>
        <v>43647</v>
      </c>
      <c r="U319" s="204">
        <f t="shared" si="161"/>
        <v>43677</v>
      </c>
      <c r="V319" s="207">
        <f t="shared" si="190"/>
        <v>0</v>
      </c>
      <c r="W319" s="206" t="str">
        <f t="shared" si="187"/>
        <v/>
      </c>
      <c r="X319" s="206">
        <f t="shared" si="188"/>
        <v>0</v>
      </c>
      <c r="Y319" s="209">
        <f t="shared" si="189"/>
        <v>0</v>
      </c>
    </row>
    <row r="320" spans="2:25" ht="15.75" hidden="1" thickBot="1" x14ac:dyDescent="0.3">
      <c r="B320" s="141">
        <f>B314</f>
        <v>44</v>
      </c>
      <c r="C320" s="142">
        <v>308</v>
      </c>
      <c r="D320" s="194" t="str">
        <f t="shared" si="162"/>
        <v>I</v>
      </c>
      <c r="E320" s="143"/>
      <c r="F320" s="144"/>
      <c r="G320" s="144"/>
      <c r="H320" s="145"/>
      <c r="I320" s="145"/>
      <c r="J320" s="436" t="s">
        <v>181</v>
      </c>
      <c r="K320" s="437"/>
      <c r="L320" s="438"/>
      <c r="M320" s="145"/>
      <c r="N320" s="146"/>
      <c r="O320" s="147"/>
      <c r="P320" s="148"/>
      <c r="Q320" s="149"/>
      <c r="R320" s="150"/>
      <c r="S320" s="151"/>
      <c r="T320" s="213">
        <f t="shared" si="160"/>
        <v>43647</v>
      </c>
      <c r="U320" s="214">
        <f t="shared" si="161"/>
        <v>43677</v>
      </c>
      <c r="V320" s="210">
        <f t="shared" si="190"/>
        <v>0</v>
      </c>
      <c r="W320" s="211"/>
      <c r="X320" s="211">
        <f>IF(AND($V320&gt;0,$I320=1),IF($E320=10,P320/10,P320/$V320),0)</f>
        <v>0</v>
      </c>
      <c r="Y320" s="212">
        <f>IF(AND($V314&gt;0,$I320&lt;&gt;1),Q320/E314*V314,0)</f>
        <v>0</v>
      </c>
    </row>
    <row r="321" spans="2:25" ht="16.5" hidden="1" thickTop="1" thickBot="1" x14ac:dyDescent="0.3">
      <c r="B321" s="129">
        <f>B319+1</f>
        <v>45</v>
      </c>
      <c r="C321" s="130">
        <v>309</v>
      </c>
      <c r="D321" s="196" t="str">
        <f t="shared" si="162"/>
        <v>I</v>
      </c>
      <c r="E321" s="152"/>
      <c r="F321" s="153"/>
      <c r="G321" s="153"/>
      <c r="H321" s="154"/>
      <c r="I321" s="154"/>
      <c r="J321" s="152"/>
      <c r="K321" s="155"/>
      <c r="L321" s="154"/>
      <c r="M321" s="154"/>
      <c r="N321" s="156"/>
      <c r="O321" s="157"/>
      <c r="P321" s="158"/>
      <c r="Q321" s="159"/>
      <c r="R321" s="160"/>
      <c r="S321" s="161"/>
      <c r="T321" s="203">
        <f t="shared" si="160"/>
        <v>43647</v>
      </c>
      <c r="U321" s="204">
        <f t="shared" si="161"/>
        <v>43677</v>
      </c>
      <c r="V321" s="207">
        <f>IF(G321-F321+1-IF(G321-U321&gt;0,G321-U321,0)-IF(T321-F321&gt;0,T321-F321,0)&gt;0,G321-F321+1-IF(G321-U321&gt;0,G321-U321,0)-IF(T321-F321&gt;0,T321-F321,0),0)</f>
        <v>0</v>
      </c>
      <c r="W321" s="206" t="str">
        <f t="shared" ref="W321:W326" si="191">IF(V321&gt;0,H321,"")</f>
        <v/>
      </c>
      <c r="X321" s="206">
        <f t="shared" ref="X321:X326" si="192">IF(AND($V321&gt;0,$I321=1),P321/$E321*$V321,0)</f>
        <v>0</v>
      </c>
      <c r="Y321" s="209">
        <f t="shared" ref="Y321:Y326" si="193">IF(AND($V321&gt;0,$I321&lt;&gt;1),Q321/$E321*$V321,0)</f>
        <v>0</v>
      </c>
    </row>
    <row r="322" spans="2:25" ht="15.75" hidden="1" thickBot="1" x14ac:dyDescent="0.3">
      <c r="B322" s="60">
        <f>B321</f>
        <v>45</v>
      </c>
      <c r="C322" s="102">
        <v>310</v>
      </c>
      <c r="D322" s="192" t="str">
        <f t="shared" si="162"/>
        <v>I</v>
      </c>
      <c r="E322" s="162"/>
      <c r="F322" s="163"/>
      <c r="G322" s="163"/>
      <c r="H322" s="164"/>
      <c r="I322" s="164"/>
      <c r="J322" s="162"/>
      <c r="K322" s="165"/>
      <c r="L322" s="164"/>
      <c r="M322" s="164"/>
      <c r="N322" s="166"/>
      <c r="O322" s="167"/>
      <c r="P322" s="168"/>
      <c r="Q322" s="169"/>
      <c r="R322" s="170"/>
      <c r="S322" s="171"/>
      <c r="T322" s="203">
        <f t="shared" si="160"/>
        <v>43647</v>
      </c>
      <c r="U322" s="204">
        <f t="shared" si="161"/>
        <v>43677</v>
      </c>
      <c r="V322" s="207">
        <f t="shared" ref="V322:V327" si="194">IF(G322-F322+1-IF(G322-U322&gt;0,G322-U322,0)-IF(T322-F322&gt;0,T322-F322,0)&gt;0,G322-F322+1-IF(G322-U322&gt;0,G322-U322,0)-IF(T322-F322&gt;0,T322-F322,0),0)</f>
        <v>0</v>
      </c>
      <c r="W322" s="206" t="str">
        <f t="shared" si="191"/>
        <v/>
      </c>
      <c r="X322" s="206">
        <f t="shared" si="192"/>
        <v>0</v>
      </c>
      <c r="Y322" s="209">
        <f t="shared" si="193"/>
        <v>0</v>
      </c>
    </row>
    <row r="323" spans="2:25" ht="15.75" hidden="1" thickBot="1" x14ac:dyDescent="0.3">
      <c r="B323" s="60">
        <f>B321</f>
        <v>45</v>
      </c>
      <c r="C323" s="102">
        <v>311</v>
      </c>
      <c r="D323" s="192" t="str">
        <f t="shared" si="162"/>
        <v>I</v>
      </c>
      <c r="E323" s="162"/>
      <c r="F323" s="163"/>
      <c r="G323" s="163"/>
      <c r="H323" s="164"/>
      <c r="I323" s="164"/>
      <c r="J323" s="162"/>
      <c r="K323" s="165"/>
      <c r="L323" s="164"/>
      <c r="M323" s="164"/>
      <c r="N323" s="166"/>
      <c r="O323" s="167"/>
      <c r="P323" s="168"/>
      <c r="Q323" s="169"/>
      <c r="R323" s="170"/>
      <c r="S323" s="171"/>
      <c r="T323" s="203">
        <f t="shared" si="160"/>
        <v>43647</v>
      </c>
      <c r="U323" s="204">
        <f t="shared" si="161"/>
        <v>43677</v>
      </c>
      <c r="V323" s="207">
        <f t="shared" si="194"/>
        <v>0</v>
      </c>
      <c r="W323" s="206" t="str">
        <f t="shared" si="191"/>
        <v/>
      </c>
      <c r="X323" s="206">
        <f t="shared" si="192"/>
        <v>0</v>
      </c>
      <c r="Y323" s="209">
        <f t="shared" si="193"/>
        <v>0</v>
      </c>
    </row>
    <row r="324" spans="2:25" ht="15.75" hidden="1" thickBot="1" x14ac:dyDescent="0.3">
      <c r="B324" s="60">
        <f>B321</f>
        <v>45</v>
      </c>
      <c r="C324" s="102">
        <v>312</v>
      </c>
      <c r="D324" s="192" t="str">
        <f t="shared" si="162"/>
        <v>I</v>
      </c>
      <c r="E324" s="162"/>
      <c r="F324" s="163"/>
      <c r="G324" s="163"/>
      <c r="H324" s="164"/>
      <c r="I324" s="164"/>
      <c r="J324" s="162"/>
      <c r="K324" s="165"/>
      <c r="L324" s="164"/>
      <c r="M324" s="164"/>
      <c r="N324" s="166"/>
      <c r="O324" s="167"/>
      <c r="P324" s="168"/>
      <c r="Q324" s="169"/>
      <c r="R324" s="170"/>
      <c r="S324" s="171"/>
      <c r="T324" s="203">
        <f t="shared" si="160"/>
        <v>43647</v>
      </c>
      <c r="U324" s="204">
        <f t="shared" si="161"/>
        <v>43677</v>
      </c>
      <c r="V324" s="207">
        <f t="shared" si="194"/>
        <v>0</v>
      </c>
      <c r="W324" s="206" t="str">
        <f t="shared" si="191"/>
        <v/>
      </c>
      <c r="X324" s="206">
        <f t="shared" si="192"/>
        <v>0</v>
      </c>
      <c r="Y324" s="209">
        <f t="shared" si="193"/>
        <v>0</v>
      </c>
    </row>
    <row r="325" spans="2:25" ht="15.75" hidden="1" thickBot="1" x14ac:dyDescent="0.3">
      <c r="B325" s="60">
        <f>B321</f>
        <v>45</v>
      </c>
      <c r="C325" s="102">
        <v>313</v>
      </c>
      <c r="D325" s="192" t="str">
        <f t="shared" si="162"/>
        <v>I</v>
      </c>
      <c r="E325" s="162"/>
      <c r="F325" s="163"/>
      <c r="G325" s="163"/>
      <c r="H325" s="164"/>
      <c r="I325" s="164"/>
      <c r="J325" s="162"/>
      <c r="K325" s="165"/>
      <c r="L325" s="164"/>
      <c r="M325" s="164"/>
      <c r="N325" s="166"/>
      <c r="O325" s="167"/>
      <c r="P325" s="168"/>
      <c r="Q325" s="169"/>
      <c r="R325" s="170"/>
      <c r="S325" s="171"/>
      <c r="T325" s="203">
        <f t="shared" si="160"/>
        <v>43647</v>
      </c>
      <c r="U325" s="204">
        <f t="shared" si="161"/>
        <v>43677</v>
      </c>
      <c r="V325" s="207">
        <f t="shared" si="194"/>
        <v>0</v>
      </c>
      <c r="W325" s="206" t="str">
        <f t="shared" si="191"/>
        <v/>
      </c>
      <c r="X325" s="206">
        <f t="shared" si="192"/>
        <v>0</v>
      </c>
      <c r="Y325" s="209">
        <f t="shared" si="193"/>
        <v>0</v>
      </c>
    </row>
    <row r="326" spans="2:25" ht="15.75" hidden="1" thickBot="1" x14ac:dyDescent="0.3">
      <c r="B326" s="60">
        <f>B321</f>
        <v>45</v>
      </c>
      <c r="C326" s="102">
        <v>314</v>
      </c>
      <c r="D326" s="192" t="str">
        <f t="shared" si="162"/>
        <v>I</v>
      </c>
      <c r="E326" s="172"/>
      <c r="F326" s="173"/>
      <c r="G326" s="173"/>
      <c r="H326" s="174"/>
      <c r="I326" s="174"/>
      <c r="J326" s="172"/>
      <c r="K326" s="175"/>
      <c r="L326" s="174"/>
      <c r="M326" s="174"/>
      <c r="N326" s="176"/>
      <c r="O326" s="177"/>
      <c r="P326" s="178"/>
      <c r="Q326" s="179"/>
      <c r="R326" s="180"/>
      <c r="S326" s="181"/>
      <c r="T326" s="203">
        <f t="shared" si="160"/>
        <v>43647</v>
      </c>
      <c r="U326" s="204">
        <f t="shared" si="161"/>
        <v>43677</v>
      </c>
      <c r="V326" s="207">
        <f t="shared" si="194"/>
        <v>0</v>
      </c>
      <c r="W326" s="206" t="str">
        <f t="shared" si="191"/>
        <v/>
      </c>
      <c r="X326" s="206">
        <f t="shared" si="192"/>
        <v>0</v>
      </c>
      <c r="Y326" s="209">
        <f t="shared" si="193"/>
        <v>0</v>
      </c>
    </row>
    <row r="327" spans="2:25" ht="15.75" hidden="1" thickBot="1" x14ac:dyDescent="0.3">
      <c r="B327" s="141">
        <f>B321</f>
        <v>45</v>
      </c>
      <c r="C327" s="142">
        <v>315</v>
      </c>
      <c r="D327" s="194" t="str">
        <f t="shared" si="162"/>
        <v>I</v>
      </c>
      <c r="E327" s="189"/>
      <c r="F327" s="190"/>
      <c r="G327" s="190"/>
      <c r="H327" s="182"/>
      <c r="I327" s="182"/>
      <c r="J327" s="436" t="s">
        <v>181</v>
      </c>
      <c r="K327" s="437"/>
      <c r="L327" s="438"/>
      <c r="M327" s="182"/>
      <c r="N327" s="183"/>
      <c r="O327" s="184"/>
      <c r="P327" s="185"/>
      <c r="Q327" s="186"/>
      <c r="R327" s="187"/>
      <c r="S327" s="188"/>
      <c r="T327" s="213">
        <f t="shared" si="160"/>
        <v>43647</v>
      </c>
      <c r="U327" s="214">
        <f t="shared" si="161"/>
        <v>43677</v>
      </c>
      <c r="V327" s="210">
        <f t="shared" si="194"/>
        <v>0</v>
      </c>
      <c r="W327" s="211"/>
      <c r="X327" s="211">
        <f>IF(AND($V327&gt;0,$I327=1),IF($E327=10,P327/10,P327/$V327),0)</f>
        <v>0</v>
      </c>
      <c r="Y327" s="212">
        <f>IF(AND($V321&gt;0,$I327&lt;&gt;1),Q327/E321*V321,0)</f>
        <v>0</v>
      </c>
    </row>
    <row r="328" spans="2:25" ht="16.5" hidden="1" thickTop="1" thickBot="1" x14ac:dyDescent="0.3">
      <c r="B328" s="129">
        <f>B326+1</f>
        <v>46</v>
      </c>
      <c r="C328" s="130">
        <v>316</v>
      </c>
      <c r="D328" s="196" t="str">
        <f t="shared" si="162"/>
        <v>I</v>
      </c>
      <c r="E328" s="131"/>
      <c r="F328" s="132"/>
      <c r="G328" s="132"/>
      <c r="H328" s="133"/>
      <c r="I328" s="133"/>
      <c r="J328" s="131"/>
      <c r="K328" s="134"/>
      <c r="L328" s="133"/>
      <c r="M328" s="133"/>
      <c r="N328" s="135"/>
      <c r="O328" s="136"/>
      <c r="P328" s="137"/>
      <c r="Q328" s="138"/>
      <c r="R328" s="139"/>
      <c r="S328" s="140"/>
      <c r="T328" s="203">
        <f t="shared" si="160"/>
        <v>43647</v>
      </c>
      <c r="U328" s="204">
        <f t="shared" si="161"/>
        <v>43677</v>
      </c>
      <c r="V328" s="207">
        <f>IF(G328-F328+1-IF(G328-U328&gt;0,G328-U328,0)-IF(T328-F328&gt;0,T328-F328,0)&gt;0,G328-F328+1-IF(G328-U328&gt;0,G328-U328,0)-IF(T328-F328&gt;0,T328-F328,0),0)</f>
        <v>0</v>
      </c>
      <c r="W328" s="206" t="str">
        <f t="shared" ref="W328:W333" si="195">IF(V328&gt;0,H328,"")</f>
        <v/>
      </c>
      <c r="X328" s="206">
        <f t="shared" ref="X328:X333" si="196">IF(AND($V328&gt;0,$I328=1),P328/$E328*$V328,0)</f>
        <v>0</v>
      </c>
      <c r="Y328" s="209">
        <f t="shared" ref="Y328:Y333" si="197">IF(AND($V328&gt;0,$I328&lt;&gt;1),Q328/$E328*$V328,0)</f>
        <v>0</v>
      </c>
    </row>
    <row r="329" spans="2:25" ht="15.75" hidden="1" thickBot="1" x14ac:dyDescent="0.3">
      <c r="B329" s="60">
        <f>B328</f>
        <v>46</v>
      </c>
      <c r="C329" s="102">
        <v>317</v>
      </c>
      <c r="D329" s="192" t="str">
        <f t="shared" si="162"/>
        <v>I</v>
      </c>
      <c r="E329" s="62"/>
      <c r="F329" s="105"/>
      <c r="G329" s="105"/>
      <c r="H329" s="61"/>
      <c r="I329" s="61"/>
      <c r="J329" s="62"/>
      <c r="K329" s="63"/>
      <c r="L329" s="61"/>
      <c r="M329" s="61"/>
      <c r="N329" s="111"/>
      <c r="O329" s="112"/>
      <c r="P329" s="113"/>
      <c r="Q329" s="114"/>
      <c r="R329" s="64"/>
      <c r="S329" s="108"/>
      <c r="T329" s="203">
        <f t="shared" si="160"/>
        <v>43647</v>
      </c>
      <c r="U329" s="204">
        <f t="shared" si="161"/>
        <v>43677</v>
      </c>
      <c r="V329" s="207">
        <f t="shared" ref="V329:V334" si="198">IF(G329-F329+1-IF(G329-U329&gt;0,G329-U329,0)-IF(T329-F329&gt;0,T329-F329,0)&gt;0,G329-F329+1-IF(G329-U329&gt;0,G329-U329,0)-IF(T329-F329&gt;0,T329-F329,0),0)</f>
        <v>0</v>
      </c>
      <c r="W329" s="206" t="str">
        <f t="shared" si="195"/>
        <v/>
      </c>
      <c r="X329" s="206">
        <f t="shared" si="196"/>
        <v>0</v>
      </c>
      <c r="Y329" s="209">
        <f t="shared" si="197"/>
        <v>0</v>
      </c>
    </row>
    <row r="330" spans="2:25" ht="15.75" hidden="1" thickBot="1" x14ac:dyDescent="0.3">
      <c r="B330" s="60">
        <f>B328</f>
        <v>46</v>
      </c>
      <c r="C330" s="102">
        <v>318</v>
      </c>
      <c r="D330" s="192" t="str">
        <f t="shared" si="162"/>
        <v>I</v>
      </c>
      <c r="E330" s="62"/>
      <c r="F330" s="105"/>
      <c r="G330" s="105"/>
      <c r="H330" s="61"/>
      <c r="I330" s="61"/>
      <c r="J330" s="62"/>
      <c r="K330" s="63"/>
      <c r="L330" s="61"/>
      <c r="M330" s="61"/>
      <c r="N330" s="111"/>
      <c r="O330" s="112"/>
      <c r="P330" s="113"/>
      <c r="Q330" s="114"/>
      <c r="R330" s="64"/>
      <c r="S330" s="108"/>
      <c r="T330" s="203">
        <f t="shared" si="160"/>
        <v>43647</v>
      </c>
      <c r="U330" s="204">
        <f t="shared" si="161"/>
        <v>43677</v>
      </c>
      <c r="V330" s="207">
        <f t="shared" si="198"/>
        <v>0</v>
      </c>
      <c r="W330" s="206" t="str">
        <f t="shared" si="195"/>
        <v/>
      </c>
      <c r="X330" s="206">
        <f t="shared" si="196"/>
        <v>0</v>
      </c>
      <c r="Y330" s="209">
        <f t="shared" si="197"/>
        <v>0</v>
      </c>
    </row>
    <row r="331" spans="2:25" ht="15.75" hidden="1" thickBot="1" x14ac:dyDescent="0.3">
      <c r="B331" s="60">
        <f>B328</f>
        <v>46</v>
      </c>
      <c r="C331" s="102">
        <v>319</v>
      </c>
      <c r="D331" s="192" t="str">
        <f t="shared" si="162"/>
        <v>I</v>
      </c>
      <c r="E331" s="62"/>
      <c r="F331" s="105"/>
      <c r="G331" s="105"/>
      <c r="H331" s="61"/>
      <c r="I331" s="61"/>
      <c r="J331" s="62"/>
      <c r="K331" s="63"/>
      <c r="L331" s="61"/>
      <c r="M331" s="61"/>
      <c r="N331" s="111"/>
      <c r="O331" s="112"/>
      <c r="P331" s="113"/>
      <c r="Q331" s="114"/>
      <c r="R331" s="64"/>
      <c r="S331" s="108"/>
      <c r="T331" s="203">
        <f t="shared" si="160"/>
        <v>43647</v>
      </c>
      <c r="U331" s="204">
        <f t="shared" si="161"/>
        <v>43677</v>
      </c>
      <c r="V331" s="207">
        <f t="shared" si="198"/>
        <v>0</v>
      </c>
      <c r="W331" s="206" t="str">
        <f t="shared" si="195"/>
        <v/>
      </c>
      <c r="X331" s="206">
        <f t="shared" si="196"/>
        <v>0</v>
      </c>
      <c r="Y331" s="209">
        <f t="shared" si="197"/>
        <v>0</v>
      </c>
    </row>
    <row r="332" spans="2:25" ht="15.75" hidden="1" thickBot="1" x14ac:dyDescent="0.3">
      <c r="B332" s="60">
        <f>B328</f>
        <v>46</v>
      </c>
      <c r="C332" s="102">
        <v>320</v>
      </c>
      <c r="D332" s="192" t="str">
        <f t="shared" si="162"/>
        <v>I</v>
      </c>
      <c r="E332" s="62"/>
      <c r="F332" s="105"/>
      <c r="G332" s="105"/>
      <c r="H332" s="61"/>
      <c r="I332" s="61"/>
      <c r="J332" s="62"/>
      <c r="K332" s="63"/>
      <c r="L332" s="61"/>
      <c r="M332" s="61"/>
      <c r="N332" s="111"/>
      <c r="O332" s="112"/>
      <c r="P332" s="113"/>
      <c r="Q332" s="114"/>
      <c r="R332" s="64"/>
      <c r="S332" s="108"/>
      <c r="T332" s="203">
        <f t="shared" si="160"/>
        <v>43647</v>
      </c>
      <c r="U332" s="204">
        <f t="shared" si="161"/>
        <v>43677</v>
      </c>
      <c r="V332" s="207">
        <f t="shared" si="198"/>
        <v>0</v>
      </c>
      <c r="W332" s="206" t="str">
        <f t="shared" si="195"/>
        <v/>
      </c>
      <c r="X332" s="206">
        <f t="shared" si="196"/>
        <v>0</v>
      </c>
      <c r="Y332" s="209">
        <f t="shared" si="197"/>
        <v>0</v>
      </c>
    </row>
    <row r="333" spans="2:25" ht="15.75" hidden="1" thickBot="1" x14ac:dyDescent="0.3">
      <c r="B333" s="60">
        <f>B328</f>
        <v>46</v>
      </c>
      <c r="C333" s="102">
        <v>321</v>
      </c>
      <c r="D333" s="192" t="str">
        <f t="shared" si="162"/>
        <v>I</v>
      </c>
      <c r="E333" s="62"/>
      <c r="F333" s="105"/>
      <c r="G333" s="105"/>
      <c r="H333" s="61"/>
      <c r="I333" s="61"/>
      <c r="J333" s="62"/>
      <c r="K333" s="63"/>
      <c r="L333" s="61"/>
      <c r="M333" s="61"/>
      <c r="N333" s="111"/>
      <c r="O333" s="112"/>
      <c r="P333" s="113"/>
      <c r="Q333" s="114"/>
      <c r="R333" s="64"/>
      <c r="S333" s="108"/>
      <c r="T333" s="203">
        <f t="shared" ref="T333:T396" si="199">$F$4</f>
        <v>43647</v>
      </c>
      <c r="U333" s="204">
        <f t="shared" ref="U333:U396" si="200">$G$4</f>
        <v>43677</v>
      </c>
      <c r="V333" s="207">
        <f t="shared" si="198"/>
        <v>0</v>
      </c>
      <c r="W333" s="206" t="str">
        <f t="shared" si="195"/>
        <v/>
      </c>
      <c r="X333" s="206">
        <f t="shared" si="196"/>
        <v>0</v>
      </c>
      <c r="Y333" s="209">
        <f t="shared" si="197"/>
        <v>0</v>
      </c>
    </row>
    <row r="334" spans="2:25" ht="15.75" hidden="1" thickBot="1" x14ac:dyDescent="0.3">
      <c r="B334" s="141">
        <f>B328</f>
        <v>46</v>
      </c>
      <c r="C334" s="142">
        <v>322</v>
      </c>
      <c r="D334" s="194" t="str">
        <f t="shared" si="162"/>
        <v>I</v>
      </c>
      <c r="E334" s="143"/>
      <c r="F334" s="144"/>
      <c r="G334" s="144"/>
      <c r="H334" s="145"/>
      <c r="I334" s="145"/>
      <c r="J334" s="436" t="s">
        <v>181</v>
      </c>
      <c r="K334" s="437"/>
      <c r="L334" s="438"/>
      <c r="M334" s="145"/>
      <c r="N334" s="146"/>
      <c r="O334" s="147"/>
      <c r="P334" s="148"/>
      <c r="Q334" s="149"/>
      <c r="R334" s="150"/>
      <c r="S334" s="151"/>
      <c r="T334" s="213">
        <f t="shared" si="199"/>
        <v>43647</v>
      </c>
      <c r="U334" s="214">
        <f t="shared" si="200"/>
        <v>43677</v>
      </c>
      <c r="V334" s="210">
        <f t="shared" si="198"/>
        <v>0</v>
      </c>
      <c r="W334" s="211"/>
      <c r="X334" s="211">
        <f>IF(AND($V334&gt;0,$I334=1),IF($E334=10,P334/10,P334/$V334),0)</f>
        <v>0</v>
      </c>
      <c r="Y334" s="212">
        <f>IF(AND($V328&gt;0,$I334&lt;&gt;1),Q334/E328*V328,0)</f>
        <v>0</v>
      </c>
    </row>
    <row r="335" spans="2:25" ht="16.5" hidden="1" thickTop="1" thickBot="1" x14ac:dyDescent="0.3">
      <c r="B335" s="129">
        <f>B333+1</f>
        <v>47</v>
      </c>
      <c r="C335" s="130">
        <v>323</v>
      </c>
      <c r="D335" s="196" t="str">
        <f t="shared" si="162"/>
        <v>I</v>
      </c>
      <c r="E335" s="152"/>
      <c r="F335" s="153"/>
      <c r="G335" s="153"/>
      <c r="H335" s="154"/>
      <c r="I335" s="154"/>
      <c r="J335" s="152"/>
      <c r="K335" s="155"/>
      <c r="L335" s="154"/>
      <c r="M335" s="154"/>
      <c r="N335" s="156"/>
      <c r="O335" s="157"/>
      <c r="P335" s="158"/>
      <c r="Q335" s="159"/>
      <c r="R335" s="160"/>
      <c r="S335" s="161"/>
      <c r="T335" s="215">
        <f t="shared" si="199"/>
        <v>43647</v>
      </c>
      <c r="U335" s="216">
        <f t="shared" si="200"/>
        <v>43677</v>
      </c>
      <c r="V335" s="217">
        <f>IF(G335-F335+1-IF(G335-U335&gt;0,G335-U335,0)-IF(T335-F335&gt;0,T335-F335,0)&gt;0,G335-F335+1-IF(G335-U335&gt;0,G335-U335,0)-IF(T335-F335&gt;0,T335-F335,0),0)</f>
        <v>0</v>
      </c>
      <c r="W335" s="218" t="str">
        <f t="shared" ref="W335:W340" si="201">IF(V335&gt;0,H335,"")</f>
        <v/>
      </c>
      <c r="X335" s="218">
        <f t="shared" ref="X335:X340" si="202">IF(AND($V335&gt;0,$I335=1),P335/$E335*$V335,0)</f>
        <v>0</v>
      </c>
      <c r="Y335" s="219">
        <f t="shared" ref="Y335:Y340" si="203">IF(AND($V335&gt;0,$I335&lt;&gt;1),Q335/$E335*$V335,0)</f>
        <v>0</v>
      </c>
    </row>
    <row r="336" spans="2:25" ht="15.75" hidden="1" thickBot="1" x14ac:dyDescent="0.3">
      <c r="B336" s="60">
        <f>B335</f>
        <v>47</v>
      </c>
      <c r="C336" s="102">
        <v>324</v>
      </c>
      <c r="D336" s="192" t="str">
        <f t="shared" ref="D336:D341" si="204">D335</f>
        <v>I</v>
      </c>
      <c r="E336" s="162"/>
      <c r="F336" s="163"/>
      <c r="G336" s="163"/>
      <c r="H336" s="164"/>
      <c r="I336" s="164"/>
      <c r="J336" s="162"/>
      <c r="K336" s="165"/>
      <c r="L336" s="164"/>
      <c r="M336" s="164"/>
      <c r="N336" s="166"/>
      <c r="O336" s="167"/>
      <c r="P336" s="168"/>
      <c r="Q336" s="169"/>
      <c r="R336" s="170"/>
      <c r="S336" s="171"/>
      <c r="T336" s="203">
        <f t="shared" si="199"/>
        <v>43647</v>
      </c>
      <c r="U336" s="205">
        <f t="shared" si="200"/>
        <v>43677</v>
      </c>
      <c r="V336" s="207">
        <f t="shared" ref="V336:V341" si="205">IF(G336-F336+1-IF(G336-U336&gt;0,G336-U336,0)-IF(T336-F336&gt;0,T336-F336,0)&gt;0,G336-F336+1-IF(G336-U336&gt;0,G336-U336,0)-IF(T336-F336&gt;0,T336-F336,0),0)</f>
        <v>0</v>
      </c>
      <c r="W336" s="206" t="str">
        <f t="shared" si="201"/>
        <v/>
      </c>
      <c r="X336" s="206">
        <f t="shared" si="202"/>
        <v>0</v>
      </c>
      <c r="Y336" s="208">
        <f t="shared" si="203"/>
        <v>0</v>
      </c>
    </row>
    <row r="337" spans="2:25" ht="15.75" hidden="1" thickBot="1" x14ac:dyDescent="0.3">
      <c r="B337" s="60">
        <f>B335</f>
        <v>47</v>
      </c>
      <c r="C337" s="102">
        <v>325</v>
      </c>
      <c r="D337" s="192" t="str">
        <f t="shared" si="204"/>
        <v>I</v>
      </c>
      <c r="E337" s="162"/>
      <c r="F337" s="163"/>
      <c r="G337" s="163"/>
      <c r="H337" s="164"/>
      <c r="I337" s="164"/>
      <c r="J337" s="162"/>
      <c r="K337" s="165"/>
      <c r="L337" s="164"/>
      <c r="M337" s="164"/>
      <c r="N337" s="166"/>
      <c r="O337" s="167"/>
      <c r="P337" s="168"/>
      <c r="Q337" s="169"/>
      <c r="R337" s="170"/>
      <c r="S337" s="171"/>
      <c r="T337" s="203">
        <f t="shared" si="199"/>
        <v>43647</v>
      </c>
      <c r="U337" s="205">
        <f t="shared" si="200"/>
        <v>43677</v>
      </c>
      <c r="V337" s="207">
        <f t="shared" si="205"/>
        <v>0</v>
      </c>
      <c r="W337" s="206" t="str">
        <f t="shared" si="201"/>
        <v/>
      </c>
      <c r="X337" s="206">
        <f t="shared" si="202"/>
        <v>0</v>
      </c>
      <c r="Y337" s="208">
        <f t="shared" si="203"/>
        <v>0</v>
      </c>
    </row>
    <row r="338" spans="2:25" ht="15.75" hidden="1" thickBot="1" x14ac:dyDescent="0.3">
      <c r="B338" s="60">
        <f>B335</f>
        <v>47</v>
      </c>
      <c r="C338" s="102">
        <v>326</v>
      </c>
      <c r="D338" s="192" t="str">
        <f t="shared" si="204"/>
        <v>I</v>
      </c>
      <c r="E338" s="162"/>
      <c r="F338" s="163"/>
      <c r="G338" s="163"/>
      <c r="H338" s="164"/>
      <c r="I338" s="164"/>
      <c r="J338" s="162"/>
      <c r="K338" s="165"/>
      <c r="L338" s="164"/>
      <c r="M338" s="164"/>
      <c r="N338" s="166"/>
      <c r="O338" s="167"/>
      <c r="P338" s="168"/>
      <c r="Q338" s="169"/>
      <c r="R338" s="170"/>
      <c r="S338" s="171"/>
      <c r="T338" s="203">
        <f t="shared" si="199"/>
        <v>43647</v>
      </c>
      <c r="U338" s="205">
        <f t="shared" si="200"/>
        <v>43677</v>
      </c>
      <c r="V338" s="207">
        <f t="shared" si="205"/>
        <v>0</v>
      </c>
      <c r="W338" s="206" t="str">
        <f t="shared" si="201"/>
        <v/>
      </c>
      <c r="X338" s="206">
        <f t="shared" si="202"/>
        <v>0</v>
      </c>
      <c r="Y338" s="208">
        <f t="shared" si="203"/>
        <v>0</v>
      </c>
    </row>
    <row r="339" spans="2:25" ht="15.75" hidden="1" thickBot="1" x14ac:dyDescent="0.3">
      <c r="B339" s="60">
        <f>B335</f>
        <v>47</v>
      </c>
      <c r="C339" s="102">
        <v>327</v>
      </c>
      <c r="D339" s="192" t="str">
        <f t="shared" si="204"/>
        <v>I</v>
      </c>
      <c r="E339" s="162"/>
      <c r="F339" s="163"/>
      <c r="G339" s="163"/>
      <c r="H339" s="164"/>
      <c r="I339" s="164"/>
      <c r="J339" s="162"/>
      <c r="K339" s="165"/>
      <c r="L339" s="164"/>
      <c r="M339" s="164"/>
      <c r="N339" s="166"/>
      <c r="O339" s="167"/>
      <c r="P339" s="168"/>
      <c r="Q339" s="169"/>
      <c r="R339" s="170"/>
      <c r="S339" s="171"/>
      <c r="T339" s="203">
        <f t="shared" si="199"/>
        <v>43647</v>
      </c>
      <c r="U339" s="205">
        <f t="shared" si="200"/>
        <v>43677</v>
      </c>
      <c r="V339" s="207">
        <f t="shared" si="205"/>
        <v>0</v>
      </c>
      <c r="W339" s="206" t="str">
        <f t="shared" si="201"/>
        <v/>
      </c>
      <c r="X339" s="206">
        <f t="shared" si="202"/>
        <v>0</v>
      </c>
      <c r="Y339" s="208">
        <f t="shared" si="203"/>
        <v>0</v>
      </c>
    </row>
    <row r="340" spans="2:25" ht="15.75" hidden="1" thickBot="1" x14ac:dyDescent="0.3">
      <c r="B340" s="60">
        <f>B335</f>
        <v>47</v>
      </c>
      <c r="C340" s="102">
        <v>328</v>
      </c>
      <c r="D340" s="192" t="str">
        <f t="shared" si="204"/>
        <v>I</v>
      </c>
      <c r="E340" s="172"/>
      <c r="F340" s="173"/>
      <c r="G340" s="173"/>
      <c r="H340" s="174"/>
      <c r="I340" s="174"/>
      <c r="J340" s="172"/>
      <c r="K340" s="175"/>
      <c r="L340" s="174"/>
      <c r="M340" s="174"/>
      <c r="N340" s="176"/>
      <c r="O340" s="177"/>
      <c r="P340" s="178"/>
      <c r="Q340" s="179"/>
      <c r="R340" s="180"/>
      <c r="S340" s="181"/>
      <c r="T340" s="203">
        <f t="shared" si="199"/>
        <v>43647</v>
      </c>
      <c r="U340" s="205">
        <f t="shared" si="200"/>
        <v>43677</v>
      </c>
      <c r="V340" s="207">
        <f t="shared" si="205"/>
        <v>0</v>
      </c>
      <c r="W340" s="206" t="str">
        <f t="shared" si="201"/>
        <v/>
      </c>
      <c r="X340" s="206">
        <f t="shared" si="202"/>
        <v>0</v>
      </c>
      <c r="Y340" s="208">
        <f t="shared" si="203"/>
        <v>0</v>
      </c>
    </row>
    <row r="341" spans="2:25" ht="15.75" hidden="1" thickBot="1" x14ac:dyDescent="0.3">
      <c r="B341" s="141">
        <f>B335</f>
        <v>47</v>
      </c>
      <c r="C341" s="142">
        <v>329</v>
      </c>
      <c r="D341" s="194" t="str">
        <f t="shared" si="204"/>
        <v>I</v>
      </c>
      <c r="E341" s="189"/>
      <c r="F341" s="190"/>
      <c r="G341" s="190"/>
      <c r="H341" s="182"/>
      <c r="I341" s="182"/>
      <c r="J341" s="436" t="s">
        <v>181</v>
      </c>
      <c r="K341" s="437"/>
      <c r="L341" s="438"/>
      <c r="M341" s="182"/>
      <c r="N341" s="183"/>
      <c r="O341" s="184"/>
      <c r="P341" s="185"/>
      <c r="Q341" s="186"/>
      <c r="R341" s="187"/>
      <c r="S341" s="188"/>
      <c r="T341" s="213">
        <f t="shared" si="199"/>
        <v>43647</v>
      </c>
      <c r="U341" s="214">
        <f t="shared" si="200"/>
        <v>43677</v>
      </c>
      <c r="V341" s="210">
        <f t="shared" si="205"/>
        <v>0</v>
      </c>
      <c r="W341" s="211"/>
      <c r="X341" s="211">
        <f>IF(AND($V341&gt;0,$I341=1),IF($E341=10,P341/10,P341/$V341),0)</f>
        <v>0</v>
      </c>
      <c r="Y341" s="212">
        <f>IF(AND($V335&gt;0,$I341&lt;&gt;1),Q341/E335*V335,0)</f>
        <v>0</v>
      </c>
    </row>
    <row r="342" spans="2:25" ht="16.5" hidden="1" thickTop="1" thickBot="1" x14ac:dyDescent="0.3">
      <c r="B342" s="129">
        <v>1</v>
      </c>
      <c r="C342" s="130">
        <v>1</v>
      </c>
      <c r="D342" s="191" t="s">
        <v>31</v>
      </c>
      <c r="E342" s="152"/>
      <c r="F342" s="153"/>
      <c r="G342" s="153"/>
      <c r="H342" s="154"/>
      <c r="I342" s="154"/>
      <c r="J342" s="152"/>
      <c r="K342" s="155"/>
      <c r="L342" s="154"/>
      <c r="M342" s="154"/>
      <c r="N342" s="156"/>
      <c r="O342" s="157"/>
      <c r="P342" s="158"/>
      <c r="Q342" s="159"/>
      <c r="R342" s="160"/>
      <c r="S342" s="161"/>
      <c r="T342" s="215">
        <f t="shared" si="199"/>
        <v>43647</v>
      </c>
      <c r="U342" s="216">
        <f t="shared" si="200"/>
        <v>43677</v>
      </c>
      <c r="V342" s="217">
        <f>IF(G342-F342+1-IF(G342-U342&gt;0,G342-U342,0)-IF(T342-F342&gt;0,T342-F342,0)&gt;0,G342-F342+1-IF(G342-U342&gt;0,G342-U342,0)-IF(T342-F342&gt;0,T342-F342,0),0)</f>
        <v>0</v>
      </c>
      <c r="W342" s="206" t="str">
        <f t="shared" ref="W342:W347" si="206">IF(V342&gt;0,H342,"")</f>
        <v/>
      </c>
      <c r="X342" s="218">
        <f t="shared" ref="X342:X347" si="207">IF(AND($V342&gt;0,$I342=1),P342/$E342*$V342,0)</f>
        <v>0</v>
      </c>
      <c r="Y342" s="219">
        <f t="shared" ref="Y342:Y347" si="208">IF(AND($V342&gt;0,$I342&lt;&gt;1),Q342/$E342*$V342,0)</f>
        <v>0</v>
      </c>
    </row>
    <row r="343" spans="2:25" ht="15.75" hidden="1" thickBot="1" x14ac:dyDescent="0.3">
      <c r="B343" s="60">
        <f>B342</f>
        <v>1</v>
      </c>
      <c r="C343" s="102">
        <v>2</v>
      </c>
      <c r="D343" s="192" t="str">
        <f>D342</f>
        <v>II</v>
      </c>
      <c r="E343" s="162"/>
      <c r="F343" s="163"/>
      <c r="G343" s="163"/>
      <c r="H343" s="164"/>
      <c r="I343" s="164"/>
      <c r="J343" s="162"/>
      <c r="K343" s="165"/>
      <c r="L343" s="164"/>
      <c r="M343" s="164"/>
      <c r="N343" s="166"/>
      <c r="O343" s="167"/>
      <c r="P343" s="168"/>
      <c r="Q343" s="169"/>
      <c r="R343" s="170"/>
      <c r="S343" s="171"/>
      <c r="T343" s="203">
        <f t="shared" si="199"/>
        <v>43647</v>
      </c>
      <c r="U343" s="205">
        <f t="shared" si="200"/>
        <v>43677</v>
      </c>
      <c r="V343" s="207">
        <f t="shared" ref="V343:V348" si="209">IF(G343-F343+1-IF(G343-U343&gt;0,G343-U343,0)-IF(T343-F343&gt;0,T343-F343,0)&gt;0,G343-F343+1-IF(G343-U343&gt;0,G343-U343,0)-IF(T343-F343&gt;0,T343-F343,0),0)</f>
        <v>0</v>
      </c>
      <c r="W343" s="206" t="str">
        <f t="shared" si="206"/>
        <v/>
      </c>
      <c r="X343" s="206">
        <f t="shared" si="207"/>
        <v>0</v>
      </c>
      <c r="Y343" s="208">
        <f t="shared" si="208"/>
        <v>0</v>
      </c>
    </row>
    <row r="344" spans="2:25" ht="15.75" hidden="1" thickBot="1" x14ac:dyDescent="0.3">
      <c r="B344" s="60">
        <f>B342</f>
        <v>1</v>
      </c>
      <c r="C344" s="102">
        <v>3</v>
      </c>
      <c r="D344" s="192" t="str">
        <f t="shared" ref="D344:D407" si="210">D343</f>
        <v>II</v>
      </c>
      <c r="E344" s="162"/>
      <c r="F344" s="163"/>
      <c r="G344" s="163"/>
      <c r="H344" s="164"/>
      <c r="I344" s="164"/>
      <c r="J344" s="162"/>
      <c r="K344" s="165"/>
      <c r="L344" s="164"/>
      <c r="M344" s="164"/>
      <c r="N344" s="166"/>
      <c r="O344" s="167"/>
      <c r="P344" s="168"/>
      <c r="Q344" s="169"/>
      <c r="R344" s="170"/>
      <c r="S344" s="171"/>
      <c r="T344" s="203">
        <f t="shared" si="199"/>
        <v>43647</v>
      </c>
      <c r="U344" s="205">
        <f t="shared" si="200"/>
        <v>43677</v>
      </c>
      <c r="V344" s="207">
        <f t="shared" si="209"/>
        <v>0</v>
      </c>
      <c r="W344" s="206" t="str">
        <f t="shared" si="206"/>
        <v/>
      </c>
      <c r="X344" s="206">
        <f t="shared" si="207"/>
        <v>0</v>
      </c>
      <c r="Y344" s="208">
        <f t="shared" si="208"/>
        <v>0</v>
      </c>
    </row>
    <row r="345" spans="2:25" ht="15.75" hidden="1" thickBot="1" x14ac:dyDescent="0.3">
      <c r="B345" s="60">
        <f>B342</f>
        <v>1</v>
      </c>
      <c r="C345" s="102">
        <v>4</v>
      </c>
      <c r="D345" s="192" t="str">
        <f t="shared" si="210"/>
        <v>II</v>
      </c>
      <c r="E345" s="162"/>
      <c r="F345" s="163"/>
      <c r="G345" s="163"/>
      <c r="H345" s="164"/>
      <c r="I345" s="164"/>
      <c r="J345" s="162"/>
      <c r="K345" s="165"/>
      <c r="L345" s="164"/>
      <c r="M345" s="164"/>
      <c r="N345" s="166"/>
      <c r="O345" s="167"/>
      <c r="P345" s="168"/>
      <c r="Q345" s="169"/>
      <c r="R345" s="170"/>
      <c r="S345" s="171"/>
      <c r="T345" s="203">
        <f t="shared" si="199"/>
        <v>43647</v>
      </c>
      <c r="U345" s="205">
        <f t="shared" si="200"/>
        <v>43677</v>
      </c>
      <c r="V345" s="207">
        <f t="shared" si="209"/>
        <v>0</v>
      </c>
      <c r="W345" s="206" t="str">
        <f t="shared" si="206"/>
        <v/>
      </c>
      <c r="X345" s="206">
        <f t="shared" si="207"/>
        <v>0</v>
      </c>
      <c r="Y345" s="208">
        <f t="shared" si="208"/>
        <v>0</v>
      </c>
    </row>
    <row r="346" spans="2:25" ht="15.75" hidden="1" thickBot="1" x14ac:dyDescent="0.3">
      <c r="B346" s="60">
        <f>B342</f>
        <v>1</v>
      </c>
      <c r="C346" s="102">
        <v>5</v>
      </c>
      <c r="D346" s="192" t="str">
        <f t="shared" si="210"/>
        <v>II</v>
      </c>
      <c r="E346" s="162"/>
      <c r="F346" s="163"/>
      <c r="G346" s="163"/>
      <c r="H346" s="164"/>
      <c r="I346" s="164"/>
      <c r="J346" s="162"/>
      <c r="K346" s="165"/>
      <c r="L346" s="164"/>
      <c r="M346" s="164"/>
      <c r="N346" s="166"/>
      <c r="O346" s="167"/>
      <c r="P346" s="168"/>
      <c r="Q346" s="169"/>
      <c r="R346" s="170"/>
      <c r="S346" s="171"/>
      <c r="T346" s="203">
        <f t="shared" si="199"/>
        <v>43647</v>
      </c>
      <c r="U346" s="205">
        <f t="shared" si="200"/>
        <v>43677</v>
      </c>
      <c r="V346" s="207">
        <f t="shared" si="209"/>
        <v>0</v>
      </c>
      <c r="W346" s="206" t="str">
        <f t="shared" si="206"/>
        <v/>
      </c>
      <c r="X346" s="206">
        <f t="shared" si="207"/>
        <v>0</v>
      </c>
      <c r="Y346" s="208">
        <f t="shared" si="208"/>
        <v>0</v>
      </c>
    </row>
    <row r="347" spans="2:25" ht="15.75" hidden="1" thickBot="1" x14ac:dyDescent="0.3">
      <c r="B347" s="86">
        <f>B346</f>
        <v>1</v>
      </c>
      <c r="C347" s="103">
        <v>6</v>
      </c>
      <c r="D347" s="193" t="str">
        <f t="shared" si="210"/>
        <v>II</v>
      </c>
      <c r="E347" s="172"/>
      <c r="F347" s="173"/>
      <c r="G347" s="173"/>
      <c r="H347" s="174"/>
      <c r="I347" s="174"/>
      <c r="J347" s="172"/>
      <c r="K347" s="175"/>
      <c r="L347" s="174"/>
      <c r="M347" s="174"/>
      <c r="N347" s="176"/>
      <c r="O347" s="177"/>
      <c r="P347" s="178"/>
      <c r="Q347" s="179"/>
      <c r="R347" s="180"/>
      <c r="S347" s="181"/>
      <c r="T347" s="203">
        <f t="shared" si="199"/>
        <v>43647</v>
      </c>
      <c r="U347" s="205">
        <f t="shared" si="200"/>
        <v>43677</v>
      </c>
      <c r="V347" s="207">
        <f t="shared" si="209"/>
        <v>0</v>
      </c>
      <c r="W347" s="206" t="str">
        <f t="shared" si="206"/>
        <v/>
      </c>
      <c r="X347" s="206">
        <f t="shared" si="207"/>
        <v>0</v>
      </c>
      <c r="Y347" s="208">
        <f t="shared" si="208"/>
        <v>0</v>
      </c>
    </row>
    <row r="348" spans="2:25" ht="15.75" hidden="1" thickBot="1" x14ac:dyDescent="0.3">
      <c r="B348" s="141">
        <f>B342</f>
        <v>1</v>
      </c>
      <c r="C348" s="142">
        <v>7</v>
      </c>
      <c r="D348" s="194" t="str">
        <f t="shared" si="210"/>
        <v>II</v>
      </c>
      <c r="E348" s="189"/>
      <c r="F348" s="190"/>
      <c r="G348" s="190"/>
      <c r="H348" s="182"/>
      <c r="I348" s="182"/>
      <c r="J348" s="436" t="s">
        <v>181</v>
      </c>
      <c r="K348" s="437"/>
      <c r="L348" s="438"/>
      <c r="M348" s="182"/>
      <c r="N348" s="183"/>
      <c r="O348" s="184"/>
      <c r="P348" s="185"/>
      <c r="Q348" s="186"/>
      <c r="R348" s="187"/>
      <c r="S348" s="188"/>
      <c r="T348" s="213">
        <f t="shared" si="199"/>
        <v>43647</v>
      </c>
      <c r="U348" s="214">
        <f t="shared" si="200"/>
        <v>43677</v>
      </c>
      <c r="V348" s="210">
        <f t="shared" si="209"/>
        <v>0</v>
      </c>
      <c r="W348" s="211"/>
      <c r="X348" s="211">
        <f>IF(AND($V348&gt;0,$I348=1),IF($E348=10,P348/10,P348/$V348),0)</f>
        <v>0</v>
      </c>
      <c r="Y348" s="212">
        <f>IF(AND($V342&gt;0,$I348&lt;&gt;1),Q348/E342*V342,0)</f>
        <v>0</v>
      </c>
    </row>
    <row r="349" spans="2:25" ht="15.75" hidden="1" thickBot="1" x14ac:dyDescent="0.3">
      <c r="B349" s="91">
        <f>B348+1</f>
        <v>2</v>
      </c>
      <c r="C349" s="104">
        <v>8</v>
      </c>
      <c r="D349" s="195" t="str">
        <f t="shared" si="210"/>
        <v>II</v>
      </c>
      <c r="E349" s="92"/>
      <c r="F349" s="107"/>
      <c r="G349" s="107"/>
      <c r="H349" s="93"/>
      <c r="I349" s="93"/>
      <c r="J349" s="92"/>
      <c r="K349" s="94"/>
      <c r="L349" s="93"/>
      <c r="M349" s="93"/>
      <c r="N349" s="119"/>
      <c r="O349" s="120"/>
      <c r="P349" s="121"/>
      <c r="Q349" s="122"/>
      <c r="R349" s="95"/>
      <c r="S349" s="110"/>
      <c r="T349" s="201">
        <f t="shared" si="199"/>
        <v>43647</v>
      </c>
      <c r="U349" s="202">
        <f t="shared" si="200"/>
        <v>43677</v>
      </c>
      <c r="V349" s="207">
        <f>IF(G349-F349+1-IF(G349-U349&gt;0,G349-U349,0)-IF(T349-F349&gt;0,T349-F349,0)&gt;0,G349-F349+1-IF(G349-U349&gt;0,G349-U349,0)-IF(T349-F349&gt;0,T349-F349,0),0)</f>
        <v>0</v>
      </c>
      <c r="W349" s="206" t="str">
        <f t="shared" ref="W349:W354" si="211">IF(V349&gt;0,H349,"")</f>
        <v/>
      </c>
      <c r="X349" s="206">
        <f t="shared" ref="X349:X354" si="212">IF(AND($V349&gt;0,$I349=1),P349/$E349*$V349,0)</f>
        <v>0</v>
      </c>
      <c r="Y349" s="209">
        <f t="shared" ref="Y349:Y354" si="213">IF(AND($V349&gt;0,$I349&lt;&gt;1),Q349/$E349*$V349,0)</f>
        <v>0</v>
      </c>
    </row>
    <row r="350" spans="2:25" ht="15.75" hidden="1" thickBot="1" x14ac:dyDescent="0.3">
      <c r="B350" s="60">
        <f>B349</f>
        <v>2</v>
      </c>
      <c r="C350" s="102">
        <v>9</v>
      </c>
      <c r="D350" s="192" t="str">
        <f t="shared" si="210"/>
        <v>II</v>
      </c>
      <c r="E350" s="62"/>
      <c r="F350" s="105"/>
      <c r="G350" s="105"/>
      <c r="H350" s="61"/>
      <c r="I350" s="61"/>
      <c r="J350" s="62"/>
      <c r="K350" s="63"/>
      <c r="L350" s="61"/>
      <c r="M350" s="61"/>
      <c r="N350" s="111"/>
      <c r="O350" s="112"/>
      <c r="P350" s="113"/>
      <c r="Q350" s="114"/>
      <c r="R350" s="64"/>
      <c r="S350" s="108"/>
      <c r="T350" s="203">
        <f t="shared" si="199"/>
        <v>43647</v>
      </c>
      <c r="U350" s="204">
        <f t="shared" si="200"/>
        <v>43677</v>
      </c>
      <c r="V350" s="207">
        <f t="shared" ref="V350:V355" si="214">IF(G350-F350+1-IF(G350-U350&gt;0,G350-U350,0)-IF(T350-F350&gt;0,T350-F350,0)&gt;0,G350-F350+1-IF(G350-U350&gt;0,G350-U350,0)-IF(T350-F350&gt;0,T350-F350,0),0)</f>
        <v>0</v>
      </c>
      <c r="W350" s="206" t="str">
        <f t="shared" si="211"/>
        <v/>
      </c>
      <c r="X350" s="206">
        <f t="shared" si="212"/>
        <v>0</v>
      </c>
      <c r="Y350" s="209">
        <f t="shared" si="213"/>
        <v>0</v>
      </c>
    </row>
    <row r="351" spans="2:25" ht="15.75" hidden="1" thickBot="1" x14ac:dyDescent="0.3">
      <c r="B351" s="60">
        <f>B349</f>
        <v>2</v>
      </c>
      <c r="C351" s="102">
        <v>10</v>
      </c>
      <c r="D351" s="192" t="str">
        <f t="shared" si="210"/>
        <v>II</v>
      </c>
      <c r="E351" s="62"/>
      <c r="F351" s="105"/>
      <c r="G351" s="105"/>
      <c r="H351" s="61"/>
      <c r="I351" s="61"/>
      <c r="J351" s="62"/>
      <c r="K351" s="63"/>
      <c r="L351" s="61"/>
      <c r="M351" s="61"/>
      <c r="N351" s="111"/>
      <c r="O351" s="112"/>
      <c r="P351" s="113"/>
      <c r="Q351" s="114"/>
      <c r="R351" s="64"/>
      <c r="S351" s="108"/>
      <c r="T351" s="203">
        <f t="shared" si="199"/>
        <v>43647</v>
      </c>
      <c r="U351" s="204">
        <f t="shared" si="200"/>
        <v>43677</v>
      </c>
      <c r="V351" s="207">
        <f t="shared" si="214"/>
        <v>0</v>
      </c>
      <c r="W351" s="206" t="str">
        <f t="shared" si="211"/>
        <v/>
      </c>
      <c r="X351" s="206">
        <f t="shared" si="212"/>
        <v>0</v>
      </c>
      <c r="Y351" s="209">
        <f t="shared" si="213"/>
        <v>0</v>
      </c>
    </row>
    <row r="352" spans="2:25" ht="15.75" hidden="1" thickBot="1" x14ac:dyDescent="0.3">
      <c r="B352" s="60">
        <f>B349</f>
        <v>2</v>
      </c>
      <c r="C352" s="102">
        <v>11</v>
      </c>
      <c r="D352" s="192" t="str">
        <f t="shared" si="210"/>
        <v>II</v>
      </c>
      <c r="E352" s="62"/>
      <c r="F352" s="105"/>
      <c r="G352" s="105"/>
      <c r="H352" s="61"/>
      <c r="I352" s="61"/>
      <c r="J352" s="62"/>
      <c r="K352" s="63"/>
      <c r="L352" s="61"/>
      <c r="M352" s="61"/>
      <c r="N352" s="111"/>
      <c r="O352" s="112"/>
      <c r="P352" s="113"/>
      <c r="Q352" s="114"/>
      <c r="R352" s="64"/>
      <c r="S352" s="108"/>
      <c r="T352" s="203">
        <f t="shared" si="199"/>
        <v>43647</v>
      </c>
      <c r="U352" s="204">
        <f t="shared" si="200"/>
        <v>43677</v>
      </c>
      <c r="V352" s="207">
        <f t="shared" si="214"/>
        <v>0</v>
      </c>
      <c r="W352" s="206" t="str">
        <f t="shared" si="211"/>
        <v/>
      </c>
      <c r="X352" s="206">
        <f t="shared" si="212"/>
        <v>0</v>
      </c>
      <c r="Y352" s="209">
        <f t="shared" si="213"/>
        <v>0</v>
      </c>
    </row>
    <row r="353" spans="2:25" ht="15.75" hidden="1" thickBot="1" x14ac:dyDescent="0.3">
      <c r="B353" s="60">
        <f>B349</f>
        <v>2</v>
      </c>
      <c r="C353" s="102">
        <v>12</v>
      </c>
      <c r="D353" s="192" t="str">
        <f t="shared" si="210"/>
        <v>II</v>
      </c>
      <c r="E353" s="62"/>
      <c r="F353" s="105"/>
      <c r="G353" s="105"/>
      <c r="H353" s="61"/>
      <c r="I353" s="61"/>
      <c r="J353" s="62"/>
      <c r="K353" s="63"/>
      <c r="L353" s="61"/>
      <c r="M353" s="61"/>
      <c r="N353" s="111"/>
      <c r="O353" s="112"/>
      <c r="P353" s="113"/>
      <c r="Q353" s="114"/>
      <c r="R353" s="64"/>
      <c r="S353" s="108"/>
      <c r="T353" s="203">
        <f t="shared" si="199"/>
        <v>43647</v>
      </c>
      <c r="U353" s="204">
        <f t="shared" si="200"/>
        <v>43677</v>
      </c>
      <c r="V353" s="207">
        <f t="shared" si="214"/>
        <v>0</v>
      </c>
      <c r="W353" s="206" t="str">
        <f t="shared" si="211"/>
        <v/>
      </c>
      <c r="X353" s="206">
        <f t="shared" si="212"/>
        <v>0</v>
      </c>
      <c r="Y353" s="209">
        <f t="shared" si="213"/>
        <v>0</v>
      </c>
    </row>
    <row r="354" spans="2:25" ht="15.75" hidden="1" thickBot="1" x14ac:dyDescent="0.3">
      <c r="B354" s="86">
        <f>B349</f>
        <v>2</v>
      </c>
      <c r="C354" s="103">
        <v>13</v>
      </c>
      <c r="D354" s="193" t="str">
        <f t="shared" si="210"/>
        <v>II</v>
      </c>
      <c r="E354" s="87"/>
      <c r="F354" s="106"/>
      <c r="G354" s="106"/>
      <c r="H354" s="88"/>
      <c r="I354" s="88"/>
      <c r="J354" s="87"/>
      <c r="K354" s="89"/>
      <c r="L354" s="88"/>
      <c r="M354" s="88"/>
      <c r="N354" s="115"/>
      <c r="O354" s="116"/>
      <c r="P354" s="117"/>
      <c r="Q354" s="118"/>
      <c r="R354" s="90"/>
      <c r="S354" s="109"/>
      <c r="T354" s="203">
        <f t="shared" si="199"/>
        <v>43647</v>
      </c>
      <c r="U354" s="204">
        <f t="shared" si="200"/>
        <v>43677</v>
      </c>
      <c r="V354" s="207">
        <f t="shared" si="214"/>
        <v>0</v>
      </c>
      <c r="W354" s="206" t="str">
        <f t="shared" si="211"/>
        <v/>
      </c>
      <c r="X354" s="206">
        <f t="shared" si="212"/>
        <v>0</v>
      </c>
      <c r="Y354" s="209">
        <f t="shared" si="213"/>
        <v>0</v>
      </c>
    </row>
    <row r="355" spans="2:25" ht="15.75" hidden="1" thickBot="1" x14ac:dyDescent="0.3">
      <c r="B355" s="141">
        <f>B349</f>
        <v>2</v>
      </c>
      <c r="C355" s="142">
        <v>14</v>
      </c>
      <c r="D355" s="194" t="str">
        <f t="shared" si="210"/>
        <v>II</v>
      </c>
      <c r="E355" s="143"/>
      <c r="F355" s="144"/>
      <c r="G355" s="144"/>
      <c r="H355" s="145"/>
      <c r="I355" s="145"/>
      <c r="J355" s="436" t="s">
        <v>181</v>
      </c>
      <c r="K355" s="437"/>
      <c r="L355" s="438"/>
      <c r="M355" s="145"/>
      <c r="N355" s="146"/>
      <c r="O355" s="147"/>
      <c r="P355" s="148"/>
      <c r="Q355" s="149"/>
      <c r="R355" s="150"/>
      <c r="S355" s="151"/>
      <c r="T355" s="213">
        <f t="shared" si="199"/>
        <v>43647</v>
      </c>
      <c r="U355" s="214">
        <f t="shared" si="200"/>
        <v>43677</v>
      </c>
      <c r="V355" s="210">
        <f t="shared" si="214"/>
        <v>0</v>
      </c>
      <c r="W355" s="211"/>
      <c r="X355" s="211">
        <f>IF(AND($V355&gt;0,$I355=1),IF($E355=10,P355/10,P355/$V355),0)</f>
        <v>0</v>
      </c>
      <c r="Y355" s="212">
        <f>IF(AND($V349&gt;0,$I355&lt;&gt;1),Q355/E349*V349,0)</f>
        <v>0</v>
      </c>
    </row>
    <row r="356" spans="2:25" ht="16.5" hidden="1" thickTop="1" thickBot="1" x14ac:dyDescent="0.3">
      <c r="B356" s="129">
        <f>B354+1</f>
        <v>3</v>
      </c>
      <c r="C356" s="130">
        <v>15</v>
      </c>
      <c r="D356" s="196" t="str">
        <f t="shared" si="210"/>
        <v>II</v>
      </c>
      <c r="E356" s="152"/>
      <c r="F356" s="153"/>
      <c r="G356" s="153"/>
      <c r="H356" s="154"/>
      <c r="I356" s="154"/>
      <c r="J356" s="152"/>
      <c r="K356" s="155"/>
      <c r="L356" s="154"/>
      <c r="M356" s="154"/>
      <c r="N356" s="156"/>
      <c r="O356" s="157"/>
      <c r="P356" s="158"/>
      <c r="Q356" s="159"/>
      <c r="R356" s="160"/>
      <c r="S356" s="161"/>
      <c r="T356" s="203">
        <f t="shared" si="199"/>
        <v>43647</v>
      </c>
      <c r="U356" s="204">
        <f t="shared" si="200"/>
        <v>43677</v>
      </c>
      <c r="V356" s="207">
        <f>IF(G356-F356+1-IF(G356-U356&gt;0,G356-U356,0)-IF(T356-F356&gt;0,T356-F356,0)&gt;0,G356-F356+1-IF(G356-U356&gt;0,G356-U356,0)-IF(T356-F356&gt;0,T356-F356,0),0)</f>
        <v>0</v>
      </c>
      <c r="W356" s="206" t="str">
        <f t="shared" ref="W356:W361" si="215">IF(V356&gt;0,H356,"")</f>
        <v/>
      </c>
      <c r="X356" s="206">
        <f t="shared" ref="X356:X361" si="216">IF(AND($V356&gt;0,$I356=1),P356/$E356*$V356,0)</f>
        <v>0</v>
      </c>
      <c r="Y356" s="209">
        <f t="shared" ref="Y356:Y361" si="217">IF(AND($V356&gt;0,$I356&lt;&gt;1),Q356/$E356*$V356,0)</f>
        <v>0</v>
      </c>
    </row>
    <row r="357" spans="2:25" ht="15.75" hidden="1" thickBot="1" x14ac:dyDescent="0.3">
      <c r="B357" s="60">
        <f>B356</f>
        <v>3</v>
      </c>
      <c r="C357" s="102">
        <v>16</v>
      </c>
      <c r="D357" s="192" t="str">
        <f t="shared" si="210"/>
        <v>II</v>
      </c>
      <c r="E357" s="162"/>
      <c r="F357" s="163"/>
      <c r="G357" s="163"/>
      <c r="H357" s="164"/>
      <c r="I357" s="164"/>
      <c r="J357" s="162"/>
      <c r="K357" s="165"/>
      <c r="L357" s="164"/>
      <c r="M357" s="164"/>
      <c r="N357" s="166"/>
      <c r="O357" s="167"/>
      <c r="P357" s="168"/>
      <c r="Q357" s="169"/>
      <c r="R357" s="170"/>
      <c r="S357" s="171"/>
      <c r="T357" s="203">
        <f t="shared" si="199"/>
        <v>43647</v>
      </c>
      <c r="U357" s="204">
        <f t="shared" si="200"/>
        <v>43677</v>
      </c>
      <c r="V357" s="207">
        <f t="shared" ref="V357:V362" si="218">IF(G357-F357+1-IF(G357-U357&gt;0,G357-U357,0)-IF(T357-F357&gt;0,T357-F357,0)&gt;0,G357-F357+1-IF(G357-U357&gt;0,G357-U357,0)-IF(T357-F357&gt;0,T357-F357,0),0)</f>
        <v>0</v>
      </c>
      <c r="W357" s="206" t="str">
        <f t="shared" si="215"/>
        <v/>
      </c>
      <c r="X357" s="206">
        <f t="shared" si="216"/>
        <v>0</v>
      </c>
      <c r="Y357" s="209">
        <f t="shared" si="217"/>
        <v>0</v>
      </c>
    </row>
    <row r="358" spans="2:25" ht="15.75" hidden="1" thickBot="1" x14ac:dyDescent="0.3">
      <c r="B358" s="60">
        <f>B356</f>
        <v>3</v>
      </c>
      <c r="C358" s="102">
        <v>17</v>
      </c>
      <c r="D358" s="192" t="str">
        <f t="shared" si="210"/>
        <v>II</v>
      </c>
      <c r="E358" s="162"/>
      <c r="F358" s="163"/>
      <c r="G358" s="163"/>
      <c r="H358" s="164"/>
      <c r="I358" s="164"/>
      <c r="J358" s="162"/>
      <c r="K358" s="165"/>
      <c r="L358" s="164"/>
      <c r="M358" s="164"/>
      <c r="N358" s="166"/>
      <c r="O358" s="167"/>
      <c r="P358" s="168"/>
      <c r="Q358" s="169"/>
      <c r="R358" s="170"/>
      <c r="S358" s="171"/>
      <c r="T358" s="203">
        <f t="shared" si="199"/>
        <v>43647</v>
      </c>
      <c r="U358" s="204">
        <f t="shared" si="200"/>
        <v>43677</v>
      </c>
      <c r="V358" s="207">
        <f t="shared" si="218"/>
        <v>0</v>
      </c>
      <c r="W358" s="206" t="str">
        <f t="shared" si="215"/>
        <v/>
      </c>
      <c r="X358" s="206">
        <f t="shared" si="216"/>
        <v>0</v>
      </c>
      <c r="Y358" s="209">
        <f t="shared" si="217"/>
        <v>0</v>
      </c>
    </row>
    <row r="359" spans="2:25" ht="15.75" hidden="1" thickBot="1" x14ac:dyDescent="0.3">
      <c r="B359" s="60">
        <f>B356</f>
        <v>3</v>
      </c>
      <c r="C359" s="102">
        <v>18</v>
      </c>
      <c r="D359" s="192" t="str">
        <f t="shared" si="210"/>
        <v>II</v>
      </c>
      <c r="E359" s="162"/>
      <c r="F359" s="163"/>
      <c r="G359" s="163"/>
      <c r="H359" s="164"/>
      <c r="I359" s="164"/>
      <c r="J359" s="162"/>
      <c r="K359" s="165"/>
      <c r="L359" s="164"/>
      <c r="M359" s="164"/>
      <c r="N359" s="166"/>
      <c r="O359" s="167"/>
      <c r="P359" s="168"/>
      <c r="Q359" s="169"/>
      <c r="R359" s="170"/>
      <c r="S359" s="171"/>
      <c r="T359" s="203">
        <f t="shared" si="199"/>
        <v>43647</v>
      </c>
      <c r="U359" s="204">
        <f t="shared" si="200"/>
        <v>43677</v>
      </c>
      <c r="V359" s="207">
        <f t="shared" si="218"/>
        <v>0</v>
      </c>
      <c r="W359" s="206" t="str">
        <f t="shared" si="215"/>
        <v/>
      </c>
      <c r="X359" s="206">
        <f t="shared" si="216"/>
        <v>0</v>
      </c>
      <c r="Y359" s="209">
        <f t="shared" si="217"/>
        <v>0</v>
      </c>
    </row>
    <row r="360" spans="2:25" ht="15.75" hidden="1" thickBot="1" x14ac:dyDescent="0.3">
      <c r="B360" s="60">
        <f>B356</f>
        <v>3</v>
      </c>
      <c r="C360" s="102">
        <v>19</v>
      </c>
      <c r="D360" s="192" t="str">
        <f t="shared" si="210"/>
        <v>II</v>
      </c>
      <c r="E360" s="162"/>
      <c r="F360" s="163"/>
      <c r="G360" s="163"/>
      <c r="H360" s="164"/>
      <c r="I360" s="164"/>
      <c r="J360" s="162"/>
      <c r="K360" s="165"/>
      <c r="L360" s="164"/>
      <c r="M360" s="164"/>
      <c r="N360" s="166"/>
      <c r="O360" s="167"/>
      <c r="P360" s="168"/>
      <c r="Q360" s="169"/>
      <c r="R360" s="170"/>
      <c r="S360" s="171"/>
      <c r="T360" s="203">
        <f t="shared" si="199"/>
        <v>43647</v>
      </c>
      <c r="U360" s="204">
        <f t="shared" si="200"/>
        <v>43677</v>
      </c>
      <c r="V360" s="207">
        <f t="shared" si="218"/>
        <v>0</v>
      </c>
      <c r="W360" s="206" t="str">
        <f t="shared" si="215"/>
        <v/>
      </c>
      <c r="X360" s="206">
        <f t="shared" si="216"/>
        <v>0</v>
      </c>
      <c r="Y360" s="209">
        <f t="shared" si="217"/>
        <v>0</v>
      </c>
    </row>
    <row r="361" spans="2:25" ht="15.75" hidden="1" thickBot="1" x14ac:dyDescent="0.3">
      <c r="B361" s="60">
        <f>B356</f>
        <v>3</v>
      </c>
      <c r="C361" s="102">
        <v>20</v>
      </c>
      <c r="D361" s="192" t="str">
        <f t="shared" si="210"/>
        <v>II</v>
      </c>
      <c r="E361" s="172"/>
      <c r="F361" s="173"/>
      <c r="G361" s="173"/>
      <c r="H361" s="174"/>
      <c r="I361" s="174"/>
      <c r="J361" s="172"/>
      <c r="K361" s="175"/>
      <c r="L361" s="174"/>
      <c r="M361" s="174"/>
      <c r="N361" s="176"/>
      <c r="O361" s="177"/>
      <c r="P361" s="178"/>
      <c r="Q361" s="179"/>
      <c r="R361" s="180"/>
      <c r="S361" s="181"/>
      <c r="T361" s="203">
        <f t="shared" si="199"/>
        <v>43647</v>
      </c>
      <c r="U361" s="204">
        <f t="shared" si="200"/>
        <v>43677</v>
      </c>
      <c r="V361" s="207">
        <f t="shared" si="218"/>
        <v>0</v>
      </c>
      <c r="W361" s="206" t="str">
        <f t="shared" si="215"/>
        <v/>
      </c>
      <c r="X361" s="206">
        <f t="shared" si="216"/>
        <v>0</v>
      </c>
      <c r="Y361" s="209">
        <f t="shared" si="217"/>
        <v>0</v>
      </c>
    </row>
    <row r="362" spans="2:25" ht="15.75" hidden="1" thickBot="1" x14ac:dyDescent="0.3">
      <c r="B362" s="141">
        <f>B356</f>
        <v>3</v>
      </c>
      <c r="C362" s="142">
        <v>21</v>
      </c>
      <c r="D362" s="194" t="str">
        <f t="shared" si="210"/>
        <v>II</v>
      </c>
      <c r="E362" s="189"/>
      <c r="F362" s="190"/>
      <c r="G362" s="190"/>
      <c r="H362" s="182"/>
      <c r="I362" s="182"/>
      <c r="J362" s="436" t="s">
        <v>181</v>
      </c>
      <c r="K362" s="437"/>
      <c r="L362" s="438"/>
      <c r="M362" s="182"/>
      <c r="N362" s="183"/>
      <c r="O362" s="184"/>
      <c r="P362" s="185"/>
      <c r="Q362" s="186"/>
      <c r="R362" s="187"/>
      <c r="S362" s="188"/>
      <c r="T362" s="213">
        <f t="shared" si="199"/>
        <v>43647</v>
      </c>
      <c r="U362" s="214">
        <f t="shared" si="200"/>
        <v>43677</v>
      </c>
      <c r="V362" s="210">
        <f t="shared" si="218"/>
        <v>0</v>
      </c>
      <c r="W362" s="211"/>
      <c r="X362" s="211">
        <f>IF(AND($V362&gt;0,$I362=1),IF($E362=10,P362/10,P362/$V362),0)</f>
        <v>0</v>
      </c>
      <c r="Y362" s="212">
        <f>IF(AND($V356&gt;0,$I362&lt;&gt;1),Q362/E356*V356,0)</f>
        <v>0</v>
      </c>
    </row>
    <row r="363" spans="2:25" ht="16.5" hidden="1" thickTop="1" thickBot="1" x14ac:dyDescent="0.3">
      <c r="B363" s="129">
        <f>B361+1</f>
        <v>4</v>
      </c>
      <c r="C363" s="130">
        <v>22</v>
      </c>
      <c r="D363" s="196" t="str">
        <f t="shared" si="210"/>
        <v>II</v>
      </c>
      <c r="E363" s="131"/>
      <c r="F363" s="132"/>
      <c r="G363" s="132"/>
      <c r="H363" s="133"/>
      <c r="I363" s="133"/>
      <c r="J363" s="131"/>
      <c r="K363" s="134"/>
      <c r="L363" s="133"/>
      <c r="M363" s="133"/>
      <c r="N363" s="135"/>
      <c r="O363" s="136"/>
      <c r="P363" s="137"/>
      <c r="Q363" s="138"/>
      <c r="R363" s="139"/>
      <c r="S363" s="140"/>
      <c r="T363" s="203">
        <f t="shared" si="199"/>
        <v>43647</v>
      </c>
      <c r="U363" s="204">
        <f t="shared" si="200"/>
        <v>43677</v>
      </c>
      <c r="V363" s="207">
        <f>IF(G363-F363+1-IF(G363-U363&gt;0,G363-U363,0)-IF(T363-F363&gt;0,T363-F363,0)&gt;0,G363-F363+1-IF(G363-U363&gt;0,G363-U363,0)-IF(T363-F363&gt;0,T363-F363,0),0)</f>
        <v>0</v>
      </c>
      <c r="W363" s="206" t="str">
        <f t="shared" ref="W363:W368" si="219">IF(V363&gt;0,H363,"")</f>
        <v/>
      </c>
      <c r="X363" s="206">
        <f t="shared" ref="X363:X368" si="220">IF(AND($V363&gt;0,$I363=1),P363/$E363*$V363,0)</f>
        <v>0</v>
      </c>
      <c r="Y363" s="209">
        <f t="shared" ref="Y363:Y368" si="221">IF(AND($V363&gt;0,$I363&lt;&gt;1),Q363/$E363*$V363,0)</f>
        <v>0</v>
      </c>
    </row>
    <row r="364" spans="2:25" ht="15.75" hidden="1" thickBot="1" x14ac:dyDescent="0.3">
      <c r="B364" s="60">
        <f>B363</f>
        <v>4</v>
      </c>
      <c r="C364" s="102">
        <v>23</v>
      </c>
      <c r="D364" s="192" t="str">
        <f t="shared" si="210"/>
        <v>II</v>
      </c>
      <c r="E364" s="62"/>
      <c r="F364" s="105"/>
      <c r="G364" s="105"/>
      <c r="H364" s="61"/>
      <c r="I364" s="61"/>
      <c r="J364" s="62"/>
      <c r="K364" s="63"/>
      <c r="L364" s="61"/>
      <c r="M364" s="61"/>
      <c r="N364" s="111"/>
      <c r="O364" s="112"/>
      <c r="P364" s="113"/>
      <c r="Q364" s="114"/>
      <c r="R364" s="64"/>
      <c r="S364" s="108"/>
      <c r="T364" s="203">
        <f t="shared" si="199"/>
        <v>43647</v>
      </c>
      <c r="U364" s="204">
        <f t="shared" si="200"/>
        <v>43677</v>
      </c>
      <c r="V364" s="207">
        <f t="shared" ref="V364:V369" si="222">IF(G364-F364+1-IF(G364-U364&gt;0,G364-U364,0)-IF(T364-F364&gt;0,T364-F364,0)&gt;0,G364-F364+1-IF(G364-U364&gt;0,G364-U364,0)-IF(T364-F364&gt;0,T364-F364,0),0)</f>
        <v>0</v>
      </c>
      <c r="W364" s="206" t="str">
        <f t="shared" si="219"/>
        <v/>
      </c>
      <c r="X364" s="206">
        <f t="shared" si="220"/>
        <v>0</v>
      </c>
      <c r="Y364" s="209">
        <f t="shared" si="221"/>
        <v>0</v>
      </c>
    </row>
    <row r="365" spans="2:25" ht="15.75" hidden="1" thickBot="1" x14ac:dyDescent="0.3">
      <c r="B365" s="60">
        <f>B363</f>
        <v>4</v>
      </c>
      <c r="C365" s="102">
        <v>24</v>
      </c>
      <c r="D365" s="192" t="str">
        <f t="shared" si="210"/>
        <v>II</v>
      </c>
      <c r="E365" s="62"/>
      <c r="F365" s="105"/>
      <c r="G365" s="105"/>
      <c r="H365" s="61"/>
      <c r="I365" s="61"/>
      <c r="J365" s="62"/>
      <c r="K365" s="63"/>
      <c r="L365" s="61"/>
      <c r="M365" s="61"/>
      <c r="N365" s="111"/>
      <c r="O365" s="112"/>
      <c r="P365" s="113"/>
      <c r="Q365" s="114"/>
      <c r="R365" s="64"/>
      <c r="S365" s="108"/>
      <c r="T365" s="203">
        <f t="shared" si="199"/>
        <v>43647</v>
      </c>
      <c r="U365" s="204">
        <f t="shared" si="200"/>
        <v>43677</v>
      </c>
      <c r="V365" s="207">
        <f t="shared" si="222"/>
        <v>0</v>
      </c>
      <c r="W365" s="206" t="str">
        <f t="shared" si="219"/>
        <v/>
      </c>
      <c r="X365" s="206">
        <f t="shared" si="220"/>
        <v>0</v>
      </c>
      <c r="Y365" s="209">
        <f t="shared" si="221"/>
        <v>0</v>
      </c>
    </row>
    <row r="366" spans="2:25" ht="15.75" hidden="1" thickBot="1" x14ac:dyDescent="0.3">
      <c r="B366" s="60">
        <f>B363</f>
        <v>4</v>
      </c>
      <c r="C366" s="102">
        <v>25</v>
      </c>
      <c r="D366" s="192" t="str">
        <f t="shared" si="210"/>
        <v>II</v>
      </c>
      <c r="E366" s="62"/>
      <c r="F366" s="105"/>
      <c r="G366" s="105"/>
      <c r="H366" s="61"/>
      <c r="I366" s="61"/>
      <c r="J366" s="62"/>
      <c r="K366" s="63"/>
      <c r="L366" s="61"/>
      <c r="M366" s="61"/>
      <c r="N366" s="111"/>
      <c r="O366" s="112"/>
      <c r="P366" s="113"/>
      <c r="Q366" s="114"/>
      <c r="R366" s="64"/>
      <c r="S366" s="108"/>
      <c r="T366" s="203">
        <f t="shared" si="199"/>
        <v>43647</v>
      </c>
      <c r="U366" s="204">
        <f t="shared" si="200"/>
        <v>43677</v>
      </c>
      <c r="V366" s="207">
        <f t="shared" si="222"/>
        <v>0</v>
      </c>
      <c r="W366" s="206" t="str">
        <f t="shared" si="219"/>
        <v/>
      </c>
      <c r="X366" s="206">
        <f t="shared" si="220"/>
        <v>0</v>
      </c>
      <c r="Y366" s="209">
        <f t="shared" si="221"/>
        <v>0</v>
      </c>
    </row>
    <row r="367" spans="2:25" ht="15.75" hidden="1" thickBot="1" x14ac:dyDescent="0.3">
      <c r="B367" s="60">
        <f>B363</f>
        <v>4</v>
      </c>
      <c r="C367" s="102">
        <v>26</v>
      </c>
      <c r="D367" s="192" t="str">
        <f t="shared" si="210"/>
        <v>II</v>
      </c>
      <c r="E367" s="62"/>
      <c r="F367" s="105"/>
      <c r="G367" s="105"/>
      <c r="H367" s="61"/>
      <c r="I367" s="61"/>
      <c r="J367" s="62"/>
      <c r="K367" s="63"/>
      <c r="L367" s="61"/>
      <c r="M367" s="61"/>
      <c r="N367" s="111"/>
      <c r="O367" s="112"/>
      <c r="P367" s="113"/>
      <c r="Q367" s="114"/>
      <c r="R367" s="64"/>
      <c r="S367" s="108"/>
      <c r="T367" s="203">
        <f t="shared" si="199"/>
        <v>43647</v>
      </c>
      <c r="U367" s="204">
        <f t="shared" si="200"/>
        <v>43677</v>
      </c>
      <c r="V367" s="207">
        <f t="shared" si="222"/>
        <v>0</v>
      </c>
      <c r="W367" s="206" t="str">
        <f t="shared" si="219"/>
        <v/>
      </c>
      <c r="X367" s="206">
        <f t="shared" si="220"/>
        <v>0</v>
      </c>
      <c r="Y367" s="209">
        <f t="shared" si="221"/>
        <v>0</v>
      </c>
    </row>
    <row r="368" spans="2:25" ht="15.75" hidden="1" thickBot="1" x14ac:dyDescent="0.3">
      <c r="B368" s="60">
        <f>B363</f>
        <v>4</v>
      </c>
      <c r="C368" s="102">
        <v>27</v>
      </c>
      <c r="D368" s="192" t="str">
        <f t="shared" si="210"/>
        <v>II</v>
      </c>
      <c r="E368" s="62"/>
      <c r="F368" s="105"/>
      <c r="G368" s="105"/>
      <c r="H368" s="61"/>
      <c r="I368" s="61"/>
      <c r="J368" s="62"/>
      <c r="K368" s="63"/>
      <c r="L368" s="61"/>
      <c r="M368" s="61"/>
      <c r="N368" s="111"/>
      <c r="O368" s="112"/>
      <c r="P368" s="113"/>
      <c r="Q368" s="114"/>
      <c r="R368" s="64"/>
      <c r="S368" s="108"/>
      <c r="T368" s="203">
        <f t="shared" si="199"/>
        <v>43647</v>
      </c>
      <c r="U368" s="204">
        <f t="shared" si="200"/>
        <v>43677</v>
      </c>
      <c r="V368" s="207">
        <f t="shared" si="222"/>
        <v>0</v>
      </c>
      <c r="W368" s="206" t="str">
        <f t="shared" si="219"/>
        <v/>
      </c>
      <c r="X368" s="206">
        <f t="shared" si="220"/>
        <v>0</v>
      </c>
      <c r="Y368" s="209">
        <f t="shared" si="221"/>
        <v>0</v>
      </c>
    </row>
    <row r="369" spans="2:25" ht="15.75" hidden="1" thickBot="1" x14ac:dyDescent="0.3">
      <c r="B369" s="141">
        <f>B363</f>
        <v>4</v>
      </c>
      <c r="C369" s="142">
        <v>28</v>
      </c>
      <c r="D369" s="194" t="str">
        <f t="shared" si="210"/>
        <v>II</v>
      </c>
      <c r="E369" s="143"/>
      <c r="F369" s="144"/>
      <c r="G369" s="144"/>
      <c r="H369" s="145"/>
      <c r="I369" s="145"/>
      <c r="J369" s="436" t="s">
        <v>181</v>
      </c>
      <c r="K369" s="437"/>
      <c r="L369" s="438"/>
      <c r="M369" s="145"/>
      <c r="N369" s="146"/>
      <c r="O369" s="147"/>
      <c r="P369" s="148"/>
      <c r="Q369" s="149"/>
      <c r="R369" s="150"/>
      <c r="S369" s="151"/>
      <c r="T369" s="213">
        <f t="shared" si="199"/>
        <v>43647</v>
      </c>
      <c r="U369" s="214">
        <f t="shared" si="200"/>
        <v>43677</v>
      </c>
      <c r="V369" s="210">
        <f t="shared" si="222"/>
        <v>0</v>
      </c>
      <c r="W369" s="211"/>
      <c r="X369" s="211">
        <f>IF(AND($V369&gt;0,$I369=1),IF($E369=10,P369/10,P369/$V369),0)</f>
        <v>0</v>
      </c>
      <c r="Y369" s="212">
        <f>IF(AND($V363&gt;0,$I369&lt;&gt;1),Q369/E363*V363,0)</f>
        <v>0</v>
      </c>
    </row>
    <row r="370" spans="2:25" ht="16.5" hidden="1" thickTop="1" thickBot="1" x14ac:dyDescent="0.3">
      <c r="B370" s="129">
        <f>B368+1</f>
        <v>5</v>
      </c>
      <c r="C370" s="130">
        <v>29</v>
      </c>
      <c r="D370" s="196" t="str">
        <f t="shared" si="210"/>
        <v>II</v>
      </c>
      <c r="E370" s="152"/>
      <c r="F370" s="153"/>
      <c r="G370" s="153"/>
      <c r="H370" s="154"/>
      <c r="I370" s="154"/>
      <c r="J370" s="152"/>
      <c r="K370" s="155"/>
      <c r="L370" s="154"/>
      <c r="M370" s="154"/>
      <c r="N370" s="156"/>
      <c r="O370" s="157"/>
      <c r="P370" s="158"/>
      <c r="Q370" s="159"/>
      <c r="R370" s="160"/>
      <c r="S370" s="161"/>
      <c r="T370" s="203">
        <f t="shared" si="199"/>
        <v>43647</v>
      </c>
      <c r="U370" s="204">
        <f t="shared" si="200"/>
        <v>43677</v>
      </c>
      <c r="V370" s="207">
        <f>IF(G370-F370+1-IF(G370-U370&gt;0,G370-U370,0)-IF(T370-F370&gt;0,T370-F370,0)&gt;0,G370-F370+1-IF(G370-U370&gt;0,G370-U370,0)-IF(T370-F370&gt;0,T370-F370,0),0)</f>
        <v>0</v>
      </c>
      <c r="W370" s="206" t="str">
        <f t="shared" ref="W370:W375" si="223">IF(V370&gt;0,H370,"")</f>
        <v/>
      </c>
      <c r="X370" s="206">
        <f t="shared" ref="X370:X375" si="224">IF(AND($V370&gt;0,$I370=1),P370/$E370*$V370,0)</f>
        <v>0</v>
      </c>
      <c r="Y370" s="209">
        <f t="shared" ref="Y370:Y375" si="225">IF(AND($V370&gt;0,$I370&lt;&gt;1),Q370/$E370*$V370,0)</f>
        <v>0</v>
      </c>
    </row>
    <row r="371" spans="2:25" ht="15.75" hidden="1" thickBot="1" x14ac:dyDescent="0.3">
      <c r="B371" s="60">
        <f>B370</f>
        <v>5</v>
      </c>
      <c r="C371" s="102">
        <v>30</v>
      </c>
      <c r="D371" s="192" t="str">
        <f t="shared" si="210"/>
        <v>II</v>
      </c>
      <c r="E371" s="162"/>
      <c r="F371" s="163"/>
      <c r="G371" s="163"/>
      <c r="H371" s="164"/>
      <c r="I371" s="164"/>
      <c r="J371" s="162"/>
      <c r="K371" s="165"/>
      <c r="L371" s="164"/>
      <c r="M371" s="164"/>
      <c r="N371" s="166"/>
      <c r="O371" s="167"/>
      <c r="P371" s="168"/>
      <c r="Q371" s="169"/>
      <c r="R371" s="170"/>
      <c r="S371" s="171"/>
      <c r="T371" s="203">
        <f t="shared" si="199"/>
        <v>43647</v>
      </c>
      <c r="U371" s="204">
        <f t="shared" si="200"/>
        <v>43677</v>
      </c>
      <c r="V371" s="207">
        <f t="shared" ref="V371:V376" si="226">IF(G371-F371+1-IF(G371-U371&gt;0,G371-U371,0)-IF(T371-F371&gt;0,T371-F371,0)&gt;0,G371-F371+1-IF(G371-U371&gt;0,G371-U371,0)-IF(T371-F371&gt;0,T371-F371,0),0)</f>
        <v>0</v>
      </c>
      <c r="W371" s="206" t="str">
        <f t="shared" si="223"/>
        <v/>
      </c>
      <c r="X371" s="206">
        <f t="shared" si="224"/>
        <v>0</v>
      </c>
      <c r="Y371" s="209">
        <f t="shared" si="225"/>
        <v>0</v>
      </c>
    </row>
    <row r="372" spans="2:25" ht="15.75" hidden="1" thickBot="1" x14ac:dyDescent="0.3">
      <c r="B372" s="60">
        <f>B370</f>
        <v>5</v>
      </c>
      <c r="C372" s="102">
        <v>31</v>
      </c>
      <c r="D372" s="192" t="str">
        <f t="shared" si="210"/>
        <v>II</v>
      </c>
      <c r="E372" s="162"/>
      <c r="F372" s="163"/>
      <c r="G372" s="163"/>
      <c r="H372" s="164"/>
      <c r="I372" s="164"/>
      <c r="J372" s="162"/>
      <c r="K372" s="165"/>
      <c r="L372" s="164"/>
      <c r="M372" s="164"/>
      <c r="N372" s="166"/>
      <c r="O372" s="167"/>
      <c r="P372" s="168"/>
      <c r="Q372" s="169"/>
      <c r="R372" s="170"/>
      <c r="S372" s="171"/>
      <c r="T372" s="203">
        <f t="shared" si="199"/>
        <v>43647</v>
      </c>
      <c r="U372" s="204">
        <f t="shared" si="200"/>
        <v>43677</v>
      </c>
      <c r="V372" s="207">
        <f t="shared" si="226"/>
        <v>0</v>
      </c>
      <c r="W372" s="206" t="str">
        <f t="shared" si="223"/>
        <v/>
      </c>
      <c r="X372" s="206">
        <f t="shared" si="224"/>
        <v>0</v>
      </c>
      <c r="Y372" s="209">
        <f t="shared" si="225"/>
        <v>0</v>
      </c>
    </row>
    <row r="373" spans="2:25" ht="15.75" hidden="1" thickBot="1" x14ac:dyDescent="0.3">
      <c r="B373" s="60">
        <f>B370</f>
        <v>5</v>
      </c>
      <c r="C373" s="102">
        <v>32</v>
      </c>
      <c r="D373" s="192" t="str">
        <f t="shared" si="210"/>
        <v>II</v>
      </c>
      <c r="E373" s="162"/>
      <c r="F373" s="163"/>
      <c r="G373" s="163"/>
      <c r="H373" s="164"/>
      <c r="I373" s="164"/>
      <c r="J373" s="162"/>
      <c r="K373" s="165"/>
      <c r="L373" s="164"/>
      <c r="M373" s="164"/>
      <c r="N373" s="166"/>
      <c r="O373" s="167"/>
      <c r="P373" s="168"/>
      <c r="Q373" s="169"/>
      <c r="R373" s="170"/>
      <c r="S373" s="171"/>
      <c r="T373" s="203">
        <f t="shared" si="199"/>
        <v>43647</v>
      </c>
      <c r="U373" s="204">
        <f t="shared" si="200"/>
        <v>43677</v>
      </c>
      <c r="V373" s="207">
        <f t="shared" si="226"/>
        <v>0</v>
      </c>
      <c r="W373" s="206" t="str">
        <f t="shared" si="223"/>
        <v/>
      </c>
      <c r="X373" s="206">
        <f t="shared" si="224"/>
        <v>0</v>
      </c>
      <c r="Y373" s="209">
        <f t="shared" si="225"/>
        <v>0</v>
      </c>
    </row>
    <row r="374" spans="2:25" ht="15.75" hidden="1" thickBot="1" x14ac:dyDescent="0.3">
      <c r="B374" s="60">
        <f>B370</f>
        <v>5</v>
      </c>
      <c r="C374" s="102">
        <v>33</v>
      </c>
      <c r="D374" s="192" t="str">
        <f t="shared" si="210"/>
        <v>II</v>
      </c>
      <c r="E374" s="162"/>
      <c r="F374" s="163"/>
      <c r="G374" s="163"/>
      <c r="H374" s="164"/>
      <c r="I374" s="164"/>
      <c r="J374" s="162"/>
      <c r="K374" s="165"/>
      <c r="L374" s="164"/>
      <c r="M374" s="164"/>
      <c r="N374" s="166"/>
      <c r="O374" s="167"/>
      <c r="P374" s="168"/>
      <c r="Q374" s="169"/>
      <c r="R374" s="170"/>
      <c r="S374" s="171"/>
      <c r="T374" s="203">
        <f t="shared" si="199"/>
        <v>43647</v>
      </c>
      <c r="U374" s="204">
        <f t="shared" si="200"/>
        <v>43677</v>
      </c>
      <c r="V374" s="207">
        <f t="shared" si="226"/>
        <v>0</v>
      </c>
      <c r="W374" s="206" t="str">
        <f t="shared" si="223"/>
        <v/>
      </c>
      <c r="X374" s="206">
        <f t="shared" si="224"/>
        <v>0</v>
      </c>
      <c r="Y374" s="209">
        <f t="shared" si="225"/>
        <v>0</v>
      </c>
    </row>
    <row r="375" spans="2:25" ht="15.75" hidden="1" thickBot="1" x14ac:dyDescent="0.3">
      <c r="B375" s="60">
        <f>B370</f>
        <v>5</v>
      </c>
      <c r="C375" s="102">
        <v>34</v>
      </c>
      <c r="D375" s="192" t="str">
        <f t="shared" si="210"/>
        <v>II</v>
      </c>
      <c r="E375" s="172"/>
      <c r="F375" s="173"/>
      <c r="G375" s="173"/>
      <c r="H375" s="174"/>
      <c r="I375" s="174"/>
      <c r="J375" s="172"/>
      <c r="K375" s="175"/>
      <c r="L375" s="174"/>
      <c r="M375" s="174"/>
      <c r="N375" s="176"/>
      <c r="O375" s="177"/>
      <c r="P375" s="178"/>
      <c r="Q375" s="179"/>
      <c r="R375" s="180"/>
      <c r="S375" s="181"/>
      <c r="T375" s="203">
        <f t="shared" si="199"/>
        <v>43647</v>
      </c>
      <c r="U375" s="204">
        <f t="shared" si="200"/>
        <v>43677</v>
      </c>
      <c r="V375" s="207">
        <f t="shared" si="226"/>
        <v>0</v>
      </c>
      <c r="W375" s="206" t="str">
        <f t="shared" si="223"/>
        <v/>
      </c>
      <c r="X375" s="206">
        <f t="shared" si="224"/>
        <v>0</v>
      </c>
      <c r="Y375" s="209">
        <f t="shared" si="225"/>
        <v>0</v>
      </c>
    </row>
    <row r="376" spans="2:25" ht="15.75" hidden="1" thickBot="1" x14ac:dyDescent="0.3">
      <c r="B376" s="141">
        <f>B370</f>
        <v>5</v>
      </c>
      <c r="C376" s="142">
        <v>35</v>
      </c>
      <c r="D376" s="194" t="str">
        <f t="shared" si="210"/>
        <v>II</v>
      </c>
      <c r="E376" s="189"/>
      <c r="F376" s="190"/>
      <c r="G376" s="190"/>
      <c r="H376" s="182"/>
      <c r="I376" s="182"/>
      <c r="J376" s="436" t="s">
        <v>181</v>
      </c>
      <c r="K376" s="437"/>
      <c r="L376" s="438"/>
      <c r="M376" s="182"/>
      <c r="N376" s="183"/>
      <c r="O376" s="184"/>
      <c r="P376" s="185"/>
      <c r="Q376" s="186"/>
      <c r="R376" s="187"/>
      <c r="S376" s="188"/>
      <c r="T376" s="213">
        <f t="shared" si="199"/>
        <v>43647</v>
      </c>
      <c r="U376" s="214">
        <f t="shared" si="200"/>
        <v>43677</v>
      </c>
      <c r="V376" s="210">
        <f t="shared" si="226"/>
        <v>0</v>
      </c>
      <c r="W376" s="211"/>
      <c r="X376" s="211">
        <f>IF(AND($V376&gt;0,$I376=1),IF($E376=10,P376/10,P376/$V376),0)</f>
        <v>0</v>
      </c>
      <c r="Y376" s="212">
        <f>IF(AND($V370&gt;0,$I376&lt;&gt;1),Q376/E370*V370,0)</f>
        <v>0</v>
      </c>
    </row>
    <row r="377" spans="2:25" ht="16.5" hidden="1" thickTop="1" thickBot="1" x14ac:dyDescent="0.3">
      <c r="B377" s="129">
        <f>B375+1</f>
        <v>6</v>
      </c>
      <c r="C377" s="130">
        <v>36</v>
      </c>
      <c r="D377" s="196" t="str">
        <f t="shared" si="210"/>
        <v>II</v>
      </c>
      <c r="E377" s="131"/>
      <c r="F377" s="132"/>
      <c r="G377" s="132"/>
      <c r="H377" s="133"/>
      <c r="I377" s="133"/>
      <c r="J377" s="131"/>
      <c r="K377" s="134"/>
      <c r="L377" s="133"/>
      <c r="M377" s="133"/>
      <c r="N377" s="135"/>
      <c r="O377" s="136"/>
      <c r="P377" s="137"/>
      <c r="Q377" s="138"/>
      <c r="R377" s="139"/>
      <c r="S377" s="140"/>
      <c r="T377" s="203">
        <f t="shared" si="199"/>
        <v>43647</v>
      </c>
      <c r="U377" s="204">
        <f t="shared" si="200"/>
        <v>43677</v>
      </c>
      <c r="V377" s="207">
        <f>IF(G377-F377+1-IF(G377-U377&gt;0,G377-U377,0)-IF(T377-F377&gt;0,T377-F377,0)&gt;0,G377-F377+1-IF(G377-U377&gt;0,G377-U377,0)-IF(T377-F377&gt;0,T377-F377,0),0)</f>
        <v>0</v>
      </c>
      <c r="W377" s="206" t="str">
        <f t="shared" ref="W377:W382" si="227">IF(V377&gt;0,H377,"")</f>
        <v/>
      </c>
      <c r="X377" s="206">
        <f t="shared" ref="X377:X382" si="228">IF(AND($V377&gt;0,$I377=1),P377/$E377*$V377,0)</f>
        <v>0</v>
      </c>
      <c r="Y377" s="209">
        <f t="shared" ref="Y377:Y382" si="229">IF(AND($V377&gt;0,$I377&lt;&gt;1),Q377/$E377*$V377,0)</f>
        <v>0</v>
      </c>
    </row>
    <row r="378" spans="2:25" ht="15.75" hidden="1" thickBot="1" x14ac:dyDescent="0.3">
      <c r="B378" s="60">
        <f>B377</f>
        <v>6</v>
      </c>
      <c r="C378" s="102">
        <v>37</v>
      </c>
      <c r="D378" s="192" t="str">
        <f t="shared" si="210"/>
        <v>II</v>
      </c>
      <c r="E378" s="62"/>
      <c r="F378" s="105"/>
      <c r="G378" s="105"/>
      <c r="H378" s="61"/>
      <c r="I378" s="61"/>
      <c r="J378" s="62"/>
      <c r="K378" s="63"/>
      <c r="L378" s="61"/>
      <c r="M378" s="61"/>
      <c r="N378" s="111"/>
      <c r="O378" s="112"/>
      <c r="P378" s="113"/>
      <c r="Q378" s="114"/>
      <c r="R378" s="64"/>
      <c r="S378" s="108"/>
      <c r="T378" s="203">
        <f t="shared" si="199"/>
        <v>43647</v>
      </c>
      <c r="U378" s="204">
        <f t="shared" si="200"/>
        <v>43677</v>
      </c>
      <c r="V378" s="207">
        <f t="shared" ref="V378:V383" si="230">IF(G378-F378+1-IF(G378-U378&gt;0,G378-U378,0)-IF(T378-F378&gt;0,T378-F378,0)&gt;0,G378-F378+1-IF(G378-U378&gt;0,G378-U378,0)-IF(T378-F378&gt;0,T378-F378,0),0)</f>
        <v>0</v>
      </c>
      <c r="W378" s="206" t="str">
        <f t="shared" si="227"/>
        <v/>
      </c>
      <c r="X378" s="206">
        <f t="shared" si="228"/>
        <v>0</v>
      </c>
      <c r="Y378" s="209">
        <f t="shared" si="229"/>
        <v>0</v>
      </c>
    </row>
    <row r="379" spans="2:25" ht="15.75" hidden="1" thickBot="1" x14ac:dyDescent="0.3">
      <c r="B379" s="60">
        <f>B377</f>
        <v>6</v>
      </c>
      <c r="C379" s="102">
        <v>38</v>
      </c>
      <c r="D379" s="192" t="str">
        <f t="shared" si="210"/>
        <v>II</v>
      </c>
      <c r="E379" s="62"/>
      <c r="F379" s="105"/>
      <c r="G379" s="105"/>
      <c r="H379" s="61"/>
      <c r="I379" s="61"/>
      <c r="J379" s="62"/>
      <c r="K379" s="63"/>
      <c r="L379" s="61"/>
      <c r="M379" s="61"/>
      <c r="N379" s="111"/>
      <c r="O379" s="112"/>
      <c r="P379" s="113"/>
      <c r="Q379" s="114"/>
      <c r="R379" s="64"/>
      <c r="S379" s="108"/>
      <c r="T379" s="203">
        <f t="shared" si="199"/>
        <v>43647</v>
      </c>
      <c r="U379" s="204">
        <f t="shared" si="200"/>
        <v>43677</v>
      </c>
      <c r="V379" s="207">
        <f t="shared" si="230"/>
        <v>0</v>
      </c>
      <c r="W379" s="206" t="str">
        <f t="shared" si="227"/>
        <v/>
      </c>
      <c r="X379" s="206">
        <f t="shared" si="228"/>
        <v>0</v>
      </c>
      <c r="Y379" s="209">
        <f t="shared" si="229"/>
        <v>0</v>
      </c>
    </row>
    <row r="380" spans="2:25" ht="15.75" hidden="1" thickBot="1" x14ac:dyDescent="0.3">
      <c r="B380" s="60">
        <f>B377</f>
        <v>6</v>
      </c>
      <c r="C380" s="102">
        <v>39</v>
      </c>
      <c r="D380" s="192" t="str">
        <f t="shared" si="210"/>
        <v>II</v>
      </c>
      <c r="E380" s="62"/>
      <c r="F380" s="105"/>
      <c r="G380" s="105"/>
      <c r="H380" s="61"/>
      <c r="I380" s="61"/>
      <c r="J380" s="62"/>
      <c r="K380" s="63"/>
      <c r="L380" s="61"/>
      <c r="M380" s="61"/>
      <c r="N380" s="111"/>
      <c r="O380" s="112"/>
      <c r="P380" s="113"/>
      <c r="Q380" s="114"/>
      <c r="R380" s="64"/>
      <c r="S380" s="108"/>
      <c r="T380" s="203">
        <f t="shared" si="199"/>
        <v>43647</v>
      </c>
      <c r="U380" s="204">
        <f t="shared" si="200"/>
        <v>43677</v>
      </c>
      <c r="V380" s="207">
        <f t="shared" si="230"/>
        <v>0</v>
      </c>
      <c r="W380" s="206" t="str">
        <f t="shared" si="227"/>
        <v/>
      </c>
      <c r="X380" s="206">
        <f t="shared" si="228"/>
        <v>0</v>
      </c>
      <c r="Y380" s="209">
        <f t="shared" si="229"/>
        <v>0</v>
      </c>
    </row>
    <row r="381" spans="2:25" ht="15.75" hidden="1" thickBot="1" x14ac:dyDescent="0.3">
      <c r="B381" s="60">
        <f>B377</f>
        <v>6</v>
      </c>
      <c r="C381" s="102">
        <v>40</v>
      </c>
      <c r="D381" s="192" t="str">
        <f t="shared" si="210"/>
        <v>II</v>
      </c>
      <c r="E381" s="62"/>
      <c r="F381" s="105"/>
      <c r="G381" s="105"/>
      <c r="H381" s="61"/>
      <c r="I381" s="61"/>
      <c r="J381" s="62"/>
      <c r="K381" s="63"/>
      <c r="L381" s="61"/>
      <c r="M381" s="61"/>
      <c r="N381" s="111"/>
      <c r="O381" s="112"/>
      <c r="P381" s="113"/>
      <c r="Q381" s="114"/>
      <c r="R381" s="64"/>
      <c r="S381" s="108"/>
      <c r="T381" s="203">
        <f t="shared" si="199"/>
        <v>43647</v>
      </c>
      <c r="U381" s="204">
        <f t="shared" si="200"/>
        <v>43677</v>
      </c>
      <c r="V381" s="207">
        <f t="shared" si="230"/>
        <v>0</v>
      </c>
      <c r="W381" s="206" t="str">
        <f t="shared" si="227"/>
        <v/>
      </c>
      <c r="X381" s="206">
        <f t="shared" si="228"/>
        <v>0</v>
      </c>
      <c r="Y381" s="209">
        <f t="shared" si="229"/>
        <v>0</v>
      </c>
    </row>
    <row r="382" spans="2:25" ht="15.75" hidden="1" thickBot="1" x14ac:dyDescent="0.3">
      <c r="B382" s="60">
        <f>B377</f>
        <v>6</v>
      </c>
      <c r="C382" s="102">
        <v>41</v>
      </c>
      <c r="D382" s="192" t="str">
        <f t="shared" si="210"/>
        <v>II</v>
      </c>
      <c r="E382" s="62"/>
      <c r="F382" s="105"/>
      <c r="G382" s="105"/>
      <c r="H382" s="61"/>
      <c r="I382" s="61"/>
      <c r="J382" s="62"/>
      <c r="K382" s="63"/>
      <c r="L382" s="61"/>
      <c r="M382" s="61"/>
      <c r="N382" s="111"/>
      <c r="O382" s="112"/>
      <c r="P382" s="113"/>
      <c r="Q382" s="114"/>
      <c r="R382" s="64"/>
      <c r="S382" s="108"/>
      <c r="T382" s="203">
        <f t="shared" si="199"/>
        <v>43647</v>
      </c>
      <c r="U382" s="204">
        <f t="shared" si="200"/>
        <v>43677</v>
      </c>
      <c r="V382" s="207">
        <f t="shared" si="230"/>
        <v>0</v>
      </c>
      <c r="W382" s="206" t="str">
        <f t="shared" si="227"/>
        <v/>
      </c>
      <c r="X382" s="206">
        <f t="shared" si="228"/>
        <v>0</v>
      </c>
      <c r="Y382" s="209">
        <f t="shared" si="229"/>
        <v>0</v>
      </c>
    </row>
    <row r="383" spans="2:25" ht="15.75" hidden="1" thickBot="1" x14ac:dyDescent="0.3">
      <c r="B383" s="141">
        <f>B377</f>
        <v>6</v>
      </c>
      <c r="C383" s="142">
        <v>42</v>
      </c>
      <c r="D383" s="194" t="str">
        <f t="shared" si="210"/>
        <v>II</v>
      </c>
      <c r="E383" s="143"/>
      <c r="F383" s="144"/>
      <c r="G383" s="144"/>
      <c r="H383" s="145"/>
      <c r="I383" s="145"/>
      <c r="J383" s="436" t="s">
        <v>181</v>
      </c>
      <c r="K383" s="437"/>
      <c r="L383" s="438"/>
      <c r="M383" s="145"/>
      <c r="N383" s="146"/>
      <c r="O383" s="147"/>
      <c r="P383" s="148"/>
      <c r="Q383" s="149"/>
      <c r="R383" s="150"/>
      <c r="S383" s="151"/>
      <c r="T383" s="213">
        <f t="shared" si="199"/>
        <v>43647</v>
      </c>
      <c r="U383" s="214">
        <f t="shared" si="200"/>
        <v>43677</v>
      </c>
      <c r="V383" s="210">
        <f t="shared" si="230"/>
        <v>0</v>
      </c>
      <c r="W383" s="211"/>
      <c r="X383" s="211">
        <f>IF(AND($V383&gt;0,$I383=1),IF($E383=10,P383/10,P383/$V383),0)</f>
        <v>0</v>
      </c>
      <c r="Y383" s="212">
        <f>IF(AND($V377&gt;0,$I383&lt;&gt;1),Q383/E377*V377,0)</f>
        <v>0</v>
      </c>
    </row>
    <row r="384" spans="2:25" ht="16.5" hidden="1" thickTop="1" thickBot="1" x14ac:dyDescent="0.3">
      <c r="B384" s="129">
        <f>B382+1</f>
        <v>7</v>
      </c>
      <c r="C384" s="130">
        <v>43</v>
      </c>
      <c r="D384" s="196" t="str">
        <f t="shared" si="210"/>
        <v>II</v>
      </c>
      <c r="E384" s="152"/>
      <c r="F384" s="153"/>
      <c r="G384" s="153"/>
      <c r="H384" s="154"/>
      <c r="I384" s="154"/>
      <c r="J384" s="152"/>
      <c r="K384" s="155"/>
      <c r="L384" s="154"/>
      <c r="M384" s="154"/>
      <c r="N384" s="156"/>
      <c r="O384" s="157"/>
      <c r="P384" s="158"/>
      <c r="Q384" s="159"/>
      <c r="R384" s="160"/>
      <c r="S384" s="161"/>
      <c r="T384" s="203">
        <f t="shared" si="199"/>
        <v>43647</v>
      </c>
      <c r="U384" s="204">
        <f t="shared" si="200"/>
        <v>43677</v>
      </c>
      <c r="V384" s="207">
        <f>IF(G384-F384+1-IF(G384-U384&gt;0,G384-U384,0)-IF(T384-F384&gt;0,T384-F384,0)&gt;0,G384-F384+1-IF(G384-U384&gt;0,G384-U384,0)-IF(T384-F384&gt;0,T384-F384,0),0)</f>
        <v>0</v>
      </c>
      <c r="W384" s="206" t="str">
        <f t="shared" ref="W384:W389" si="231">IF(V384&gt;0,H384,"")</f>
        <v/>
      </c>
      <c r="X384" s="206">
        <f t="shared" ref="X384:X389" si="232">IF(AND($V384&gt;0,$I384=1),P384/$E384*$V384,0)</f>
        <v>0</v>
      </c>
      <c r="Y384" s="209">
        <f t="shared" ref="Y384:Y389" si="233">IF(AND($V384&gt;0,$I384&lt;&gt;1),Q384/$E384*$V384,0)</f>
        <v>0</v>
      </c>
    </row>
    <row r="385" spans="2:25" ht="15.75" hidden="1" thickBot="1" x14ac:dyDescent="0.3">
      <c r="B385" s="60">
        <f>B384</f>
        <v>7</v>
      </c>
      <c r="C385" s="102">
        <v>44</v>
      </c>
      <c r="D385" s="192" t="str">
        <f t="shared" si="210"/>
        <v>II</v>
      </c>
      <c r="E385" s="162"/>
      <c r="F385" s="163"/>
      <c r="G385" s="163"/>
      <c r="H385" s="164"/>
      <c r="I385" s="164"/>
      <c r="J385" s="162"/>
      <c r="K385" s="165"/>
      <c r="L385" s="164"/>
      <c r="M385" s="164"/>
      <c r="N385" s="166"/>
      <c r="O385" s="167"/>
      <c r="P385" s="168"/>
      <c r="Q385" s="169"/>
      <c r="R385" s="170"/>
      <c r="S385" s="171"/>
      <c r="T385" s="203">
        <f t="shared" si="199"/>
        <v>43647</v>
      </c>
      <c r="U385" s="204">
        <f t="shared" si="200"/>
        <v>43677</v>
      </c>
      <c r="V385" s="207">
        <f t="shared" ref="V385:V390" si="234">IF(G385-F385+1-IF(G385-U385&gt;0,G385-U385,0)-IF(T385-F385&gt;0,T385-F385,0)&gt;0,G385-F385+1-IF(G385-U385&gt;0,G385-U385,0)-IF(T385-F385&gt;0,T385-F385,0),0)</f>
        <v>0</v>
      </c>
      <c r="W385" s="206" t="str">
        <f t="shared" si="231"/>
        <v/>
      </c>
      <c r="X385" s="206">
        <f t="shared" si="232"/>
        <v>0</v>
      </c>
      <c r="Y385" s="209">
        <f t="shared" si="233"/>
        <v>0</v>
      </c>
    </row>
    <row r="386" spans="2:25" ht="15.75" hidden="1" thickBot="1" x14ac:dyDescent="0.3">
      <c r="B386" s="60">
        <f>B384</f>
        <v>7</v>
      </c>
      <c r="C386" s="102">
        <v>45</v>
      </c>
      <c r="D386" s="192" t="str">
        <f t="shared" si="210"/>
        <v>II</v>
      </c>
      <c r="E386" s="162"/>
      <c r="F386" s="163"/>
      <c r="G386" s="163"/>
      <c r="H386" s="164"/>
      <c r="I386" s="164"/>
      <c r="J386" s="162"/>
      <c r="K386" s="165"/>
      <c r="L386" s="164"/>
      <c r="M386" s="164"/>
      <c r="N386" s="166"/>
      <c r="O386" s="167"/>
      <c r="P386" s="168"/>
      <c r="Q386" s="169"/>
      <c r="R386" s="170"/>
      <c r="S386" s="171"/>
      <c r="T386" s="203">
        <f t="shared" si="199"/>
        <v>43647</v>
      </c>
      <c r="U386" s="204">
        <f t="shared" si="200"/>
        <v>43677</v>
      </c>
      <c r="V386" s="207">
        <f t="shared" si="234"/>
        <v>0</v>
      </c>
      <c r="W386" s="206" t="str">
        <f t="shared" si="231"/>
        <v/>
      </c>
      <c r="X386" s="206">
        <f t="shared" si="232"/>
        <v>0</v>
      </c>
      <c r="Y386" s="209">
        <f t="shared" si="233"/>
        <v>0</v>
      </c>
    </row>
    <row r="387" spans="2:25" ht="15.75" hidden="1" thickBot="1" x14ac:dyDescent="0.3">
      <c r="B387" s="60">
        <f>B384</f>
        <v>7</v>
      </c>
      <c r="C387" s="102">
        <v>46</v>
      </c>
      <c r="D387" s="192" t="str">
        <f t="shared" si="210"/>
        <v>II</v>
      </c>
      <c r="E387" s="162"/>
      <c r="F387" s="163"/>
      <c r="G387" s="163"/>
      <c r="H387" s="164"/>
      <c r="I387" s="164"/>
      <c r="J387" s="162"/>
      <c r="K387" s="165"/>
      <c r="L387" s="164"/>
      <c r="M387" s="164"/>
      <c r="N387" s="166"/>
      <c r="O387" s="167"/>
      <c r="P387" s="168"/>
      <c r="Q387" s="169"/>
      <c r="R387" s="170"/>
      <c r="S387" s="171"/>
      <c r="T387" s="203">
        <f t="shared" si="199"/>
        <v>43647</v>
      </c>
      <c r="U387" s="204">
        <f t="shared" si="200"/>
        <v>43677</v>
      </c>
      <c r="V387" s="207">
        <f t="shared" si="234"/>
        <v>0</v>
      </c>
      <c r="W387" s="206" t="str">
        <f t="shared" si="231"/>
        <v/>
      </c>
      <c r="X387" s="206">
        <f t="shared" si="232"/>
        <v>0</v>
      </c>
      <c r="Y387" s="209">
        <f t="shared" si="233"/>
        <v>0</v>
      </c>
    </row>
    <row r="388" spans="2:25" ht="15.75" hidden="1" thickBot="1" x14ac:dyDescent="0.3">
      <c r="B388" s="60">
        <f>B384</f>
        <v>7</v>
      </c>
      <c r="C388" s="102">
        <v>47</v>
      </c>
      <c r="D388" s="192" t="str">
        <f t="shared" si="210"/>
        <v>II</v>
      </c>
      <c r="E388" s="162"/>
      <c r="F388" s="163"/>
      <c r="G388" s="163"/>
      <c r="H388" s="164"/>
      <c r="I388" s="164"/>
      <c r="J388" s="162"/>
      <c r="K388" s="165"/>
      <c r="L388" s="164"/>
      <c r="M388" s="164"/>
      <c r="N388" s="166"/>
      <c r="O388" s="167"/>
      <c r="P388" s="168"/>
      <c r="Q388" s="169"/>
      <c r="R388" s="170"/>
      <c r="S388" s="171"/>
      <c r="T388" s="203">
        <f t="shared" si="199"/>
        <v>43647</v>
      </c>
      <c r="U388" s="204">
        <f t="shared" si="200"/>
        <v>43677</v>
      </c>
      <c r="V388" s="207">
        <f t="shared" si="234"/>
        <v>0</v>
      </c>
      <c r="W388" s="206" t="str">
        <f t="shared" si="231"/>
        <v/>
      </c>
      <c r="X388" s="206">
        <f t="shared" si="232"/>
        <v>0</v>
      </c>
      <c r="Y388" s="209">
        <f t="shared" si="233"/>
        <v>0</v>
      </c>
    </row>
    <row r="389" spans="2:25" ht="15.75" hidden="1" thickBot="1" x14ac:dyDescent="0.3">
      <c r="B389" s="60">
        <f>B384</f>
        <v>7</v>
      </c>
      <c r="C389" s="102">
        <v>48</v>
      </c>
      <c r="D389" s="192" t="str">
        <f t="shared" si="210"/>
        <v>II</v>
      </c>
      <c r="E389" s="172"/>
      <c r="F389" s="173"/>
      <c r="G389" s="173"/>
      <c r="H389" s="174"/>
      <c r="I389" s="174"/>
      <c r="J389" s="172"/>
      <c r="K389" s="175"/>
      <c r="L389" s="174"/>
      <c r="M389" s="174"/>
      <c r="N389" s="176"/>
      <c r="O389" s="177"/>
      <c r="P389" s="178"/>
      <c r="Q389" s="179"/>
      <c r="R389" s="180"/>
      <c r="S389" s="181"/>
      <c r="T389" s="203">
        <f t="shared" si="199"/>
        <v>43647</v>
      </c>
      <c r="U389" s="204">
        <f t="shared" si="200"/>
        <v>43677</v>
      </c>
      <c r="V389" s="207">
        <f t="shared" si="234"/>
        <v>0</v>
      </c>
      <c r="W389" s="206" t="str">
        <f t="shared" si="231"/>
        <v/>
      </c>
      <c r="X389" s="206">
        <f t="shared" si="232"/>
        <v>0</v>
      </c>
      <c r="Y389" s="209">
        <f t="shared" si="233"/>
        <v>0</v>
      </c>
    </row>
    <row r="390" spans="2:25" ht="15.75" hidden="1" thickBot="1" x14ac:dyDescent="0.3">
      <c r="B390" s="141">
        <f>B384</f>
        <v>7</v>
      </c>
      <c r="C390" s="142">
        <v>49</v>
      </c>
      <c r="D390" s="194" t="str">
        <f t="shared" si="210"/>
        <v>II</v>
      </c>
      <c r="E390" s="189"/>
      <c r="F390" s="190"/>
      <c r="G390" s="190"/>
      <c r="H390" s="182"/>
      <c r="I390" s="182"/>
      <c r="J390" s="436" t="s">
        <v>181</v>
      </c>
      <c r="K390" s="437"/>
      <c r="L390" s="438"/>
      <c r="M390" s="182"/>
      <c r="N390" s="183"/>
      <c r="O390" s="184"/>
      <c r="P390" s="185"/>
      <c r="Q390" s="186"/>
      <c r="R390" s="187"/>
      <c r="S390" s="188"/>
      <c r="T390" s="213">
        <f t="shared" si="199"/>
        <v>43647</v>
      </c>
      <c r="U390" s="214">
        <f t="shared" si="200"/>
        <v>43677</v>
      </c>
      <c r="V390" s="210">
        <f t="shared" si="234"/>
        <v>0</v>
      </c>
      <c r="W390" s="211"/>
      <c r="X390" s="211">
        <f>IF(AND($V390&gt;0,$I390=1),IF($E390=10,P390/10,P390/$V390),0)</f>
        <v>0</v>
      </c>
      <c r="Y390" s="212">
        <f>IF(AND($V384&gt;0,$I390&lt;&gt;1),Q390/E384*V384,0)</f>
        <v>0</v>
      </c>
    </row>
    <row r="391" spans="2:25" ht="16.5" hidden="1" thickTop="1" thickBot="1" x14ac:dyDescent="0.3">
      <c r="B391" s="129">
        <f>B389+1</f>
        <v>8</v>
      </c>
      <c r="C391" s="130">
        <v>50</v>
      </c>
      <c r="D391" s="196" t="str">
        <f t="shared" si="210"/>
        <v>II</v>
      </c>
      <c r="E391" s="131"/>
      <c r="F391" s="132"/>
      <c r="G391" s="132"/>
      <c r="H391" s="133"/>
      <c r="I391" s="133"/>
      <c r="J391" s="131"/>
      <c r="K391" s="134"/>
      <c r="L391" s="133"/>
      <c r="M391" s="133"/>
      <c r="N391" s="135"/>
      <c r="O391" s="136"/>
      <c r="P391" s="137"/>
      <c r="Q391" s="138"/>
      <c r="R391" s="139"/>
      <c r="S391" s="140"/>
      <c r="T391" s="203">
        <f t="shared" si="199"/>
        <v>43647</v>
      </c>
      <c r="U391" s="204">
        <f t="shared" si="200"/>
        <v>43677</v>
      </c>
      <c r="V391" s="207">
        <f>IF(G391-F391+1-IF(G391-U391&gt;0,G391-U391,0)-IF(T391-F391&gt;0,T391-F391,0)&gt;0,G391-F391+1-IF(G391-U391&gt;0,G391-U391,0)-IF(T391-F391&gt;0,T391-F391,0),0)</f>
        <v>0</v>
      </c>
      <c r="W391" s="206" t="str">
        <f t="shared" ref="W391:W396" si="235">IF(V391&gt;0,H391,"")</f>
        <v/>
      </c>
      <c r="X391" s="206">
        <f t="shared" ref="X391:X396" si="236">IF(AND($V391&gt;0,$I391=1),P391/$E391*$V391,0)</f>
        <v>0</v>
      </c>
      <c r="Y391" s="209">
        <f t="shared" ref="Y391:Y396" si="237">IF(AND($V391&gt;0,$I391&lt;&gt;1),Q391/$E391*$V391,0)</f>
        <v>0</v>
      </c>
    </row>
    <row r="392" spans="2:25" ht="15.75" hidden="1" thickBot="1" x14ac:dyDescent="0.3">
      <c r="B392" s="60">
        <f>B391</f>
        <v>8</v>
      </c>
      <c r="C392" s="102">
        <v>51</v>
      </c>
      <c r="D392" s="192" t="str">
        <f t="shared" si="210"/>
        <v>II</v>
      </c>
      <c r="E392" s="62"/>
      <c r="F392" s="105"/>
      <c r="G392" s="105"/>
      <c r="H392" s="61"/>
      <c r="I392" s="61"/>
      <c r="J392" s="62"/>
      <c r="K392" s="63"/>
      <c r="L392" s="61"/>
      <c r="M392" s="61"/>
      <c r="N392" s="111"/>
      <c r="O392" s="112"/>
      <c r="P392" s="113"/>
      <c r="Q392" s="114"/>
      <c r="R392" s="64"/>
      <c r="S392" s="108"/>
      <c r="T392" s="203">
        <f t="shared" si="199"/>
        <v>43647</v>
      </c>
      <c r="U392" s="204">
        <f t="shared" si="200"/>
        <v>43677</v>
      </c>
      <c r="V392" s="207">
        <f t="shared" ref="V392:V397" si="238">IF(G392-F392+1-IF(G392-U392&gt;0,G392-U392,0)-IF(T392-F392&gt;0,T392-F392,0)&gt;0,G392-F392+1-IF(G392-U392&gt;0,G392-U392,0)-IF(T392-F392&gt;0,T392-F392,0),0)</f>
        <v>0</v>
      </c>
      <c r="W392" s="206" t="str">
        <f t="shared" si="235"/>
        <v/>
      </c>
      <c r="X392" s="206">
        <f t="shared" si="236"/>
        <v>0</v>
      </c>
      <c r="Y392" s="209">
        <f t="shared" si="237"/>
        <v>0</v>
      </c>
    </row>
    <row r="393" spans="2:25" ht="15.75" hidden="1" thickBot="1" x14ac:dyDescent="0.3">
      <c r="B393" s="60">
        <f>B391</f>
        <v>8</v>
      </c>
      <c r="C393" s="102">
        <v>52</v>
      </c>
      <c r="D393" s="192" t="str">
        <f t="shared" si="210"/>
        <v>II</v>
      </c>
      <c r="E393" s="62"/>
      <c r="F393" s="105"/>
      <c r="G393" s="105"/>
      <c r="H393" s="61"/>
      <c r="I393" s="61"/>
      <c r="J393" s="62"/>
      <c r="K393" s="63"/>
      <c r="L393" s="61"/>
      <c r="M393" s="61"/>
      <c r="N393" s="111"/>
      <c r="O393" s="112"/>
      <c r="P393" s="113"/>
      <c r="Q393" s="114"/>
      <c r="R393" s="64"/>
      <c r="S393" s="108"/>
      <c r="T393" s="203">
        <f t="shared" si="199"/>
        <v>43647</v>
      </c>
      <c r="U393" s="204">
        <f t="shared" si="200"/>
        <v>43677</v>
      </c>
      <c r="V393" s="207">
        <f t="shared" si="238"/>
        <v>0</v>
      </c>
      <c r="W393" s="206" t="str">
        <f t="shared" si="235"/>
        <v/>
      </c>
      <c r="X393" s="206">
        <f t="shared" si="236"/>
        <v>0</v>
      </c>
      <c r="Y393" s="209">
        <f t="shared" si="237"/>
        <v>0</v>
      </c>
    </row>
    <row r="394" spans="2:25" ht="15.75" hidden="1" thickBot="1" x14ac:dyDescent="0.3">
      <c r="B394" s="60">
        <f>B391</f>
        <v>8</v>
      </c>
      <c r="C394" s="102">
        <v>53</v>
      </c>
      <c r="D394" s="192" t="str">
        <f t="shared" si="210"/>
        <v>II</v>
      </c>
      <c r="E394" s="62"/>
      <c r="F394" s="105"/>
      <c r="G394" s="105"/>
      <c r="H394" s="61"/>
      <c r="I394" s="61"/>
      <c r="J394" s="62"/>
      <c r="K394" s="63"/>
      <c r="L394" s="61"/>
      <c r="M394" s="61"/>
      <c r="N394" s="111"/>
      <c r="O394" s="112"/>
      <c r="P394" s="113"/>
      <c r="Q394" s="114"/>
      <c r="R394" s="64"/>
      <c r="S394" s="108"/>
      <c r="T394" s="203">
        <f t="shared" si="199"/>
        <v>43647</v>
      </c>
      <c r="U394" s="204">
        <f t="shared" si="200"/>
        <v>43677</v>
      </c>
      <c r="V394" s="207">
        <f t="shared" si="238"/>
        <v>0</v>
      </c>
      <c r="W394" s="206" t="str">
        <f t="shared" si="235"/>
        <v/>
      </c>
      <c r="X394" s="206">
        <f t="shared" si="236"/>
        <v>0</v>
      </c>
      <c r="Y394" s="209">
        <f t="shared" si="237"/>
        <v>0</v>
      </c>
    </row>
    <row r="395" spans="2:25" ht="15.75" hidden="1" thickBot="1" x14ac:dyDescent="0.3">
      <c r="B395" s="60">
        <f>B391</f>
        <v>8</v>
      </c>
      <c r="C395" s="102">
        <v>54</v>
      </c>
      <c r="D395" s="192" t="str">
        <f t="shared" si="210"/>
        <v>II</v>
      </c>
      <c r="E395" s="62"/>
      <c r="F395" s="105"/>
      <c r="G395" s="105"/>
      <c r="H395" s="61"/>
      <c r="I395" s="61"/>
      <c r="J395" s="62"/>
      <c r="K395" s="63"/>
      <c r="L395" s="61"/>
      <c r="M395" s="61"/>
      <c r="N395" s="111"/>
      <c r="O395" s="112"/>
      <c r="P395" s="113"/>
      <c r="Q395" s="114"/>
      <c r="R395" s="64"/>
      <c r="S395" s="108"/>
      <c r="T395" s="203">
        <f t="shared" si="199"/>
        <v>43647</v>
      </c>
      <c r="U395" s="204">
        <f t="shared" si="200"/>
        <v>43677</v>
      </c>
      <c r="V395" s="207">
        <f t="shared" si="238"/>
        <v>0</v>
      </c>
      <c r="W395" s="206" t="str">
        <f t="shared" si="235"/>
        <v/>
      </c>
      <c r="X395" s="206">
        <f t="shared" si="236"/>
        <v>0</v>
      </c>
      <c r="Y395" s="209">
        <f t="shared" si="237"/>
        <v>0</v>
      </c>
    </row>
    <row r="396" spans="2:25" ht="15.75" hidden="1" thickBot="1" x14ac:dyDescent="0.3">
      <c r="B396" s="60">
        <f>B391</f>
        <v>8</v>
      </c>
      <c r="C396" s="102">
        <v>55</v>
      </c>
      <c r="D396" s="192" t="str">
        <f t="shared" si="210"/>
        <v>II</v>
      </c>
      <c r="E396" s="62"/>
      <c r="F396" s="105"/>
      <c r="G396" s="105"/>
      <c r="H396" s="61"/>
      <c r="I396" s="61"/>
      <c r="J396" s="62"/>
      <c r="K396" s="63"/>
      <c r="L396" s="61"/>
      <c r="M396" s="61"/>
      <c r="N396" s="111"/>
      <c r="O396" s="112"/>
      <c r="P396" s="113"/>
      <c r="Q396" s="114"/>
      <c r="R396" s="64"/>
      <c r="S396" s="108"/>
      <c r="T396" s="203">
        <f t="shared" si="199"/>
        <v>43647</v>
      </c>
      <c r="U396" s="204">
        <f t="shared" si="200"/>
        <v>43677</v>
      </c>
      <c r="V396" s="207">
        <f t="shared" si="238"/>
        <v>0</v>
      </c>
      <c r="W396" s="206" t="str">
        <f t="shared" si="235"/>
        <v/>
      </c>
      <c r="X396" s="206">
        <f t="shared" si="236"/>
        <v>0</v>
      </c>
      <c r="Y396" s="209">
        <f t="shared" si="237"/>
        <v>0</v>
      </c>
    </row>
    <row r="397" spans="2:25" ht="15.75" hidden="1" thickBot="1" x14ac:dyDescent="0.3">
      <c r="B397" s="141">
        <f>B391</f>
        <v>8</v>
      </c>
      <c r="C397" s="142">
        <v>56</v>
      </c>
      <c r="D397" s="194" t="str">
        <f t="shared" si="210"/>
        <v>II</v>
      </c>
      <c r="E397" s="143"/>
      <c r="F397" s="144"/>
      <c r="G397" s="144"/>
      <c r="H397" s="145"/>
      <c r="I397" s="145"/>
      <c r="J397" s="436" t="s">
        <v>181</v>
      </c>
      <c r="K397" s="437"/>
      <c r="L397" s="438"/>
      <c r="M397" s="145"/>
      <c r="N397" s="146"/>
      <c r="O397" s="147"/>
      <c r="P397" s="148"/>
      <c r="Q397" s="149"/>
      <c r="R397" s="150"/>
      <c r="S397" s="151"/>
      <c r="T397" s="213">
        <f t="shared" ref="T397:T460" si="239">$F$4</f>
        <v>43647</v>
      </c>
      <c r="U397" s="214">
        <f t="shared" ref="U397:U460" si="240">$G$4</f>
        <v>43677</v>
      </c>
      <c r="V397" s="210">
        <f t="shared" si="238"/>
        <v>0</v>
      </c>
      <c r="W397" s="211"/>
      <c r="X397" s="211">
        <f>IF(AND($V397&gt;0,$I397=1),IF($E397=10,P397/10,P397/$V397),0)</f>
        <v>0</v>
      </c>
      <c r="Y397" s="212">
        <f>IF(AND($V391&gt;0,$I397&lt;&gt;1),Q397/E391*V391,0)</f>
        <v>0</v>
      </c>
    </row>
    <row r="398" spans="2:25" ht="16.5" hidden="1" thickTop="1" thickBot="1" x14ac:dyDescent="0.3">
      <c r="B398" s="129">
        <f>B396+1</f>
        <v>9</v>
      </c>
      <c r="C398" s="130">
        <v>57</v>
      </c>
      <c r="D398" s="196" t="str">
        <f t="shared" si="210"/>
        <v>II</v>
      </c>
      <c r="E398" s="152"/>
      <c r="F398" s="153"/>
      <c r="G398" s="153"/>
      <c r="H398" s="154"/>
      <c r="I398" s="154"/>
      <c r="J398" s="152"/>
      <c r="K398" s="155"/>
      <c r="L398" s="154"/>
      <c r="M398" s="154"/>
      <c r="N398" s="156"/>
      <c r="O398" s="157"/>
      <c r="P398" s="158"/>
      <c r="Q398" s="159"/>
      <c r="R398" s="160"/>
      <c r="S398" s="161"/>
      <c r="T398" s="203">
        <f t="shared" si="239"/>
        <v>43647</v>
      </c>
      <c r="U398" s="204">
        <f t="shared" si="240"/>
        <v>43677</v>
      </c>
      <c r="V398" s="207">
        <f>IF(G398-F398+1-IF(G398-U398&gt;0,G398-U398,0)-IF(T398-F398&gt;0,T398-F398,0)&gt;0,G398-F398+1-IF(G398-U398&gt;0,G398-U398,0)-IF(T398-F398&gt;0,T398-F398,0),0)</f>
        <v>0</v>
      </c>
      <c r="W398" s="206" t="str">
        <f t="shared" ref="W398:W403" si="241">IF(V398&gt;0,H398,"")</f>
        <v/>
      </c>
      <c r="X398" s="206">
        <f t="shared" ref="X398:X403" si="242">IF(AND($V398&gt;0,$I398=1),P398/$E398*$V398,0)</f>
        <v>0</v>
      </c>
      <c r="Y398" s="209">
        <f t="shared" ref="Y398:Y403" si="243">IF(AND($V398&gt;0,$I398&lt;&gt;1),Q398/$E398*$V398,0)</f>
        <v>0</v>
      </c>
    </row>
    <row r="399" spans="2:25" ht="15.75" hidden="1" thickBot="1" x14ac:dyDescent="0.3">
      <c r="B399" s="60">
        <f>B398</f>
        <v>9</v>
      </c>
      <c r="C399" s="102">
        <v>58</v>
      </c>
      <c r="D399" s="192" t="str">
        <f t="shared" si="210"/>
        <v>II</v>
      </c>
      <c r="E399" s="162"/>
      <c r="F399" s="163"/>
      <c r="G399" s="163"/>
      <c r="H399" s="164"/>
      <c r="I399" s="164"/>
      <c r="J399" s="162"/>
      <c r="K399" s="165"/>
      <c r="L399" s="164"/>
      <c r="M399" s="164"/>
      <c r="N399" s="166"/>
      <c r="O399" s="167"/>
      <c r="P399" s="168"/>
      <c r="Q399" s="169"/>
      <c r="R399" s="170"/>
      <c r="S399" s="171"/>
      <c r="T399" s="203">
        <f t="shared" si="239"/>
        <v>43647</v>
      </c>
      <c r="U399" s="204">
        <f t="shared" si="240"/>
        <v>43677</v>
      </c>
      <c r="V399" s="207">
        <f t="shared" ref="V399:V404" si="244">IF(G399-F399+1-IF(G399-U399&gt;0,G399-U399,0)-IF(T399-F399&gt;0,T399-F399,0)&gt;0,G399-F399+1-IF(G399-U399&gt;0,G399-U399,0)-IF(T399-F399&gt;0,T399-F399,0),0)</f>
        <v>0</v>
      </c>
      <c r="W399" s="206" t="str">
        <f t="shared" si="241"/>
        <v/>
      </c>
      <c r="X399" s="206">
        <f t="shared" si="242"/>
        <v>0</v>
      </c>
      <c r="Y399" s="209">
        <f t="shared" si="243"/>
        <v>0</v>
      </c>
    </row>
    <row r="400" spans="2:25" ht="15.75" hidden="1" thickBot="1" x14ac:dyDescent="0.3">
      <c r="B400" s="60">
        <f>B398</f>
        <v>9</v>
      </c>
      <c r="C400" s="102">
        <v>59</v>
      </c>
      <c r="D400" s="192" t="str">
        <f t="shared" si="210"/>
        <v>II</v>
      </c>
      <c r="E400" s="162"/>
      <c r="F400" s="163"/>
      <c r="G400" s="163"/>
      <c r="H400" s="164"/>
      <c r="I400" s="164"/>
      <c r="J400" s="162"/>
      <c r="K400" s="165"/>
      <c r="L400" s="164"/>
      <c r="M400" s="164"/>
      <c r="N400" s="166"/>
      <c r="O400" s="167"/>
      <c r="P400" s="168"/>
      <c r="Q400" s="169"/>
      <c r="R400" s="170"/>
      <c r="S400" s="171"/>
      <c r="T400" s="203">
        <f t="shared" si="239"/>
        <v>43647</v>
      </c>
      <c r="U400" s="204">
        <f t="shared" si="240"/>
        <v>43677</v>
      </c>
      <c r="V400" s="207">
        <f t="shared" si="244"/>
        <v>0</v>
      </c>
      <c r="W400" s="206" t="str">
        <f t="shared" si="241"/>
        <v/>
      </c>
      <c r="X400" s="206">
        <f t="shared" si="242"/>
        <v>0</v>
      </c>
      <c r="Y400" s="209">
        <f t="shared" si="243"/>
        <v>0</v>
      </c>
    </row>
    <row r="401" spans="2:25" ht="15.75" hidden="1" thickBot="1" x14ac:dyDescent="0.3">
      <c r="B401" s="60">
        <f>B398</f>
        <v>9</v>
      </c>
      <c r="C401" s="102">
        <v>60</v>
      </c>
      <c r="D401" s="192" t="str">
        <f t="shared" si="210"/>
        <v>II</v>
      </c>
      <c r="E401" s="162"/>
      <c r="F401" s="163"/>
      <c r="G401" s="163"/>
      <c r="H401" s="164"/>
      <c r="I401" s="164"/>
      <c r="J401" s="162"/>
      <c r="K401" s="165"/>
      <c r="L401" s="164"/>
      <c r="M401" s="164"/>
      <c r="N401" s="166"/>
      <c r="O401" s="167"/>
      <c r="P401" s="168"/>
      <c r="Q401" s="169"/>
      <c r="R401" s="170"/>
      <c r="S401" s="171"/>
      <c r="T401" s="203">
        <f t="shared" si="239"/>
        <v>43647</v>
      </c>
      <c r="U401" s="204">
        <f t="shared" si="240"/>
        <v>43677</v>
      </c>
      <c r="V401" s="207">
        <f t="shared" si="244"/>
        <v>0</v>
      </c>
      <c r="W401" s="206" t="str">
        <f t="shared" si="241"/>
        <v/>
      </c>
      <c r="X401" s="206">
        <f t="shared" si="242"/>
        <v>0</v>
      </c>
      <c r="Y401" s="209">
        <f t="shared" si="243"/>
        <v>0</v>
      </c>
    </row>
    <row r="402" spans="2:25" ht="15.75" hidden="1" thickBot="1" x14ac:dyDescent="0.3">
      <c r="B402" s="60">
        <f>B398</f>
        <v>9</v>
      </c>
      <c r="C402" s="102">
        <v>61</v>
      </c>
      <c r="D402" s="192" t="str">
        <f t="shared" si="210"/>
        <v>II</v>
      </c>
      <c r="E402" s="162"/>
      <c r="F402" s="163"/>
      <c r="G402" s="163"/>
      <c r="H402" s="164"/>
      <c r="I402" s="164"/>
      <c r="J402" s="162"/>
      <c r="K402" s="165"/>
      <c r="L402" s="164"/>
      <c r="M402" s="164"/>
      <c r="N402" s="166"/>
      <c r="O402" s="167"/>
      <c r="P402" s="168"/>
      <c r="Q402" s="169"/>
      <c r="R402" s="170"/>
      <c r="S402" s="171"/>
      <c r="T402" s="203">
        <f t="shared" si="239"/>
        <v>43647</v>
      </c>
      <c r="U402" s="204">
        <f t="shared" si="240"/>
        <v>43677</v>
      </c>
      <c r="V402" s="207">
        <f t="shared" si="244"/>
        <v>0</v>
      </c>
      <c r="W402" s="206" t="str">
        <f t="shared" si="241"/>
        <v/>
      </c>
      <c r="X402" s="206">
        <f t="shared" si="242"/>
        <v>0</v>
      </c>
      <c r="Y402" s="209">
        <f t="shared" si="243"/>
        <v>0</v>
      </c>
    </row>
    <row r="403" spans="2:25" ht="15.75" hidden="1" thickBot="1" x14ac:dyDescent="0.3">
      <c r="B403" s="60">
        <f>B398</f>
        <v>9</v>
      </c>
      <c r="C403" s="102">
        <v>62</v>
      </c>
      <c r="D403" s="192" t="str">
        <f t="shared" si="210"/>
        <v>II</v>
      </c>
      <c r="E403" s="172"/>
      <c r="F403" s="173"/>
      <c r="G403" s="173"/>
      <c r="H403" s="174"/>
      <c r="I403" s="174"/>
      <c r="J403" s="172"/>
      <c r="K403" s="175"/>
      <c r="L403" s="174"/>
      <c r="M403" s="174"/>
      <c r="N403" s="176"/>
      <c r="O403" s="177"/>
      <c r="P403" s="178"/>
      <c r="Q403" s="179"/>
      <c r="R403" s="180"/>
      <c r="S403" s="181"/>
      <c r="T403" s="203">
        <f t="shared" si="239"/>
        <v>43647</v>
      </c>
      <c r="U403" s="204">
        <f t="shared" si="240"/>
        <v>43677</v>
      </c>
      <c r="V403" s="207">
        <f t="shared" si="244"/>
        <v>0</v>
      </c>
      <c r="W403" s="206" t="str">
        <f t="shared" si="241"/>
        <v/>
      </c>
      <c r="X403" s="206">
        <f t="shared" si="242"/>
        <v>0</v>
      </c>
      <c r="Y403" s="209">
        <f t="shared" si="243"/>
        <v>0</v>
      </c>
    </row>
    <row r="404" spans="2:25" ht="15.75" hidden="1" thickBot="1" x14ac:dyDescent="0.3">
      <c r="B404" s="141">
        <f>B398</f>
        <v>9</v>
      </c>
      <c r="C404" s="142">
        <v>63</v>
      </c>
      <c r="D404" s="194" t="str">
        <f t="shared" si="210"/>
        <v>II</v>
      </c>
      <c r="E404" s="189"/>
      <c r="F404" s="190"/>
      <c r="G404" s="190"/>
      <c r="H404" s="182"/>
      <c r="I404" s="182"/>
      <c r="J404" s="436" t="s">
        <v>181</v>
      </c>
      <c r="K404" s="437"/>
      <c r="L404" s="438"/>
      <c r="M404" s="182"/>
      <c r="N404" s="183"/>
      <c r="O404" s="184"/>
      <c r="P404" s="185"/>
      <c r="Q404" s="186"/>
      <c r="R404" s="187"/>
      <c r="S404" s="188"/>
      <c r="T404" s="213">
        <f t="shared" si="239"/>
        <v>43647</v>
      </c>
      <c r="U404" s="214">
        <f t="shared" si="240"/>
        <v>43677</v>
      </c>
      <c r="V404" s="210">
        <f t="shared" si="244"/>
        <v>0</v>
      </c>
      <c r="W404" s="211"/>
      <c r="X404" s="211">
        <f>IF(AND($V404&gt;0,$I404=1),IF($E404=10,P404/10,P404/$V404),0)</f>
        <v>0</v>
      </c>
      <c r="Y404" s="212">
        <f>IF(AND($V398&gt;0,$I404&lt;&gt;1),Q404/E398*V398,0)</f>
        <v>0</v>
      </c>
    </row>
    <row r="405" spans="2:25" ht="16.5" hidden="1" thickTop="1" thickBot="1" x14ac:dyDescent="0.3">
      <c r="B405" s="129">
        <f>B403+1</f>
        <v>10</v>
      </c>
      <c r="C405" s="130">
        <v>64</v>
      </c>
      <c r="D405" s="196" t="str">
        <f t="shared" si="210"/>
        <v>II</v>
      </c>
      <c r="E405" s="131"/>
      <c r="F405" s="132"/>
      <c r="G405" s="132"/>
      <c r="H405" s="133"/>
      <c r="I405" s="133"/>
      <c r="J405" s="131"/>
      <c r="K405" s="134"/>
      <c r="L405" s="133"/>
      <c r="M405" s="133"/>
      <c r="N405" s="135"/>
      <c r="O405" s="136"/>
      <c r="P405" s="137"/>
      <c r="Q405" s="138"/>
      <c r="R405" s="139"/>
      <c r="S405" s="140"/>
      <c r="T405" s="203">
        <f t="shared" si="239"/>
        <v>43647</v>
      </c>
      <c r="U405" s="204">
        <f t="shared" si="240"/>
        <v>43677</v>
      </c>
      <c r="V405" s="207">
        <f>IF(G405-F405+1-IF(G405-U405&gt;0,G405-U405,0)-IF(T405-F405&gt;0,T405-F405,0)&gt;0,G405-F405+1-IF(G405-U405&gt;0,G405-U405,0)-IF(T405-F405&gt;0,T405-F405,0),0)</f>
        <v>0</v>
      </c>
      <c r="W405" s="206" t="str">
        <f t="shared" ref="W405:W410" si="245">IF(V405&gt;0,H405,"")</f>
        <v/>
      </c>
      <c r="X405" s="206">
        <f t="shared" ref="X405:X410" si="246">IF(AND($V405&gt;0,$I405=1),P405/$E405*$V405,0)</f>
        <v>0</v>
      </c>
      <c r="Y405" s="209">
        <f t="shared" ref="Y405:Y410" si="247">IF(AND($V405&gt;0,$I405&lt;&gt;1),Q405/$E405*$V405,0)</f>
        <v>0</v>
      </c>
    </row>
    <row r="406" spans="2:25" ht="15.75" hidden="1" thickBot="1" x14ac:dyDescent="0.3">
      <c r="B406" s="60">
        <f>B405</f>
        <v>10</v>
      </c>
      <c r="C406" s="102">
        <v>65</v>
      </c>
      <c r="D406" s="192" t="str">
        <f t="shared" si="210"/>
        <v>II</v>
      </c>
      <c r="E406" s="62"/>
      <c r="F406" s="105"/>
      <c r="G406" s="105"/>
      <c r="H406" s="61"/>
      <c r="I406" s="61"/>
      <c r="J406" s="62"/>
      <c r="K406" s="63"/>
      <c r="L406" s="61"/>
      <c r="M406" s="61"/>
      <c r="N406" s="111"/>
      <c r="O406" s="112"/>
      <c r="P406" s="113"/>
      <c r="Q406" s="114"/>
      <c r="R406" s="64"/>
      <c r="S406" s="108"/>
      <c r="T406" s="203">
        <f t="shared" si="239"/>
        <v>43647</v>
      </c>
      <c r="U406" s="204">
        <f t="shared" si="240"/>
        <v>43677</v>
      </c>
      <c r="V406" s="207">
        <f t="shared" ref="V406:V411" si="248">IF(G406-F406+1-IF(G406-U406&gt;0,G406-U406,0)-IF(T406-F406&gt;0,T406-F406,0)&gt;0,G406-F406+1-IF(G406-U406&gt;0,G406-U406,0)-IF(T406-F406&gt;0,T406-F406,0),0)</f>
        <v>0</v>
      </c>
      <c r="W406" s="206" t="str">
        <f t="shared" si="245"/>
        <v/>
      </c>
      <c r="X406" s="206">
        <f t="shared" si="246"/>
        <v>0</v>
      </c>
      <c r="Y406" s="209">
        <f t="shared" si="247"/>
        <v>0</v>
      </c>
    </row>
    <row r="407" spans="2:25" ht="15.75" hidden="1" thickBot="1" x14ac:dyDescent="0.3">
      <c r="B407" s="60">
        <f>B405</f>
        <v>10</v>
      </c>
      <c r="C407" s="102">
        <v>66</v>
      </c>
      <c r="D407" s="192" t="str">
        <f t="shared" si="210"/>
        <v>II</v>
      </c>
      <c r="E407" s="62"/>
      <c r="F407" s="105"/>
      <c r="G407" s="105"/>
      <c r="H407" s="61"/>
      <c r="I407" s="61"/>
      <c r="J407" s="62"/>
      <c r="K407" s="63"/>
      <c r="L407" s="61"/>
      <c r="M407" s="61"/>
      <c r="N407" s="111"/>
      <c r="O407" s="112"/>
      <c r="P407" s="113"/>
      <c r="Q407" s="114"/>
      <c r="R407" s="64"/>
      <c r="S407" s="108"/>
      <c r="T407" s="203">
        <f t="shared" si="239"/>
        <v>43647</v>
      </c>
      <c r="U407" s="204">
        <f t="shared" si="240"/>
        <v>43677</v>
      </c>
      <c r="V407" s="207">
        <f t="shared" si="248"/>
        <v>0</v>
      </c>
      <c r="W407" s="206" t="str">
        <f t="shared" si="245"/>
        <v/>
      </c>
      <c r="X407" s="206">
        <f t="shared" si="246"/>
        <v>0</v>
      </c>
      <c r="Y407" s="209">
        <f t="shared" si="247"/>
        <v>0</v>
      </c>
    </row>
    <row r="408" spans="2:25" ht="15.75" hidden="1" thickBot="1" x14ac:dyDescent="0.3">
      <c r="B408" s="60">
        <f>B405</f>
        <v>10</v>
      </c>
      <c r="C408" s="102">
        <v>67</v>
      </c>
      <c r="D408" s="192" t="str">
        <f t="shared" ref="D408:D471" si="249">D407</f>
        <v>II</v>
      </c>
      <c r="E408" s="62"/>
      <c r="F408" s="105"/>
      <c r="G408" s="105"/>
      <c r="H408" s="61"/>
      <c r="I408" s="61"/>
      <c r="J408" s="62"/>
      <c r="K408" s="63"/>
      <c r="L408" s="61"/>
      <c r="M408" s="61"/>
      <c r="N408" s="111"/>
      <c r="O408" s="112"/>
      <c r="P408" s="113"/>
      <c r="Q408" s="114"/>
      <c r="R408" s="64"/>
      <c r="S408" s="108"/>
      <c r="T408" s="203">
        <f t="shared" si="239"/>
        <v>43647</v>
      </c>
      <c r="U408" s="204">
        <f t="shared" si="240"/>
        <v>43677</v>
      </c>
      <c r="V408" s="207">
        <f t="shared" si="248"/>
        <v>0</v>
      </c>
      <c r="W408" s="206" t="str">
        <f t="shared" si="245"/>
        <v/>
      </c>
      <c r="X408" s="206">
        <f t="shared" si="246"/>
        <v>0</v>
      </c>
      <c r="Y408" s="209">
        <f t="shared" si="247"/>
        <v>0</v>
      </c>
    </row>
    <row r="409" spans="2:25" ht="15.75" hidden="1" thickBot="1" x14ac:dyDescent="0.3">
      <c r="B409" s="60">
        <f>B405</f>
        <v>10</v>
      </c>
      <c r="C409" s="102">
        <v>68</v>
      </c>
      <c r="D409" s="192" t="str">
        <f t="shared" si="249"/>
        <v>II</v>
      </c>
      <c r="E409" s="62"/>
      <c r="F409" s="105"/>
      <c r="G409" s="105"/>
      <c r="H409" s="61"/>
      <c r="I409" s="61"/>
      <c r="J409" s="62"/>
      <c r="K409" s="63"/>
      <c r="L409" s="61"/>
      <c r="M409" s="61"/>
      <c r="N409" s="111"/>
      <c r="O409" s="112"/>
      <c r="P409" s="113"/>
      <c r="Q409" s="114"/>
      <c r="R409" s="64"/>
      <c r="S409" s="108"/>
      <c r="T409" s="203">
        <f t="shared" si="239"/>
        <v>43647</v>
      </c>
      <c r="U409" s="204">
        <f t="shared" si="240"/>
        <v>43677</v>
      </c>
      <c r="V409" s="207">
        <f t="shared" si="248"/>
        <v>0</v>
      </c>
      <c r="W409" s="206" t="str">
        <f t="shared" si="245"/>
        <v/>
      </c>
      <c r="X409" s="206">
        <f t="shared" si="246"/>
        <v>0</v>
      </c>
      <c r="Y409" s="209">
        <f t="shared" si="247"/>
        <v>0</v>
      </c>
    </row>
    <row r="410" spans="2:25" ht="15.75" hidden="1" thickBot="1" x14ac:dyDescent="0.3">
      <c r="B410" s="60">
        <f>B405</f>
        <v>10</v>
      </c>
      <c r="C410" s="102">
        <v>69</v>
      </c>
      <c r="D410" s="192" t="str">
        <f t="shared" si="249"/>
        <v>II</v>
      </c>
      <c r="E410" s="62"/>
      <c r="F410" s="105"/>
      <c r="G410" s="105"/>
      <c r="H410" s="61"/>
      <c r="I410" s="61"/>
      <c r="J410" s="62"/>
      <c r="K410" s="63"/>
      <c r="L410" s="61"/>
      <c r="M410" s="61"/>
      <c r="N410" s="111"/>
      <c r="O410" s="112"/>
      <c r="P410" s="113"/>
      <c r="Q410" s="114"/>
      <c r="R410" s="64"/>
      <c r="S410" s="108"/>
      <c r="T410" s="203">
        <f t="shared" si="239"/>
        <v>43647</v>
      </c>
      <c r="U410" s="204">
        <f t="shared" si="240"/>
        <v>43677</v>
      </c>
      <c r="V410" s="207">
        <f t="shared" si="248"/>
        <v>0</v>
      </c>
      <c r="W410" s="206" t="str">
        <f t="shared" si="245"/>
        <v/>
      </c>
      <c r="X410" s="206">
        <f t="shared" si="246"/>
        <v>0</v>
      </c>
      <c r="Y410" s="209">
        <f t="shared" si="247"/>
        <v>0</v>
      </c>
    </row>
    <row r="411" spans="2:25" ht="15.75" hidden="1" thickBot="1" x14ac:dyDescent="0.3">
      <c r="B411" s="141">
        <f>B405</f>
        <v>10</v>
      </c>
      <c r="C411" s="142">
        <v>70</v>
      </c>
      <c r="D411" s="194" t="str">
        <f t="shared" si="249"/>
        <v>II</v>
      </c>
      <c r="E411" s="143"/>
      <c r="F411" s="144"/>
      <c r="G411" s="144"/>
      <c r="H411" s="145"/>
      <c r="I411" s="145"/>
      <c r="J411" s="436" t="s">
        <v>181</v>
      </c>
      <c r="K411" s="437"/>
      <c r="L411" s="438"/>
      <c r="M411" s="145"/>
      <c r="N411" s="146"/>
      <c r="O411" s="147"/>
      <c r="P411" s="148"/>
      <c r="Q411" s="149"/>
      <c r="R411" s="150"/>
      <c r="S411" s="151"/>
      <c r="T411" s="213">
        <f t="shared" si="239"/>
        <v>43647</v>
      </c>
      <c r="U411" s="214">
        <f t="shared" si="240"/>
        <v>43677</v>
      </c>
      <c r="V411" s="210">
        <f t="shared" si="248"/>
        <v>0</v>
      </c>
      <c r="W411" s="211"/>
      <c r="X411" s="211">
        <f>IF(AND($V411&gt;0,$I411=1),IF($E411=10,P411/10,P411/$V411),0)</f>
        <v>0</v>
      </c>
      <c r="Y411" s="212">
        <f>IF(AND($V405&gt;0,$I411&lt;&gt;1),Q411/E405*V405,0)</f>
        <v>0</v>
      </c>
    </row>
    <row r="412" spans="2:25" ht="16.5" hidden="1" thickTop="1" thickBot="1" x14ac:dyDescent="0.3">
      <c r="B412" s="129">
        <f>B410+1</f>
        <v>11</v>
      </c>
      <c r="C412" s="130">
        <v>71</v>
      </c>
      <c r="D412" s="196" t="str">
        <f t="shared" si="249"/>
        <v>II</v>
      </c>
      <c r="E412" s="152"/>
      <c r="F412" s="153"/>
      <c r="G412" s="153"/>
      <c r="H412" s="154"/>
      <c r="I412" s="154"/>
      <c r="J412" s="152"/>
      <c r="K412" s="155"/>
      <c r="L412" s="154"/>
      <c r="M412" s="154"/>
      <c r="N412" s="156"/>
      <c r="O412" s="157"/>
      <c r="P412" s="158"/>
      <c r="Q412" s="159"/>
      <c r="R412" s="160"/>
      <c r="S412" s="161"/>
      <c r="T412" s="203">
        <f t="shared" si="239"/>
        <v>43647</v>
      </c>
      <c r="U412" s="204">
        <f t="shared" si="240"/>
        <v>43677</v>
      </c>
      <c r="V412" s="207">
        <f>IF(G412-F412+1-IF(G412-U412&gt;0,G412-U412,0)-IF(T412-F412&gt;0,T412-F412,0)&gt;0,G412-F412+1-IF(G412-U412&gt;0,G412-U412,0)-IF(T412-F412&gt;0,T412-F412,0),0)</f>
        <v>0</v>
      </c>
      <c r="W412" s="206" t="str">
        <f t="shared" ref="W412:W417" si="250">IF(V412&gt;0,H412,"")</f>
        <v/>
      </c>
      <c r="X412" s="206">
        <f t="shared" ref="X412:X417" si="251">IF(AND($V412&gt;0,$I412=1),P412/$E412*$V412,0)</f>
        <v>0</v>
      </c>
      <c r="Y412" s="209">
        <f t="shared" ref="Y412:Y417" si="252">IF(AND($V412&gt;0,$I412&lt;&gt;1),Q412/$E412*$V412,0)</f>
        <v>0</v>
      </c>
    </row>
    <row r="413" spans="2:25" ht="15.75" hidden="1" thickBot="1" x14ac:dyDescent="0.3">
      <c r="B413" s="60">
        <f>B412</f>
        <v>11</v>
      </c>
      <c r="C413" s="102">
        <v>72</v>
      </c>
      <c r="D413" s="192" t="str">
        <f t="shared" si="249"/>
        <v>II</v>
      </c>
      <c r="E413" s="162"/>
      <c r="F413" s="163"/>
      <c r="G413" s="163"/>
      <c r="H413" s="164"/>
      <c r="I413" s="164"/>
      <c r="J413" s="162"/>
      <c r="K413" s="165"/>
      <c r="L413" s="164"/>
      <c r="M413" s="164"/>
      <c r="N413" s="166"/>
      <c r="O413" s="167"/>
      <c r="P413" s="168"/>
      <c r="Q413" s="169"/>
      <c r="R413" s="170"/>
      <c r="S413" s="171"/>
      <c r="T413" s="203">
        <f t="shared" si="239"/>
        <v>43647</v>
      </c>
      <c r="U413" s="204">
        <f t="shared" si="240"/>
        <v>43677</v>
      </c>
      <c r="V413" s="207">
        <f t="shared" ref="V413:V418" si="253">IF(G413-F413+1-IF(G413-U413&gt;0,G413-U413,0)-IF(T413-F413&gt;0,T413-F413,0)&gt;0,G413-F413+1-IF(G413-U413&gt;0,G413-U413,0)-IF(T413-F413&gt;0,T413-F413,0),0)</f>
        <v>0</v>
      </c>
      <c r="W413" s="206" t="str">
        <f t="shared" si="250"/>
        <v/>
      </c>
      <c r="X413" s="206">
        <f t="shared" si="251"/>
        <v>0</v>
      </c>
      <c r="Y413" s="209">
        <f t="shared" si="252"/>
        <v>0</v>
      </c>
    </row>
    <row r="414" spans="2:25" ht="15.75" hidden="1" thickBot="1" x14ac:dyDescent="0.3">
      <c r="B414" s="60">
        <f>B412</f>
        <v>11</v>
      </c>
      <c r="C414" s="102">
        <v>73</v>
      </c>
      <c r="D414" s="192" t="str">
        <f t="shared" si="249"/>
        <v>II</v>
      </c>
      <c r="E414" s="162"/>
      <c r="F414" s="163"/>
      <c r="G414" s="163"/>
      <c r="H414" s="164"/>
      <c r="I414" s="164"/>
      <c r="J414" s="162"/>
      <c r="K414" s="165"/>
      <c r="L414" s="164"/>
      <c r="M414" s="164"/>
      <c r="N414" s="166"/>
      <c r="O414" s="167"/>
      <c r="P414" s="168"/>
      <c r="Q414" s="169"/>
      <c r="R414" s="170"/>
      <c r="S414" s="171"/>
      <c r="T414" s="203">
        <f t="shared" si="239"/>
        <v>43647</v>
      </c>
      <c r="U414" s="204">
        <f t="shared" si="240"/>
        <v>43677</v>
      </c>
      <c r="V414" s="207">
        <f t="shared" si="253"/>
        <v>0</v>
      </c>
      <c r="W414" s="206" t="str">
        <f t="shared" si="250"/>
        <v/>
      </c>
      <c r="X414" s="206">
        <f t="shared" si="251"/>
        <v>0</v>
      </c>
      <c r="Y414" s="209">
        <f t="shared" si="252"/>
        <v>0</v>
      </c>
    </row>
    <row r="415" spans="2:25" ht="15.75" hidden="1" thickBot="1" x14ac:dyDescent="0.3">
      <c r="B415" s="60">
        <f>B412</f>
        <v>11</v>
      </c>
      <c r="C415" s="102">
        <v>74</v>
      </c>
      <c r="D415" s="192" t="str">
        <f t="shared" si="249"/>
        <v>II</v>
      </c>
      <c r="E415" s="162"/>
      <c r="F415" s="163"/>
      <c r="G415" s="163"/>
      <c r="H415" s="164"/>
      <c r="I415" s="164"/>
      <c r="J415" s="162"/>
      <c r="K415" s="165"/>
      <c r="L415" s="164"/>
      <c r="M415" s="164"/>
      <c r="N415" s="166"/>
      <c r="O415" s="167"/>
      <c r="P415" s="168"/>
      <c r="Q415" s="169"/>
      <c r="R415" s="170"/>
      <c r="S415" s="171"/>
      <c r="T415" s="203">
        <f t="shared" si="239"/>
        <v>43647</v>
      </c>
      <c r="U415" s="204">
        <f t="shared" si="240"/>
        <v>43677</v>
      </c>
      <c r="V415" s="207">
        <f t="shared" si="253"/>
        <v>0</v>
      </c>
      <c r="W415" s="206" t="str">
        <f t="shared" si="250"/>
        <v/>
      </c>
      <c r="X415" s="206">
        <f t="shared" si="251"/>
        <v>0</v>
      </c>
      <c r="Y415" s="209">
        <f t="shared" si="252"/>
        <v>0</v>
      </c>
    </row>
    <row r="416" spans="2:25" ht="15.75" hidden="1" thickBot="1" x14ac:dyDescent="0.3">
      <c r="B416" s="60">
        <f>B412</f>
        <v>11</v>
      </c>
      <c r="C416" s="102">
        <v>75</v>
      </c>
      <c r="D416" s="192" t="str">
        <f t="shared" si="249"/>
        <v>II</v>
      </c>
      <c r="E416" s="162"/>
      <c r="F416" s="163"/>
      <c r="G416" s="163"/>
      <c r="H416" s="164"/>
      <c r="I416" s="164"/>
      <c r="J416" s="162"/>
      <c r="K416" s="165"/>
      <c r="L416" s="164"/>
      <c r="M416" s="164"/>
      <c r="N416" s="166"/>
      <c r="O416" s="167"/>
      <c r="P416" s="168"/>
      <c r="Q416" s="169"/>
      <c r="R416" s="170"/>
      <c r="S416" s="171"/>
      <c r="T416" s="203">
        <f t="shared" si="239"/>
        <v>43647</v>
      </c>
      <c r="U416" s="204">
        <f t="shared" si="240"/>
        <v>43677</v>
      </c>
      <c r="V416" s="207">
        <f t="shared" si="253"/>
        <v>0</v>
      </c>
      <c r="W416" s="206" t="str">
        <f t="shared" si="250"/>
        <v/>
      </c>
      <c r="X416" s="206">
        <f t="shared" si="251"/>
        <v>0</v>
      </c>
      <c r="Y416" s="209">
        <f t="shared" si="252"/>
        <v>0</v>
      </c>
    </row>
    <row r="417" spans="2:25" ht="15.75" hidden="1" thickBot="1" x14ac:dyDescent="0.3">
      <c r="B417" s="60">
        <f>B412</f>
        <v>11</v>
      </c>
      <c r="C417" s="102">
        <v>76</v>
      </c>
      <c r="D417" s="192" t="str">
        <f t="shared" si="249"/>
        <v>II</v>
      </c>
      <c r="E417" s="172"/>
      <c r="F417" s="173"/>
      <c r="G417" s="173"/>
      <c r="H417" s="174"/>
      <c r="I417" s="174"/>
      <c r="J417" s="172"/>
      <c r="K417" s="175"/>
      <c r="L417" s="174"/>
      <c r="M417" s="174"/>
      <c r="N417" s="176"/>
      <c r="O417" s="177"/>
      <c r="P417" s="178"/>
      <c r="Q417" s="179"/>
      <c r="R417" s="180"/>
      <c r="S417" s="181"/>
      <c r="T417" s="203">
        <f t="shared" si="239"/>
        <v>43647</v>
      </c>
      <c r="U417" s="204">
        <f t="shared" si="240"/>
        <v>43677</v>
      </c>
      <c r="V417" s="207">
        <f t="shared" si="253"/>
        <v>0</v>
      </c>
      <c r="W417" s="206" t="str">
        <f t="shared" si="250"/>
        <v/>
      </c>
      <c r="X417" s="206">
        <f t="shared" si="251"/>
        <v>0</v>
      </c>
      <c r="Y417" s="209">
        <f t="shared" si="252"/>
        <v>0</v>
      </c>
    </row>
    <row r="418" spans="2:25" ht="15.75" hidden="1" thickBot="1" x14ac:dyDescent="0.3">
      <c r="B418" s="141">
        <f>B412</f>
        <v>11</v>
      </c>
      <c r="C418" s="142">
        <v>77</v>
      </c>
      <c r="D418" s="194" t="str">
        <f t="shared" si="249"/>
        <v>II</v>
      </c>
      <c r="E418" s="189"/>
      <c r="F418" s="190"/>
      <c r="G418" s="190"/>
      <c r="H418" s="182"/>
      <c r="I418" s="182"/>
      <c r="J418" s="436" t="s">
        <v>181</v>
      </c>
      <c r="K418" s="437"/>
      <c r="L418" s="438"/>
      <c r="M418" s="182"/>
      <c r="N418" s="183"/>
      <c r="O418" s="184"/>
      <c r="P418" s="185"/>
      <c r="Q418" s="186"/>
      <c r="R418" s="187"/>
      <c r="S418" s="188"/>
      <c r="T418" s="213">
        <f t="shared" si="239"/>
        <v>43647</v>
      </c>
      <c r="U418" s="214">
        <f t="shared" si="240"/>
        <v>43677</v>
      </c>
      <c r="V418" s="210">
        <f t="shared" si="253"/>
        <v>0</v>
      </c>
      <c r="W418" s="211"/>
      <c r="X418" s="211">
        <f>IF(AND($V418&gt;0,$I418=1),IF($E418=10,P418/10,P418/$V418),0)</f>
        <v>0</v>
      </c>
      <c r="Y418" s="212">
        <f>IF(AND($V412&gt;0,$I418&lt;&gt;1),Q418/E412*V412,0)</f>
        <v>0</v>
      </c>
    </row>
    <row r="419" spans="2:25" ht="16.5" hidden="1" thickTop="1" thickBot="1" x14ac:dyDescent="0.3">
      <c r="B419" s="129">
        <f>B417+1</f>
        <v>12</v>
      </c>
      <c r="C419" s="130">
        <v>78</v>
      </c>
      <c r="D419" s="196" t="str">
        <f t="shared" si="249"/>
        <v>II</v>
      </c>
      <c r="E419" s="131"/>
      <c r="F419" s="132"/>
      <c r="G419" s="132"/>
      <c r="H419" s="133"/>
      <c r="I419" s="133"/>
      <c r="J419" s="131"/>
      <c r="K419" s="134"/>
      <c r="L419" s="133"/>
      <c r="M419" s="133"/>
      <c r="N419" s="135"/>
      <c r="O419" s="136"/>
      <c r="P419" s="137"/>
      <c r="Q419" s="138"/>
      <c r="R419" s="139"/>
      <c r="S419" s="140"/>
      <c r="T419" s="203">
        <f t="shared" si="239"/>
        <v>43647</v>
      </c>
      <c r="U419" s="204">
        <f t="shared" si="240"/>
        <v>43677</v>
      </c>
      <c r="V419" s="207">
        <f>IF(G419-F419+1-IF(G419-U419&gt;0,G419-U419,0)-IF(T419-F419&gt;0,T419-F419,0)&gt;0,G419-F419+1-IF(G419-U419&gt;0,G419-U419,0)-IF(T419-F419&gt;0,T419-F419,0),0)</f>
        <v>0</v>
      </c>
      <c r="W419" s="206" t="str">
        <f t="shared" ref="W419:W424" si="254">IF(V419&gt;0,H419,"")</f>
        <v/>
      </c>
      <c r="X419" s="206">
        <f t="shared" ref="X419:X424" si="255">IF(AND($V419&gt;0,$I419=1),P419/$E419*$V419,0)</f>
        <v>0</v>
      </c>
      <c r="Y419" s="209">
        <f t="shared" ref="Y419:Y424" si="256">IF(AND($V419&gt;0,$I419&lt;&gt;1),Q419/$E419*$V419,0)</f>
        <v>0</v>
      </c>
    </row>
    <row r="420" spans="2:25" ht="15.75" hidden="1" thickBot="1" x14ac:dyDescent="0.3">
      <c r="B420" s="60">
        <f>B419</f>
        <v>12</v>
      </c>
      <c r="C420" s="102">
        <v>79</v>
      </c>
      <c r="D420" s="192" t="str">
        <f t="shared" si="249"/>
        <v>II</v>
      </c>
      <c r="E420" s="62"/>
      <c r="F420" s="105"/>
      <c r="G420" s="105"/>
      <c r="H420" s="61"/>
      <c r="I420" s="61"/>
      <c r="J420" s="62"/>
      <c r="K420" s="63"/>
      <c r="L420" s="61"/>
      <c r="M420" s="61"/>
      <c r="N420" s="111"/>
      <c r="O420" s="112"/>
      <c r="P420" s="113"/>
      <c r="Q420" s="114"/>
      <c r="R420" s="64"/>
      <c r="S420" s="108"/>
      <c r="T420" s="203">
        <f t="shared" si="239"/>
        <v>43647</v>
      </c>
      <c r="U420" s="204">
        <f t="shared" si="240"/>
        <v>43677</v>
      </c>
      <c r="V420" s="207">
        <f t="shared" ref="V420:V425" si="257">IF(G420-F420+1-IF(G420-U420&gt;0,G420-U420,0)-IF(T420-F420&gt;0,T420-F420,0)&gt;0,G420-F420+1-IF(G420-U420&gt;0,G420-U420,0)-IF(T420-F420&gt;0,T420-F420,0),0)</f>
        <v>0</v>
      </c>
      <c r="W420" s="206" t="str">
        <f t="shared" si="254"/>
        <v/>
      </c>
      <c r="X420" s="206">
        <f t="shared" si="255"/>
        <v>0</v>
      </c>
      <c r="Y420" s="209">
        <f t="shared" si="256"/>
        <v>0</v>
      </c>
    </row>
    <row r="421" spans="2:25" ht="15.75" hidden="1" thickBot="1" x14ac:dyDescent="0.3">
      <c r="B421" s="60">
        <f>B419</f>
        <v>12</v>
      </c>
      <c r="C421" s="102">
        <v>80</v>
      </c>
      <c r="D421" s="192" t="str">
        <f t="shared" si="249"/>
        <v>II</v>
      </c>
      <c r="E421" s="62"/>
      <c r="F421" s="105"/>
      <c r="G421" s="105"/>
      <c r="H421" s="61"/>
      <c r="I421" s="61"/>
      <c r="J421" s="62"/>
      <c r="K421" s="63"/>
      <c r="L421" s="61"/>
      <c r="M421" s="61"/>
      <c r="N421" s="111"/>
      <c r="O421" s="112"/>
      <c r="P421" s="113"/>
      <c r="Q421" s="114"/>
      <c r="R421" s="64"/>
      <c r="S421" s="108"/>
      <c r="T421" s="203">
        <f t="shared" si="239"/>
        <v>43647</v>
      </c>
      <c r="U421" s="204">
        <f t="shared" si="240"/>
        <v>43677</v>
      </c>
      <c r="V421" s="207">
        <f t="shared" si="257"/>
        <v>0</v>
      </c>
      <c r="W421" s="206" t="str">
        <f t="shared" si="254"/>
        <v/>
      </c>
      <c r="X421" s="206">
        <f t="shared" si="255"/>
        <v>0</v>
      </c>
      <c r="Y421" s="209">
        <f t="shared" si="256"/>
        <v>0</v>
      </c>
    </row>
    <row r="422" spans="2:25" ht="15.75" hidden="1" thickBot="1" x14ac:dyDescent="0.3">
      <c r="B422" s="60">
        <f>B419</f>
        <v>12</v>
      </c>
      <c r="C422" s="102">
        <v>81</v>
      </c>
      <c r="D422" s="192" t="str">
        <f t="shared" si="249"/>
        <v>II</v>
      </c>
      <c r="E422" s="62"/>
      <c r="F422" s="105"/>
      <c r="G422" s="105"/>
      <c r="H422" s="61"/>
      <c r="I422" s="61"/>
      <c r="J422" s="62"/>
      <c r="K422" s="63"/>
      <c r="L422" s="61"/>
      <c r="M422" s="61"/>
      <c r="N422" s="111"/>
      <c r="O422" s="112"/>
      <c r="P422" s="113"/>
      <c r="Q422" s="114"/>
      <c r="R422" s="64"/>
      <c r="S422" s="108"/>
      <c r="T422" s="203">
        <f t="shared" si="239"/>
        <v>43647</v>
      </c>
      <c r="U422" s="204">
        <f t="shared" si="240"/>
        <v>43677</v>
      </c>
      <c r="V422" s="207">
        <f t="shared" si="257"/>
        <v>0</v>
      </c>
      <c r="W422" s="206" t="str">
        <f t="shared" si="254"/>
        <v/>
      </c>
      <c r="X422" s="206">
        <f t="shared" si="255"/>
        <v>0</v>
      </c>
      <c r="Y422" s="209">
        <f t="shared" si="256"/>
        <v>0</v>
      </c>
    </row>
    <row r="423" spans="2:25" ht="15.75" hidden="1" thickBot="1" x14ac:dyDescent="0.3">
      <c r="B423" s="60">
        <f>B419</f>
        <v>12</v>
      </c>
      <c r="C423" s="102">
        <v>82</v>
      </c>
      <c r="D423" s="192" t="str">
        <f t="shared" si="249"/>
        <v>II</v>
      </c>
      <c r="E423" s="62"/>
      <c r="F423" s="105"/>
      <c r="G423" s="105"/>
      <c r="H423" s="61"/>
      <c r="I423" s="61"/>
      <c r="J423" s="62"/>
      <c r="K423" s="63"/>
      <c r="L423" s="61"/>
      <c r="M423" s="61"/>
      <c r="N423" s="111"/>
      <c r="O423" s="112"/>
      <c r="P423" s="113"/>
      <c r="Q423" s="114"/>
      <c r="R423" s="64"/>
      <c r="S423" s="108"/>
      <c r="T423" s="203">
        <f t="shared" si="239"/>
        <v>43647</v>
      </c>
      <c r="U423" s="204">
        <f t="shared" si="240"/>
        <v>43677</v>
      </c>
      <c r="V423" s="207">
        <f t="shared" si="257"/>
        <v>0</v>
      </c>
      <c r="W423" s="206" t="str">
        <f t="shared" si="254"/>
        <v/>
      </c>
      <c r="X423" s="206">
        <f t="shared" si="255"/>
        <v>0</v>
      </c>
      <c r="Y423" s="209">
        <f t="shared" si="256"/>
        <v>0</v>
      </c>
    </row>
    <row r="424" spans="2:25" ht="15.75" hidden="1" thickBot="1" x14ac:dyDescent="0.3">
      <c r="B424" s="60">
        <f>B419</f>
        <v>12</v>
      </c>
      <c r="C424" s="102">
        <v>83</v>
      </c>
      <c r="D424" s="192" t="str">
        <f t="shared" si="249"/>
        <v>II</v>
      </c>
      <c r="E424" s="62"/>
      <c r="F424" s="105"/>
      <c r="G424" s="105"/>
      <c r="H424" s="61"/>
      <c r="I424" s="61"/>
      <c r="J424" s="62"/>
      <c r="K424" s="63"/>
      <c r="L424" s="61"/>
      <c r="M424" s="61"/>
      <c r="N424" s="111"/>
      <c r="O424" s="112"/>
      <c r="P424" s="113"/>
      <c r="Q424" s="114"/>
      <c r="R424" s="64"/>
      <c r="S424" s="108"/>
      <c r="T424" s="203">
        <f t="shared" si="239"/>
        <v>43647</v>
      </c>
      <c r="U424" s="204">
        <f t="shared" si="240"/>
        <v>43677</v>
      </c>
      <c r="V424" s="207">
        <f t="shared" si="257"/>
        <v>0</v>
      </c>
      <c r="W424" s="206" t="str">
        <f t="shared" si="254"/>
        <v/>
      </c>
      <c r="X424" s="206">
        <f t="shared" si="255"/>
        <v>0</v>
      </c>
      <c r="Y424" s="209">
        <f t="shared" si="256"/>
        <v>0</v>
      </c>
    </row>
    <row r="425" spans="2:25" ht="15.75" hidden="1" thickBot="1" x14ac:dyDescent="0.3">
      <c r="B425" s="141">
        <f>B419</f>
        <v>12</v>
      </c>
      <c r="C425" s="142">
        <v>84</v>
      </c>
      <c r="D425" s="194" t="str">
        <f t="shared" si="249"/>
        <v>II</v>
      </c>
      <c r="E425" s="143"/>
      <c r="F425" s="144"/>
      <c r="G425" s="144"/>
      <c r="H425" s="145"/>
      <c r="I425" s="145"/>
      <c r="J425" s="436" t="s">
        <v>181</v>
      </c>
      <c r="K425" s="437"/>
      <c r="L425" s="438"/>
      <c r="M425" s="145"/>
      <c r="N425" s="146"/>
      <c r="O425" s="147"/>
      <c r="P425" s="148"/>
      <c r="Q425" s="149"/>
      <c r="R425" s="150"/>
      <c r="S425" s="151"/>
      <c r="T425" s="213">
        <f t="shared" si="239"/>
        <v>43647</v>
      </c>
      <c r="U425" s="214">
        <f t="shared" si="240"/>
        <v>43677</v>
      </c>
      <c r="V425" s="210">
        <f t="shared" si="257"/>
        <v>0</v>
      </c>
      <c r="W425" s="211"/>
      <c r="X425" s="211">
        <f>IF(AND($V425&gt;0,$I425=1),IF($E425=10,P425/10,P425/$V425),0)</f>
        <v>0</v>
      </c>
      <c r="Y425" s="212">
        <f>IF(AND($V419&gt;0,$I425&lt;&gt;1),Q425/E419*V419,0)</f>
        <v>0</v>
      </c>
    </row>
    <row r="426" spans="2:25" ht="16.5" hidden="1" thickTop="1" thickBot="1" x14ac:dyDescent="0.3">
      <c r="B426" s="129">
        <f>B424+1</f>
        <v>13</v>
      </c>
      <c r="C426" s="130">
        <v>85</v>
      </c>
      <c r="D426" s="196" t="str">
        <f t="shared" si="249"/>
        <v>II</v>
      </c>
      <c r="E426" s="152"/>
      <c r="F426" s="153"/>
      <c r="G426" s="153"/>
      <c r="H426" s="154"/>
      <c r="I426" s="154"/>
      <c r="J426" s="152"/>
      <c r="K426" s="155"/>
      <c r="L426" s="154"/>
      <c r="M426" s="154"/>
      <c r="N426" s="156"/>
      <c r="O426" s="157"/>
      <c r="P426" s="158"/>
      <c r="Q426" s="159"/>
      <c r="R426" s="160"/>
      <c r="S426" s="161"/>
      <c r="T426" s="203">
        <f t="shared" si="239"/>
        <v>43647</v>
      </c>
      <c r="U426" s="204">
        <f t="shared" si="240"/>
        <v>43677</v>
      </c>
      <c r="V426" s="207">
        <f>IF(G426-F426+1-IF(G426-U426&gt;0,G426-U426,0)-IF(T426-F426&gt;0,T426-F426,0)&gt;0,G426-F426+1-IF(G426-U426&gt;0,G426-U426,0)-IF(T426-F426&gt;0,T426-F426,0),0)</f>
        <v>0</v>
      </c>
      <c r="W426" s="206" t="str">
        <f t="shared" ref="W426:W431" si="258">IF(V426&gt;0,H426,"")</f>
        <v/>
      </c>
      <c r="X426" s="206">
        <f t="shared" ref="X426:X431" si="259">IF(AND($V426&gt;0,$I426=1),P426/$E426*$V426,0)</f>
        <v>0</v>
      </c>
      <c r="Y426" s="209">
        <f t="shared" ref="Y426:Y431" si="260">IF(AND($V426&gt;0,$I426&lt;&gt;1),Q426/$E426*$V426,0)</f>
        <v>0</v>
      </c>
    </row>
    <row r="427" spans="2:25" ht="15.75" hidden="1" thickBot="1" x14ac:dyDescent="0.3">
      <c r="B427" s="60">
        <f>B426</f>
        <v>13</v>
      </c>
      <c r="C427" s="102">
        <v>86</v>
      </c>
      <c r="D427" s="192" t="str">
        <f t="shared" si="249"/>
        <v>II</v>
      </c>
      <c r="E427" s="162"/>
      <c r="F427" s="163"/>
      <c r="G427" s="163"/>
      <c r="H427" s="164"/>
      <c r="I427" s="164"/>
      <c r="J427" s="162"/>
      <c r="K427" s="165"/>
      <c r="L427" s="164"/>
      <c r="M427" s="164"/>
      <c r="N427" s="166"/>
      <c r="O427" s="167"/>
      <c r="P427" s="168"/>
      <c r="Q427" s="169"/>
      <c r="R427" s="170"/>
      <c r="S427" s="171"/>
      <c r="T427" s="203">
        <f t="shared" si="239"/>
        <v>43647</v>
      </c>
      <c r="U427" s="204">
        <f t="shared" si="240"/>
        <v>43677</v>
      </c>
      <c r="V427" s="207">
        <f t="shared" ref="V427:V432" si="261">IF(G427-F427+1-IF(G427-U427&gt;0,G427-U427,0)-IF(T427-F427&gt;0,T427-F427,0)&gt;0,G427-F427+1-IF(G427-U427&gt;0,G427-U427,0)-IF(T427-F427&gt;0,T427-F427,0),0)</f>
        <v>0</v>
      </c>
      <c r="W427" s="206" t="str">
        <f t="shared" si="258"/>
        <v/>
      </c>
      <c r="X427" s="206">
        <f t="shared" si="259"/>
        <v>0</v>
      </c>
      <c r="Y427" s="209">
        <f t="shared" si="260"/>
        <v>0</v>
      </c>
    </row>
    <row r="428" spans="2:25" ht="15.75" hidden="1" thickBot="1" x14ac:dyDescent="0.3">
      <c r="B428" s="60">
        <f>B426</f>
        <v>13</v>
      </c>
      <c r="C428" s="102">
        <v>87</v>
      </c>
      <c r="D428" s="192" t="str">
        <f t="shared" si="249"/>
        <v>II</v>
      </c>
      <c r="E428" s="162"/>
      <c r="F428" s="163"/>
      <c r="G428" s="163"/>
      <c r="H428" s="164"/>
      <c r="I428" s="164"/>
      <c r="J428" s="162"/>
      <c r="K428" s="165"/>
      <c r="L428" s="164"/>
      <c r="M428" s="164"/>
      <c r="N428" s="166"/>
      <c r="O428" s="167"/>
      <c r="P428" s="168"/>
      <c r="Q428" s="169"/>
      <c r="R428" s="170"/>
      <c r="S428" s="171"/>
      <c r="T428" s="203">
        <f t="shared" si="239"/>
        <v>43647</v>
      </c>
      <c r="U428" s="204">
        <f t="shared" si="240"/>
        <v>43677</v>
      </c>
      <c r="V428" s="207">
        <f t="shared" si="261"/>
        <v>0</v>
      </c>
      <c r="W428" s="206" t="str">
        <f t="shared" si="258"/>
        <v/>
      </c>
      <c r="X428" s="206">
        <f t="shared" si="259"/>
        <v>0</v>
      </c>
      <c r="Y428" s="209">
        <f t="shared" si="260"/>
        <v>0</v>
      </c>
    </row>
    <row r="429" spans="2:25" ht="15.75" hidden="1" thickBot="1" x14ac:dyDescent="0.3">
      <c r="B429" s="60">
        <f>B426</f>
        <v>13</v>
      </c>
      <c r="C429" s="102">
        <v>88</v>
      </c>
      <c r="D429" s="192" t="str">
        <f t="shared" si="249"/>
        <v>II</v>
      </c>
      <c r="E429" s="162"/>
      <c r="F429" s="163"/>
      <c r="G429" s="163"/>
      <c r="H429" s="164"/>
      <c r="I429" s="164"/>
      <c r="J429" s="162"/>
      <c r="K429" s="165"/>
      <c r="L429" s="164"/>
      <c r="M429" s="164"/>
      <c r="N429" s="166"/>
      <c r="O429" s="167"/>
      <c r="P429" s="168"/>
      <c r="Q429" s="169"/>
      <c r="R429" s="170"/>
      <c r="S429" s="171"/>
      <c r="T429" s="203">
        <f t="shared" si="239"/>
        <v>43647</v>
      </c>
      <c r="U429" s="204">
        <f t="shared" si="240"/>
        <v>43677</v>
      </c>
      <c r="V429" s="207">
        <f t="shared" si="261"/>
        <v>0</v>
      </c>
      <c r="W429" s="206" t="str">
        <f t="shared" si="258"/>
        <v/>
      </c>
      <c r="X429" s="206">
        <f t="shared" si="259"/>
        <v>0</v>
      </c>
      <c r="Y429" s="209">
        <f t="shared" si="260"/>
        <v>0</v>
      </c>
    </row>
    <row r="430" spans="2:25" ht="15.75" hidden="1" thickBot="1" x14ac:dyDescent="0.3">
      <c r="B430" s="60">
        <f>B426</f>
        <v>13</v>
      </c>
      <c r="C430" s="102">
        <v>89</v>
      </c>
      <c r="D430" s="192" t="str">
        <f t="shared" si="249"/>
        <v>II</v>
      </c>
      <c r="E430" s="162"/>
      <c r="F430" s="163"/>
      <c r="G430" s="163"/>
      <c r="H430" s="164"/>
      <c r="I430" s="164"/>
      <c r="J430" s="162"/>
      <c r="K430" s="165"/>
      <c r="L430" s="164"/>
      <c r="M430" s="164"/>
      <c r="N430" s="166"/>
      <c r="O430" s="167"/>
      <c r="P430" s="168"/>
      <c r="Q430" s="169"/>
      <c r="R430" s="170"/>
      <c r="S430" s="171"/>
      <c r="T430" s="203">
        <f t="shared" si="239"/>
        <v>43647</v>
      </c>
      <c r="U430" s="204">
        <f t="shared" si="240"/>
        <v>43677</v>
      </c>
      <c r="V430" s="207">
        <f t="shared" si="261"/>
        <v>0</v>
      </c>
      <c r="W430" s="206" t="str">
        <f t="shared" si="258"/>
        <v/>
      </c>
      <c r="X430" s="206">
        <f t="shared" si="259"/>
        <v>0</v>
      </c>
      <c r="Y430" s="209">
        <f t="shared" si="260"/>
        <v>0</v>
      </c>
    </row>
    <row r="431" spans="2:25" ht="15.75" hidden="1" thickBot="1" x14ac:dyDescent="0.3">
      <c r="B431" s="60">
        <f>B426</f>
        <v>13</v>
      </c>
      <c r="C431" s="102">
        <v>90</v>
      </c>
      <c r="D431" s="192" t="str">
        <f t="shared" si="249"/>
        <v>II</v>
      </c>
      <c r="E431" s="172"/>
      <c r="F431" s="173"/>
      <c r="G431" s="173"/>
      <c r="H431" s="174"/>
      <c r="I431" s="174"/>
      <c r="J431" s="172"/>
      <c r="K431" s="175"/>
      <c r="L431" s="174"/>
      <c r="M431" s="174"/>
      <c r="N431" s="176"/>
      <c r="O431" s="177"/>
      <c r="P431" s="178"/>
      <c r="Q431" s="179"/>
      <c r="R431" s="180"/>
      <c r="S431" s="181"/>
      <c r="T431" s="203">
        <f t="shared" si="239"/>
        <v>43647</v>
      </c>
      <c r="U431" s="204">
        <f t="shared" si="240"/>
        <v>43677</v>
      </c>
      <c r="V431" s="207">
        <f t="shared" si="261"/>
        <v>0</v>
      </c>
      <c r="W431" s="206" t="str">
        <f t="shared" si="258"/>
        <v/>
      </c>
      <c r="X431" s="206">
        <f t="shared" si="259"/>
        <v>0</v>
      </c>
      <c r="Y431" s="209">
        <f t="shared" si="260"/>
        <v>0</v>
      </c>
    </row>
    <row r="432" spans="2:25" ht="15.75" hidden="1" thickBot="1" x14ac:dyDescent="0.3">
      <c r="B432" s="141">
        <f>B426</f>
        <v>13</v>
      </c>
      <c r="C432" s="142">
        <v>91</v>
      </c>
      <c r="D432" s="194" t="str">
        <f t="shared" si="249"/>
        <v>II</v>
      </c>
      <c r="E432" s="189"/>
      <c r="F432" s="190"/>
      <c r="G432" s="190"/>
      <c r="H432" s="182"/>
      <c r="I432" s="182"/>
      <c r="J432" s="436" t="s">
        <v>181</v>
      </c>
      <c r="K432" s="437"/>
      <c r="L432" s="438"/>
      <c r="M432" s="182"/>
      <c r="N432" s="183"/>
      <c r="O432" s="184"/>
      <c r="P432" s="185"/>
      <c r="Q432" s="186"/>
      <c r="R432" s="187"/>
      <c r="S432" s="188"/>
      <c r="T432" s="213">
        <f t="shared" si="239"/>
        <v>43647</v>
      </c>
      <c r="U432" s="214">
        <f t="shared" si="240"/>
        <v>43677</v>
      </c>
      <c r="V432" s="210">
        <f t="shared" si="261"/>
        <v>0</v>
      </c>
      <c r="W432" s="211"/>
      <c r="X432" s="211">
        <f>IF(AND($V432&gt;0,$I432=1),IF($E432=10,P432/10,P432/$V432),0)</f>
        <v>0</v>
      </c>
      <c r="Y432" s="212">
        <f>IF(AND($V426&gt;0,$I432&lt;&gt;1),Q432/E426*V426,0)</f>
        <v>0</v>
      </c>
    </row>
    <row r="433" spans="2:25" ht="16.5" hidden="1" thickTop="1" thickBot="1" x14ac:dyDescent="0.3">
      <c r="B433" s="129">
        <f>B431+1</f>
        <v>14</v>
      </c>
      <c r="C433" s="130">
        <v>92</v>
      </c>
      <c r="D433" s="196" t="str">
        <f t="shared" si="249"/>
        <v>II</v>
      </c>
      <c r="E433" s="131"/>
      <c r="F433" s="132"/>
      <c r="G433" s="132"/>
      <c r="H433" s="133"/>
      <c r="I433" s="133"/>
      <c r="J433" s="131"/>
      <c r="K433" s="134"/>
      <c r="L433" s="133"/>
      <c r="M433" s="133"/>
      <c r="N433" s="135"/>
      <c r="O433" s="136"/>
      <c r="P433" s="137"/>
      <c r="Q433" s="138"/>
      <c r="R433" s="139"/>
      <c r="S433" s="140"/>
      <c r="T433" s="203">
        <f t="shared" si="239"/>
        <v>43647</v>
      </c>
      <c r="U433" s="204">
        <f t="shared" si="240"/>
        <v>43677</v>
      </c>
      <c r="V433" s="207">
        <f>IF(G433-F433+1-IF(G433-U433&gt;0,G433-U433,0)-IF(T433-F433&gt;0,T433-F433,0)&gt;0,G433-F433+1-IF(G433-U433&gt;0,G433-U433,0)-IF(T433-F433&gt;0,T433-F433,0),0)</f>
        <v>0</v>
      </c>
      <c r="W433" s="206" t="str">
        <f t="shared" ref="W433:W438" si="262">IF(V433&gt;0,H433,"")</f>
        <v/>
      </c>
      <c r="X433" s="206">
        <f t="shared" ref="X433:X438" si="263">IF(AND($V433&gt;0,$I433=1),P433/$E433*$V433,0)</f>
        <v>0</v>
      </c>
      <c r="Y433" s="209">
        <f t="shared" ref="Y433:Y438" si="264">IF(AND($V433&gt;0,$I433&lt;&gt;1),Q433/$E433*$V433,0)</f>
        <v>0</v>
      </c>
    </row>
    <row r="434" spans="2:25" ht="15.75" hidden="1" thickBot="1" x14ac:dyDescent="0.3">
      <c r="B434" s="60">
        <f>B433</f>
        <v>14</v>
      </c>
      <c r="C434" s="102">
        <v>93</v>
      </c>
      <c r="D434" s="192" t="str">
        <f t="shared" si="249"/>
        <v>II</v>
      </c>
      <c r="E434" s="62"/>
      <c r="F434" s="105"/>
      <c r="G434" s="105"/>
      <c r="H434" s="61"/>
      <c r="I434" s="61"/>
      <c r="J434" s="62"/>
      <c r="K434" s="63"/>
      <c r="L434" s="61"/>
      <c r="M434" s="61"/>
      <c r="N434" s="111"/>
      <c r="O434" s="112"/>
      <c r="P434" s="113"/>
      <c r="Q434" s="114"/>
      <c r="R434" s="64"/>
      <c r="S434" s="108"/>
      <c r="T434" s="203">
        <f t="shared" si="239"/>
        <v>43647</v>
      </c>
      <c r="U434" s="204">
        <f t="shared" si="240"/>
        <v>43677</v>
      </c>
      <c r="V434" s="207">
        <f t="shared" ref="V434:V439" si="265">IF(G434-F434+1-IF(G434-U434&gt;0,G434-U434,0)-IF(T434-F434&gt;0,T434-F434,0)&gt;0,G434-F434+1-IF(G434-U434&gt;0,G434-U434,0)-IF(T434-F434&gt;0,T434-F434,0),0)</f>
        <v>0</v>
      </c>
      <c r="W434" s="206" t="str">
        <f t="shared" si="262"/>
        <v/>
      </c>
      <c r="X434" s="206">
        <f t="shared" si="263"/>
        <v>0</v>
      </c>
      <c r="Y434" s="209">
        <f t="shared" si="264"/>
        <v>0</v>
      </c>
    </row>
    <row r="435" spans="2:25" ht="15.75" hidden="1" thickBot="1" x14ac:dyDescent="0.3">
      <c r="B435" s="60">
        <f>B433</f>
        <v>14</v>
      </c>
      <c r="C435" s="102">
        <v>94</v>
      </c>
      <c r="D435" s="192" t="str">
        <f t="shared" si="249"/>
        <v>II</v>
      </c>
      <c r="E435" s="62"/>
      <c r="F435" s="105"/>
      <c r="G435" s="105"/>
      <c r="H435" s="61"/>
      <c r="I435" s="61"/>
      <c r="J435" s="62"/>
      <c r="K435" s="63"/>
      <c r="L435" s="61"/>
      <c r="M435" s="61"/>
      <c r="N435" s="111"/>
      <c r="O435" s="112"/>
      <c r="P435" s="113"/>
      <c r="Q435" s="114"/>
      <c r="R435" s="64"/>
      <c r="S435" s="108"/>
      <c r="T435" s="203">
        <f t="shared" si="239"/>
        <v>43647</v>
      </c>
      <c r="U435" s="204">
        <f t="shared" si="240"/>
        <v>43677</v>
      </c>
      <c r="V435" s="207">
        <f t="shared" si="265"/>
        <v>0</v>
      </c>
      <c r="W435" s="206" t="str">
        <f t="shared" si="262"/>
        <v/>
      </c>
      <c r="X435" s="206">
        <f t="shared" si="263"/>
        <v>0</v>
      </c>
      <c r="Y435" s="209">
        <f t="shared" si="264"/>
        <v>0</v>
      </c>
    </row>
    <row r="436" spans="2:25" ht="15.75" hidden="1" thickBot="1" x14ac:dyDescent="0.3">
      <c r="B436" s="60">
        <f>B433</f>
        <v>14</v>
      </c>
      <c r="C436" s="102">
        <v>95</v>
      </c>
      <c r="D436" s="192" t="str">
        <f t="shared" si="249"/>
        <v>II</v>
      </c>
      <c r="E436" s="62"/>
      <c r="F436" s="105"/>
      <c r="G436" s="105"/>
      <c r="H436" s="61"/>
      <c r="I436" s="61"/>
      <c r="J436" s="62"/>
      <c r="K436" s="63"/>
      <c r="L436" s="61"/>
      <c r="M436" s="61"/>
      <c r="N436" s="111"/>
      <c r="O436" s="112"/>
      <c r="P436" s="113"/>
      <c r="Q436" s="114"/>
      <c r="R436" s="64"/>
      <c r="S436" s="108"/>
      <c r="T436" s="203">
        <f t="shared" si="239"/>
        <v>43647</v>
      </c>
      <c r="U436" s="204">
        <f t="shared" si="240"/>
        <v>43677</v>
      </c>
      <c r="V436" s="207">
        <f t="shared" si="265"/>
        <v>0</v>
      </c>
      <c r="W436" s="206" t="str">
        <f t="shared" si="262"/>
        <v/>
      </c>
      <c r="X436" s="206">
        <f t="shared" si="263"/>
        <v>0</v>
      </c>
      <c r="Y436" s="209">
        <f t="shared" si="264"/>
        <v>0</v>
      </c>
    </row>
    <row r="437" spans="2:25" ht="15.75" hidden="1" thickBot="1" x14ac:dyDescent="0.3">
      <c r="B437" s="60">
        <f>B433</f>
        <v>14</v>
      </c>
      <c r="C437" s="102">
        <v>96</v>
      </c>
      <c r="D437" s="192" t="str">
        <f t="shared" si="249"/>
        <v>II</v>
      </c>
      <c r="E437" s="62"/>
      <c r="F437" s="105"/>
      <c r="G437" s="105"/>
      <c r="H437" s="61"/>
      <c r="I437" s="61"/>
      <c r="J437" s="62"/>
      <c r="K437" s="63"/>
      <c r="L437" s="61"/>
      <c r="M437" s="61"/>
      <c r="N437" s="111"/>
      <c r="O437" s="112"/>
      <c r="P437" s="113"/>
      <c r="Q437" s="114"/>
      <c r="R437" s="64"/>
      <c r="S437" s="108"/>
      <c r="T437" s="203">
        <f t="shared" si="239"/>
        <v>43647</v>
      </c>
      <c r="U437" s="204">
        <f t="shared" si="240"/>
        <v>43677</v>
      </c>
      <c r="V437" s="207">
        <f t="shared" si="265"/>
        <v>0</v>
      </c>
      <c r="W437" s="206" t="str">
        <f t="shared" si="262"/>
        <v/>
      </c>
      <c r="X437" s="206">
        <f t="shared" si="263"/>
        <v>0</v>
      </c>
      <c r="Y437" s="209">
        <f t="shared" si="264"/>
        <v>0</v>
      </c>
    </row>
    <row r="438" spans="2:25" ht="15.75" hidden="1" thickBot="1" x14ac:dyDescent="0.3">
      <c r="B438" s="60">
        <f>B433</f>
        <v>14</v>
      </c>
      <c r="C438" s="102">
        <v>97</v>
      </c>
      <c r="D438" s="192" t="str">
        <f t="shared" si="249"/>
        <v>II</v>
      </c>
      <c r="E438" s="62"/>
      <c r="F438" s="105"/>
      <c r="G438" s="105"/>
      <c r="H438" s="61"/>
      <c r="I438" s="61"/>
      <c r="J438" s="62"/>
      <c r="K438" s="63"/>
      <c r="L438" s="61"/>
      <c r="M438" s="61"/>
      <c r="N438" s="111"/>
      <c r="O438" s="112"/>
      <c r="P438" s="113"/>
      <c r="Q438" s="114"/>
      <c r="R438" s="64"/>
      <c r="S438" s="108"/>
      <c r="T438" s="203">
        <f t="shared" si="239"/>
        <v>43647</v>
      </c>
      <c r="U438" s="204">
        <f t="shared" si="240"/>
        <v>43677</v>
      </c>
      <c r="V438" s="207">
        <f t="shared" si="265"/>
        <v>0</v>
      </c>
      <c r="W438" s="206" t="str">
        <f t="shared" si="262"/>
        <v/>
      </c>
      <c r="X438" s="206">
        <f t="shared" si="263"/>
        <v>0</v>
      </c>
      <c r="Y438" s="209">
        <f t="shared" si="264"/>
        <v>0</v>
      </c>
    </row>
    <row r="439" spans="2:25" ht="15.75" hidden="1" thickBot="1" x14ac:dyDescent="0.3">
      <c r="B439" s="141">
        <f>B433</f>
        <v>14</v>
      </c>
      <c r="C439" s="142">
        <v>98</v>
      </c>
      <c r="D439" s="194" t="str">
        <f t="shared" si="249"/>
        <v>II</v>
      </c>
      <c r="E439" s="143"/>
      <c r="F439" s="144"/>
      <c r="G439" s="144"/>
      <c r="H439" s="145"/>
      <c r="I439" s="145"/>
      <c r="J439" s="436" t="s">
        <v>181</v>
      </c>
      <c r="K439" s="437"/>
      <c r="L439" s="438"/>
      <c r="M439" s="145"/>
      <c r="N439" s="146"/>
      <c r="O439" s="147"/>
      <c r="P439" s="148"/>
      <c r="Q439" s="149"/>
      <c r="R439" s="150"/>
      <c r="S439" s="151"/>
      <c r="T439" s="213">
        <f t="shared" si="239"/>
        <v>43647</v>
      </c>
      <c r="U439" s="214">
        <f t="shared" si="240"/>
        <v>43677</v>
      </c>
      <c r="V439" s="210">
        <f t="shared" si="265"/>
        <v>0</v>
      </c>
      <c r="W439" s="211"/>
      <c r="X439" s="211">
        <f>IF(AND($V439&gt;0,$I439=1),IF($E439=10,P439/10,P439/$V439),0)</f>
        <v>0</v>
      </c>
      <c r="Y439" s="212">
        <f>IF(AND($V433&gt;0,$I439&lt;&gt;1),Q439/E433*V433,0)</f>
        <v>0</v>
      </c>
    </row>
    <row r="440" spans="2:25" ht="16.5" hidden="1" thickTop="1" thickBot="1" x14ac:dyDescent="0.3">
      <c r="B440" s="129">
        <f>B438+1</f>
        <v>15</v>
      </c>
      <c r="C440" s="130">
        <v>99</v>
      </c>
      <c r="D440" s="196" t="str">
        <f t="shared" si="249"/>
        <v>II</v>
      </c>
      <c r="E440" s="152"/>
      <c r="F440" s="153"/>
      <c r="G440" s="153"/>
      <c r="H440" s="154"/>
      <c r="I440" s="154"/>
      <c r="J440" s="152"/>
      <c r="K440" s="155"/>
      <c r="L440" s="154"/>
      <c r="M440" s="154"/>
      <c r="N440" s="156"/>
      <c r="O440" s="157"/>
      <c r="P440" s="158"/>
      <c r="Q440" s="159"/>
      <c r="R440" s="160"/>
      <c r="S440" s="161"/>
      <c r="T440" s="203">
        <f t="shared" si="239"/>
        <v>43647</v>
      </c>
      <c r="U440" s="204">
        <f t="shared" si="240"/>
        <v>43677</v>
      </c>
      <c r="V440" s="207">
        <f>IF(G440-F440+1-IF(G440-U440&gt;0,G440-U440,0)-IF(T440-F440&gt;0,T440-F440,0)&gt;0,G440-F440+1-IF(G440-U440&gt;0,G440-U440,0)-IF(T440-F440&gt;0,T440-F440,0),0)</f>
        <v>0</v>
      </c>
      <c r="W440" s="206" t="str">
        <f t="shared" ref="W440:W445" si="266">IF(V440&gt;0,H440,"")</f>
        <v/>
      </c>
      <c r="X440" s="206">
        <f t="shared" ref="X440:X445" si="267">IF(AND($V440&gt;0,$I440=1),P440/$E440*$V440,0)</f>
        <v>0</v>
      </c>
      <c r="Y440" s="209">
        <f t="shared" ref="Y440:Y445" si="268">IF(AND($V440&gt;0,$I440&lt;&gt;1),Q440/$E440*$V440,0)</f>
        <v>0</v>
      </c>
    </row>
    <row r="441" spans="2:25" ht="15.75" hidden="1" thickBot="1" x14ac:dyDescent="0.3">
      <c r="B441" s="60">
        <f>B440</f>
        <v>15</v>
      </c>
      <c r="C441" s="102">
        <v>100</v>
      </c>
      <c r="D441" s="192" t="str">
        <f t="shared" si="249"/>
        <v>II</v>
      </c>
      <c r="E441" s="162"/>
      <c r="F441" s="163"/>
      <c r="G441" s="163"/>
      <c r="H441" s="164"/>
      <c r="I441" s="164"/>
      <c r="J441" s="162"/>
      <c r="K441" s="165"/>
      <c r="L441" s="164"/>
      <c r="M441" s="164"/>
      <c r="N441" s="166"/>
      <c r="O441" s="167"/>
      <c r="P441" s="168"/>
      <c r="Q441" s="169"/>
      <c r="R441" s="170"/>
      <c r="S441" s="171"/>
      <c r="T441" s="203">
        <f t="shared" si="239"/>
        <v>43647</v>
      </c>
      <c r="U441" s="204">
        <f t="shared" si="240"/>
        <v>43677</v>
      </c>
      <c r="V441" s="207">
        <f t="shared" ref="V441:V446" si="269">IF(G441-F441+1-IF(G441-U441&gt;0,G441-U441,0)-IF(T441-F441&gt;0,T441-F441,0)&gt;0,G441-F441+1-IF(G441-U441&gt;0,G441-U441,0)-IF(T441-F441&gt;0,T441-F441,0),0)</f>
        <v>0</v>
      </c>
      <c r="W441" s="206" t="str">
        <f t="shared" si="266"/>
        <v/>
      </c>
      <c r="X441" s="206">
        <f t="shared" si="267"/>
        <v>0</v>
      </c>
      <c r="Y441" s="209">
        <f t="shared" si="268"/>
        <v>0</v>
      </c>
    </row>
    <row r="442" spans="2:25" ht="15.75" hidden="1" thickBot="1" x14ac:dyDescent="0.3">
      <c r="B442" s="60">
        <f>B440</f>
        <v>15</v>
      </c>
      <c r="C442" s="102">
        <v>101</v>
      </c>
      <c r="D442" s="192" t="str">
        <f t="shared" si="249"/>
        <v>II</v>
      </c>
      <c r="E442" s="162"/>
      <c r="F442" s="163"/>
      <c r="G442" s="163"/>
      <c r="H442" s="164"/>
      <c r="I442" s="164"/>
      <c r="J442" s="162"/>
      <c r="K442" s="165"/>
      <c r="L442" s="164"/>
      <c r="M442" s="164"/>
      <c r="N442" s="166"/>
      <c r="O442" s="167"/>
      <c r="P442" s="168"/>
      <c r="Q442" s="169"/>
      <c r="R442" s="170"/>
      <c r="S442" s="171"/>
      <c r="T442" s="203">
        <f t="shared" si="239"/>
        <v>43647</v>
      </c>
      <c r="U442" s="204">
        <f t="shared" si="240"/>
        <v>43677</v>
      </c>
      <c r="V442" s="207">
        <f t="shared" si="269"/>
        <v>0</v>
      </c>
      <c r="W442" s="206" t="str">
        <f t="shared" si="266"/>
        <v/>
      </c>
      <c r="X442" s="206">
        <f t="shared" si="267"/>
        <v>0</v>
      </c>
      <c r="Y442" s="209">
        <f t="shared" si="268"/>
        <v>0</v>
      </c>
    </row>
    <row r="443" spans="2:25" ht="15.75" hidden="1" thickBot="1" x14ac:dyDescent="0.3">
      <c r="B443" s="60">
        <f>B440</f>
        <v>15</v>
      </c>
      <c r="C443" s="102">
        <v>102</v>
      </c>
      <c r="D443" s="192" t="str">
        <f t="shared" si="249"/>
        <v>II</v>
      </c>
      <c r="E443" s="162"/>
      <c r="F443" s="163"/>
      <c r="G443" s="163"/>
      <c r="H443" s="164"/>
      <c r="I443" s="164"/>
      <c r="J443" s="162"/>
      <c r="K443" s="165"/>
      <c r="L443" s="164"/>
      <c r="M443" s="164"/>
      <c r="N443" s="166"/>
      <c r="O443" s="167"/>
      <c r="P443" s="168"/>
      <c r="Q443" s="169"/>
      <c r="R443" s="170"/>
      <c r="S443" s="171"/>
      <c r="T443" s="203">
        <f t="shared" si="239"/>
        <v>43647</v>
      </c>
      <c r="U443" s="204">
        <f t="shared" si="240"/>
        <v>43677</v>
      </c>
      <c r="V443" s="207">
        <f t="shared" si="269"/>
        <v>0</v>
      </c>
      <c r="W443" s="206" t="str">
        <f t="shared" si="266"/>
        <v/>
      </c>
      <c r="X443" s="206">
        <f t="shared" si="267"/>
        <v>0</v>
      </c>
      <c r="Y443" s="209">
        <f t="shared" si="268"/>
        <v>0</v>
      </c>
    </row>
    <row r="444" spans="2:25" ht="15.75" hidden="1" thickBot="1" x14ac:dyDescent="0.3">
      <c r="B444" s="60">
        <f>B440</f>
        <v>15</v>
      </c>
      <c r="C444" s="102">
        <v>103</v>
      </c>
      <c r="D444" s="192" t="str">
        <f t="shared" si="249"/>
        <v>II</v>
      </c>
      <c r="E444" s="162"/>
      <c r="F444" s="163"/>
      <c r="G444" s="163"/>
      <c r="H444" s="164"/>
      <c r="I444" s="164"/>
      <c r="J444" s="162"/>
      <c r="K444" s="165"/>
      <c r="L444" s="164"/>
      <c r="M444" s="164"/>
      <c r="N444" s="166"/>
      <c r="O444" s="167"/>
      <c r="P444" s="168"/>
      <c r="Q444" s="169"/>
      <c r="R444" s="170"/>
      <c r="S444" s="171"/>
      <c r="T444" s="203">
        <f t="shared" si="239"/>
        <v>43647</v>
      </c>
      <c r="U444" s="204">
        <f t="shared" si="240"/>
        <v>43677</v>
      </c>
      <c r="V444" s="207">
        <f t="shared" si="269"/>
        <v>0</v>
      </c>
      <c r="W444" s="206" t="str">
        <f t="shared" si="266"/>
        <v/>
      </c>
      <c r="X444" s="206">
        <f t="shared" si="267"/>
        <v>0</v>
      </c>
      <c r="Y444" s="209">
        <f t="shared" si="268"/>
        <v>0</v>
      </c>
    </row>
    <row r="445" spans="2:25" ht="15.75" hidden="1" thickBot="1" x14ac:dyDescent="0.3">
      <c r="B445" s="60">
        <f>B440</f>
        <v>15</v>
      </c>
      <c r="C445" s="102">
        <v>104</v>
      </c>
      <c r="D445" s="192" t="str">
        <f t="shared" si="249"/>
        <v>II</v>
      </c>
      <c r="E445" s="172"/>
      <c r="F445" s="173"/>
      <c r="G445" s="173"/>
      <c r="H445" s="174"/>
      <c r="I445" s="174"/>
      <c r="J445" s="172"/>
      <c r="K445" s="175"/>
      <c r="L445" s="174"/>
      <c r="M445" s="174"/>
      <c r="N445" s="176"/>
      <c r="O445" s="177"/>
      <c r="P445" s="178"/>
      <c r="Q445" s="179"/>
      <c r="R445" s="180"/>
      <c r="S445" s="181"/>
      <c r="T445" s="203">
        <f t="shared" si="239"/>
        <v>43647</v>
      </c>
      <c r="U445" s="204">
        <f t="shared" si="240"/>
        <v>43677</v>
      </c>
      <c r="V445" s="207">
        <f t="shared" si="269"/>
        <v>0</v>
      </c>
      <c r="W445" s="206" t="str">
        <f t="shared" si="266"/>
        <v/>
      </c>
      <c r="X445" s="206">
        <f t="shared" si="267"/>
        <v>0</v>
      </c>
      <c r="Y445" s="209">
        <f t="shared" si="268"/>
        <v>0</v>
      </c>
    </row>
    <row r="446" spans="2:25" ht="15.75" hidden="1" thickBot="1" x14ac:dyDescent="0.3">
      <c r="B446" s="141">
        <f>B440</f>
        <v>15</v>
      </c>
      <c r="C446" s="142">
        <v>105</v>
      </c>
      <c r="D446" s="194" t="str">
        <f t="shared" si="249"/>
        <v>II</v>
      </c>
      <c r="E446" s="189"/>
      <c r="F446" s="190"/>
      <c r="G446" s="190"/>
      <c r="H446" s="182"/>
      <c r="I446" s="182"/>
      <c r="J446" s="436" t="s">
        <v>181</v>
      </c>
      <c r="K446" s="437"/>
      <c r="L446" s="438"/>
      <c r="M446" s="182"/>
      <c r="N446" s="183"/>
      <c r="O446" s="184"/>
      <c r="P446" s="185"/>
      <c r="Q446" s="186"/>
      <c r="R446" s="187"/>
      <c r="S446" s="188"/>
      <c r="T446" s="213">
        <f t="shared" si="239"/>
        <v>43647</v>
      </c>
      <c r="U446" s="214">
        <f t="shared" si="240"/>
        <v>43677</v>
      </c>
      <c r="V446" s="210">
        <f t="shared" si="269"/>
        <v>0</v>
      </c>
      <c r="W446" s="211"/>
      <c r="X446" s="211">
        <f>IF(AND($V446&gt;0,$I446=1),IF($E446=10,P446/10,P446/$V446),0)</f>
        <v>0</v>
      </c>
      <c r="Y446" s="212">
        <f>IF(AND($V440&gt;0,$I446&lt;&gt;1),Q446/E440*V440,0)</f>
        <v>0</v>
      </c>
    </row>
    <row r="447" spans="2:25" ht="16.5" hidden="1" thickTop="1" thickBot="1" x14ac:dyDescent="0.3">
      <c r="B447" s="129">
        <f>B445+1</f>
        <v>16</v>
      </c>
      <c r="C447" s="130">
        <v>106</v>
      </c>
      <c r="D447" s="196" t="str">
        <f t="shared" si="249"/>
        <v>II</v>
      </c>
      <c r="E447" s="131"/>
      <c r="F447" s="132"/>
      <c r="G447" s="132"/>
      <c r="H447" s="133"/>
      <c r="I447" s="133"/>
      <c r="J447" s="131"/>
      <c r="K447" s="134"/>
      <c r="L447" s="133"/>
      <c r="M447" s="133"/>
      <c r="N447" s="135"/>
      <c r="O447" s="136"/>
      <c r="P447" s="137"/>
      <c r="Q447" s="138"/>
      <c r="R447" s="139"/>
      <c r="S447" s="140"/>
      <c r="T447" s="203">
        <f t="shared" si="239"/>
        <v>43647</v>
      </c>
      <c r="U447" s="204">
        <f t="shared" si="240"/>
        <v>43677</v>
      </c>
      <c r="V447" s="207">
        <f>IF(G447-F447+1-IF(G447-U447&gt;0,G447-U447,0)-IF(T447-F447&gt;0,T447-F447,0)&gt;0,G447-F447+1-IF(G447-U447&gt;0,G447-U447,0)-IF(T447-F447&gt;0,T447-F447,0),0)</f>
        <v>0</v>
      </c>
      <c r="W447" s="206" t="str">
        <f t="shared" ref="W447:W452" si="270">IF(V447&gt;0,H447,"")</f>
        <v/>
      </c>
      <c r="X447" s="206">
        <f t="shared" ref="X447:X452" si="271">IF(AND($V447&gt;0,$I447=1),P447/$E447*$V447,0)</f>
        <v>0</v>
      </c>
      <c r="Y447" s="209">
        <f t="shared" ref="Y447:Y452" si="272">IF(AND($V447&gt;0,$I447&lt;&gt;1),Q447/$E447*$V447,0)</f>
        <v>0</v>
      </c>
    </row>
    <row r="448" spans="2:25" ht="15.75" hidden="1" thickBot="1" x14ac:dyDescent="0.3">
      <c r="B448" s="60">
        <f>B447</f>
        <v>16</v>
      </c>
      <c r="C448" s="102">
        <v>107</v>
      </c>
      <c r="D448" s="192" t="str">
        <f t="shared" si="249"/>
        <v>II</v>
      </c>
      <c r="E448" s="62"/>
      <c r="F448" s="105"/>
      <c r="G448" s="105"/>
      <c r="H448" s="61"/>
      <c r="I448" s="61"/>
      <c r="J448" s="62"/>
      <c r="K448" s="63"/>
      <c r="L448" s="61"/>
      <c r="M448" s="61"/>
      <c r="N448" s="111"/>
      <c r="O448" s="112"/>
      <c r="P448" s="113"/>
      <c r="Q448" s="114"/>
      <c r="R448" s="64"/>
      <c r="S448" s="108"/>
      <c r="T448" s="203">
        <f t="shared" si="239"/>
        <v>43647</v>
      </c>
      <c r="U448" s="204">
        <f t="shared" si="240"/>
        <v>43677</v>
      </c>
      <c r="V448" s="207">
        <f t="shared" ref="V448:V453" si="273">IF(G448-F448+1-IF(G448-U448&gt;0,G448-U448,0)-IF(T448-F448&gt;0,T448-F448,0)&gt;0,G448-F448+1-IF(G448-U448&gt;0,G448-U448,0)-IF(T448-F448&gt;0,T448-F448,0),0)</f>
        <v>0</v>
      </c>
      <c r="W448" s="206" t="str">
        <f t="shared" si="270"/>
        <v/>
      </c>
      <c r="X448" s="206">
        <f t="shared" si="271"/>
        <v>0</v>
      </c>
      <c r="Y448" s="209">
        <f t="shared" si="272"/>
        <v>0</v>
      </c>
    </row>
    <row r="449" spans="2:25" ht="15.75" hidden="1" thickBot="1" x14ac:dyDescent="0.3">
      <c r="B449" s="60">
        <f>B447</f>
        <v>16</v>
      </c>
      <c r="C449" s="102">
        <v>108</v>
      </c>
      <c r="D449" s="192" t="str">
        <f t="shared" si="249"/>
        <v>II</v>
      </c>
      <c r="E449" s="62"/>
      <c r="F449" s="105"/>
      <c r="G449" s="105"/>
      <c r="H449" s="61"/>
      <c r="I449" s="61"/>
      <c r="J449" s="62"/>
      <c r="K449" s="63"/>
      <c r="L449" s="61"/>
      <c r="M449" s="61"/>
      <c r="N449" s="111"/>
      <c r="O449" s="112"/>
      <c r="P449" s="113"/>
      <c r="Q449" s="114"/>
      <c r="R449" s="64"/>
      <c r="S449" s="108"/>
      <c r="T449" s="203">
        <f t="shared" si="239"/>
        <v>43647</v>
      </c>
      <c r="U449" s="204">
        <f t="shared" si="240"/>
        <v>43677</v>
      </c>
      <c r="V449" s="207">
        <f t="shared" si="273"/>
        <v>0</v>
      </c>
      <c r="W449" s="206" t="str">
        <f t="shared" si="270"/>
        <v/>
      </c>
      <c r="X449" s="206">
        <f t="shared" si="271"/>
        <v>0</v>
      </c>
      <c r="Y449" s="209">
        <f t="shared" si="272"/>
        <v>0</v>
      </c>
    </row>
    <row r="450" spans="2:25" ht="15.75" hidden="1" thickBot="1" x14ac:dyDescent="0.3">
      <c r="B450" s="60">
        <f>B447</f>
        <v>16</v>
      </c>
      <c r="C450" s="102">
        <v>109</v>
      </c>
      <c r="D450" s="192" t="str">
        <f t="shared" si="249"/>
        <v>II</v>
      </c>
      <c r="E450" s="62"/>
      <c r="F450" s="105"/>
      <c r="G450" s="105"/>
      <c r="H450" s="61"/>
      <c r="I450" s="61"/>
      <c r="J450" s="62"/>
      <c r="K450" s="63"/>
      <c r="L450" s="61"/>
      <c r="M450" s="61"/>
      <c r="N450" s="111"/>
      <c r="O450" s="112"/>
      <c r="P450" s="113"/>
      <c r="Q450" s="114"/>
      <c r="R450" s="64"/>
      <c r="S450" s="108"/>
      <c r="T450" s="203">
        <f t="shared" si="239"/>
        <v>43647</v>
      </c>
      <c r="U450" s="204">
        <f t="shared" si="240"/>
        <v>43677</v>
      </c>
      <c r="V450" s="207">
        <f t="shared" si="273"/>
        <v>0</v>
      </c>
      <c r="W450" s="206" t="str">
        <f t="shared" si="270"/>
        <v/>
      </c>
      <c r="X450" s="206">
        <f t="shared" si="271"/>
        <v>0</v>
      </c>
      <c r="Y450" s="209">
        <f t="shared" si="272"/>
        <v>0</v>
      </c>
    </row>
    <row r="451" spans="2:25" ht="15.75" hidden="1" thickBot="1" x14ac:dyDescent="0.3">
      <c r="B451" s="60">
        <f>B447</f>
        <v>16</v>
      </c>
      <c r="C451" s="102">
        <v>110</v>
      </c>
      <c r="D451" s="192" t="str">
        <f t="shared" si="249"/>
        <v>II</v>
      </c>
      <c r="E451" s="62"/>
      <c r="F451" s="105"/>
      <c r="G451" s="105"/>
      <c r="H451" s="61"/>
      <c r="I451" s="61"/>
      <c r="J451" s="62"/>
      <c r="K451" s="63"/>
      <c r="L451" s="61"/>
      <c r="M451" s="61"/>
      <c r="N451" s="111"/>
      <c r="O451" s="112"/>
      <c r="P451" s="113"/>
      <c r="Q451" s="114"/>
      <c r="R451" s="64"/>
      <c r="S451" s="108"/>
      <c r="T451" s="203">
        <f t="shared" si="239"/>
        <v>43647</v>
      </c>
      <c r="U451" s="204">
        <f t="shared" si="240"/>
        <v>43677</v>
      </c>
      <c r="V451" s="207">
        <f t="shared" si="273"/>
        <v>0</v>
      </c>
      <c r="W451" s="206" t="str">
        <f t="shared" si="270"/>
        <v/>
      </c>
      <c r="X451" s="206">
        <f t="shared" si="271"/>
        <v>0</v>
      </c>
      <c r="Y451" s="209">
        <f t="shared" si="272"/>
        <v>0</v>
      </c>
    </row>
    <row r="452" spans="2:25" ht="15.75" hidden="1" thickBot="1" x14ac:dyDescent="0.3">
      <c r="B452" s="60">
        <f>B447</f>
        <v>16</v>
      </c>
      <c r="C452" s="102">
        <v>111</v>
      </c>
      <c r="D452" s="192" t="str">
        <f t="shared" si="249"/>
        <v>II</v>
      </c>
      <c r="E452" s="62"/>
      <c r="F452" s="105"/>
      <c r="G452" s="105"/>
      <c r="H452" s="61"/>
      <c r="I452" s="61"/>
      <c r="J452" s="62"/>
      <c r="K452" s="63"/>
      <c r="L452" s="61"/>
      <c r="M452" s="61"/>
      <c r="N452" s="111"/>
      <c r="O452" s="112"/>
      <c r="P452" s="113"/>
      <c r="Q452" s="114"/>
      <c r="R452" s="64"/>
      <c r="S452" s="108"/>
      <c r="T452" s="203">
        <f t="shared" si="239"/>
        <v>43647</v>
      </c>
      <c r="U452" s="204">
        <f t="shared" si="240"/>
        <v>43677</v>
      </c>
      <c r="V452" s="207">
        <f t="shared" si="273"/>
        <v>0</v>
      </c>
      <c r="W452" s="206" t="str">
        <f t="shared" si="270"/>
        <v/>
      </c>
      <c r="X452" s="206">
        <f t="shared" si="271"/>
        <v>0</v>
      </c>
      <c r="Y452" s="209">
        <f t="shared" si="272"/>
        <v>0</v>
      </c>
    </row>
    <row r="453" spans="2:25" ht="15.75" hidden="1" thickBot="1" x14ac:dyDescent="0.3">
      <c r="B453" s="141">
        <f>B447</f>
        <v>16</v>
      </c>
      <c r="C453" s="142">
        <v>112</v>
      </c>
      <c r="D453" s="194" t="str">
        <f t="shared" si="249"/>
        <v>II</v>
      </c>
      <c r="E453" s="143"/>
      <c r="F453" s="144"/>
      <c r="G453" s="144"/>
      <c r="H453" s="145"/>
      <c r="I453" s="145"/>
      <c r="J453" s="436" t="s">
        <v>181</v>
      </c>
      <c r="K453" s="437"/>
      <c r="L453" s="438"/>
      <c r="M453" s="145"/>
      <c r="N453" s="146"/>
      <c r="O453" s="147"/>
      <c r="P453" s="148"/>
      <c r="Q453" s="149"/>
      <c r="R453" s="150"/>
      <c r="S453" s="151"/>
      <c r="T453" s="213">
        <f t="shared" si="239"/>
        <v>43647</v>
      </c>
      <c r="U453" s="214">
        <f t="shared" si="240"/>
        <v>43677</v>
      </c>
      <c r="V453" s="210">
        <f t="shared" si="273"/>
        <v>0</v>
      </c>
      <c r="W453" s="211"/>
      <c r="X453" s="211">
        <f>IF(AND($V453&gt;0,$I453=1),IF($E453=10,P453/10,P453/$V453),0)</f>
        <v>0</v>
      </c>
      <c r="Y453" s="212">
        <f>IF(AND($V447&gt;0,$I453&lt;&gt;1),Q453/E447*V447,0)</f>
        <v>0</v>
      </c>
    </row>
    <row r="454" spans="2:25" ht="16.5" hidden="1" thickTop="1" thickBot="1" x14ac:dyDescent="0.3">
      <c r="B454" s="129">
        <f>B452+1</f>
        <v>17</v>
      </c>
      <c r="C454" s="130">
        <v>113</v>
      </c>
      <c r="D454" s="196" t="str">
        <f t="shared" si="249"/>
        <v>II</v>
      </c>
      <c r="E454" s="152"/>
      <c r="F454" s="153"/>
      <c r="G454" s="153"/>
      <c r="H454" s="154"/>
      <c r="I454" s="154"/>
      <c r="J454" s="152"/>
      <c r="K454" s="155"/>
      <c r="L454" s="154"/>
      <c r="M454" s="154"/>
      <c r="N454" s="156"/>
      <c r="O454" s="157"/>
      <c r="P454" s="158"/>
      <c r="Q454" s="159"/>
      <c r="R454" s="160"/>
      <c r="S454" s="161"/>
      <c r="T454" s="203">
        <f t="shared" si="239"/>
        <v>43647</v>
      </c>
      <c r="U454" s="204">
        <f t="shared" si="240"/>
        <v>43677</v>
      </c>
      <c r="V454" s="207">
        <f>IF(G454-F454+1-IF(G454-U454&gt;0,G454-U454,0)-IF(T454-F454&gt;0,T454-F454,0)&gt;0,G454-F454+1-IF(G454-U454&gt;0,G454-U454,0)-IF(T454-F454&gt;0,T454-F454,0),0)</f>
        <v>0</v>
      </c>
      <c r="W454" s="206" t="str">
        <f t="shared" ref="W454:W459" si="274">IF(V454&gt;0,H454,"")</f>
        <v/>
      </c>
      <c r="X454" s="206">
        <f t="shared" ref="X454:X459" si="275">IF(AND($V454&gt;0,$I454=1),P454/$E454*$V454,0)</f>
        <v>0</v>
      </c>
      <c r="Y454" s="209">
        <f t="shared" ref="Y454:Y459" si="276">IF(AND($V454&gt;0,$I454&lt;&gt;1),Q454/$E454*$V454,0)</f>
        <v>0</v>
      </c>
    </row>
    <row r="455" spans="2:25" ht="15.75" hidden="1" thickBot="1" x14ac:dyDescent="0.3">
      <c r="B455" s="60">
        <f>B454</f>
        <v>17</v>
      </c>
      <c r="C455" s="102">
        <v>114</v>
      </c>
      <c r="D455" s="192" t="str">
        <f t="shared" si="249"/>
        <v>II</v>
      </c>
      <c r="E455" s="162"/>
      <c r="F455" s="163"/>
      <c r="G455" s="163"/>
      <c r="H455" s="164"/>
      <c r="I455" s="164"/>
      <c r="J455" s="162"/>
      <c r="K455" s="165"/>
      <c r="L455" s="164"/>
      <c r="M455" s="164"/>
      <c r="N455" s="166"/>
      <c r="O455" s="167"/>
      <c r="P455" s="168"/>
      <c r="Q455" s="169"/>
      <c r="R455" s="170"/>
      <c r="S455" s="171"/>
      <c r="T455" s="203">
        <f t="shared" si="239"/>
        <v>43647</v>
      </c>
      <c r="U455" s="204">
        <f t="shared" si="240"/>
        <v>43677</v>
      </c>
      <c r="V455" s="207">
        <f t="shared" ref="V455:V460" si="277">IF(G455-F455+1-IF(G455-U455&gt;0,G455-U455,0)-IF(T455-F455&gt;0,T455-F455,0)&gt;0,G455-F455+1-IF(G455-U455&gt;0,G455-U455,0)-IF(T455-F455&gt;0,T455-F455,0),0)</f>
        <v>0</v>
      </c>
      <c r="W455" s="206" t="str">
        <f t="shared" si="274"/>
        <v/>
      </c>
      <c r="X455" s="206">
        <f t="shared" si="275"/>
        <v>0</v>
      </c>
      <c r="Y455" s="209">
        <f t="shared" si="276"/>
        <v>0</v>
      </c>
    </row>
    <row r="456" spans="2:25" ht="15.75" hidden="1" thickBot="1" x14ac:dyDescent="0.3">
      <c r="B456" s="60">
        <f>B454</f>
        <v>17</v>
      </c>
      <c r="C456" s="102">
        <v>115</v>
      </c>
      <c r="D456" s="192" t="str">
        <f t="shared" si="249"/>
        <v>II</v>
      </c>
      <c r="E456" s="162"/>
      <c r="F456" s="163"/>
      <c r="G456" s="163"/>
      <c r="H456" s="164"/>
      <c r="I456" s="164"/>
      <c r="J456" s="162"/>
      <c r="K456" s="165"/>
      <c r="L456" s="164"/>
      <c r="M456" s="164"/>
      <c r="N456" s="166"/>
      <c r="O456" s="167"/>
      <c r="P456" s="168"/>
      <c r="Q456" s="169"/>
      <c r="R456" s="170"/>
      <c r="S456" s="171"/>
      <c r="T456" s="203">
        <f t="shared" si="239"/>
        <v>43647</v>
      </c>
      <c r="U456" s="204">
        <f t="shared" si="240"/>
        <v>43677</v>
      </c>
      <c r="V456" s="207">
        <f t="shared" si="277"/>
        <v>0</v>
      </c>
      <c r="W456" s="206" t="str">
        <f t="shared" si="274"/>
        <v/>
      </c>
      <c r="X456" s="206">
        <f t="shared" si="275"/>
        <v>0</v>
      </c>
      <c r="Y456" s="209">
        <f t="shared" si="276"/>
        <v>0</v>
      </c>
    </row>
    <row r="457" spans="2:25" ht="15.75" hidden="1" thickBot="1" x14ac:dyDescent="0.3">
      <c r="B457" s="60">
        <f>B454</f>
        <v>17</v>
      </c>
      <c r="C457" s="102">
        <v>116</v>
      </c>
      <c r="D457" s="192" t="str">
        <f t="shared" si="249"/>
        <v>II</v>
      </c>
      <c r="E457" s="162"/>
      <c r="F457" s="163"/>
      <c r="G457" s="163"/>
      <c r="H457" s="164"/>
      <c r="I457" s="164"/>
      <c r="J457" s="162"/>
      <c r="K457" s="165"/>
      <c r="L457" s="164"/>
      <c r="M457" s="164"/>
      <c r="N457" s="166"/>
      <c r="O457" s="167"/>
      <c r="P457" s="168"/>
      <c r="Q457" s="169"/>
      <c r="R457" s="170"/>
      <c r="S457" s="171"/>
      <c r="T457" s="203">
        <f t="shared" si="239"/>
        <v>43647</v>
      </c>
      <c r="U457" s="204">
        <f t="shared" si="240"/>
        <v>43677</v>
      </c>
      <c r="V457" s="207">
        <f t="shared" si="277"/>
        <v>0</v>
      </c>
      <c r="W457" s="206" t="str">
        <f t="shared" si="274"/>
        <v/>
      </c>
      <c r="X457" s="206">
        <f t="shared" si="275"/>
        <v>0</v>
      </c>
      <c r="Y457" s="209">
        <f t="shared" si="276"/>
        <v>0</v>
      </c>
    </row>
    <row r="458" spans="2:25" ht="15.75" hidden="1" thickBot="1" x14ac:dyDescent="0.3">
      <c r="B458" s="60">
        <f>B454</f>
        <v>17</v>
      </c>
      <c r="C458" s="102">
        <v>117</v>
      </c>
      <c r="D458" s="192" t="str">
        <f t="shared" si="249"/>
        <v>II</v>
      </c>
      <c r="E458" s="162"/>
      <c r="F458" s="163"/>
      <c r="G458" s="163"/>
      <c r="H458" s="164"/>
      <c r="I458" s="164"/>
      <c r="J458" s="162"/>
      <c r="K458" s="165"/>
      <c r="L458" s="164"/>
      <c r="M458" s="164"/>
      <c r="N458" s="166"/>
      <c r="O458" s="167"/>
      <c r="P458" s="168"/>
      <c r="Q458" s="169"/>
      <c r="R458" s="170"/>
      <c r="S458" s="171"/>
      <c r="T458" s="203">
        <f t="shared" si="239"/>
        <v>43647</v>
      </c>
      <c r="U458" s="204">
        <f t="shared" si="240"/>
        <v>43677</v>
      </c>
      <c r="V458" s="207">
        <f t="shared" si="277"/>
        <v>0</v>
      </c>
      <c r="W458" s="206" t="str">
        <f t="shared" si="274"/>
        <v/>
      </c>
      <c r="X458" s="206">
        <f t="shared" si="275"/>
        <v>0</v>
      </c>
      <c r="Y458" s="209">
        <f t="shared" si="276"/>
        <v>0</v>
      </c>
    </row>
    <row r="459" spans="2:25" ht="15.75" hidden="1" thickBot="1" x14ac:dyDescent="0.3">
      <c r="B459" s="60">
        <f>B454</f>
        <v>17</v>
      </c>
      <c r="C459" s="102">
        <v>118</v>
      </c>
      <c r="D459" s="192" t="str">
        <f t="shared" si="249"/>
        <v>II</v>
      </c>
      <c r="E459" s="172"/>
      <c r="F459" s="173"/>
      <c r="G459" s="173"/>
      <c r="H459" s="174"/>
      <c r="I459" s="174"/>
      <c r="J459" s="172"/>
      <c r="K459" s="175"/>
      <c r="L459" s="174"/>
      <c r="M459" s="174"/>
      <c r="N459" s="176"/>
      <c r="O459" s="177"/>
      <c r="P459" s="178"/>
      <c r="Q459" s="179"/>
      <c r="R459" s="180"/>
      <c r="S459" s="181"/>
      <c r="T459" s="203">
        <f t="shared" si="239"/>
        <v>43647</v>
      </c>
      <c r="U459" s="204">
        <f t="shared" si="240"/>
        <v>43677</v>
      </c>
      <c r="V459" s="207">
        <f t="shared" si="277"/>
        <v>0</v>
      </c>
      <c r="W459" s="206" t="str">
        <f t="shared" si="274"/>
        <v/>
      </c>
      <c r="X459" s="206">
        <f t="shared" si="275"/>
        <v>0</v>
      </c>
      <c r="Y459" s="209">
        <f t="shared" si="276"/>
        <v>0</v>
      </c>
    </row>
    <row r="460" spans="2:25" ht="15.75" hidden="1" thickBot="1" x14ac:dyDescent="0.3">
      <c r="B460" s="141">
        <f>B454</f>
        <v>17</v>
      </c>
      <c r="C460" s="142">
        <v>119</v>
      </c>
      <c r="D460" s="194" t="str">
        <f t="shared" si="249"/>
        <v>II</v>
      </c>
      <c r="E460" s="189"/>
      <c r="F460" s="190"/>
      <c r="G460" s="190"/>
      <c r="H460" s="182"/>
      <c r="I460" s="182"/>
      <c r="J460" s="436" t="s">
        <v>181</v>
      </c>
      <c r="K460" s="437"/>
      <c r="L460" s="438"/>
      <c r="M460" s="182"/>
      <c r="N460" s="183"/>
      <c r="O460" s="184"/>
      <c r="P460" s="185"/>
      <c r="Q460" s="186"/>
      <c r="R460" s="187"/>
      <c r="S460" s="188"/>
      <c r="T460" s="213">
        <f t="shared" si="239"/>
        <v>43647</v>
      </c>
      <c r="U460" s="214">
        <f t="shared" si="240"/>
        <v>43677</v>
      </c>
      <c r="V460" s="210">
        <f t="shared" si="277"/>
        <v>0</v>
      </c>
      <c r="W460" s="211"/>
      <c r="X460" s="211">
        <f>IF(AND($V460&gt;0,$I460=1),IF($E460=10,P460/10,P460/$V460),0)</f>
        <v>0</v>
      </c>
      <c r="Y460" s="212">
        <f>IF(AND($V454&gt;0,$I460&lt;&gt;1),Q460/E454*V454,0)</f>
        <v>0</v>
      </c>
    </row>
    <row r="461" spans="2:25" ht="16.5" hidden="1" thickTop="1" thickBot="1" x14ac:dyDescent="0.3">
      <c r="B461" s="129">
        <f>B459+1</f>
        <v>18</v>
      </c>
      <c r="C461" s="130">
        <v>120</v>
      </c>
      <c r="D461" s="196" t="str">
        <f t="shared" si="249"/>
        <v>II</v>
      </c>
      <c r="E461" s="131"/>
      <c r="F461" s="132"/>
      <c r="G461" s="132"/>
      <c r="H461" s="133"/>
      <c r="I461" s="133"/>
      <c r="J461" s="131"/>
      <c r="K461" s="134"/>
      <c r="L461" s="133"/>
      <c r="M461" s="133"/>
      <c r="N461" s="135"/>
      <c r="O461" s="136"/>
      <c r="P461" s="137"/>
      <c r="Q461" s="138"/>
      <c r="R461" s="139"/>
      <c r="S461" s="140"/>
      <c r="T461" s="203">
        <f t="shared" ref="T461:T524" si="278">$F$4</f>
        <v>43647</v>
      </c>
      <c r="U461" s="204">
        <f t="shared" ref="U461:U524" si="279">$G$4</f>
        <v>43677</v>
      </c>
      <c r="V461" s="207">
        <f>IF(G461-F461+1-IF(G461-U461&gt;0,G461-U461,0)-IF(T461-F461&gt;0,T461-F461,0)&gt;0,G461-F461+1-IF(G461-U461&gt;0,G461-U461,0)-IF(T461-F461&gt;0,T461-F461,0),0)</f>
        <v>0</v>
      </c>
      <c r="W461" s="206" t="str">
        <f t="shared" ref="W461:W466" si="280">IF(V461&gt;0,H461,"")</f>
        <v/>
      </c>
      <c r="X461" s="206">
        <f t="shared" ref="X461:X466" si="281">IF(AND($V461&gt;0,$I461=1),P461/$E461*$V461,0)</f>
        <v>0</v>
      </c>
      <c r="Y461" s="209">
        <f t="shared" ref="Y461:Y466" si="282">IF(AND($V461&gt;0,$I461&lt;&gt;1),Q461/$E461*$V461,0)</f>
        <v>0</v>
      </c>
    </row>
    <row r="462" spans="2:25" ht="15.75" hidden="1" thickBot="1" x14ac:dyDescent="0.3">
      <c r="B462" s="60">
        <f>B461</f>
        <v>18</v>
      </c>
      <c r="C462" s="102">
        <v>121</v>
      </c>
      <c r="D462" s="192" t="str">
        <f t="shared" si="249"/>
        <v>II</v>
      </c>
      <c r="E462" s="62"/>
      <c r="F462" s="105"/>
      <c r="G462" s="105"/>
      <c r="H462" s="61"/>
      <c r="I462" s="61"/>
      <c r="J462" s="62"/>
      <c r="K462" s="63"/>
      <c r="L462" s="61"/>
      <c r="M462" s="61"/>
      <c r="N462" s="111"/>
      <c r="O462" s="112"/>
      <c r="P462" s="113"/>
      <c r="Q462" s="114"/>
      <c r="R462" s="64"/>
      <c r="S462" s="108"/>
      <c r="T462" s="203">
        <f t="shared" si="278"/>
        <v>43647</v>
      </c>
      <c r="U462" s="204">
        <f t="shared" si="279"/>
        <v>43677</v>
      </c>
      <c r="V462" s="207">
        <f t="shared" ref="V462:V467" si="283">IF(G462-F462+1-IF(G462-U462&gt;0,G462-U462,0)-IF(T462-F462&gt;0,T462-F462,0)&gt;0,G462-F462+1-IF(G462-U462&gt;0,G462-U462,0)-IF(T462-F462&gt;0,T462-F462,0),0)</f>
        <v>0</v>
      </c>
      <c r="W462" s="206" t="str">
        <f t="shared" si="280"/>
        <v/>
      </c>
      <c r="X462" s="206">
        <f t="shared" si="281"/>
        <v>0</v>
      </c>
      <c r="Y462" s="209">
        <f t="shared" si="282"/>
        <v>0</v>
      </c>
    </row>
    <row r="463" spans="2:25" ht="15.75" hidden="1" thickBot="1" x14ac:dyDescent="0.3">
      <c r="B463" s="60">
        <f>B461</f>
        <v>18</v>
      </c>
      <c r="C463" s="102">
        <v>122</v>
      </c>
      <c r="D463" s="192" t="str">
        <f t="shared" si="249"/>
        <v>II</v>
      </c>
      <c r="E463" s="62"/>
      <c r="F463" s="105"/>
      <c r="G463" s="105"/>
      <c r="H463" s="61"/>
      <c r="I463" s="61"/>
      <c r="J463" s="62"/>
      <c r="K463" s="63"/>
      <c r="L463" s="61"/>
      <c r="M463" s="61"/>
      <c r="N463" s="111"/>
      <c r="O463" s="112"/>
      <c r="P463" s="113"/>
      <c r="Q463" s="114"/>
      <c r="R463" s="64"/>
      <c r="S463" s="108"/>
      <c r="T463" s="203">
        <f t="shared" si="278"/>
        <v>43647</v>
      </c>
      <c r="U463" s="204">
        <f t="shared" si="279"/>
        <v>43677</v>
      </c>
      <c r="V463" s="207">
        <f t="shared" si="283"/>
        <v>0</v>
      </c>
      <c r="W463" s="206" t="str">
        <f t="shared" si="280"/>
        <v/>
      </c>
      <c r="X463" s="206">
        <f t="shared" si="281"/>
        <v>0</v>
      </c>
      <c r="Y463" s="209">
        <f t="shared" si="282"/>
        <v>0</v>
      </c>
    </row>
    <row r="464" spans="2:25" ht="15.75" hidden="1" thickBot="1" x14ac:dyDescent="0.3">
      <c r="B464" s="60">
        <f>B461</f>
        <v>18</v>
      </c>
      <c r="C464" s="102">
        <v>123</v>
      </c>
      <c r="D464" s="192" t="str">
        <f t="shared" si="249"/>
        <v>II</v>
      </c>
      <c r="E464" s="62"/>
      <c r="F464" s="105"/>
      <c r="G464" s="105"/>
      <c r="H464" s="61"/>
      <c r="I464" s="61"/>
      <c r="J464" s="62"/>
      <c r="K464" s="63"/>
      <c r="L464" s="61"/>
      <c r="M464" s="61"/>
      <c r="N464" s="111"/>
      <c r="O464" s="112"/>
      <c r="P464" s="113"/>
      <c r="Q464" s="114"/>
      <c r="R464" s="64"/>
      <c r="S464" s="108"/>
      <c r="T464" s="203">
        <f t="shared" si="278"/>
        <v>43647</v>
      </c>
      <c r="U464" s="204">
        <f t="shared" si="279"/>
        <v>43677</v>
      </c>
      <c r="V464" s="207">
        <f t="shared" si="283"/>
        <v>0</v>
      </c>
      <c r="W464" s="206" t="str">
        <f t="shared" si="280"/>
        <v/>
      </c>
      <c r="X464" s="206">
        <f t="shared" si="281"/>
        <v>0</v>
      </c>
      <c r="Y464" s="209">
        <f t="shared" si="282"/>
        <v>0</v>
      </c>
    </row>
    <row r="465" spans="2:25" ht="15.75" hidden="1" thickBot="1" x14ac:dyDescent="0.3">
      <c r="B465" s="60">
        <f>B461</f>
        <v>18</v>
      </c>
      <c r="C465" s="102">
        <v>124</v>
      </c>
      <c r="D465" s="192" t="str">
        <f t="shared" si="249"/>
        <v>II</v>
      </c>
      <c r="E465" s="62"/>
      <c r="F465" s="105"/>
      <c r="G465" s="105"/>
      <c r="H465" s="61"/>
      <c r="I465" s="61"/>
      <c r="J465" s="62"/>
      <c r="K465" s="63"/>
      <c r="L465" s="61"/>
      <c r="M465" s="61"/>
      <c r="N465" s="111"/>
      <c r="O465" s="112"/>
      <c r="P465" s="113"/>
      <c r="Q465" s="114"/>
      <c r="R465" s="64"/>
      <c r="S465" s="108"/>
      <c r="T465" s="203">
        <f t="shared" si="278"/>
        <v>43647</v>
      </c>
      <c r="U465" s="204">
        <f t="shared" si="279"/>
        <v>43677</v>
      </c>
      <c r="V465" s="207">
        <f t="shared" si="283"/>
        <v>0</v>
      </c>
      <c r="W465" s="206" t="str">
        <f t="shared" si="280"/>
        <v/>
      </c>
      <c r="X465" s="206">
        <f t="shared" si="281"/>
        <v>0</v>
      </c>
      <c r="Y465" s="209">
        <f t="shared" si="282"/>
        <v>0</v>
      </c>
    </row>
    <row r="466" spans="2:25" ht="15.75" hidden="1" thickBot="1" x14ac:dyDescent="0.3">
      <c r="B466" s="60">
        <f>B461</f>
        <v>18</v>
      </c>
      <c r="C466" s="102">
        <v>125</v>
      </c>
      <c r="D466" s="192" t="str">
        <f t="shared" si="249"/>
        <v>II</v>
      </c>
      <c r="E466" s="62"/>
      <c r="F466" s="105"/>
      <c r="G466" s="105"/>
      <c r="H466" s="61"/>
      <c r="I466" s="61"/>
      <c r="J466" s="62"/>
      <c r="K466" s="63"/>
      <c r="L466" s="61"/>
      <c r="M466" s="61"/>
      <c r="N466" s="111"/>
      <c r="O466" s="112"/>
      <c r="P466" s="113"/>
      <c r="Q466" s="114"/>
      <c r="R466" s="64"/>
      <c r="S466" s="108"/>
      <c r="T466" s="203">
        <f t="shared" si="278"/>
        <v>43647</v>
      </c>
      <c r="U466" s="204">
        <f t="shared" si="279"/>
        <v>43677</v>
      </c>
      <c r="V466" s="207">
        <f t="shared" si="283"/>
        <v>0</v>
      </c>
      <c r="W466" s="206" t="str">
        <f t="shared" si="280"/>
        <v/>
      </c>
      <c r="X466" s="206">
        <f t="shared" si="281"/>
        <v>0</v>
      </c>
      <c r="Y466" s="209">
        <f t="shared" si="282"/>
        <v>0</v>
      </c>
    </row>
    <row r="467" spans="2:25" ht="15.75" hidden="1" thickBot="1" x14ac:dyDescent="0.3">
      <c r="B467" s="141">
        <f>B461</f>
        <v>18</v>
      </c>
      <c r="C467" s="142">
        <v>126</v>
      </c>
      <c r="D467" s="194" t="str">
        <f t="shared" si="249"/>
        <v>II</v>
      </c>
      <c r="E467" s="143"/>
      <c r="F467" s="144"/>
      <c r="G467" s="144"/>
      <c r="H467" s="145"/>
      <c r="I467" s="145"/>
      <c r="J467" s="436" t="s">
        <v>181</v>
      </c>
      <c r="K467" s="437"/>
      <c r="L467" s="438"/>
      <c r="M467" s="145"/>
      <c r="N467" s="146"/>
      <c r="O467" s="147"/>
      <c r="P467" s="148"/>
      <c r="Q467" s="149"/>
      <c r="R467" s="150"/>
      <c r="S467" s="151"/>
      <c r="T467" s="213">
        <f t="shared" si="278"/>
        <v>43647</v>
      </c>
      <c r="U467" s="214">
        <f t="shared" si="279"/>
        <v>43677</v>
      </c>
      <c r="V467" s="210">
        <f t="shared" si="283"/>
        <v>0</v>
      </c>
      <c r="W467" s="211"/>
      <c r="X467" s="211">
        <f>IF(AND($V467&gt;0,$I467=1),IF($E467=10,P467/10,P467/$V467),0)</f>
        <v>0</v>
      </c>
      <c r="Y467" s="212">
        <f>IF(AND($V461&gt;0,$I467&lt;&gt;1),Q467/E461*V461,0)</f>
        <v>0</v>
      </c>
    </row>
    <row r="468" spans="2:25" ht="16.5" hidden="1" thickTop="1" thickBot="1" x14ac:dyDescent="0.3">
      <c r="B468" s="129">
        <f>B466+1</f>
        <v>19</v>
      </c>
      <c r="C468" s="130">
        <v>127</v>
      </c>
      <c r="D468" s="196" t="str">
        <f t="shared" si="249"/>
        <v>II</v>
      </c>
      <c r="E468" s="152"/>
      <c r="F468" s="153"/>
      <c r="G468" s="153"/>
      <c r="H468" s="154"/>
      <c r="I468" s="154"/>
      <c r="J468" s="152"/>
      <c r="K468" s="155"/>
      <c r="L468" s="154"/>
      <c r="M468" s="154"/>
      <c r="N468" s="156"/>
      <c r="O468" s="157"/>
      <c r="P468" s="158"/>
      <c r="Q468" s="159"/>
      <c r="R468" s="160"/>
      <c r="S468" s="161"/>
      <c r="T468" s="203">
        <f t="shared" si="278"/>
        <v>43647</v>
      </c>
      <c r="U468" s="204">
        <f t="shared" si="279"/>
        <v>43677</v>
      </c>
      <c r="V468" s="207">
        <f>IF(G468-F468+1-IF(G468-U468&gt;0,G468-U468,0)-IF(T468-F468&gt;0,T468-F468,0)&gt;0,G468-F468+1-IF(G468-U468&gt;0,G468-U468,0)-IF(T468-F468&gt;0,T468-F468,0),0)</f>
        <v>0</v>
      </c>
      <c r="W468" s="206" t="str">
        <f t="shared" ref="W468:W473" si="284">IF(V468&gt;0,H468,"")</f>
        <v/>
      </c>
      <c r="X468" s="206">
        <f t="shared" ref="X468:X473" si="285">IF(AND($V468&gt;0,$I468=1),P468/$E468*$V468,0)</f>
        <v>0</v>
      </c>
      <c r="Y468" s="209">
        <f t="shared" ref="Y468:Y473" si="286">IF(AND($V468&gt;0,$I468&lt;&gt;1),Q468/$E468*$V468,0)</f>
        <v>0</v>
      </c>
    </row>
    <row r="469" spans="2:25" ht="15.75" hidden="1" thickBot="1" x14ac:dyDescent="0.3">
      <c r="B469" s="60">
        <f>B468</f>
        <v>19</v>
      </c>
      <c r="C469" s="102">
        <v>128</v>
      </c>
      <c r="D469" s="192" t="str">
        <f t="shared" si="249"/>
        <v>II</v>
      </c>
      <c r="E469" s="162"/>
      <c r="F469" s="163"/>
      <c r="G469" s="163"/>
      <c r="H469" s="164"/>
      <c r="I469" s="164"/>
      <c r="J469" s="162"/>
      <c r="K469" s="165"/>
      <c r="L469" s="164"/>
      <c r="M469" s="164"/>
      <c r="N469" s="166"/>
      <c r="O469" s="167"/>
      <c r="P469" s="168"/>
      <c r="Q469" s="169"/>
      <c r="R469" s="170"/>
      <c r="S469" s="171"/>
      <c r="T469" s="203">
        <f t="shared" si="278"/>
        <v>43647</v>
      </c>
      <c r="U469" s="204">
        <f t="shared" si="279"/>
        <v>43677</v>
      </c>
      <c r="V469" s="207">
        <f t="shared" ref="V469:V474" si="287">IF(G469-F469+1-IF(G469-U469&gt;0,G469-U469,0)-IF(T469-F469&gt;0,T469-F469,0)&gt;0,G469-F469+1-IF(G469-U469&gt;0,G469-U469,0)-IF(T469-F469&gt;0,T469-F469,0),0)</f>
        <v>0</v>
      </c>
      <c r="W469" s="206" t="str">
        <f t="shared" si="284"/>
        <v/>
      </c>
      <c r="X469" s="206">
        <f t="shared" si="285"/>
        <v>0</v>
      </c>
      <c r="Y469" s="209">
        <f t="shared" si="286"/>
        <v>0</v>
      </c>
    </row>
    <row r="470" spans="2:25" ht="15.75" hidden="1" thickBot="1" x14ac:dyDescent="0.3">
      <c r="B470" s="60">
        <f>B468</f>
        <v>19</v>
      </c>
      <c r="C470" s="102">
        <v>129</v>
      </c>
      <c r="D470" s="192" t="str">
        <f t="shared" si="249"/>
        <v>II</v>
      </c>
      <c r="E470" s="162"/>
      <c r="F470" s="163"/>
      <c r="G470" s="163"/>
      <c r="H470" s="164"/>
      <c r="I470" s="164"/>
      <c r="J470" s="162"/>
      <c r="K470" s="165"/>
      <c r="L470" s="164"/>
      <c r="M470" s="164"/>
      <c r="N470" s="166"/>
      <c r="O470" s="167"/>
      <c r="P470" s="168"/>
      <c r="Q470" s="169"/>
      <c r="R470" s="170"/>
      <c r="S470" s="171"/>
      <c r="T470" s="203">
        <f t="shared" si="278"/>
        <v>43647</v>
      </c>
      <c r="U470" s="204">
        <f t="shared" si="279"/>
        <v>43677</v>
      </c>
      <c r="V470" s="207">
        <f t="shared" si="287"/>
        <v>0</v>
      </c>
      <c r="W470" s="206" t="str">
        <f t="shared" si="284"/>
        <v/>
      </c>
      <c r="X470" s="206">
        <f t="shared" si="285"/>
        <v>0</v>
      </c>
      <c r="Y470" s="209">
        <f t="shared" si="286"/>
        <v>0</v>
      </c>
    </row>
    <row r="471" spans="2:25" ht="15.75" hidden="1" thickBot="1" x14ac:dyDescent="0.3">
      <c r="B471" s="60">
        <f>B468</f>
        <v>19</v>
      </c>
      <c r="C471" s="102">
        <v>130</v>
      </c>
      <c r="D471" s="192" t="str">
        <f t="shared" si="249"/>
        <v>II</v>
      </c>
      <c r="E471" s="162"/>
      <c r="F471" s="163"/>
      <c r="G471" s="163"/>
      <c r="H471" s="164"/>
      <c r="I471" s="164"/>
      <c r="J471" s="162"/>
      <c r="K471" s="165"/>
      <c r="L471" s="164"/>
      <c r="M471" s="164"/>
      <c r="N471" s="166"/>
      <c r="O471" s="167"/>
      <c r="P471" s="168"/>
      <c r="Q471" s="169"/>
      <c r="R471" s="170"/>
      <c r="S471" s="171"/>
      <c r="T471" s="203">
        <f t="shared" si="278"/>
        <v>43647</v>
      </c>
      <c r="U471" s="204">
        <f t="shared" si="279"/>
        <v>43677</v>
      </c>
      <c r="V471" s="207">
        <f t="shared" si="287"/>
        <v>0</v>
      </c>
      <c r="W471" s="206" t="str">
        <f t="shared" si="284"/>
        <v/>
      </c>
      <c r="X471" s="206">
        <f t="shared" si="285"/>
        <v>0</v>
      </c>
      <c r="Y471" s="209">
        <f t="shared" si="286"/>
        <v>0</v>
      </c>
    </row>
    <row r="472" spans="2:25" ht="15.75" hidden="1" thickBot="1" x14ac:dyDescent="0.3">
      <c r="B472" s="60">
        <f>B468</f>
        <v>19</v>
      </c>
      <c r="C472" s="102">
        <v>131</v>
      </c>
      <c r="D472" s="192" t="str">
        <f t="shared" ref="D472:D535" si="288">D471</f>
        <v>II</v>
      </c>
      <c r="E472" s="162"/>
      <c r="F472" s="163"/>
      <c r="G472" s="163"/>
      <c r="H472" s="164"/>
      <c r="I472" s="164"/>
      <c r="J472" s="162"/>
      <c r="K472" s="165"/>
      <c r="L472" s="164"/>
      <c r="M472" s="164"/>
      <c r="N472" s="166"/>
      <c r="O472" s="167"/>
      <c r="P472" s="168"/>
      <c r="Q472" s="169"/>
      <c r="R472" s="170"/>
      <c r="S472" s="171"/>
      <c r="T472" s="203">
        <f t="shared" si="278"/>
        <v>43647</v>
      </c>
      <c r="U472" s="204">
        <f t="shared" si="279"/>
        <v>43677</v>
      </c>
      <c r="V472" s="207">
        <f t="shared" si="287"/>
        <v>0</v>
      </c>
      <c r="W472" s="206" t="str">
        <f t="shared" si="284"/>
        <v/>
      </c>
      <c r="X472" s="206">
        <f t="shared" si="285"/>
        <v>0</v>
      </c>
      <c r="Y472" s="209">
        <f t="shared" si="286"/>
        <v>0</v>
      </c>
    </row>
    <row r="473" spans="2:25" ht="15.75" hidden="1" thickBot="1" x14ac:dyDescent="0.3">
      <c r="B473" s="60">
        <f>B468</f>
        <v>19</v>
      </c>
      <c r="C473" s="102">
        <v>132</v>
      </c>
      <c r="D473" s="192" t="str">
        <f t="shared" si="288"/>
        <v>II</v>
      </c>
      <c r="E473" s="172"/>
      <c r="F473" s="173"/>
      <c r="G473" s="173"/>
      <c r="H473" s="174"/>
      <c r="I473" s="174"/>
      <c r="J473" s="172"/>
      <c r="K473" s="175"/>
      <c r="L473" s="174"/>
      <c r="M473" s="174"/>
      <c r="N473" s="176"/>
      <c r="O473" s="177"/>
      <c r="P473" s="178"/>
      <c r="Q473" s="179"/>
      <c r="R473" s="180"/>
      <c r="S473" s="181"/>
      <c r="T473" s="203">
        <f t="shared" si="278"/>
        <v>43647</v>
      </c>
      <c r="U473" s="204">
        <f t="shared" si="279"/>
        <v>43677</v>
      </c>
      <c r="V473" s="207">
        <f t="shared" si="287"/>
        <v>0</v>
      </c>
      <c r="W473" s="206" t="str">
        <f t="shared" si="284"/>
        <v/>
      </c>
      <c r="X473" s="206">
        <f t="shared" si="285"/>
        <v>0</v>
      </c>
      <c r="Y473" s="209">
        <f t="shared" si="286"/>
        <v>0</v>
      </c>
    </row>
    <row r="474" spans="2:25" ht="15.75" hidden="1" thickBot="1" x14ac:dyDescent="0.3">
      <c r="B474" s="141">
        <f>B468</f>
        <v>19</v>
      </c>
      <c r="C474" s="142">
        <v>133</v>
      </c>
      <c r="D474" s="194" t="str">
        <f t="shared" si="288"/>
        <v>II</v>
      </c>
      <c r="E474" s="189"/>
      <c r="F474" s="190"/>
      <c r="G474" s="190"/>
      <c r="H474" s="182"/>
      <c r="I474" s="182"/>
      <c r="J474" s="436" t="s">
        <v>181</v>
      </c>
      <c r="K474" s="437"/>
      <c r="L474" s="438"/>
      <c r="M474" s="182"/>
      <c r="N474" s="183"/>
      <c r="O474" s="184"/>
      <c r="P474" s="185"/>
      <c r="Q474" s="186"/>
      <c r="R474" s="187"/>
      <c r="S474" s="188"/>
      <c r="T474" s="213">
        <f t="shared" si="278"/>
        <v>43647</v>
      </c>
      <c r="U474" s="214">
        <f t="shared" si="279"/>
        <v>43677</v>
      </c>
      <c r="V474" s="210">
        <f t="shared" si="287"/>
        <v>0</v>
      </c>
      <c r="W474" s="211"/>
      <c r="X474" s="211">
        <f>IF(AND($V474&gt;0,$I474=1),IF($E474=10,P474/10,P474/$V474),0)</f>
        <v>0</v>
      </c>
      <c r="Y474" s="212">
        <f>IF(AND($V468&gt;0,$I474&lt;&gt;1),Q474/E468*V468,0)</f>
        <v>0</v>
      </c>
    </row>
    <row r="475" spans="2:25" ht="16.5" hidden="1" thickTop="1" thickBot="1" x14ac:dyDescent="0.3">
      <c r="B475" s="129">
        <f>B473+1</f>
        <v>20</v>
      </c>
      <c r="C475" s="130">
        <v>134</v>
      </c>
      <c r="D475" s="196" t="str">
        <f t="shared" si="288"/>
        <v>II</v>
      </c>
      <c r="E475" s="131"/>
      <c r="F475" s="132"/>
      <c r="G475" s="132"/>
      <c r="H475" s="133"/>
      <c r="I475" s="133"/>
      <c r="J475" s="131"/>
      <c r="K475" s="134"/>
      <c r="L475" s="133"/>
      <c r="M475" s="133"/>
      <c r="N475" s="135"/>
      <c r="O475" s="136"/>
      <c r="P475" s="137"/>
      <c r="Q475" s="138"/>
      <c r="R475" s="139"/>
      <c r="S475" s="140"/>
      <c r="T475" s="203">
        <f t="shared" si="278"/>
        <v>43647</v>
      </c>
      <c r="U475" s="204">
        <f t="shared" si="279"/>
        <v>43677</v>
      </c>
      <c r="V475" s="207">
        <f>IF(G475-F475+1-IF(G475-U475&gt;0,G475-U475,0)-IF(T475-F475&gt;0,T475-F475,0)&gt;0,G475-F475+1-IF(G475-U475&gt;0,G475-U475,0)-IF(T475-F475&gt;0,T475-F475,0),0)</f>
        <v>0</v>
      </c>
      <c r="W475" s="206" t="str">
        <f t="shared" ref="W475:W480" si="289">IF(V475&gt;0,H475,"")</f>
        <v/>
      </c>
      <c r="X475" s="206">
        <f t="shared" ref="X475:X480" si="290">IF(AND($V475&gt;0,$I475=1),P475/$E475*$V475,0)</f>
        <v>0</v>
      </c>
      <c r="Y475" s="209">
        <f t="shared" ref="Y475:Y480" si="291">IF(AND($V475&gt;0,$I475&lt;&gt;1),Q475/$E475*$V475,0)</f>
        <v>0</v>
      </c>
    </row>
    <row r="476" spans="2:25" ht="15.75" hidden="1" thickBot="1" x14ac:dyDescent="0.3">
      <c r="B476" s="60">
        <f>B475</f>
        <v>20</v>
      </c>
      <c r="C476" s="102">
        <v>135</v>
      </c>
      <c r="D476" s="192" t="str">
        <f t="shared" si="288"/>
        <v>II</v>
      </c>
      <c r="E476" s="62"/>
      <c r="F476" s="105"/>
      <c r="G476" s="105"/>
      <c r="H476" s="61"/>
      <c r="I476" s="61"/>
      <c r="J476" s="62"/>
      <c r="K476" s="63"/>
      <c r="L476" s="61"/>
      <c r="M476" s="61"/>
      <c r="N476" s="111"/>
      <c r="O476" s="112"/>
      <c r="P476" s="113"/>
      <c r="Q476" s="114"/>
      <c r="R476" s="64"/>
      <c r="S476" s="108"/>
      <c r="T476" s="203">
        <f t="shared" si="278"/>
        <v>43647</v>
      </c>
      <c r="U476" s="204">
        <f t="shared" si="279"/>
        <v>43677</v>
      </c>
      <c r="V476" s="207">
        <f t="shared" ref="V476:V481" si="292">IF(G476-F476+1-IF(G476-U476&gt;0,G476-U476,0)-IF(T476-F476&gt;0,T476-F476,0)&gt;0,G476-F476+1-IF(G476-U476&gt;0,G476-U476,0)-IF(T476-F476&gt;0,T476-F476,0),0)</f>
        <v>0</v>
      </c>
      <c r="W476" s="206" t="str">
        <f t="shared" si="289"/>
        <v/>
      </c>
      <c r="X476" s="206">
        <f t="shared" si="290"/>
        <v>0</v>
      </c>
      <c r="Y476" s="209">
        <f t="shared" si="291"/>
        <v>0</v>
      </c>
    </row>
    <row r="477" spans="2:25" ht="15.75" hidden="1" thickBot="1" x14ac:dyDescent="0.3">
      <c r="B477" s="60">
        <f>B475</f>
        <v>20</v>
      </c>
      <c r="C477" s="102">
        <v>136</v>
      </c>
      <c r="D477" s="192" t="str">
        <f t="shared" si="288"/>
        <v>II</v>
      </c>
      <c r="E477" s="62"/>
      <c r="F477" s="105"/>
      <c r="G477" s="105"/>
      <c r="H477" s="61"/>
      <c r="I477" s="61"/>
      <c r="J477" s="62"/>
      <c r="K477" s="63"/>
      <c r="L477" s="61"/>
      <c r="M477" s="61"/>
      <c r="N477" s="111"/>
      <c r="O477" s="112"/>
      <c r="P477" s="113"/>
      <c r="Q477" s="114"/>
      <c r="R477" s="64"/>
      <c r="S477" s="108"/>
      <c r="T477" s="203">
        <f t="shared" si="278"/>
        <v>43647</v>
      </c>
      <c r="U477" s="204">
        <f t="shared" si="279"/>
        <v>43677</v>
      </c>
      <c r="V477" s="207">
        <f t="shared" si="292"/>
        <v>0</v>
      </c>
      <c r="W477" s="206" t="str">
        <f t="shared" si="289"/>
        <v/>
      </c>
      <c r="X477" s="206">
        <f t="shared" si="290"/>
        <v>0</v>
      </c>
      <c r="Y477" s="209">
        <f t="shared" si="291"/>
        <v>0</v>
      </c>
    </row>
    <row r="478" spans="2:25" ht="15.75" hidden="1" thickBot="1" x14ac:dyDescent="0.3">
      <c r="B478" s="60">
        <f>B475</f>
        <v>20</v>
      </c>
      <c r="C478" s="102">
        <v>137</v>
      </c>
      <c r="D478" s="192" t="str">
        <f t="shared" si="288"/>
        <v>II</v>
      </c>
      <c r="E478" s="62"/>
      <c r="F478" s="105"/>
      <c r="G478" s="105"/>
      <c r="H478" s="61"/>
      <c r="I478" s="61"/>
      <c r="J478" s="62"/>
      <c r="K478" s="63"/>
      <c r="L478" s="61"/>
      <c r="M478" s="61"/>
      <c r="N478" s="111"/>
      <c r="O478" s="112"/>
      <c r="P478" s="113"/>
      <c r="Q478" s="114"/>
      <c r="R478" s="64"/>
      <c r="S478" s="108"/>
      <c r="T478" s="203">
        <f t="shared" si="278"/>
        <v>43647</v>
      </c>
      <c r="U478" s="204">
        <f t="shared" si="279"/>
        <v>43677</v>
      </c>
      <c r="V478" s="207">
        <f t="shared" si="292"/>
        <v>0</v>
      </c>
      <c r="W478" s="206" t="str">
        <f t="shared" si="289"/>
        <v/>
      </c>
      <c r="X478" s="206">
        <f t="shared" si="290"/>
        <v>0</v>
      </c>
      <c r="Y478" s="209">
        <f t="shared" si="291"/>
        <v>0</v>
      </c>
    </row>
    <row r="479" spans="2:25" ht="15.75" hidden="1" thickBot="1" x14ac:dyDescent="0.3">
      <c r="B479" s="60">
        <f>B475</f>
        <v>20</v>
      </c>
      <c r="C479" s="102">
        <v>138</v>
      </c>
      <c r="D479" s="192" t="str">
        <f t="shared" si="288"/>
        <v>II</v>
      </c>
      <c r="E479" s="62"/>
      <c r="F479" s="105"/>
      <c r="G479" s="105"/>
      <c r="H479" s="61"/>
      <c r="I479" s="61"/>
      <c r="J479" s="62"/>
      <c r="K479" s="63"/>
      <c r="L479" s="61"/>
      <c r="M479" s="61"/>
      <c r="N479" s="111"/>
      <c r="O479" s="112"/>
      <c r="P479" s="113"/>
      <c r="Q479" s="114"/>
      <c r="R479" s="64"/>
      <c r="S479" s="108"/>
      <c r="T479" s="203">
        <f t="shared" si="278"/>
        <v>43647</v>
      </c>
      <c r="U479" s="204">
        <f t="shared" si="279"/>
        <v>43677</v>
      </c>
      <c r="V479" s="207">
        <f t="shared" si="292"/>
        <v>0</v>
      </c>
      <c r="W479" s="206" t="str">
        <f t="shared" si="289"/>
        <v/>
      </c>
      <c r="X479" s="206">
        <f t="shared" si="290"/>
        <v>0</v>
      </c>
      <c r="Y479" s="209">
        <f t="shared" si="291"/>
        <v>0</v>
      </c>
    </row>
    <row r="480" spans="2:25" ht="15.75" hidden="1" thickBot="1" x14ac:dyDescent="0.3">
      <c r="B480" s="60">
        <f>B475</f>
        <v>20</v>
      </c>
      <c r="C480" s="102">
        <v>139</v>
      </c>
      <c r="D480" s="192" t="str">
        <f t="shared" si="288"/>
        <v>II</v>
      </c>
      <c r="E480" s="62"/>
      <c r="F480" s="105"/>
      <c r="G480" s="105"/>
      <c r="H480" s="61"/>
      <c r="I480" s="61"/>
      <c r="J480" s="62"/>
      <c r="K480" s="63"/>
      <c r="L480" s="61"/>
      <c r="M480" s="61"/>
      <c r="N480" s="111"/>
      <c r="O480" s="112"/>
      <c r="P480" s="113"/>
      <c r="Q480" s="114"/>
      <c r="R480" s="64"/>
      <c r="S480" s="108"/>
      <c r="T480" s="203">
        <f t="shared" si="278"/>
        <v>43647</v>
      </c>
      <c r="U480" s="204">
        <f t="shared" si="279"/>
        <v>43677</v>
      </c>
      <c r="V480" s="207">
        <f t="shared" si="292"/>
        <v>0</v>
      </c>
      <c r="W480" s="206" t="str">
        <f t="shared" si="289"/>
        <v/>
      </c>
      <c r="X480" s="206">
        <f t="shared" si="290"/>
        <v>0</v>
      </c>
      <c r="Y480" s="209">
        <f t="shared" si="291"/>
        <v>0</v>
      </c>
    </row>
    <row r="481" spans="2:25" ht="15.75" hidden="1" thickBot="1" x14ac:dyDescent="0.3">
      <c r="B481" s="141">
        <f>B475</f>
        <v>20</v>
      </c>
      <c r="C481" s="142">
        <v>140</v>
      </c>
      <c r="D481" s="194" t="str">
        <f t="shared" si="288"/>
        <v>II</v>
      </c>
      <c r="E481" s="143"/>
      <c r="F481" s="144"/>
      <c r="G481" s="144"/>
      <c r="H481" s="145"/>
      <c r="I481" s="145"/>
      <c r="J481" s="436" t="s">
        <v>181</v>
      </c>
      <c r="K481" s="437"/>
      <c r="L481" s="438"/>
      <c r="M481" s="145"/>
      <c r="N481" s="146"/>
      <c r="O481" s="147"/>
      <c r="P481" s="148"/>
      <c r="Q481" s="149"/>
      <c r="R481" s="150"/>
      <c r="S481" s="151"/>
      <c r="T481" s="213">
        <f t="shared" si="278"/>
        <v>43647</v>
      </c>
      <c r="U481" s="214">
        <f t="shared" si="279"/>
        <v>43677</v>
      </c>
      <c r="V481" s="210">
        <f t="shared" si="292"/>
        <v>0</v>
      </c>
      <c r="W481" s="211"/>
      <c r="X481" s="211">
        <f>IF(AND($V481&gt;0,$I481=1),IF($E481=10,P481/10,P481/$V481),0)</f>
        <v>0</v>
      </c>
      <c r="Y481" s="212">
        <f>IF(AND($V475&gt;0,$I481&lt;&gt;1),Q481/E475*V475,0)</f>
        <v>0</v>
      </c>
    </row>
    <row r="482" spans="2:25" ht="16.5" hidden="1" thickTop="1" thickBot="1" x14ac:dyDescent="0.3">
      <c r="B482" s="129">
        <f>B480+1</f>
        <v>21</v>
      </c>
      <c r="C482" s="130">
        <v>141</v>
      </c>
      <c r="D482" s="196" t="str">
        <f t="shared" si="288"/>
        <v>II</v>
      </c>
      <c r="E482" s="152"/>
      <c r="F482" s="153"/>
      <c r="G482" s="153"/>
      <c r="H482" s="154"/>
      <c r="I482" s="154"/>
      <c r="J482" s="152"/>
      <c r="K482" s="155"/>
      <c r="L482" s="154"/>
      <c r="M482" s="154"/>
      <c r="N482" s="156"/>
      <c r="O482" s="157"/>
      <c r="P482" s="158"/>
      <c r="Q482" s="159"/>
      <c r="R482" s="160"/>
      <c r="S482" s="161"/>
      <c r="T482" s="203">
        <f t="shared" si="278"/>
        <v>43647</v>
      </c>
      <c r="U482" s="204">
        <f t="shared" si="279"/>
        <v>43677</v>
      </c>
      <c r="V482" s="207">
        <f>IF(G482-F482+1-IF(G482-U482&gt;0,G482-U482,0)-IF(T482-F482&gt;0,T482-F482,0)&gt;0,G482-F482+1-IF(G482-U482&gt;0,G482-U482,0)-IF(T482-F482&gt;0,T482-F482,0),0)</f>
        <v>0</v>
      </c>
      <c r="W482" s="206" t="str">
        <f t="shared" ref="W482:W487" si="293">IF(V482&gt;0,H482,"")</f>
        <v/>
      </c>
      <c r="X482" s="206">
        <f t="shared" ref="X482:X487" si="294">IF(AND($V482&gt;0,$I482=1),P482/$E482*$V482,0)</f>
        <v>0</v>
      </c>
      <c r="Y482" s="209">
        <f t="shared" ref="Y482:Y487" si="295">IF(AND($V482&gt;0,$I482&lt;&gt;1),Q482/$E482*$V482,0)</f>
        <v>0</v>
      </c>
    </row>
    <row r="483" spans="2:25" ht="15.75" hidden="1" thickBot="1" x14ac:dyDescent="0.3">
      <c r="B483" s="60">
        <f>B482</f>
        <v>21</v>
      </c>
      <c r="C483" s="102">
        <v>142</v>
      </c>
      <c r="D483" s="192" t="str">
        <f t="shared" si="288"/>
        <v>II</v>
      </c>
      <c r="E483" s="162"/>
      <c r="F483" s="163"/>
      <c r="G483" s="163"/>
      <c r="H483" s="164"/>
      <c r="I483" s="164"/>
      <c r="J483" s="162"/>
      <c r="K483" s="165"/>
      <c r="L483" s="164"/>
      <c r="M483" s="164"/>
      <c r="N483" s="166"/>
      <c r="O483" s="167"/>
      <c r="P483" s="168"/>
      <c r="Q483" s="169"/>
      <c r="R483" s="170"/>
      <c r="S483" s="171"/>
      <c r="T483" s="203">
        <f t="shared" si="278"/>
        <v>43647</v>
      </c>
      <c r="U483" s="204">
        <f t="shared" si="279"/>
        <v>43677</v>
      </c>
      <c r="V483" s="207">
        <f t="shared" ref="V483:V488" si="296">IF(G483-F483+1-IF(G483-U483&gt;0,G483-U483,0)-IF(T483-F483&gt;0,T483-F483,0)&gt;0,G483-F483+1-IF(G483-U483&gt;0,G483-U483,0)-IF(T483-F483&gt;0,T483-F483,0),0)</f>
        <v>0</v>
      </c>
      <c r="W483" s="206" t="str">
        <f t="shared" si="293"/>
        <v/>
      </c>
      <c r="X483" s="206">
        <f t="shared" si="294"/>
        <v>0</v>
      </c>
      <c r="Y483" s="209">
        <f t="shared" si="295"/>
        <v>0</v>
      </c>
    </row>
    <row r="484" spans="2:25" ht="15.75" hidden="1" thickBot="1" x14ac:dyDescent="0.3">
      <c r="B484" s="60">
        <f>B482</f>
        <v>21</v>
      </c>
      <c r="C484" s="102">
        <v>143</v>
      </c>
      <c r="D484" s="192" t="str">
        <f t="shared" si="288"/>
        <v>II</v>
      </c>
      <c r="E484" s="162"/>
      <c r="F484" s="163"/>
      <c r="G484" s="163"/>
      <c r="H484" s="164"/>
      <c r="I484" s="164"/>
      <c r="J484" s="162"/>
      <c r="K484" s="165"/>
      <c r="L484" s="164"/>
      <c r="M484" s="164"/>
      <c r="N484" s="166"/>
      <c r="O484" s="167"/>
      <c r="P484" s="168"/>
      <c r="Q484" s="169"/>
      <c r="R484" s="170"/>
      <c r="S484" s="171"/>
      <c r="T484" s="203">
        <f t="shared" si="278"/>
        <v>43647</v>
      </c>
      <c r="U484" s="204">
        <f t="shared" si="279"/>
        <v>43677</v>
      </c>
      <c r="V484" s="207">
        <f t="shared" si="296"/>
        <v>0</v>
      </c>
      <c r="W484" s="206" t="str">
        <f t="shared" si="293"/>
        <v/>
      </c>
      <c r="X484" s="206">
        <f t="shared" si="294"/>
        <v>0</v>
      </c>
      <c r="Y484" s="209">
        <f t="shared" si="295"/>
        <v>0</v>
      </c>
    </row>
    <row r="485" spans="2:25" ht="15.75" hidden="1" thickBot="1" x14ac:dyDescent="0.3">
      <c r="B485" s="60">
        <f>B482</f>
        <v>21</v>
      </c>
      <c r="C485" s="102">
        <v>144</v>
      </c>
      <c r="D485" s="192" t="str">
        <f t="shared" si="288"/>
        <v>II</v>
      </c>
      <c r="E485" s="162"/>
      <c r="F485" s="163"/>
      <c r="G485" s="163"/>
      <c r="H485" s="164"/>
      <c r="I485" s="164"/>
      <c r="J485" s="162"/>
      <c r="K485" s="165"/>
      <c r="L485" s="164"/>
      <c r="M485" s="164"/>
      <c r="N485" s="166"/>
      <c r="O485" s="167"/>
      <c r="P485" s="168"/>
      <c r="Q485" s="169"/>
      <c r="R485" s="170"/>
      <c r="S485" s="171"/>
      <c r="T485" s="203">
        <f t="shared" si="278"/>
        <v>43647</v>
      </c>
      <c r="U485" s="204">
        <f t="shared" si="279"/>
        <v>43677</v>
      </c>
      <c r="V485" s="207">
        <f t="shared" si="296"/>
        <v>0</v>
      </c>
      <c r="W485" s="206" t="str">
        <f t="shared" si="293"/>
        <v/>
      </c>
      <c r="X485" s="206">
        <f t="shared" si="294"/>
        <v>0</v>
      </c>
      <c r="Y485" s="209">
        <f t="shared" si="295"/>
        <v>0</v>
      </c>
    </row>
    <row r="486" spans="2:25" ht="15.75" hidden="1" thickBot="1" x14ac:dyDescent="0.3">
      <c r="B486" s="60">
        <f>B482</f>
        <v>21</v>
      </c>
      <c r="C486" s="102">
        <v>145</v>
      </c>
      <c r="D486" s="192" t="str">
        <f t="shared" si="288"/>
        <v>II</v>
      </c>
      <c r="E486" s="162"/>
      <c r="F486" s="163"/>
      <c r="G486" s="163"/>
      <c r="H486" s="164"/>
      <c r="I486" s="164"/>
      <c r="J486" s="162"/>
      <c r="K486" s="165"/>
      <c r="L486" s="164"/>
      <c r="M486" s="164"/>
      <c r="N486" s="166"/>
      <c r="O486" s="167"/>
      <c r="P486" s="168"/>
      <c r="Q486" s="169"/>
      <c r="R486" s="170"/>
      <c r="S486" s="171"/>
      <c r="T486" s="203">
        <f t="shared" si="278"/>
        <v>43647</v>
      </c>
      <c r="U486" s="204">
        <f t="shared" si="279"/>
        <v>43677</v>
      </c>
      <c r="V486" s="207">
        <f t="shared" si="296"/>
        <v>0</v>
      </c>
      <c r="W486" s="206" t="str">
        <f t="shared" si="293"/>
        <v/>
      </c>
      <c r="X486" s="206">
        <f t="shared" si="294"/>
        <v>0</v>
      </c>
      <c r="Y486" s="209">
        <f t="shared" si="295"/>
        <v>0</v>
      </c>
    </row>
    <row r="487" spans="2:25" ht="15.75" hidden="1" thickBot="1" x14ac:dyDescent="0.3">
      <c r="B487" s="60">
        <f>B482</f>
        <v>21</v>
      </c>
      <c r="C487" s="102">
        <v>146</v>
      </c>
      <c r="D487" s="192" t="str">
        <f t="shared" si="288"/>
        <v>II</v>
      </c>
      <c r="E487" s="172"/>
      <c r="F487" s="173"/>
      <c r="G487" s="173"/>
      <c r="H487" s="174"/>
      <c r="I487" s="174"/>
      <c r="J487" s="172"/>
      <c r="K487" s="175"/>
      <c r="L487" s="174"/>
      <c r="M487" s="174"/>
      <c r="N487" s="176"/>
      <c r="O487" s="177"/>
      <c r="P487" s="178"/>
      <c r="Q487" s="179"/>
      <c r="R487" s="180"/>
      <c r="S487" s="181"/>
      <c r="T487" s="203">
        <f t="shared" si="278"/>
        <v>43647</v>
      </c>
      <c r="U487" s="204">
        <f t="shared" si="279"/>
        <v>43677</v>
      </c>
      <c r="V487" s="207">
        <f t="shared" si="296"/>
        <v>0</v>
      </c>
      <c r="W487" s="206" t="str">
        <f t="shared" si="293"/>
        <v/>
      </c>
      <c r="X487" s="206">
        <f t="shared" si="294"/>
        <v>0</v>
      </c>
      <c r="Y487" s="209">
        <f t="shared" si="295"/>
        <v>0</v>
      </c>
    </row>
    <row r="488" spans="2:25" ht="15.75" hidden="1" thickBot="1" x14ac:dyDescent="0.3">
      <c r="B488" s="141">
        <f>B482</f>
        <v>21</v>
      </c>
      <c r="C488" s="142">
        <v>147</v>
      </c>
      <c r="D488" s="194" t="str">
        <f t="shared" si="288"/>
        <v>II</v>
      </c>
      <c r="E488" s="189"/>
      <c r="F488" s="190"/>
      <c r="G488" s="190"/>
      <c r="H488" s="182"/>
      <c r="I488" s="182"/>
      <c r="J488" s="436" t="s">
        <v>181</v>
      </c>
      <c r="K488" s="437"/>
      <c r="L488" s="438"/>
      <c r="M488" s="182"/>
      <c r="N488" s="183"/>
      <c r="O488" s="184"/>
      <c r="P488" s="185"/>
      <c r="Q488" s="186"/>
      <c r="R488" s="187"/>
      <c r="S488" s="188"/>
      <c r="T488" s="213">
        <f t="shared" si="278"/>
        <v>43647</v>
      </c>
      <c r="U488" s="214">
        <f t="shared" si="279"/>
        <v>43677</v>
      </c>
      <c r="V488" s="210">
        <f t="shared" si="296"/>
        <v>0</v>
      </c>
      <c r="W488" s="211"/>
      <c r="X488" s="211">
        <f>IF(AND($V488&gt;0,$I488=1),IF($E488=10,P488/10,P488/$V488),0)</f>
        <v>0</v>
      </c>
      <c r="Y488" s="212">
        <f>IF(AND($V482&gt;0,$I488&lt;&gt;1),Q488/E482*V482,0)</f>
        <v>0</v>
      </c>
    </row>
    <row r="489" spans="2:25" ht="16.5" hidden="1" thickTop="1" thickBot="1" x14ac:dyDescent="0.3">
      <c r="B489" s="129">
        <f>B487+1</f>
        <v>22</v>
      </c>
      <c r="C489" s="130">
        <v>148</v>
      </c>
      <c r="D489" s="196" t="str">
        <f t="shared" si="288"/>
        <v>II</v>
      </c>
      <c r="E489" s="131"/>
      <c r="F489" s="132"/>
      <c r="G489" s="132"/>
      <c r="H489" s="133"/>
      <c r="I489" s="133"/>
      <c r="J489" s="131"/>
      <c r="K489" s="134"/>
      <c r="L489" s="133"/>
      <c r="M489" s="133"/>
      <c r="N489" s="135"/>
      <c r="O489" s="136"/>
      <c r="P489" s="137"/>
      <c r="Q489" s="138"/>
      <c r="R489" s="139"/>
      <c r="S489" s="140"/>
      <c r="T489" s="203">
        <f t="shared" si="278"/>
        <v>43647</v>
      </c>
      <c r="U489" s="204">
        <f t="shared" si="279"/>
        <v>43677</v>
      </c>
      <c r="V489" s="207">
        <f>IF(G489-F489+1-IF(G489-U489&gt;0,G489-U489,0)-IF(T489-F489&gt;0,T489-F489,0)&gt;0,G489-F489+1-IF(G489-U489&gt;0,G489-U489,0)-IF(T489-F489&gt;0,T489-F489,0),0)</f>
        <v>0</v>
      </c>
      <c r="W489" s="206" t="str">
        <f t="shared" ref="W489:W494" si="297">IF(V489&gt;0,H489,"")</f>
        <v/>
      </c>
      <c r="X489" s="206">
        <f t="shared" ref="X489:X494" si="298">IF(AND($V489&gt;0,$I489=1),P489/$E489*$V489,0)</f>
        <v>0</v>
      </c>
      <c r="Y489" s="209">
        <f t="shared" ref="Y489:Y494" si="299">IF(AND($V489&gt;0,$I489&lt;&gt;1),Q489/$E489*$V489,0)</f>
        <v>0</v>
      </c>
    </row>
    <row r="490" spans="2:25" ht="15.75" hidden="1" thickBot="1" x14ac:dyDescent="0.3">
      <c r="B490" s="60">
        <f>B489</f>
        <v>22</v>
      </c>
      <c r="C490" s="102">
        <v>149</v>
      </c>
      <c r="D490" s="192" t="str">
        <f t="shared" si="288"/>
        <v>II</v>
      </c>
      <c r="E490" s="62"/>
      <c r="F490" s="105"/>
      <c r="G490" s="105"/>
      <c r="H490" s="61"/>
      <c r="I490" s="61"/>
      <c r="J490" s="62"/>
      <c r="K490" s="63"/>
      <c r="L490" s="61"/>
      <c r="M490" s="61"/>
      <c r="N490" s="111"/>
      <c r="O490" s="112"/>
      <c r="P490" s="113"/>
      <c r="Q490" s="114"/>
      <c r="R490" s="64"/>
      <c r="S490" s="108"/>
      <c r="T490" s="203">
        <f t="shared" si="278"/>
        <v>43647</v>
      </c>
      <c r="U490" s="204">
        <f t="shared" si="279"/>
        <v>43677</v>
      </c>
      <c r="V490" s="207">
        <f t="shared" ref="V490:V495" si="300">IF(G490-F490+1-IF(G490-U490&gt;0,G490-U490,0)-IF(T490-F490&gt;0,T490-F490,0)&gt;0,G490-F490+1-IF(G490-U490&gt;0,G490-U490,0)-IF(T490-F490&gt;0,T490-F490,0),0)</f>
        <v>0</v>
      </c>
      <c r="W490" s="206" t="str">
        <f t="shared" si="297"/>
        <v/>
      </c>
      <c r="X490" s="206">
        <f t="shared" si="298"/>
        <v>0</v>
      </c>
      <c r="Y490" s="209">
        <f t="shared" si="299"/>
        <v>0</v>
      </c>
    </row>
    <row r="491" spans="2:25" ht="15.75" hidden="1" thickBot="1" x14ac:dyDescent="0.3">
      <c r="B491" s="60">
        <f>B489</f>
        <v>22</v>
      </c>
      <c r="C491" s="102">
        <v>150</v>
      </c>
      <c r="D491" s="192" t="str">
        <f t="shared" si="288"/>
        <v>II</v>
      </c>
      <c r="E491" s="62"/>
      <c r="F491" s="105"/>
      <c r="G491" s="105"/>
      <c r="H491" s="61"/>
      <c r="I491" s="61"/>
      <c r="J491" s="62"/>
      <c r="K491" s="63"/>
      <c r="L491" s="61"/>
      <c r="M491" s="61"/>
      <c r="N491" s="111"/>
      <c r="O491" s="112"/>
      <c r="P491" s="113"/>
      <c r="Q491" s="114"/>
      <c r="R491" s="64"/>
      <c r="S491" s="108"/>
      <c r="T491" s="203">
        <f t="shared" si="278"/>
        <v>43647</v>
      </c>
      <c r="U491" s="204">
        <f t="shared" si="279"/>
        <v>43677</v>
      </c>
      <c r="V491" s="207">
        <f t="shared" si="300"/>
        <v>0</v>
      </c>
      <c r="W491" s="206" t="str">
        <f t="shared" si="297"/>
        <v/>
      </c>
      <c r="X491" s="206">
        <f t="shared" si="298"/>
        <v>0</v>
      </c>
      <c r="Y491" s="209">
        <f t="shared" si="299"/>
        <v>0</v>
      </c>
    </row>
    <row r="492" spans="2:25" ht="15.75" hidden="1" thickBot="1" x14ac:dyDescent="0.3">
      <c r="B492" s="60">
        <f>B489</f>
        <v>22</v>
      </c>
      <c r="C492" s="102">
        <v>151</v>
      </c>
      <c r="D492" s="192" t="str">
        <f t="shared" si="288"/>
        <v>II</v>
      </c>
      <c r="E492" s="62"/>
      <c r="F492" s="105"/>
      <c r="G492" s="105"/>
      <c r="H492" s="61"/>
      <c r="I492" s="61"/>
      <c r="J492" s="62"/>
      <c r="K492" s="63"/>
      <c r="L492" s="61"/>
      <c r="M492" s="61"/>
      <c r="N492" s="111"/>
      <c r="O492" s="112"/>
      <c r="P492" s="113"/>
      <c r="Q492" s="114"/>
      <c r="R492" s="64"/>
      <c r="S492" s="108"/>
      <c r="T492" s="203">
        <f t="shared" si="278"/>
        <v>43647</v>
      </c>
      <c r="U492" s="204">
        <f t="shared" si="279"/>
        <v>43677</v>
      </c>
      <c r="V492" s="207">
        <f t="shared" si="300"/>
        <v>0</v>
      </c>
      <c r="W492" s="206" t="str">
        <f t="shared" si="297"/>
        <v/>
      </c>
      <c r="X492" s="206">
        <f t="shared" si="298"/>
        <v>0</v>
      </c>
      <c r="Y492" s="209">
        <f t="shared" si="299"/>
        <v>0</v>
      </c>
    </row>
    <row r="493" spans="2:25" ht="15.75" hidden="1" thickBot="1" x14ac:dyDescent="0.3">
      <c r="B493" s="60">
        <f>B489</f>
        <v>22</v>
      </c>
      <c r="C493" s="102">
        <v>152</v>
      </c>
      <c r="D493" s="192" t="str">
        <f t="shared" si="288"/>
        <v>II</v>
      </c>
      <c r="E493" s="62"/>
      <c r="F493" s="105"/>
      <c r="G493" s="105"/>
      <c r="H493" s="61"/>
      <c r="I493" s="61"/>
      <c r="J493" s="62"/>
      <c r="K493" s="63"/>
      <c r="L493" s="61"/>
      <c r="M493" s="61"/>
      <c r="N493" s="111"/>
      <c r="O493" s="112"/>
      <c r="P493" s="113"/>
      <c r="Q493" s="114"/>
      <c r="R493" s="64"/>
      <c r="S493" s="108"/>
      <c r="T493" s="203">
        <f t="shared" si="278"/>
        <v>43647</v>
      </c>
      <c r="U493" s="204">
        <f t="shared" si="279"/>
        <v>43677</v>
      </c>
      <c r="V493" s="207">
        <f t="shared" si="300"/>
        <v>0</v>
      </c>
      <c r="W493" s="206" t="str">
        <f t="shared" si="297"/>
        <v/>
      </c>
      <c r="X493" s="206">
        <f t="shared" si="298"/>
        <v>0</v>
      </c>
      <c r="Y493" s="209">
        <f t="shared" si="299"/>
        <v>0</v>
      </c>
    </row>
    <row r="494" spans="2:25" ht="15.75" hidden="1" thickBot="1" x14ac:dyDescent="0.3">
      <c r="B494" s="60">
        <f>B489</f>
        <v>22</v>
      </c>
      <c r="C494" s="102">
        <v>153</v>
      </c>
      <c r="D494" s="192" t="str">
        <f t="shared" si="288"/>
        <v>II</v>
      </c>
      <c r="E494" s="62"/>
      <c r="F494" s="105"/>
      <c r="G494" s="105"/>
      <c r="H494" s="61"/>
      <c r="I494" s="61"/>
      <c r="J494" s="62"/>
      <c r="K494" s="63"/>
      <c r="L494" s="61"/>
      <c r="M494" s="61"/>
      <c r="N494" s="111"/>
      <c r="O494" s="112"/>
      <c r="P494" s="113"/>
      <c r="Q494" s="114"/>
      <c r="R494" s="64"/>
      <c r="S494" s="108"/>
      <c r="T494" s="203">
        <f t="shared" si="278"/>
        <v>43647</v>
      </c>
      <c r="U494" s="204">
        <f t="shared" si="279"/>
        <v>43677</v>
      </c>
      <c r="V494" s="207">
        <f t="shared" si="300"/>
        <v>0</v>
      </c>
      <c r="W494" s="206" t="str">
        <f t="shared" si="297"/>
        <v/>
      </c>
      <c r="X494" s="206">
        <f t="shared" si="298"/>
        <v>0</v>
      </c>
      <c r="Y494" s="209">
        <f t="shared" si="299"/>
        <v>0</v>
      </c>
    </row>
    <row r="495" spans="2:25" ht="15.75" hidden="1" thickBot="1" x14ac:dyDescent="0.3">
      <c r="B495" s="141">
        <f>B489</f>
        <v>22</v>
      </c>
      <c r="C495" s="142">
        <v>154</v>
      </c>
      <c r="D495" s="194" t="str">
        <f t="shared" si="288"/>
        <v>II</v>
      </c>
      <c r="E495" s="143"/>
      <c r="F495" s="144"/>
      <c r="G495" s="144"/>
      <c r="H495" s="145"/>
      <c r="I495" s="145"/>
      <c r="J495" s="436" t="s">
        <v>181</v>
      </c>
      <c r="K495" s="437"/>
      <c r="L495" s="438"/>
      <c r="M495" s="145"/>
      <c r="N495" s="146"/>
      <c r="O495" s="147"/>
      <c r="P495" s="148"/>
      <c r="Q495" s="149"/>
      <c r="R495" s="150"/>
      <c r="S495" s="151"/>
      <c r="T495" s="213">
        <f t="shared" si="278"/>
        <v>43647</v>
      </c>
      <c r="U495" s="214">
        <f t="shared" si="279"/>
        <v>43677</v>
      </c>
      <c r="V495" s="210">
        <f t="shared" si="300"/>
        <v>0</v>
      </c>
      <c r="W495" s="211"/>
      <c r="X495" s="211">
        <f>IF(AND($V495&gt;0,$I495=1),IF($E495=10,P495/10,P495/$V495),0)</f>
        <v>0</v>
      </c>
      <c r="Y495" s="212">
        <f>IF(AND($V489&gt;0,$I495&lt;&gt;1),Q495/E489*V489,0)</f>
        <v>0</v>
      </c>
    </row>
    <row r="496" spans="2:25" ht="16.5" hidden="1" thickTop="1" thickBot="1" x14ac:dyDescent="0.3">
      <c r="B496" s="129">
        <f>B494+1</f>
        <v>23</v>
      </c>
      <c r="C496" s="130">
        <v>155</v>
      </c>
      <c r="D496" s="196" t="str">
        <f t="shared" si="288"/>
        <v>II</v>
      </c>
      <c r="E496" s="152"/>
      <c r="F496" s="153"/>
      <c r="G496" s="153"/>
      <c r="H496" s="154"/>
      <c r="I496" s="154"/>
      <c r="J496" s="152"/>
      <c r="K496" s="155"/>
      <c r="L496" s="154"/>
      <c r="M496" s="154"/>
      <c r="N496" s="156"/>
      <c r="O496" s="157"/>
      <c r="P496" s="158"/>
      <c r="Q496" s="159"/>
      <c r="R496" s="160"/>
      <c r="S496" s="161"/>
      <c r="T496" s="203">
        <f t="shared" si="278"/>
        <v>43647</v>
      </c>
      <c r="U496" s="204">
        <f t="shared" si="279"/>
        <v>43677</v>
      </c>
      <c r="V496" s="207">
        <f>IF(G496-F496+1-IF(G496-U496&gt;0,G496-U496,0)-IF(T496-F496&gt;0,T496-F496,0)&gt;0,G496-F496+1-IF(G496-U496&gt;0,G496-U496,0)-IF(T496-F496&gt;0,T496-F496,0),0)</f>
        <v>0</v>
      </c>
      <c r="W496" s="206" t="str">
        <f t="shared" ref="W496:W501" si="301">IF(V496&gt;0,H496,"")</f>
        <v/>
      </c>
      <c r="X496" s="206">
        <f t="shared" ref="X496:X501" si="302">IF(AND($V496&gt;0,$I496=1),P496/$E496*$V496,0)</f>
        <v>0</v>
      </c>
      <c r="Y496" s="209">
        <f t="shared" ref="Y496:Y501" si="303">IF(AND($V496&gt;0,$I496&lt;&gt;1),Q496/$E496*$V496,0)</f>
        <v>0</v>
      </c>
    </row>
    <row r="497" spans="2:25" ht="15.75" hidden="1" thickBot="1" x14ac:dyDescent="0.3">
      <c r="B497" s="60">
        <f>B496</f>
        <v>23</v>
      </c>
      <c r="C497" s="102">
        <v>156</v>
      </c>
      <c r="D497" s="192" t="str">
        <f t="shared" si="288"/>
        <v>II</v>
      </c>
      <c r="E497" s="162"/>
      <c r="F497" s="163"/>
      <c r="G497" s="163"/>
      <c r="H497" s="164"/>
      <c r="I497" s="164"/>
      <c r="J497" s="162"/>
      <c r="K497" s="165"/>
      <c r="L497" s="164"/>
      <c r="M497" s="164"/>
      <c r="N497" s="166"/>
      <c r="O497" s="167"/>
      <c r="P497" s="168"/>
      <c r="Q497" s="169"/>
      <c r="R497" s="170"/>
      <c r="S497" s="171"/>
      <c r="T497" s="203">
        <f t="shared" si="278"/>
        <v>43647</v>
      </c>
      <c r="U497" s="204">
        <f t="shared" si="279"/>
        <v>43677</v>
      </c>
      <c r="V497" s="207">
        <f t="shared" ref="V497:V502" si="304">IF(G497-F497+1-IF(G497-U497&gt;0,G497-U497,0)-IF(T497-F497&gt;0,T497-F497,0)&gt;0,G497-F497+1-IF(G497-U497&gt;0,G497-U497,0)-IF(T497-F497&gt;0,T497-F497,0),0)</f>
        <v>0</v>
      </c>
      <c r="W497" s="206" t="str">
        <f t="shared" si="301"/>
        <v/>
      </c>
      <c r="X497" s="206">
        <f t="shared" si="302"/>
        <v>0</v>
      </c>
      <c r="Y497" s="209">
        <f t="shared" si="303"/>
        <v>0</v>
      </c>
    </row>
    <row r="498" spans="2:25" ht="15.75" hidden="1" thickBot="1" x14ac:dyDescent="0.3">
      <c r="B498" s="60">
        <f>B496</f>
        <v>23</v>
      </c>
      <c r="C498" s="102">
        <v>157</v>
      </c>
      <c r="D498" s="192" t="str">
        <f t="shared" si="288"/>
        <v>II</v>
      </c>
      <c r="E498" s="162"/>
      <c r="F498" s="163"/>
      <c r="G498" s="163"/>
      <c r="H498" s="164"/>
      <c r="I498" s="164"/>
      <c r="J498" s="162"/>
      <c r="K498" s="165"/>
      <c r="L498" s="164"/>
      <c r="M498" s="164"/>
      <c r="N498" s="166"/>
      <c r="O498" s="167"/>
      <c r="P498" s="168"/>
      <c r="Q498" s="169"/>
      <c r="R498" s="170"/>
      <c r="S498" s="171"/>
      <c r="T498" s="203">
        <f t="shared" si="278"/>
        <v>43647</v>
      </c>
      <c r="U498" s="204">
        <f t="shared" si="279"/>
        <v>43677</v>
      </c>
      <c r="V498" s="207">
        <f t="shared" si="304"/>
        <v>0</v>
      </c>
      <c r="W498" s="206" t="str">
        <f t="shared" si="301"/>
        <v/>
      </c>
      <c r="X498" s="206">
        <f t="shared" si="302"/>
        <v>0</v>
      </c>
      <c r="Y498" s="209">
        <f t="shared" si="303"/>
        <v>0</v>
      </c>
    </row>
    <row r="499" spans="2:25" ht="15.75" hidden="1" thickBot="1" x14ac:dyDescent="0.3">
      <c r="B499" s="60">
        <f>B496</f>
        <v>23</v>
      </c>
      <c r="C499" s="102">
        <v>158</v>
      </c>
      <c r="D499" s="192" t="str">
        <f t="shared" si="288"/>
        <v>II</v>
      </c>
      <c r="E499" s="162"/>
      <c r="F499" s="163"/>
      <c r="G499" s="163"/>
      <c r="H499" s="164"/>
      <c r="I499" s="164"/>
      <c r="J499" s="162"/>
      <c r="K499" s="165"/>
      <c r="L499" s="164"/>
      <c r="M499" s="164"/>
      <c r="N499" s="166"/>
      <c r="O499" s="167"/>
      <c r="P499" s="168"/>
      <c r="Q499" s="169"/>
      <c r="R499" s="170"/>
      <c r="S499" s="171"/>
      <c r="T499" s="203">
        <f t="shared" si="278"/>
        <v>43647</v>
      </c>
      <c r="U499" s="204">
        <f t="shared" si="279"/>
        <v>43677</v>
      </c>
      <c r="V499" s="207">
        <f t="shared" si="304"/>
        <v>0</v>
      </c>
      <c r="W499" s="206" t="str">
        <f t="shared" si="301"/>
        <v/>
      </c>
      <c r="X499" s="206">
        <f t="shared" si="302"/>
        <v>0</v>
      </c>
      <c r="Y499" s="209">
        <f t="shared" si="303"/>
        <v>0</v>
      </c>
    </row>
    <row r="500" spans="2:25" ht="15.75" hidden="1" thickBot="1" x14ac:dyDescent="0.3">
      <c r="B500" s="60">
        <f>B496</f>
        <v>23</v>
      </c>
      <c r="C500" s="102">
        <v>159</v>
      </c>
      <c r="D500" s="192" t="str">
        <f t="shared" si="288"/>
        <v>II</v>
      </c>
      <c r="E500" s="162"/>
      <c r="F500" s="163"/>
      <c r="G500" s="163"/>
      <c r="H500" s="164"/>
      <c r="I500" s="164"/>
      <c r="J500" s="162"/>
      <c r="K500" s="165"/>
      <c r="L500" s="164"/>
      <c r="M500" s="164"/>
      <c r="N500" s="166"/>
      <c r="O500" s="167"/>
      <c r="P500" s="168"/>
      <c r="Q500" s="169"/>
      <c r="R500" s="170"/>
      <c r="S500" s="171"/>
      <c r="T500" s="203">
        <f t="shared" si="278"/>
        <v>43647</v>
      </c>
      <c r="U500" s="204">
        <f t="shared" si="279"/>
        <v>43677</v>
      </c>
      <c r="V500" s="207">
        <f t="shared" si="304"/>
        <v>0</v>
      </c>
      <c r="W500" s="206" t="str">
        <f t="shared" si="301"/>
        <v/>
      </c>
      <c r="X500" s="206">
        <f t="shared" si="302"/>
        <v>0</v>
      </c>
      <c r="Y500" s="209">
        <f t="shared" si="303"/>
        <v>0</v>
      </c>
    </row>
    <row r="501" spans="2:25" ht="15.75" hidden="1" thickBot="1" x14ac:dyDescent="0.3">
      <c r="B501" s="60">
        <f>B496</f>
        <v>23</v>
      </c>
      <c r="C501" s="102">
        <v>160</v>
      </c>
      <c r="D501" s="192" t="str">
        <f t="shared" si="288"/>
        <v>II</v>
      </c>
      <c r="E501" s="172"/>
      <c r="F501" s="173"/>
      <c r="G501" s="173"/>
      <c r="H501" s="174"/>
      <c r="I501" s="174"/>
      <c r="J501" s="172"/>
      <c r="K501" s="175"/>
      <c r="L501" s="174"/>
      <c r="M501" s="174"/>
      <c r="N501" s="176"/>
      <c r="O501" s="177"/>
      <c r="P501" s="178"/>
      <c r="Q501" s="179"/>
      <c r="R501" s="180"/>
      <c r="S501" s="181"/>
      <c r="T501" s="203">
        <f t="shared" si="278"/>
        <v>43647</v>
      </c>
      <c r="U501" s="204">
        <f t="shared" si="279"/>
        <v>43677</v>
      </c>
      <c r="V501" s="207">
        <f t="shared" si="304"/>
        <v>0</v>
      </c>
      <c r="W501" s="206" t="str">
        <f t="shared" si="301"/>
        <v/>
      </c>
      <c r="X501" s="206">
        <f t="shared" si="302"/>
        <v>0</v>
      </c>
      <c r="Y501" s="209">
        <f t="shared" si="303"/>
        <v>0</v>
      </c>
    </row>
    <row r="502" spans="2:25" ht="15.75" hidden="1" thickBot="1" x14ac:dyDescent="0.3">
      <c r="B502" s="141">
        <f>B496</f>
        <v>23</v>
      </c>
      <c r="C502" s="142">
        <v>161</v>
      </c>
      <c r="D502" s="194" t="str">
        <f t="shared" si="288"/>
        <v>II</v>
      </c>
      <c r="E502" s="189"/>
      <c r="F502" s="190"/>
      <c r="G502" s="190"/>
      <c r="H502" s="182"/>
      <c r="I502" s="182"/>
      <c r="J502" s="436" t="s">
        <v>181</v>
      </c>
      <c r="K502" s="437"/>
      <c r="L502" s="438"/>
      <c r="M502" s="182"/>
      <c r="N502" s="183"/>
      <c r="O502" s="184"/>
      <c r="P502" s="185"/>
      <c r="Q502" s="186"/>
      <c r="R502" s="187"/>
      <c r="S502" s="188"/>
      <c r="T502" s="213">
        <f t="shared" si="278"/>
        <v>43647</v>
      </c>
      <c r="U502" s="214">
        <f t="shared" si="279"/>
        <v>43677</v>
      </c>
      <c r="V502" s="210">
        <f t="shared" si="304"/>
        <v>0</v>
      </c>
      <c r="W502" s="211"/>
      <c r="X502" s="211">
        <f>IF(AND($V502&gt;0,$I502=1),IF($E502=10,P502/10,P502/$V502),0)</f>
        <v>0</v>
      </c>
      <c r="Y502" s="212">
        <f>IF(AND($V496&gt;0,$I502&lt;&gt;1),Q502/E496*V496,0)</f>
        <v>0</v>
      </c>
    </row>
    <row r="503" spans="2:25" ht="16.5" hidden="1" thickTop="1" thickBot="1" x14ac:dyDescent="0.3">
      <c r="B503" s="129">
        <f>B501+1</f>
        <v>24</v>
      </c>
      <c r="C503" s="130">
        <v>162</v>
      </c>
      <c r="D503" s="196" t="str">
        <f t="shared" si="288"/>
        <v>II</v>
      </c>
      <c r="E503" s="131"/>
      <c r="F503" s="132"/>
      <c r="G503" s="132"/>
      <c r="H503" s="133"/>
      <c r="I503" s="133"/>
      <c r="J503" s="131"/>
      <c r="K503" s="134"/>
      <c r="L503" s="133"/>
      <c r="M503" s="133"/>
      <c r="N503" s="135"/>
      <c r="O503" s="136"/>
      <c r="P503" s="137"/>
      <c r="Q503" s="138"/>
      <c r="R503" s="139"/>
      <c r="S503" s="140"/>
      <c r="T503" s="203">
        <f t="shared" si="278"/>
        <v>43647</v>
      </c>
      <c r="U503" s="204">
        <f t="shared" si="279"/>
        <v>43677</v>
      </c>
      <c r="V503" s="207">
        <f>IF(G503-F503+1-IF(G503-U503&gt;0,G503-U503,0)-IF(T503-F503&gt;0,T503-F503,0)&gt;0,G503-F503+1-IF(G503-U503&gt;0,G503-U503,0)-IF(T503-F503&gt;0,T503-F503,0),0)</f>
        <v>0</v>
      </c>
      <c r="W503" s="206" t="str">
        <f t="shared" ref="W503:W508" si="305">IF(V503&gt;0,H503,"")</f>
        <v/>
      </c>
      <c r="X503" s="206">
        <f t="shared" ref="X503:X508" si="306">IF(AND($V503&gt;0,$I503=1),P503/$E503*$V503,0)</f>
        <v>0</v>
      </c>
      <c r="Y503" s="209">
        <f t="shared" ref="Y503:Y508" si="307">IF(AND($V503&gt;0,$I503&lt;&gt;1),Q503/$E503*$V503,0)</f>
        <v>0</v>
      </c>
    </row>
    <row r="504" spans="2:25" ht="15.75" hidden="1" thickBot="1" x14ac:dyDescent="0.3">
      <c r="B504" s="60">
        <f>B503</f>
        <v>24</v>
      </c>
      <c r="C504" s="102">
        <v>163</v>
      </c>
      <c r="D504" s="192" t="str">
        <f t="shared" si="288"/>
        <v>II</v>
      </c>
      <c r="E504" s="62"/>
      <c r="F504" s="105"/>
      <c r="G504" s="105"/>
      <c r="H504" s="61"/>
      <c r="I504" s="61"/>
      <c r="J504" s="62"/>
      <c r="K504" s="63"/>
      <c r="L504" s="61"/>
      <c r="M504" s="61"/>
      <c r="N504" s="111"/>
      <c r="O504" s="112"/>
      <c r="P504" s="113"/>
      <c r="Q504" s="114"/>
      <c r="R504" s="64"/>
      <c r="S504" s="108"/>
      <c r="T504" s="203">
        <f t="shared" si="278"/>
        <v>43647</v>
      </c>
      <c r="U504" s="204">
        <f t="shared" si="279"/>
        <v>43677</v>
      </c>
      <c r="V504" s="207">
        <f t="shared" ref="V504:V509" si="308">IF(G504-F504+1-IF(G504-U504&gt;0,G504-U504,0)-IF(T504-F504&gt;0,T504-F504,0)&gt;0,G504-F504+1-IF(G504-U504&gt;0,G504-U504,0)-IF(T504-F504&gt;0,T504-F504,0),0)</f>
        <v>0</v>
      </c>
      <c r="W504" s="206" t="str">
        <f t="shared" si="305"/>
        <v/>
      </c>
      <c r="X504" s="206">
        <f t="shared" si="306"/>
        <v>0</v>
      </c>
      <c r="Y504" s="209">
        <f t="shared" si="307"/>
        <v>0</v>
      </c>
    </row>
    <row r="505" spans="2:25" ht="15.75" hidden="1" thickBot="1" x14ac:dyDescent="0.3">
      <c r="B505" s="60">
        <f>B503</f>
        <v>24</v>
      </c>
      <c r="C505" s="102">
        <v>164</v>
      </c>
      <c r="D505" s="192" t="str">
        <f t="shared" si="288"/>
        <v>II</v>
      </c>
      <c r="E505" s="62"/>
      <c r="F505" s="105"/>
      <c r="G505" s="105"/>
      <c r="H505" s="61"/>
      <c r="I505" s="61"/>
      <c r="J505" s="62"/>
      <c r="K505" s="63"/>
      <c r="L505" s="61"/>
      <c r="M505" s="61"/>
      <c r="N505" s="111"/>
      <c r="O505" s="112"/>
      <c r="P505" s="113"/>
      <c r="Q505" s="114"/>
      <c r="R505" s="64"/>
      <c r="S505" s="108"/>
      <c r="T505" s="203">
        <f t="shared" si="278"/>
        <v>43647</v>
      </c>
      <c r="U505" s="204">
        <f t="shared" si="279"/>
        <v>43677</v>
      </c>
      <c r="V505" s="207">
        <f t="shared" si="308"/>
        <v>0</v>
      </c>
      <c r="W505" s="206" t="str">
        <f t="shared" si="305"/>
        <v/>
      </c>
      <c r="X505" s="206">
        <f t="shared" si="306"/>
        <v>0</v>
      </c>
      <c r="Y505" s="209">
        <f t="shared" si="307"/>
        <v>0</v>
      </c>
    </row>
    <row r="506" spans="2:25" ht="15.75" hidden="1" thickBot="1" x14ac:dyDescent="0.3">
      <c r="B506" s="60">
        <f>B503</f>
        <v>24</v>
      </c>
      <c r="C506" s="102">
        <v>165</v>
      </c>
      <c r="D506" s="192" t="str">
        <f t="shared" si="288"/>
        <v>II</v>
      </c>
      <c r="E506" s="62"/>
      <c r="F506" s="105"/>
      <c r="G506" s="105"/>
      <c r="H506" s="61"/>
      <c r="I506" s="61"/>
      <c r="J506" s="62"/>
      <c r="K506" s="63"/>
      <c r="L506" s="61"/>
      <c r="M506" s="61"/>
      <c r="N506" s="111"/>
      <c r="O506" s="112"/>
      <c r="P506" s="113"/>
      <c r="Q506" s="114"/>
      <c r="R506" s="64"/>
      <c r="S506" s="108"/>
      <c r="T506" s="203">
        <f t="shared" si="278"/>
        <v>43647</v>
      </c>
      <c r="U506" s="204">
        <f t="shared" si="279"/>
        <v>43677</v>
      </c>
      <c r="V506" s="207">
        <f t="shared" si="308"/>
        <v>0</v>
      </c>
      <c r="W506" s="206" t="str">
        <f t="shared" si="305"/>
        <v/>
      </c>
      <c r="X506" s="206">
        <f t="shared" si="306"/>
        <v>0</v>
      </c>
      <c r="Y506" s="209">
        <f t="shared" si="307"/>
        <v>0</v>
      </c>
    </row>
    <row r="507" spans="2:25" ht="15.75" hidden="1" thickBot="1" x14ac:dyDescent="0.3">
      <c r="B507" s="60">
        <f>B503</f>
        <v>24</v>
      </c>
      <c r="C507" s="102">
        <v>166</v>
      </c>
      <c r="D507" s="192" t="str">
        <f t="shared" si="288"/>
        <v>II</v>
      </c>
      <c r="E507" s="62"/>
      <c r="F507" s="105"/>
      <c r="G507" s="105"/>
      <c r="H507" s="61"/>
      <c r="I507" s="61"/>
      <c r="J507" s="62"/>
      <c r="K507" s="63"/>
      <c r="L507" s="61"/>
      <c r="M507" s="61"/>
      <c r="N507" s="111"/>
      <c r="O507" s="112"/>
      <c r="P507" s="113"/>
      <c r="Q507" s="114"/>
      <c r="R507" s="64"/>
      <c r="S507" s="108"/>
      <c r="T507" s="203">
        <f t="shared" si="278"/>
        <v>43647</v>
      </c>
      <c r="U507" s="204">
        <f t="shared" si="279"/>
        <v>43677</v>
      </c>
      <c r="V507" s="207">
        <f t="shared" si="308"/>
        <v>0</v>
      </c>
      <c r="W507" s="206" t="str">
        <f t="shared" si="305"/>
        <v/>
      </c>
      <c r="X507" s="206">
        <f t="shared" si="306"/>
        <v>0</v>
      </c>
      <c r="Y507" s="209">
        <f t="shared" si="307"/>
        <v>0</v>
      </c>
    </row>
    <row r="508" spans="2:25" ht="15.75" hidden="1" thickBot="1" x14ac:dyDescent="0.3">
      <c r="B508" s="60">
        <f>B503</f>
        <v>24</v>
      </c>
      <c r="C508" s="102">
        <v>167</v>
      </c>
      <c r="D508" s="192" t="str">
        <f t="shared" si="288"/>
        <v>II</v>
      </c>
      <c r="E508" s="62"/>
      <c r="F508" s="105"/>
      <c r="G508" s="105"/>
      <c r="H508" s="61"/>
      <c r="I508" s="61"/>
      <c r="J508" s="62"/>
      <c r="K508" s="63"/>
      <c r="L508" s="61"/>
      <c r="M508" s="61"/>
      <c r="N508" s="111"/>
      <c r="O508" s="112"/>
      <c r="P508" s="113"/>
      <c r="Q508" s="114"/>
      <c r="R508" s="64"/>
      <c r="S508" s="108"/>
      <c r="T508" s="203">
        <f t="shared" si="278"/>
        <v>43647</v>
      </c>
      <c r="U508" s="204">
        <f t="shared" si="279"/>
        <v>43677</v>
      </c>
      <c r="V508" s="207">
        <f t="shared" si="308"/>
        <v>0</v>
      </c>
      <c r="W508" s="206" t="str">
        <f t="shared" si="305"/>
        <v/>
      </c>
      <c r="X508" s="206">
        <f t="shared" si="306"/>
        <v>0</v>
      </c>
      <c r="Y508" s="209">
        <f t="shared" si="307"/>
        <v>0</v>
      </c>
    </row>
    <row r="509" spans="2:25" ht="15.75" hidden="1" thickBot="1" x14ac:dyDescent="0.3">
      <c r="B509" s="141">
        <f>B503</f>
        <v>24</v>
      </c>
      <c r="C509" s="142">
        <v>168</v>
      </c>
      <c r="D509" s="194" t="str">
        <f t="shared" si="288"/>
        <v>II</v>
      </c>
      <c r="E509" s="143"/>
      <c r="F509" s="144"/>
      <c r="G509" s="144"/>
      <c r="H509" s="145"/>
      <c r="I509" s="145"/>
      <c r="J509" s="436" t="s">
        <v>181</v>
      </c>
      <c r="K509" s="437"/>
      <c r="L509" s="438"/>
      <c r="M509" s="145"/>
      <c r="N509" s="146"/>
      <c r="O509" s="147"/>
      <c r="P509" s="148"/>
      <c r="Q509" s="149"/>
      <c r="R509" s="150"/>
      <c r="S509" s="151"/>
      <c r="T509" s="213">
        <f t="shared" si="278"/>
        <v>43647</v>
      </c>
      <c r="U509" s="214">
        <f t="shared" si="279"/>
        <v>43677</v>
      </c>
      <c r="V509" s="210">
        <f t="shared" si="308"/>
        <v>0</v>
      </c>
      <c r="W509" s="211"/>
      <c r="X509" s="211">
        <f>IF(AND($V509&gt;0,$I509=1),IF($E509=10,P509/10,P509/$V509),0)</f>
        <v>0</v>
      </c>
      <c r="Y509" s="212">
        <f>IF(AND($V503&gt;0,$I509&lt;&gt;1),Q509/E503*V503,0)</f>
        <v>0</v>
      </c>
    </row>
    <row r="510" spans="2:25" ht="16.5" hidden="1" thickTop="1" thickBot="1" x14ac:dyDescent="0.3">
      <c r="B510" s="129">
        <f>B508+1</f>
        <v>25</v>
      </c>
      <c r="C510" s="130">
        <v>169</v>
      </c>
      <c r="D510" s="196" t="str">
        <f t="shared" si="288"/>
        <v>II</v>
      </c>
      <c r="E510" s="152"/>
      <c r="F510" s="153"/>
      <c r="G510" s="153"/>
      <c r="H510" s="154"/>
      <c r="I510" s="154"/>
      <c r="J510" s="152"/>
      <c r="K510" s="155"/>
      <c r="L510" s="154"/>
      <c r="M510" s="154"/>
      <c r="N510" s="156"/>
      <c r="O510" s="157"/>
      <c r="P510" s="158"/>
      <c r="Q510" s="159"/>
      <c r="R510" s="160"/>
      <c r="S510" s="161"/>
      <c r="T510" s="203">
        <f t="shared" si="278"/>
        <v>43647</v>
      </c>
      <c r="U510" s="204">
        <f t="shared" si="279"/>
        <v>43677</v>
      </c>
      <c r="V510" s="207">
        <f>IF(G510-F510+1-IF(G510-U510&gt;0,G510-U510,0)-IF(T510-F510&gt;0,T510-F510,0)&gt;0,G510-F510+1-IF(G510-U510&gt;0,G510-U510,0)-IF(T510-F510&gt;0,T510-F510,0),0)</f>
        <v>0</v>
      </c>
      <c r="W510" s="206" t="str">
        <f t="shared" ref="W510:W515" si="309">IF(V510&gt;0,H510,"")</f>
        <v/>
      </c>
      <c r="X510" s="206">
        <f t="shared" ref="X510:X515" si="310">IF(AND($V510&gt;0,$I510=1),P510/$E510*$V510,0)</f>
        <v>0</v>
      </c>
      <c r="Y510" s="209">
        <f t="shared" ref="Y510:Y515" si="311">IF(AND($V510&gt;0,$I510&lt;&gt;1),Q510/$E510*$V510,0)</f>
        <v>0</v>
      </c>
    </row>
    <row r="511" spans="2:25" ht="15.75" hidden="1" thickBot="1" x14ac:dyDescent="0.3">
      <c r="B511" s="60">
        <f>B510</f>
        <v>25</v>
      </c>
      <c r="C511" s="102">
        <v>170</v>
      </c>
      <c r="D511" s="192" t="str">
        <f t="shared" si="288"/>
        <v>II</v>
      </c>
      <c r="E511" s="162"/>
      <c r="F511" s="163"/>
      <c r="G511" s="163"/>
      <c r="H511" s="164"/>
      <c r="I511" s="164"/>
      <c r="J511" s="162"/>
      <c r="K511" s="165"/>
      <c r="L511" s="164"/>
      <c r="M511" s="164"/>
      <c r="N511" s="166"/>
      <c r="O511" s="167"/>
      <c r="P511" s="168"/>
      <c r="Q511" s="169"/>
      <c r="R511" s="170"/>
      <c r="S511" s="171"/>
      <c r="T511" s="203">
        <f t="shared" si="278"/>
        <v>43647</v>
      </c>
      <c r="U511" s="204">
        <f t="shared" si="279"/>
        <v>43677</v>
      </c>
      <c r="V511" s="207">
        <f t="shared" ref="V511:V516" si="312">IF(G511-F511+1-IF(G511-U511&gt;0,G511-U511,0)-IF(T511-F511&gt;0,T511-F511,0)&gt;0,G511-F511+1-IF(G511-U511&gt;0,G511-U511,0)-IF(T511-F511&gt;0,T511-F511,0),0)</f>
        <v>0</v>
      </c>
      <c r="W511" s="206" t="str">
        <f t="shared" si="309"/>
        <v/>
      </c>
      <c r="X511" s="206">
        <f t="shared" si="310"/>
        <v>0</v>
      </c>
      <c r="Y511" s="209">
        <f t="shared" si="311"/>
        <v>0</v>
      </c>
    </row>
    <row r="512" spans="2:25" ht="15.75" hidden="1" thickBot="1" x14ac:dyDescent="0.3">
      <c r="B512" s="60">
        <f>B510</f>
        <v>25</v>
      </c>
      <c r="C512" s="102">
        <v>171</v>
      </c>
      <c r="D512" s="192" t="str">
        <f t="shared" si="288"/>
        <v>II</v>
      </c>
      <c r="E512" s="162"/>
      <c r="F512" s="163"/>
      <c r="G512" s="163"/>
      <c r="H512" s="164"/>
      <c r="I512" s="164"/>
      <c r="J512" s="162"/>
      <c r="K512" s="165"/>
      <c r="L512" s="164"/>
      <c r="M512" s="164"/>
      <c r="N512" s="166"/>
      <c r="O512" s="167"/>
      <c r="P512" s="168"/>
      <c r="Q512" s="169"/>
      <c r="R512" s="170"/>
      <c r="S512" s="171"/>
      <c r="T512" s="203">
        <f t="shared" si="278"/>
        <v>43647</v>
      </c>
      <c r="U512" s="204">
        <f t="shared" si="279"/>
        <v>43677</v>
      </c>
      <c r="V512" s="207">
        <f t="shared" si="312"/>
        <v>0</v>
      </c>
      <c r="W512" s="206" t="str">
        <f t="shared" si="309"/>
        <v/>
      </c>
      <c r="X512" s="206">
        <f t="shared" si="310"/>
        <v>0</v>
      </c>
      <c r="Y512" s="209">
        <f t="shared" si="311"/>
        <v>0</v>
      </c>
    </row>
    <row r="513" spans="2:25" ht="15.75" hidden="1" thickBot="1" x14ac:dyDescent="0.3">
      <c r="B513" s="60">
        <f>B510</f>
        <v>25</v>
      </c>
      <c r="C513" s="102">
        <v>172</v>
      </c>
      <c r="D513" s="192" t="str">
        <f t="shared" si="288"/>
        <v>II</v>
      </c>
      <c r="E513" s="162"/>
      <c r="F513" s="163"/>
      <c r="G513" s="163"/>
      <c r="H513" s="164"/>
      <c r="I513" s="164"/>
      <c r="J513" s="162"/>
      <c r="K513" s="165"/>
      <c r="L513" s="164"/>
      <c r="M513" s="164"/>
      <c r="N513" s="166"/>
      <c r="O513" s="167"/>
      <c r="P513" s="168"/>
      <c r="Q513" s="169"/>
      <c r="R513" s="170"/>
      <c r="S513" s="171"/>
      <c r="T513" s="203">
        <f t="shared" si="278"/>
        <v>43647</v>
      </c>
      <c r="U513" s="204">
        <f t="shared" si="279"/>
        <v>43677</v>
      </c>
      <c r="V513" s="207">
        <f t="shared" si="312"/>
        <v>0</v>
      </c>
      <c r="W513" s="206" t="str">
        <f t="shared" si="309"/>
        <v/>
      </c>
      <c r="X513" s="206">
        <f t="shared" si="310"/>
        <v>0</v>
      </c>
      <c r="Y513" s="209">
        <f t="shared" si="311"/>
        <v>0</v>
      </c>
    </row>
    <row r="514" spans="2:25" ht="15.75" hidden="1" thickBot="1" x14ac:dyDescent="0.3">
      <c r="B514" s="60">
        <f>B510</f>
        <v>25</v>
      </c>
      <c r="C514" s="102">
        <v>173</v>
      </c>
      <c r="D514" s="192" t="str">
        <f t="shared" si="288"/>
        <v>II</v>
      </c>
      <c r="E514" s="162"/>
      <c r="F514" s="163"/>
      <c r="G514" s="163"/>
      <c r="H514" s="164"/>
      <c r="I514" s="164"/>
      <c r="J514" s="162"/>
      <c r="K514" s="165"/>
      <c r="L514" s="164"/>
      <c r="M514" s="164"/>
      <c r="N514" s="166"/>
      <c r="O514" s="167"/>
      <c r="P514" s="168"/>
      <c r="Q514" s="169"/>
      <c r="R514" s="170"/>
      <c r="S514" s="171"/>
      <c r="T514" s="203">
        <f t="shared" si="278"/>
        <v>43647</v>
      </c>
      <c r="U514" s="204">
        <f t="shared" si="279"/>
        <v>43677</v>
      </c>
      <c r="V514" s="207">
        <f t="shared" si="312"/>
        <v>0</v>
      </c>
      <c r="W514" s="206" t="str">
        <f t="shared" si="309"/>
        <v/>
      </c>
      <c r="X514" s="206">
        <f t="shared" si="310"/>
        <v>0</v>
      </c>
      <c r="Y514" s="209">
        <f t="shared" si="311"/>
        <v>0</v>
      </c>
    </row>
    <row r="515" spans="2:25" ht="15.75" hidden="1" thickBot="1" x14ac:dyDescent="0.3">
      <c r="B515" s="60">
        <f>B510</f>
        <v>25</v>
      </c>
      <c r="C515" s="102">
        <v>174</v>
      </c>
      <c r="D515" s="192" t="str">
        <f t="shared" si="288"/>
        <v>II</v>
      </c>
      <c r="E515" s="172"/>
      <c r="F515" s="173"/>
      <c r="G515" s="173"/>
      <c r="H515" s="174"/>
      <c r="I515" s="174"/>
      <c r="J515" s="172"/>
      <c r="K515" s="175"/>
      <c r="L515" s="174"/>
      <c r="M515" s="174"/>
      <c r="N515" s="176"/>
      <c r="O515" s="177"/>
      <c r="P515" s="178"/>
      <c r="Q515" s="179"/>
      <c r="R515" s="180"/>
      <c r="S515" s="181"/>
      <c r="T515" s="203">
        <f t="shared" si="278"/>
        <v>43647</v>
      </c>
      <c r="U515" s="204">
        <f t="shared" si="279"/>
        <v>43677</v>
      </c>
      <c r="V515" s="207">
        <f t="shared" si="312"/>
        <v>0</v>
      </c>
      <c r="W515" s="206" t="str">
        <f t="shared" si="309"/>
        <v/>
      </c>
      <c r="X515" s="206">
        <f t="shared" si="310"/>
        <v>0</v>
      </c>
      <c r="Y515" s="209">
        <f t="shared" si="311"/>
        <v>0</v>
      </c>
    </row>
    <row r="516" spans="2:25" ht="15.75" hidden="1" thickBot="1" x14ac:dyDescent="0.3">
      <c r="B516" s="141">
        <f>B510</f>
        <v>25</v>
      </c>
      <c r="C516" s="142">
        <v>175</v>
      </c>
      <c r="D516" s="194" t="str">
        <f t="shared" si="288"/>
        <v>II</v>
      </c>
      <c r="E516" s="189"/>
      <c r="F516" s="190"/>
      <c r="G516" s="190"/>
      <c r="H516" s="182"/>
      <c r="I516" s="182"/>
      <c r="J516" s="436" t="s">
        <v>181</v>
      </c>
      <c r="K516" s="437"/>
      <c r="L516" s="438"/>
      <c r="M516" s="182"/>
      <c r="N516" s="183"/>
      <c r="O516" s="184"/>
      <c r="P516" s="185"/>
      <c r="Q516" s="186"/>
      <c r="R516" s="187"/>
      <c r="S516" s="188"/>
      <c r="T516" s="213">
        <f t="shared" si="278"/>
        <v>43647</v>
      </c>
      <c r="U516" s="214">
        <f t="shared" si="279"/>
        <v>43677</v>
      </c>
      <c r="V516" s="210">
        <f t="shared" si="312"/>
        <v>0</v>
      </c>
      <c r="W516" s="211"/>
      <c r="X516" s="211">
        <f>IF(AND($V516&gt;0,$I516=1),IF($E516=10,P516/10,P516/$V516),0)</f>
        <v>0</v>
      </c>
      <c r="Y516" s="212">
        <f>IF(AND($V510&gt;0,$I516&lt;&gt;1),Q516/E510*V510,0)</f>
        <v>0</v>
      </c>
    </row>
    <row r="517" spans="2:25" ht="16.5" hidden="1" thickTop="1" thickBot="1" x14ac:dyDescent="0.3">
      <c r="B517" s="129">
        <f>B515+1</f>
        <v>26</v>
      </c>
      <c r="C517" s="130">
        <v>176</v>
      </c>
      <c r="D517" s="196" t="str">
        <f t="shared" si="288"/>
        <v>II</v>
      </c>
      <c r="E517" s="131"/>
      <c r="F517" s="132"/>
      <c r="G517" s="132"/>
      <c r="H517" s="133"/>
      <c r="I517" s="133"/>
      <c r="J517" s="131"/>
      <c r="K517" s="134"/>
      <c r="L517" s="133"/>
      <c r="M517" s="133"/>
      <c r="N517" s="135"/>
      <c r="O517" s="136"/>
      <c r="P517" s="137"/>
      <c r="Q517" s="138"/>
      <c r="R517" s="139"/>
      <c r="S517" s="140"/>
      <c r="T517" s="203">
        <f t="shared" si="278"/>
        <v>43647</v>
      </c>
      <c r="U517" s="204">
        <f t="shared" si="279"/>
        <v>43677</v>
      </c>
      <c r="V517" s="207">
        <f>IF(G517-F517+1-IF(G517-U517&gt;0,G517-U517,0)-IF(T517-F517&gt;0,T517-F517,0)&gt;0,G517-F517+1-IF(G517-U517&gt;0,G517-U517,0)-IF(T517-F517&gt;0,T517-F517,0),0)</f>
        <v>0</v>
      </c>
      <c r="W517" s="206" t="str">
        <f t="shared" ref="W517:W522" si="313">IF(V517&gt;0,H517,"")</f>
        <v/>
      </c>
      <c r="X517" s="206">
        <f t="shared" ref="X517:X522" si="314">IF(AND($V517&gt;0,$I517=1),P517/$E517*$V517,0)</f>
        <v>0</v>
      </c>
      <c r="Y517" s="209">
        <f t="shared" ref="Y517:Y522" si="315">IF(AND($V517&gt;0,$I517&lt;&gt;1),Q517/$E517*$V517,0)</f>
        <v>0</v>
      </c>
    </row>
    <row r="518" spans="2:25" ht="15.75" hidden="1" thickBot="1" x14ac:dyDescent="0.3">
      <c r="B518" s="60">
        <f>B517</f>
        <v>26</v>
      </c>
      <c r="C518" s="102">
        <v>177</v>
      </c>
      <c r="D518" s="192" t="str">
        <f t="shared" si="288"/>
        <v>II</v>
      </c>
      <c r="E518" s="62"/>
      <c r="F518" s="105"/>
      <c r="G518" s="105"/>
      <c r="H518" s="61"/>
      <c r="I518" s="61"/>
      <c r="J518" s="62"/>
      <c r="K518" s="63"/>
      <c r="L518" s="61"/>
      <c r="M518" s="61"/>
      <c r="N518" s="111"/>
      <c r="O518" s="112"/>
      <c r="P518" s="113"/>
      <c r="Q518" s="114"/>
      <c r="R518" s="64"/>
      <c r="S518" s="108"/>
      <c r="T518" s="203">
        <f t="shared" si="278"/>
        <v>43647</v>
      </c>
      <c r="U518" s="204">
        <f t="shared" si="279"/>
        <v>43677</v>
      </c>
      <c r="V518" s="207">
        <f t="shared" ref="V518:V523" si="316">IF(G518-F518+1-IF(G518-U518&gt;0,G518-U518,0)-IF(T518-F518&gt;0,T518-F518,0)&gt;0,G518-F518+1-IF(G518-U518&gt;0,G518-U518,0)-IF(T518-F518&gt;0,T518-F518,0),0)</f>
        <v>0</v>
      </c>
      <c r="W518" s="206" t="str">
        <f t="shared" si="313"/>
        <v/>
      </c>
      <c r="X518" s="206">
        <f t="shared" si="314"/>
        <v>0</v>
      </c>
      <c r="Y518" s="209">
        <f t="shared" si="315"/>
        <v>0</v>
      </c>
    </row>
    <row r="519" spans="2:25" ht="15.75" hidden="1" thickBot="1" x14ac:dyDescent="0.3">
      <c r="B519" s="60">
        <f>B517</f>
        <v>26</v>
      </c>
      <c r="C519" s="102">
        <v>178</v>
      </c>
      <c r="D519" s="192" t="str">
        <f t="shared" si="288"/>
        <v>II</v>
      </c>
      <c r="E519" s="62"/>
      <c r="F519" s="105"/>
      <c r="G519" s="105"/>
      <c r="H519" s="61"/>
      <c r="I519" s="61"/>
      <c r="J519" s="62"/>
      <c r="K519" s="63"/>
      <c r="L519" s="61"/>
      <c r="M519" s="61"/>
      <c r="N519" s="111"/>
      <c r="O519" s="112"/>
      <c r="P519" s="113"/>
      <c r="Q519" s="114"/>
      <c r="R519" s="64"/>
      <c r="S519" s="108"/>
      <c r="T519" s="203">
        <f t="shared" si="278"/>
        <v>43647</v>
      </c>
      <c r="U519" s="204">
        <f t="shared" si="279"/>
        <v>43677</v>
      </c>
      <c r="V519" s="207">
        <f t="shared" si="316"/>
        <v>0</v>
      </c>
      <c r="W519" s="206" t="str">
        <f t="shared" si="313"/>
        <v/>
      </c>
      <c r="X519" s="206">
        <f t="shared" si="314"/>
        <v>0</v>
      </c>
      <c r="Y519" s="209">
        <f t="shared" si="315"/>
        <v>0</v>
      </c>
    </row>
    <row r="520" spans="2:25" ht="15.75" hidden="1" thickBot="1" x14ac:dyDescent="0.3">
      <c r="B520" s="60">
        <f>B517</f>
        <v>26</v>
      </c>
      <c r="C520" s="102">
        <v>179</v>
      </c>
      <c r="D520" s="192" t="str">
        <f t="shared" si="288"/>
        <v>II</v>
      </c>
      <c r="E520" s="62"/>
      <c r="F520" s="105"/>
      <c r="G520" s="105"/>
      <c r="H520" s="61"/>
      <c r="I520" s="61"/>
      <c r="J520" s="62"/>
      <c r="K520" s="63"/>
      <c r="L520" s="61"/>
      <c r="M520" s="61"/>
      <c r="N520" s="111"/>
      <c r="O520" s="112"/>
      <c r="P520" s="113"/>
      <c r="Q520" s="114"/>
      <c r="R520" s="64"/>
      <c r="S520" s="108"/>
      <c r="T520" s="203">
        <f t="shared" si="278"/>
        <v>43647</v>
      </c>
      <c r="U520" s="204">
        <f t="shared" si="279"/>
        <v>43677</v>
      </c>
      <c r="V520" s="207">
        <f t="shared" si="316"/>
        <v>0</v>
      </c>
      <c r="W520" s="206" t="str">
        <f t="shared" si="313"/>
        <v/>
      </c>
      <c r="X520" s="206">
        <f t="shared" si="314"/>
        <v>0</v>
      </c>
      <c r="Y520" s="209">
        <f t="shared" si="315"/>
        <v>0</v>
      </c>
    </row>
    <row r="521" spans="2:25" ht="15.75" hidden="1" thickBot="1" x14ac:dyDescent="0.3">
      <c r="B521" s="60">
        <f>B517</f>
        <v>26</v>
      </c>
      <c r="C521" s="102">
        <v>180</v>
      </c>
      <c r="D521" s="192" t="str">
        <f t="shared" si="288"/>
        <v>II</v>
      </c>
      <c r="E521" s="62"/>
      <c r="F521" s="105"/>
      <c r="G521" s="105"/>
      <c r="H521" s="61"/>
      <c r="I521" s="61"/>
      <c r="J521" s="62"/>
      <c r="K521" s="63"/>
      <c r="L521" s="61"/>
      <c r="M521" s="61"/>
      <c r="N521" s="111"/>
      <c r="O521" s="112"/>
      <c r="P521" s="113"/>
      <c r="Q521" s="114"/>
      <c r="R521" s="64"/>
      <c r="S521" s="108"/>
      <c r="T521" s="203">
        <f t="shared" si="278"/>
        <v>43647</v>
      </c>
      <c r="U521" s="204">
        <f t="shared" si="279"/>
        <v>43677</v>
      </c>
      <c r="V521" s="207">
        <f t="shared" si="316"/>
        <v>0</v>
      </c>
      <c r="W521" s="206" t="str">
        <f t="shared" si="313"/>
        <v/>
      </c>
      <c r="X521" s="206">
        <f t="shared" si="314"/>
        <v>0</v>
      </c>
      <c r="Y521" s="209">
        <f t="shared" si="315"/>
        <v>0</v>
      </c>
    </row>
    <row r="522" spans="2:25" ht="15.75" hidden="1" thickBot="1" x14ac:dyDescent="0.3">
      <c r="B522" s="60">
        <f>B517</f>
        <v>26</v>
      </c>
      <c r="C522" s="102">
        <v>181</v>
      </c>
      <c r="D522" s="192" t="str">
        <f t="shared" si="288"/>
        <v>II</v>
      </c>
      <c r="E522" s="62"/>
      <c r="F522" s="105"/>
      <c r="G522" s="105"/>
      <c r="H522" s="61"/>
      <c r="I522" s="61"/>
      <c r="J522" s="62"/>
      <c r="K522" s="63"/>
      <c r="L522" s="61"/>
      <c r="M522" s="61"/>
      <c r="N522" s="111"/>
      <c r="O522" s="112"/>
      <c r="P522" s="113"/>
      <c r="Q522" s="114"/>
      <c r="R522" s="64"/>
      <c r="S522" s="108"/>
      <c r="T522" s="203">
        <f t="shared" si="278"/>
        <v>43647</v>
      </c>
      <c r="U522" s="204">
        <f t="shared" si="279"/>
        <v>43677</v>
      </c>
      <c r="V522" s="207">
        <f t="shared" si="316"/>
        <v>0</v>
      </c>
      <c r="W522" s="206" t="str">
        <f t="shared" si="313"/>
        <v/>
      </c>
      <c r="X522" s="206">
        <f t="shared" si="314"/>
        <v>0</v>
      </c>
      <c r="Y522" s="209">
        <f t="shared" si="315"/>
        <v>0</v>
      </c>
    </row>
    <row r="523" spans="2:25" ht="15.75" hidden="1" thickBot="1" x14ac:dyDescent="0.3">
      <c r="B523" s="141">
        <f>B517</f>
        <v>26</v>
      </c>
      <c r="C523" s="142">
        <v>182</v>
      </c>
      <c r="D523" s="194" t="str">
        <f t="shared" si="288"/>
        <v>II</v>
      </c>
      <c r="E523" s="143"/>
      <c r="F523" s="144"/>
      <c r="G523" s="144"/>
      <c r="H523" s="145"/>
      <c r="I523" s="145"/>
      <c r="J523" s="436" t="s">
        <v>181</v>
      </c>
      <c r="K523" s="437"/>
      <c r="L523" s="438"/>
      <c r="M523" s="145"/>
      <c r="N523" s="146"/>
      <c r="O523" s="147"/>
      <c r="P523" s="148"/>
      <c r="Q523" s="149"/>
      <c r="R523" s="150"/>
      <c r="S523" s="151"/>
      <c r="T523" s="213">
        <f t="shared" si="278"/>
        <v>43647</v>
      </c>
      <c r="U523" s="214">
        <f t="shared" si="279"/>
        <v>43677</v>
      </c>
      <c r="V523" s="210">
        <f t="shared" si="316"/>
        <v>0</v>
      </c>
      <c r="W523" s="211"/>
      <c r="X523" s="211">
        <f>IF(AND($V523&gt;0,$I523=1),IF($E523=10,P523/10,P523/$V523),0)</f>
        <v>0</v>
      </c>
      <c r="Y523" s="212">
        <f>IF(AND($V517&gt;0,$I523&lt;&gt;1),Q523/E517*V517,0)</f>
        <v>0</v>
      </c>
    </row>
    <row r="524" spans="2:25" ht="16.5" hidden="1" thickTop="1" thickBot="1" x14ac:dyDescent="0.3">
      <c r="B524" s="129">
        <f>B522+1</f>
        <v>27</v>
      </c>
      <c r="C524" s="130">
        <v>183</v>
      </c>
      <c r="D524" s="196" t="str">
        <f t="shared" si="288"/>
        <v>II</v>
      </c>
      <c r="E524" s="152"/>
      <c r="F524" s="153"/>
      <c r="G524" s="153"/>
      <c r="H524" s="154"/>
      <c r="I524" s="154"/>
      <c r="J524" s="152"/>
      <c r="K524" s="155"/>
      <c r="L524" s="154"/>
      <c r="M524" s="154"/>
      <c r="N524" s="156"/>
      <c r="O524" s="157"/>
      <c r="P524" s="158"/>
      <c r="Q524" s="159"/>
      <c r="R524" s="160"/>
      <c r="S524" s="161"/>
      <c r="T524" s="203">
        <f t="shared" si="278"/>
        <v>43647</v>
      </c>
      <c r="U524" s="204">
        <f t="shared" si="279"/>
        <v>43677</v>
      </c>
      <c r="V524" s="207">
        <f>IF(G524-F524+1-IF(G524-U524&gt;0,G524-U524,0)-IF(T524-F524&gt;0,T524-F524,0)&gt;0,G524-F524+1-IF(G524-U524&gt;0,G524-U524,0)-IF(T524-F524&gt;0,T524-F524,0),0)</f>
        <v>0</v>
      </c>
      <c r="W524" s="206" t="str">
        <f t="shared" ref="W524:W529" si="317">IF(V524&gt;0,H524,"")</f>
        <v/>
      </c>
      <c r="X524" s="206">
        <f t="shared" ref="X524:X529" si="318">IF(AND($V524&gt;0,$I524=1),P524/$E524*$V524,0)</f>
        <v>0</v>
      </c>
      <c r="Y524" s="209">
        <f t="shared" ref="Y524:Y529" si="319">IF(AND($V524&gt;0,$I524&lt;&gt;1),Q524/$E524*$V524,0)</f>
        <v>0</v>
      </c>
    </row>
    <row r="525" spans="2:25" ht="15.75" hidden="1" thickBot="1" x14ac:dyDescent="0.3">
      <c r="B525" s="60">
        <f>B524</f>
        <v>27</v>
      </c>
      <c r="C525" s="102">
        <v>184</v>
      </c>
      <c r="D525" s="192" t="str">
        <f t="shared" si="288"/>
        <v>II</v>
      </c>
      <c r="E525" s="162"/>
      <c r="F525" s="163"/>
      <c r="G525" s="163"/>
      <c r="H525" s="164"/>
      <c r="I525" s="164"/>
      <c r="J525" s="162"/>
      <c r="K525" s="165"/>
      <c r="L525" s="164"/>
      <c r="M525" s="164"/>
      <c r="N525" s="166"/>
      <c r="O525" s="167"/>
      <c r="P525" s="168"/>
      <c r="Q525" s="169"/>
      <c r="R525" s="170"/>
      <c r="S525" s="171"/>
      <c r="T525" s="203">
        <f t="shared" ref="T525:T588" si="320">$F$4</f>
        <v>43647</v>
      </c>
      <c r="U525" s="204">
        <f t="shared" ref="U525:U588" si="321">$G$4</f>
        <v>43677</v>
      </c>
      <c r="V525" s="207">
        <f t="shared" ref="V525:V530" si="322">IF(G525-F525+1-IF(G525-U525&gt;0,G525-U525,0)-IF(T525-F525&gt;0,T525-F525,0)&gt;0,G525-F525+1-IF(G525-U525&gt;0,G525-U525,0)-IF(T525-F525&gt;0,T525-F525,0),0)</f>
        <v>0</v>
      </c>
      <c r="W525" s="206" t="str">
        <f t="shared" si="317"/>
        <v/>
      </c>
      <c r="X525" s="206">
        <f t="shared" si="318"/>
        <v>0</v>
      </c>
      <c r="Y525" s="209">
        <f t="shared" si="319"/>
        <v>0</v>
      </c>
    </row>
    <row r="526" spans="2:25" ht="15.75" hidden="1" thickBot="1" x14ac:dyDescent="0.3">
      <c r="B526" s="60">
        <f>B524</f>
        <v>27</v>
      </c>
      <c r="C526" s="102">
        <v>185</v>
      </c>
      <c r="D526" s="192" t="str">
        <f t="shared" si="288"/>
        <v>II</v>
      </c>
      <c r="E526" s="162"/>
      <c r="F526" s="163"/>
      <c r="G526" s="163"/>
      <c r="H526" s="164"/>
      <c r="I526" s="164"/>
      <c r="J526" s="162"/>
      <c r="K526" s="165"/>
      <c r="L526" s="164"/>
      <c r="M526" s="164"/>
      <c r="N526" s="166"/>
      <c r="O526" s="167"/>
      <c r="P526" s="168"/>
      <c r="Q526" s="169"/>
      <c r="R526" s="170"/>
      <c r="S526" s="171"/>
      <c r="T526" s="203">
        <f t="shared" si="320"/>
        <v>43647</v>
      </c>
      <c r="U526" s="204">
        <f t="shared" si="321"/>
        <v>43677</v>
      </c>
      <c r="V526" s="207">
        <f t="shared" si="322"/>
        <v>0</v>
      </c>
      <c r="W526" s="206" t="str">
        <f t="shared" si="317"/>
        <v/>
      </c>
      <c r="X526" s="206">
        <f t="shared" si="318"/>
        <v>0</v>
      </c>
      <c r="Y526" s="209">
        <f t="shared" si="319"/>
        <v>0</v>
      </c>
    </row>
    <row r="527" spans="2:25" ht="15.75" hidden="1" thickBot="1" x14ac:dyDescent="0.3">
      <c r="B527" s="60">
        <f>B524</f>
        <v>27</v>
      </c>
      <c r="C527" s="102">
        <v>186</v>
      </c>
      <c r="D527" s="192" t="str">
        <f t="shared" si="288"/>
        <v>II</v>
      </c>
      <c r="E527" s="162"/>
      <c r="F527" s="163"/>
      <c r="G527" s="163"/>
      <c r="H527" s="164"/>
      <c r="I527" s="164"/>
      <c r="J527" s="162"/>
      <c r="K527" s="165"/>
      <c r="L527" s="164"/>
      <c r="M527" s="164"/>
      <c r="N527" s="166"/>
      <c r="O527" s="167"/>
      <c r="P527" s="168"/>
      <c r="Q527" s="169"/>
      <c r="R527" s="170"/>
      <c r="S527" s="171"/>
      <c r="T527" s="203">
        <f t="shared" si="320"/>
        <v>43647</v>
      </c>
      <c r="U527" s="204">
        <f t="shared" si="321"/>
        <v>43677</v>
      </c>
      <c r="V527" s="207">
        <f t="shared" si="322"/>
        <v>0</v>
      </c>
      <c r="W527" s="206" t="str">
        <f t="shared" si="317"/>
        <v/>
      </c>
      <c r="X527" s="206">
        <f t="shared" si="318"/>
        <v>0</v>
      </c>
      <c r="Y527" s="209">
        <f t="shared" si="319"/>
        <v>0</v>
      </c>
    </row>
    <row r="528" spans="2:25" ht="15.75" hidden="1" thickBot="1" x14ac:dyDescent="0.3">
      <c r="B528" s="60">
        <f>B524</f>
        <v>27</v>
      </c>
      <c r="C528" s="102">
        <v>187</v>
      </c>
      <c r="D528" s="192" t="str">
        <f t="shared" si="288"/>
        <v>II</v>
      </c>
      <c r="E528" s="162"/>
      <c r="F528" s="163"/>
      <c r="G528" s="163"/>
      <c r="H528" s="164"/>
      <c r="I528" s="164"/>
      <c r="J528" s="162"/>
      <c r="K528" s="165"/>
      <c r="L528" s="164"/>
      <c r="M528" s="164"/>
      <c r="N528" s="166"/>
      <c r="O528" s="167"/>
      <c r="P528" s="168"/>
      <c r="Q528" s="169"/>
      <c r="R528" s="170"/>
      <c r="S528" s="171"/>
      <c r="T528" s="203">
        <f t="shared" si="320"/>
        <v>43647</v>
      </c>
      <c r="U528" s="204">
        <f t="shared" si="321"/>
        <v>43677</v>
      </c>
      <c r="V528" s="207">
        <f t="shared" si="322"/>
        <v>0</v>
      </c>
      <c r="W528" s="206" t="str">
        <f t="shared" si="317"/>
        <v/>
      </c>
      <c r="X528" s="206">
        <f t="shared" si="318"/>
        <v>0</v>
      </c>
      <c r="Y528" s="209">
        <f t="shared" si="319"/>
        <v>0</v>
      </c>
    </row>
    <row r="529" spans="2:25" ht="15.75" hidden="1" thickBot="1" x14ac:dyDescent="0.3">
      <c r="B529" s="60">
        <f>B524</f>
        <v>27</v>
      </c>
      <c r="C529" s="102">
        <v>188</v>
      </c>
      <c r="D529" s="192" t="str">
        <f t="shared" si="288"/>
        <v>II</v>
      </c>
      <c r="E529" s="172"/>
      <c r="F529" s="173"/>
      <c r="G529" s="173"/>
      <c r="H529" s="174"/>
      <c r="I529" s="174"/>
      <c r="J529" s="172"/>
      <c r="K529" s="175"/>
      <c r="L529" s="174"/>
      <c r="M529" s="174"/>
      <c r="N529" s="176"/>
      <c r="O529" s="177"/>
      <c r="P529" s="178"/>
      <c r="Q529" s="179"/>
      <c r="R529" s="180"/>
      <c r="S529" s="181"/>
      <c r="T529" s="203">
        <f t="shared" si="320"/>
        <v>43647</v>
      </c>
      <c r="U529" s="204">
        <f t="shared" si="321"/>
        <v>43677</v>
      </c>
      <c r="V529" s="207">
        <f t="shared" si="322"/>
        <v>0</v>
      </c>
      <c r="W529" s="206" t="str">
        <f t="shared" si="317"/>
        <v/>
      </c>
      <c r="X529" s="206">
        <f t="shared" si="318"/>
        <v>0</v>
      </c>
      <c r="Y529" s="209">
        <f t="shared" si="319"/>
        <v>0</v>
      </c>
    </row>
    <row r="530" spans="2:25" ht="15.75" hidden="1" thickBot="1" x14ac:dyDescent="0.3">
      <c r="B530" s="141">
        <f>B524</f>
        <v>27</v>
      </c>
      <c r="C530" s="142">
        <v>189</v>
      </c>
      <c r="D530" s="194" t="str">
        <f t="shared" si="288"/>
        <v>II</v>
      </c>
      <c r="E530" s="189"/>
      <c r="F530" s="190"/>
      <c r="G530" s="190"/>
      <c r="H530" s="182"/>
      <c r="I530" s="182"/>
      <c r="J530" s="436" t="s">
        <v>181</v>
      </c>
      <c r="K530" s="437"/>
      <c r="L530" s="438"/>
      <c r="M530" s="182"/>
      <c r="N530" s="183"/>
      <c r="O530" s="184"/>
      <c r="P530" s="185"/>
      <c r="Q530" s="186"/>
      <c r="R530" s="187"/>
      <c r="S530" s="188"/>
      <c r="T530" s="213">
        <f t="shared" si="320"/>
        <v>43647</v>
      </c>
      <c r="U530" s="214">
        <f t="shared" si="321"/>
        <v>43677</v>
      </c>
      <c r="V530" s="210">
        <f t="shared" si="322"/>
        <v>0</v>
      </c>
      <c r="W530" s="211"/>
      <c r="X530" s="211">
        <f>IF(AND($V530&gt;0,$I530=1),IF($E530=10,P530/10,P530/$V530),0)</f>
        <v>0</v>
      </c>
      <c r="Y530" s="212">
        <f>IF(AND($V524&gt;0,$I530&lt;&gt;1),Q530/E524*V524,0)</f>
        <v>0</v>
      </c>
    </row>
    <row r="531" spans="2:25" ht="16.5" hidden="1" thickTop="1" thickBot="1" x14ac:dyDescent="0.3">
      <c r="B531" s="129">
        <f>B529+1</f>
        <v>28</v>
      </c>
      <c r="C531" s="130">
        <v>190</v>
      </c>
      <c r="D531" s="196" t="str">
        <f t="shared" si="288"/>
        <v>II</v>
      </c>
      <c r="E531" s="131"/>
      <c r="F531" s="132"/>
      <c r="G531" s="132"/>
      <c r="H531" s="133"/>
      <c r="I531" s="133"/>
      <c r="J531" s="131"/>
      <c r="K531" s="134"/>
      <c r="L531" s="133"/>
      <c r="M531" s="133"/>
      <c r="N531" s="135"/>
      <c r="O531" s="136"/>
      <c r="P531" s="137"/>
      <c r="Q531" s="138"/>
      <c r="R531" s="139"/>
      <c r="S531" s="140"/>
      <c r="T531" s="203">
        <f t="shared" si="320"/>
        <v>43647</v>
      </c>
      <c r="U531" s="204">
        <f t="shared" si="321"/>
        <v>43677</v>
      </c>
      <c r="V531" s="207">
        <f>IF(G531-F531+1-IF(G531-U531&gt;0,G531-U531,0)-IF(T531-F531&gt;0,T531-F531,0)&gt;0,G531-F531+1-IF(G531-U531&gt;0,G531-U531,0)-IF(T531-F531&gt;0,T531-F531,0),0)</f>
        <v>0</v>
      </c>
      <c r="W531" s="206" t="str">
        <f t="shared" ref="W531:W536" si="323">IF(V531&gt;0,H531,"")</f>
        <v/>
      </c>
      <c r="X531" s="206">
        <f t="shared" ref="X531:X536" si="324">IF(AND($V531&gt;0,$I531=1),P531/$E531*$V531,0)</f>
        <v>0</v>
      </c>
      <c r="Y531" s="209">
        <f t="shared" ref="Y531:Y536" si="325">IF(AND($V531&gt;0,$I531&lt;&gt;1),Q531/$E531*$V531,0)</f>
        <v>0</v>
      </c>
    </row>
    <row r="532" spans="2:25" ht="15.75" hidden="1" thickBot="1" x14ac:dyDescent="0.3">
      <c r="B532" s="60">
        <f>B531</f>
        <v>28</v>
      </c>
      <c r="C532" s="102">
        <v>191</v>
      </c>
      <c r="D532" s="192" t="str">
        <f t="shared" si="288"/>
        <v>II</v>
      </c>
      <c r="E532" s="62"/>
      <c r="F532" s="105"/>
      <c r="G532" s="105"/>
      <c r="H532" s="61"/>
      <c r="I532" s="61"/>
      <c r="J532" s="62"/>
      <c r="K532" s="63"/>
      <c r="L532" s="61"/>
      <c r="M532" s="61"/>
      <c r="N532" s="111"/>
      <c r="O532" s="112"/>
      <c r="P532" s="113"/>
      <c r="Q532" s="114"/>
      <c r="R532" s="64"/>
      <c r="S532" s="108"/>
      <c r="T532" s="203">
        <f t="shared" si="320"/>
        <v>43647</v>
      </c>
      <c r="U532" s="204">
        <f t="shared" si="321"/>
        <v>43677</v>
      </c>
      <c r="V532" s="207">
        <f t="shared" ref="V532:V537" si="326">IF(G532-F532+1-IF(G532-U532&gt;0,G532-U532,0)-IF(T532-F532&gt;0,T532-F532,0)&gt;0,G532-F532+1-IF(G532-U532&gt;0,G532-U532,0)-IF(T532-F532&gt;0,T532-F532,0),0)</f>
        <v>0</v>
      </c>
      <c r="W532" s="206" t="str">
        <f t="shared" si="323"/>
        <v/>
      </c>
      <c r="X532" s="206">
        <f t="shared" si="324"/>
        <v>0</v>
      </c>
      <c r="Y532" s="209">
        <f t="shared" si="325"/>
        <v>0</v>
      </c>
    </row>
    <row r="533" spans="2:25" ht="15.75" hidden="1" thickBot="1" x14ac:dyDescent="0.3">
      <c r="B533" s="60">
        <f>B531</f>
        <v>28</v>
      </c>
      <c r="C533" s="102">
        <v>192</v>
      </c>
      <c r="D533" s="192" t="str">
        <f t="shared" si="288"/>
        <v>II</v>
      </c>
      <c r="E533" s="62"/>
      <c r="F533" s="105"/>
      <c r="G533" s="105"/>
      <c r="H533" s="61"/>
      <c r="I533" s="61"/>
      <c r="J533" s="62"/>
      <c r="K533" s="63"/>
      <c r="L533" s="61"/>
      <c r="M533" s="61"/>
      <c r="N533" s="111"/>
      <c r="O533" s="112"/>
      <c r="P533" s="113"/>
      <c r="Q533" s="114"/>
      <c r="R533" s="64"/>
      <c r="S533" s="108"/>
      <c r="T533" s="203">
        <f t="shared" si="320"/>
        <v>43647</v>
      </c>
      <c r="U533" s="204">
        <f t="shared" si="321"/>
        <v>43677</v>
      </c>
      <c r="V533" s="207">
        <f t="shared" si="326"/>
        <v>0</v>
      </c>
      <c r="W533" s="206" t="str">
        <f t="shared" si="323"/>
        <v/>
      </c>
      <c r="X533" s="206">
        <f t="shared" si="324"/>
        <v>0</v>
      </c>
      <c r="Y533" s="209">
        <f t="shared" si="325"/>
        <v>0</v>
      </c>
    </row>
    <row r="534" spans="2:25" ht="15.75" hidden="1" thickBot="1" x14ac:dyDescent="0.3">
      <c r="B534" s="60">
        <f>B531</f>
        <v>28</v>
      </c>
      <c r="C534" s="102">
        <v>193</v>
      </c>
      <c r="D534" s="192" t="str">
        <f t="shared" si="288"/>
        <v>II</v>
      </c>
      <c r="E534" s="62"/>
      <c r="F534" s="105"/>
      <c r="G534" s="105"/>
      <c r="H534" s="61"/>
      <c r="I534" s="61"/>
      <c r="J534" s="62"/>
      <c r="K534" s="63"/>
      <c r="L534" s="61"/>
      <c r="M534" s="61"/>
      <c r="N534" s="111"/>
      <c r="O534" s="112"/>
      <c r="P534" s="113"/>
      <c r="Q534" s="114"/>
      <c r="R534" s="64"/>
      <c r="S534" s="108"/>
      <c r="T534" s="203">
        <f t="shared" si="320"/>
        <v>43647</v>
      </c>
      <c r="U534" s="204">
        <f t="shared" si="321"/>
        <v>43677</v>
      </c>
      <c r="V534" s="207">
        <f t="shared" si="326"/>
        <v>0</v>
      </c>
      <c r="W534" s="206" t="str">
        <f t="shared" si="323"/>
        <v/>
      </c>
      <c r="X534" s="206">
        <f t="shared" si="324"/>
        <v>0</v>
      </c>
      <c r="Y534" s="209">
        <f t="shared" si="325"/>
        <v>0</v>
      </c>
    </row>
    <row r="535" spans="2:25" ht="15.75" hidden="1" thickBot="1" x14ac:dyDescent="0.3">
      <c r="B535" s="60">
        <f>B531</f>
        <v>28</v>
      </c>
      <c r="C535" s="102">
        <v>194</v>
      </c>
      <c r="D535" s="192" t="str">
        <f t="shared" si="288"/>
        <v>II</v>
      </c>
      <c r="E535" s="62"/>
      <c r="F535" s="105"/>
      <c r="G535" s="105"/>
      <c r="H535" s="61"/>
      <c r="I535" s="61"/>
      <c r="J535" s="62"/>
      <c r="K535" s="63"/>
      <c r="L535" s="61"/>
      <c r="M535" s="61"/>
      <c r="N535" s="111"/>
      <c r="O535" s="112"/>
      <c r="P535" s="113"/>
      <c r="Q535" s="114"/>
      <c r="R535" s="64"/>
      <c r="S535" s="108"/>
      <c r="T535" s="203">
        <f t="shared" si="320"/>
        <v>43647</v>
      </c>
      <c r="U535" s="204">
        <f t="shared" si="321"/>
        <v>43677</v>
      </c>
      <c r="V535" s="207">
        <f t="shared" si="326"/>
        <v>0</v>
      </c>
      <c r="W535" s="206" t="str">
        <f t="shared" si="323"/>
        <v/>
      </c>
      <c r="X535" s="206">
        <f t="shared" si="324"/>
        <v>0</v>
      </c>
      <c r="Y535" s="209">
        <f t="shared" si="325"/>
        <v>0</v>
      </c>
    </row>
    <row r="536" spans="2:25" ht="15.75" hidden="1" thickBot="1" x14ac:dyDescent="0.3">
      <c r="B536" s="60">
        <f>B531</f>
        <v>28</v>
      </c>
      <c r="C536" s="102">
        <v>195</v>
      </c>
      <c r="D536" s="192" t="str">
        <f t="shared" ref="D536:D599" si="327">D535</f>
        <v>II</v>
      </c>
      <c r="E536" s="62"/>
      <c r="F536" s="105"/>
      <c r="G536" s="105"/>
      <c r="H536" s="61"/>
      <c r="I536" s="61"/>
      <c r="J536" s="62"/>
      <c r="K536" s="63"/>
      <c r="L536" s="61"/>
      <c r="M536" s="61"/>
      <c r="N536" s="111"/>
      <c r="O536" s="112"/>
      <c r="P536" s="113"/>
      <c r="Q536" s="114"/>
      <c r="R536" s="64"/>
      <c r="S536" s="108"/>
      <c r="T536" s="203">
        <f t="shared" si="320"/>
        <v>43647</v>
      </c>
      <c r="U536" s="204">
        <f t="shared" si="321"/>
        <v>43677</v>
      </c>
      <c r="V536" s="207">
        <f t="shared" si="326"/>
        <v>0</v>
      </c>
      <c r="W536" s="206" t="str">
        <f t="shared" si="323"/>
        <v/>
      </c>
      <c r="X536" s="206">
        <f t="shared" si="324"/>
        <v>0</v>
      </c>
      <c r="Y536" s="209">
        <f t="shared" si="325"/>
        <v>0</v>
      </c>
    </row>
    <row r="537" spans="2:25" ht="15.75" hidden="1" thickBot="1" x14ac:dyDescent="0.3">
      <c r="B537" s="141">
        <f>B531</f>
        <v>28</v>
      </c>
      <c r="C537" s="142">
        <v>196</v>
      </c>
      <c r="D537" s="194" t="str">
        <f t="shared" si="327"/>
        <v>II</v>
      </c>
      <c r="E537" s="143"/>
      <c r="F537" s="144"/>
      <c r="G537" s="144"/>
      <c r="H537" s="145"/>
      <c r="I537" s="145"/>
      <c r="J537" s="436" t="s">
        <v>181</v>
      </c>
      <c r="K537" s="437"/>
      <c r="L537" s="438"/>
      <c r="M537" s="145"/>
      <c r="N537" s="146"/>
      <c r="O537" s="147"/>
      <c r="P537" s="148"/>
      <c r="Q537" s="149"/>
      <c r="R537" s="150"/>
      <c r="S537" s="151"/>
      <c r="T537" s="213">
        <f t="shared" si="320"/>
        <v>43647</v>
      </c>
      <c r="U537" s="214">
        <f t="shared" si="321"/>
        <v>43677</v>
      </c>
      <c r="V537" s="210">
        <f t="shared" si="326"/>
        <v>0</v>
      </c>
      <c r="W537" s="211"/>
      <c r="X537" s="211">
        <f>IF(AND($V537&gt;0,$I537=1),IF($E537=10,P537/10,P537/$V537),0)</f>
        <v>0</v>
      </c>
      <c r="Y537" s="212">
        <f>IF(AND($V531&gt;0,$I537&lt;&gt;1),Q537/E531*V531,0)</f>
        <v>0</v>
      </c>
    </row>
    <row r="538" spans="2:25" ht="45.75" thickTop="1" x14ac:dyDescent="0.25">
      <c r="B538" s="129">
        <f>B536+1</f>
        <v>29</v>
      </c>
      <c r="C538" s="130">
        <v>197</v>
      </c>
      <c r="D538" s="196" t="str">
        <f t="shared" si="327"/>
        <v>II</v>
      </c>
      <c r="E538" s="152">
        <v>10</v>
      </c>
      <c r="F538" s="153">
        <v>43642</v>
      </c>
      <c r="G538" s="153">
        <v>43651</v>
      </c>
      <c r="H538" s="154" t="s">
        <v>289</v>
      </c>
      <c r="I538" s="154">
        <v>2</v>
      </c>
      <c r="J538" s="152" t="s">
        <v>167</v>
      </c>
      <c r="K538" s="155" t="s">
        <v>16</v>
      </c>
      <c r="L538" s="154">
        <v>1</v>
      </c>
      <c r="M538" s="154">
        <v>4</v>
      </c>
      <c r="N538" s="156">
        <v>54</v>
      </c>
      <c r="O538" s="157">
        <v>54</v>
      </c>
      <c r="P538" s="158"/>
      <c r="Q538" s="159">
        <v>54</v>
      </c>
      <c r="R538" s="160" t="s">
        <v>4</v>
      </c>
      <c r="S538" s="161">
        <v>43620</v>
      </c>
      <c r="T538" s="203">
        <f t="shared" si="320"/>
        <v>43647</v>
      </c>
      <c r="U538" s="204">
        <f t="shared" si="321"/>
        <v>43677</v>
      </c>
      <c r="V538" s="207">
        <f>IF(G538-F538+1-IF(G538-U538&gt;0,G538-U538,0)-IF(T538-F538&gt;0,T538-F538,0)&gt;0,G538-F538+1-IF(G538-U538&gt;0,G538-U538,0)-IF(T538-F538&gt;0,T538-F538,0),0)</f>
        <v>5</v>
      </c>
      <c r="W538" s="206" t="str">
        <f t="shared" ref="W538:W543" si="328">IF(V538&gt;0,H538,"")</f>
        <v>Йордан Николаев Николаев</v>
      </c>
      <c r="X538" s="206">
        <f t="shared" ref="X538:X543" si="329">IF(AND($V538&gt;0,$I538=1),P538/$E538*$V538,0)</f>
        <v>0</v>
      </c>
      <c r="Y538" s="209">
        <f t="shared" ref="Y538:Y543" si="330">IF(AND($V538&gt;0,$I538&lt;&gt;1),Q538/$E538*$V538,0)</f>
        <v>27</v>
      </c>
    </row>
    <row r="539" spans="2:25" ht="45" x14ac:dyDescent="0.25">
      <c r="B539" s="60">
        <f>B538</f>
        <v>29</v>
      </c>
      <c r="C539" s="102">
        <v>198</v>
      </c>
      <c r="D539" s="192" t="str">
        <f t="shared" si="327"/>
        <v>II</v>
      </c>
      <c r="E539" s="162">
        <v>10</v>
      </c>
      <c r="F539" s="163">
        <v>43642</v>
      </c>
      <c r="G539" s="163">
        <v>43651</v>
      </c>
      <c r="H539" s="164" t="s">
        <v>290</v>
      </c>
      <c r="I539" s="164">
        <v>2</v>
      </c>
      <c r="J539" s="162" t="s">
        <v>167</v>
      </c>
      <c r="K539" s="165" t="s">
        <v>16</v>
      </c>
      <c r="L539" s="164">
        <v>1</v>
      </c>
      <c r="M539" s="164">
        <v>4</v>
      </c>
      <c r="N539" s="166">
        <v>54</v>
      </c>
      <c r="O539" s="167">
        <v>54</v>
      </c>
      <c r="P539" s="168"/>
      <c r="Q539" s="169">
        <v>54</v>
      </c>
      <c r="R539" s="170" t="s">
        <v>4</v>
      </c>
      <c r="S539" s="171">
        <v>43620</v>
      </c>
      <c r="T539" s="203">
        <f t="shared" si="320"/>
        <v>43647</v>
      </c>
      <c r="U539" s="204">
        <f t="shared" si="321"/>
        <v>43677</v>
      </c>
      <c r="V539" s="207">
        <f t="shared" ref="V539:V544" si="331">IF(G539-F539+1-IF(G539-U539&gt;0,G539-U539,0)-IF(T539-F539&gt;0,T539-F539,0)&gt;0,G539-F539+1-IF(G539-U539&gt;0,G539-U539,0)-IF(T539-F539&gt;0,T539-F539,0),0)</f>
        <v>5</v>
      </c>
      <c r="W539" s="206" t="str">
        <f t="shared" si="328"/>
        <v>Кремена Красимирова Петрова</v>
      </c>
      <c r="X539" s="206">
        <f t="shared" si="329"/>
        <v>0</v>
      </c>
      <c r="Y539" s="209">
        <f t="shared" si="330"/>
        <v>27</v>
      </c>
    </row>
    <row r="540" spans="2:25" x14ac:dyDescent="0.25">
      <c r="B540" s="60">
        <f>B538</f>
        <v>29</v>
      </c>
      <c r="C540" s="102">
        <v>199</v>
      </c>
      <c r="D540" s="192" t="str">
        <f t="shared" si="327"/>
        <v>II</v>
      </c>
      <c r="E540" s="162">
        <v>10</v>
      </c>
      <c r="F540" s="163">
        <v>43642</v>
      </c>
      <c r="G540" s="163">
        <v>43651</v>
      </c>
      <c r="H540" s="164" t="s">
        <v>291</v>
      </c>
      <c r="I540" s="164">
        <v>5</v>
      </c>
      <c r="J540" s="162" t="s">
        <v>172</v>
      </c>
      <c r="K540" s="165" t="s">
        <v>16</v>
      </c>
      <c r="L540" s="164">
        <v>1</v>
      </c>
      <c r="M540" s="164">
        <v>4</v>
      </c>
      <c r="N540" s="166">
        <v>54</v>
      </c>
      <c r="O540" s="167">
        <v>54</v>
      </c>
      <c r="P540" s="168"/>
      <c r="Q540" s="169">
        <v>54</v>
      </c>
      <c r="R540" s="170" t="s">
        <v>4</v>
      </c>
      <c r="S540" s="171">
        <v>43620</v>
      </c>
      <c r="T540" s="203">
        <f t="shared" si="320"/>
        <v>43647</v>
      </c>
      <c r="U540" s="204">
        <f t="shared" si="321"/>
        <v>43677</v>
      </c>
      <c r="V540" s="207">
        <f t="shared" si="331"/>
        <v>5</v>
      </c>
      <c r="W540" s="206" t="str">
        <f t="shared" si="328"/>
        <v>Александър Йорданов Николаев</v>
      </c>
      <c r="X540" s="206">
        <f t="shared" si="329"/>
        <v>0</v>
      </c>
      <c r="Y540" s="209">
        <f t="shared" si="330"/>
        <v>27</v>
      </c>
    </row>
    <row r="541" spans="2:25" x14ac:dyDescent="0.25">
      <c r="B541" s="60">
        <f>B538</f>
        <v>29</v>
      </c>
      <c r="C541" s="102">
        <v>200</v>
      </c>
      <c r="D541" s="192" t="str">
        <f t="shared" si="327"/>
        <v>II</v>
      </c>
      <c r="E541" s="162">
        <v>10</v>
      </c>
      <c r="F541" s="163">
        <v>43642</v>
      </c>
      <c r="G541" s="163">
        <v>43651</v>
      </c>
      <c r="H541" s="164" t="s">
        <v>292</v>
      </c>
      <c r="I541" s="164">
        <v>5</v>
      </c>
      <c r="J541" s="162" t="s">
        <v>172</v>
      </c>
      <c r="K541" s="165" t="s">
        <v>16</v>
      </c>
      <c r="L541" s="164">
        <v>1</v>
      </c>
      <c r="M541" s="164">
        <v>4</v>
      </c>
      <c r="N541" s="166">
        <v>54</v>
      </c>
      <c r="O541" s="167">
        <v>54</v>
      </c>
      <c r="P541" s="168"/>
      <c r="Q541" s="169">
        <v>54</v>
      </c>
      <c r="R541" s="170" t="s">
        <v>4</v>
      </c>
      <c r="S541" s="171">
        <v>43620</v>
      </c>
      <c r="T541" s="203">
        <f t="shared" si="320"/>
        <v>43647</v>
      </c>
      <c r="U541" s="204">
        <f t="shared" si="321"/>
        <v>43677</v>
      </c>
      <c r="V541" s="207">
        <f t="shared" si="331"/>
        <v>5</v>
      </c>
      <c r="W541" s="206" t="str">
        <f t="shared" si="328"/>
        <v>Цвети Даниелова Ангелова</v>
      </c>
      <c r="X541" s="206">
        <f t="shared" si="329"/>
        <v>0</v>
      </c>
      <c r="Y541" s="209">
        <f t="shared" si="330"/>
        <v>27</v>
      </c>
    </row>
    <row r="542" spans="2:25" x14ac:dyDescent="0.25">
      <c r="B542" s="60">
        <f>B538</f>
        <v>29</v>
      </c>
      <c r="C542" s="102">
        <v>201</v>
      </c>
      <c r="D542" s="192" t="str">
        <f t="shared" si="327"/>
        <v>II</v>
      </c>
      <c r="E542" s="162">
        <v>10</v>
      </c>
      <c r="F542" s="163">
        <v>43642</v>
      </c>
      <c r="G542" s="163">
        <v>43651</v>
      </c>
      <c r="H542" s="164" t="s">
        <v>293</v>
      </c>
      <c r="I542" s="164">
        <v>4</v>
      </c>
      <c r="J542" s="162" t="s">
        <v>171</v>
      </c>
      <c r="K542" s="165" t="s">
        <v>16</v>
      </c>
      <c r="L542" s="164">
        <v>1</v>
      </c>
      <c r="M542" s="164">
        <v>4</v>
      </c>
      <c r="N542" s="166">
        <v>27</v>
      </c>
      <c r="O542" s="167">
        <v>27</v>
      </c>
      <c r="P542" s="168"/>
      <c r="Q542" s="169">
        <v>27</v>
      </c>
      <c r="R542" s="170" t="s">
        <v>4</v>
      </c>
      <c r="S542" s="171">
        <v>43620</v>
      </c>
      <c r="T542" s="203">
        <f t="shared" si="320"/>
        <v>43647</v>
      </c>
      <c r="U542" s="204">
        <f t="shared" si="321"/>
        <v>43677</v>
      </c>
      <c r="V542" s="207">
        <f t="shared" si="331"/>
        <v>5</v>
      </c>
      <c r="W542" s="206" t="str">
        <f t="shared" si="328"/>
        <v>Кристен Даниелова Ангелова</v>
      </c>
      <c r="X542" s="206">
        <f t="shared" si="329"/>
        <v>0</v>
      </c>
      <c r="Y542" s="209">
        <f t="shared" si="330"/>
        <v>13.5</v>
      </c>
    </row>
    <row r="543" spans="2:25" hidden="1" x14ac:dyDescent="0.25">
      <c r="B543" s="60">
        <f>B538</f>
        <v>29</v>
      </c>
      <c r="C543" s="102">
        <v>202</v>
      </c>
      <c r="D543" s="192" t="str">
        <f t="shared" si="327"/>
        <v>II</v>
      </c>
      <c r="E543" s="172"/>
      <c r="F543" s="173"/>
      <c r="G543" s="173"/>
      <c r="H543" s="174"/>
      <c r="I543" s="174"/>
      <c r="J543" s="172"/>
      <c r="K543" s="175"/>
      <c r="L543" s="174"/>
      <c r="M543" s="174"/>
      <c r="N543" s="176"/>
      <c r="O543" s="177"/>
      <c r="P543" s="178"/>
      <c r="Q543" s="179"/>
      <c r="R543" s="180"/>
      <c r="S543" s="181"/>
      <c r="T543" s="203">
        <f t="shared" si="320"/>
        <v>43647</v>
      </c>
      <c r="U543" s="204">
        <f t="shared" si="321"/>
        <v>43677</v>
      </c>
      <c r="V543" s="207">
        <f t="shared" si="331"/>
        <v>0</v>
      </c>
      <c r="W543" s="206" t="str">
        <f t="shared" si="328"/>
        <v/>
      </c>
      <c r="X543" s="206">
        <f t="shared" si="329"/>
        <v>0</v>
      </c>
      <c r="Y543" s="209">
        <f t="shared" si="330"/>
        <v>0</v>
      </c>
    </row>
    <row r="544" spans="2:25" ht="15.75" thickBot="1" x14ac:dyDescent="0.3">
      <c r="B544" s="141">
        <f>B538</f>
        <v>29</v>
      </c>
      <c r="C544" s="142">
        <v>203</v>
      </c>
      <c r="D544" s="194" t="str">
        <f t="shared" si="327"/>
        <v>II</v>
      </c>
      <c r="E544" s="189"/>
      <c r="F544" s="190"/>
      <c r="G544" s="190"/>
      <c r="H544" s="182"/>
      <c r="I544" s="182"/>
      <c r="J544" s="436" t="s">
        <v>181</v>
      </c>
      <c r="K544" s="437"/>
      <c r="L544" s="438"/>
      <c r="M544" s="182"/>
      <c r="N544" s="183">
        <v>10</v>
      </c>
      <c r="O544" s="184">
        <v>10</v>
      </c>
      <c r="P544" s="185"/>
      <c r="Q544" s="186">
        <v>10</v>
      </c>
      <c r="R544" s="187" t="s">
        <v>4</v>
      </c>
      <c r="S544" s="188">
        <v>43620</v>
      </c>
      <c r="T544" s="213">
        <f t="shared" si="320"/>
        <v>43647</v>
      </c>
      <c r="U544" s="214">
        <f t="shared" si="321"/>
        <v>43677</v>
      </c>
      <c r="V544" s="210">
        <f t="shared" si="331"/>
        <v>0</v>
      </c>
      <c r="W544" s="211"/>
      <c r="X544" s="211">
        <f>IF(AND($V544&gt;0,$I544=1),IF($E544=10,P544/10,P544/$V544),0)</f>
        <v>0</v>
      </c>
      <c r="Y544" s="212">
        <f>IF(AND($V538&gt;0,$I544&lt;&gt;1),Q544/E538*V538,0)</f>
        <v>5</v>
      </c>
    </row>
    <row r="545" spans="2:25" ht="16.5" hidden="1" thickTop="1" thickBot="1" x14ac:dyDescent="0.3">
      <c r="B545" s="129">
        <f>B543+1</f>
        <v>30</v>
      </c>
      <c r="C545" s="130">
        <v>204</v>
      </c>
      <c r="D545" s="196" t="str">
        <f t="shared" si="327"/>
        <v>II</v>
      </c>
      <c r="E545" s="131"/>
      <c r="F545" s="132"/>
      <c r="G545" s="132"/>
      <c r="H545" s="133"/>
      <c r="I545" s="133"/>
      <c r="J545" s="131"/>
      <c r="K545" s="134"/>
      <c r="L545" s="133"/>
      <c r="M545" s="133"/>
      <c r="N545" s="135"/>
      <c r="O545" s="136"/>
      <c r="P545" s="137"/>
      <c r="Q545" s="138"/>
      <c r="R545" s="139"/>
      <c r="S545" s="140"/>
      <c r="T545" s="203">
        <f t="shared" si="320"/>
        <v>43647</v>
      </c>
      <c r="U545" s="204">
        <f t="shared" si="321"/>
        <v>43677</v>
      </c>
      <c r="V545" s="207">
        <f>IF(G545-F545+1-IF(G545-U545&gt;0,G545-U545,0)-IF(T545-F545&gt;0,T545-F545,0)&gt;0,G545-F545+1-IF(G545-U545&gt;0,G545-U545,0)-IF(T545-F545&gt;0,T545-F545,0),0)</f>
        <v>0</v>
      </c>
      <c r="W545" s="206" t="str">
        <f t="shared" ref="W545:W550" si="332">IF(V545&gt;0,H545,"")</f>
        <v/>
      </c>
      <c r="X545" s="206">
        <f t="shared" ref="X545:X550" si="333">IF(AND($V545&gt;0,$I545=1),P545/$E545*$V545,0)</f>
        <v>0</v>
      </c>
      <c r="Y545" s="209">
        <f t="shared" ref="Y545:Y550" si="334">IF(AND($V545&gt;0,$I545&lt;&gt;1),Q545/$E545*$V545,0)</f>
        <v>0</v>
      </c>
    </row>
    <row r="546" spans="2:25" ht="16.5" hidden="1" thickTop="1" thickBot="1" x14ac:dyDescent="0.3">
      <c r="B546" s="60">
        <f>B545</f>
        <v>30</v>
      </c>
      <c r="C546" s="102">
        <v>205</v>
      </c>
      <c r="D546" s="192" t="str">
        <f t="shared" si="327"/>
        <v>II</v>
      </c>
      <c r="E546" s="62"/>
      <c r="F546" s="105"/>
      <c r="G546" s="105"/>
      <c r="H546" s="61"/>
      <c r="I546" s="61"/>
      <c r="J546" s="62"/>
      <c r="K546" s="63"/>
      <c r="L546" s="61"/>
      <c r="M546" s="61"/>
      <c r="N546" s="111"/>
      <c r="O546" s="112"/>
      <c r="P546" s="113"/>
      <c r="Q546" s="114"/>
      <c r="R546" s="64"/>
      <c r="S546" s="108"/>
      <c r="T546" s="203">
        <f t="shared" si="320"/>
        <v>43647</v>
      </c>
      <c r="U546" s="204">
        <f t="shared" si="321"/>
        <v>43677</v>
      </c>
      <c r="V546" s="207">
        <f t="shared" ref="V546:V551" si="335">IF(G546-F546+1-IF(G546-U546&gt;0,G546-U546,0)-IF(T546-F546&gt;0,T546-F546,0)&gt;0,G546-F546+1-IF(G546-U546&gt;0,G546-U546,0)-IF(T546-F546&gt;0,T546-F546,0),0)</f>
        <v>0</v>
      </c>
      <c r="W546" s="206" t="str">
        <f t="shared" si="332"/>
        <v/>
      </c>
      <c r="X546" s="206">
        <f t="shared" si="333"/>
        <v>0</v>
      </c>
      <c r="Y546" s="209">
        <f t="shared" si="334"/>
        <v>0</v>
      </c>
    </row>
    <row r="547" spans="2:25" ht="16.5" hidden="1" thickTop="1" thickBot="1" x14ac:dyDescent="0.3">
      <c r="B547" s="60">
        <f>B545</f>
        <v>30</v>
      </c>
      <c r="C547" s="102">
        <v>206</v>
      </c>
      <c r="D547" s="192" t="str">
        <f t="shared" si="327"/>
        <v>II</v>
      </c>
      <c r="E547" s="62"/>
      <c r="F547" s="105"/>
      <c r="G547" s="105"/>
      <c r="H547" s="61"/>
      <c r="I547" s="61"/>
      <c r="J547" s="62"/>
      <c r="K547" s="63"/>
      <c r="L547" s="61"/>
      <c r="M547" s="61"/>
      <c r="N547" s="111"/>
      <c r="O547" s="112"/>
      <c r="P547" s="113"/>
      <c r="Q547" s="114"/>
      <c r="R547" s="64"/>
      <c r="S547" s="108"/>
      <c r="T547" s="203">
        <f t="shared" si="320"/>
        <v>43647</v>
      </c>
      <c r="U547" s="204">
        <f t="shared" si="321"/>
        <v>43677</v>
      </c>
      <c r="V547" s="207">
        <f t="shared" si="335"/>
        <v>0</v>
      </c>
      <c r="W547" s="206" t="str">
        <f t="shared" si="332"/>
        <v/>
      </c>
      <c r="X547" s="206">
        <f t="shared" si="333"/>
        <v>0</v>
      </c>
      <c r="Y547" s="209">
        <f t="shared" si="334"/>
        <v>0</v>
      </c>
    </row>
    <row r="548" spans="2:25" ht="16.5" hidden="1" thickTop="1" thickBot="1" x14ac:dyDescent="0.3">
      <c r="B548" s="60">
        <f>B545</f>
        <v>30</v>
      </c>
      <c r="C548" s="102">
        <v>207</v>
      </c>
      <c r="D548" s="192" t="str">
        <f t="shared" si="327"/>
        <v>II</v>
      </c>
      <c r="E548" s="62"/>
      <c r="F548" s="105"/>
      <c r="G548" s="105"/>
      <c r="H548" s="61"/>
      <c r="I548" s="61"/>
      <c r="J548" s="62"/>
      <c r="K548" s="63"/>
      <c r="L548" s="61"/>
      <c r="M548" s="61"/>
      <c r="N548" s="111"/>
      <c r="O548" s="112"/>
      <c r="P548" s="113"/>
      <c r="Q548" s="114"/>
      <c r="R548" s="64"/>
      <c r="S548" s="108"/>
      <c r="T548" s="203">
        <f t="shared" si="320"/>
        <v>43647</v>
      </c>
      <c r="U548" s="204">
        <f t="shared" si="321"/>
        <v>43677</v>
      </c>
      <c r="V548" s="207">
        <f t="shared" si="335"/>
        <v>0</v>
      </c>
      <c r="W548" s="206" t="str">
        <f t="shared" si="332"/>
        <v/>
      </c>
      <c r="X548" s="206">
        <f t="shared" si="333"/>
        <v>0</v>
      </c>
      <c r="Y548" s="209">
        <f t="shared" si="334"/>
        <v>0</v>
      </c>
    </row>
    <row r="549" spans="2:25" ht="16.5" hidden="1" thickTop="1" thickBot="1" x14ac:dyDescent="0.3">
      <c r="B549" s="60">
        <f>B545</f>
        <v>30</v>
      </c>
      <c r="C549" s="102">
        <v>208</v>
      </c>
      <c r="D549" s="192" t="str">
        <f t="shared" si="327"/>
        <v>II</v>
      </c>
      <c r="E549" s="62"/>
      <c r="F549" s="105"/>
      <c r="G549" s="105"/>
      <c r="H549" s="61"/>
      <c r="I549" s="61"/>
      <c r="J549" s="62"/>
      <c r="K549" s="63"/>
      <c r="L549" s="61"/>
      <c r="M549" s="61"/>
      <c r="N549" s="111"/>
      <c r="O549" s="112"/>
      <c r="P549" s="113"/>
      <c r="Q549" s="114"/>
      <c r="R549" s="64"/>
      <c r="S549" s="108"/>
      <c r="T549" s="203">
        <f t="shared" si="320"/>
        <v>43647</v>
      </c>
      <c r="U549" s="204">
        <f t="shared" si="321"/>
        <v>43677</v>
      </c>
      <c r="V549" s="207">
        <f t="shared" si="335"/>
        <v>0</v>
      </c>
      <c r="W549" s="206" t="str">
        <f t="shared" si="332"/>
        <v/>
      </c>
      <c r="X549" s="206">
        <f t="shared" si="333"/>
        <v>0</v>
      </c>
      <c r="Y549" s="209">
        <f t="shared" si="334"/>
        <v>0</v>
      </c>
    </row>
    <row r="550" spans="2:25" ht="16.5" hidden="1" thickTop="1" thickBot="1" x14ac:dyDescent="0.3">
      <c r="B550" s="60">
        <f>B545</f>
        <v>30</v>
      </c>
      <c r="C550" s="102">
        <v>209</v>
      </c>
      <c r="D550" s="192" t="str">
        <f t="shared" si="327"/>
        <v>II</v>
      </c>
      <c r="E550" s="62"/>
      <c r="F550" s="105"/>
      <c r="G550" s="105"/>
      <c r="H550" s="61"/>
      <c r="I550" s="61"/>
      <c r="J550" s="62"/>
      <c r="K550" s="63"/>
      <c r="L550" s="61"/>
      <c r="M550" s="61"/>
      <c r="N550" s="111"/>
      <c r="O550" s="112"/>
      <c r="P550" s="113"/>
      <c r="Q550" s="114"/>
      <c r="R550" s="64"/>
      <c r="S550" s="108"/>
      <c r="T550" s="203">
        <f t="shared" si="320"/>
        <v>43647</v>
      </c>
      <c r="U550" s="204">
        <f t="shared" si="321"/>
        <v>43677</v>
      </c>
      <c r="V550" s="207">
        <f t="shared" si="335"/>
        <v>0</v>
      </c>
      <c r="W550" s="206" t="str">
        <f t="shared" si="332"/>
        <v/>
      </c>
      <c r="X550" s="206">
        <f t="shared" si="333"/>
        <v>0</v>
      </c>
      <c r="Y550" s="209">
        <f t="shared" si="334"/>
        <v>0</v>
      </c>
    </row>
    <row r="551" spans="2:25" ht="16.5" hidden="1" thickTop="1" thickBot="1" x14ac:dyDescent="0.3">
      <c r="B551" s="141">
        <f>B545</f>
        <v>30</v>
      </c>
      <c r="C551" s="142">
        <v>210</v>
      </c>
      <c r="D551" s="194" t="str">
        <f t="shared" si="327"/>
        <v>II</v>
      </c>
      <c r="E551" s="143"/>
      <c r="F551" s="144"/>
      <c r="G551" s="144"/>
      <c r="H551" s="145"/>
      <c r="I551" s="145"/>
      <c r="J551" s="436" t="s">
        <v>181</v>
      </c>
      <c r="K551" s="437"/>
      <c r="L551" s="438"/>
      <c r="M551" s="145"/>
      <c r="N551" s="146"/>
      <c r="O551" s="147"/>
      <c r="P551" s="148"/>
      <c r="Q551" s="149"/>
      <c r="R551" s="150"/>
      <c r="S551" s="151"/>
      <c r="T551" s="213">
        <f t="shared" si="320"/>
        <v>43647</v>
      </c>
      <c r="U551" s="214">
        <f t="shared" si="321"/>
        <v>43677</v>
      </c>
      <c r="V551" s="210">
        <f t="shared" si="335"/>
        <v>0</v>
      </c>
      <c r="W551" s="211"/>
      <c r="X551" s="211">
        <f>IF(AND($V551&gt;0,$I551=1),IF($E551=10,P551/10,P551/$V551),0)</f>
        <v>0</v>
      </c>
      <c r="Y551" s="212">
        <f>IF(AND($V545&gt;0,$I551&lt;&gt;1),Q551/E545*V545,0)</f>
        <v>0</v>
      </c>
    </row>
    <row r="552" spans="2:25" ht="30.75" thickTop="1" x14ac:dyDescent="0.25">
      <c r="B552" s="129">
        <f>B550+1</f>
        <v>31</v>
      </c>
      <c r="C552" s="130">
        <v>211</v>
      </c>
      <c r="D552" s="196" t="str">
        <f t="shared" si="327"/>
        <v>II</v>
      </c>
      <c r="E552" s="152">
        <v>5</v>
      </c>
      <c r="F552" s="153">
        <v>43642</v>
      </c>
      <c r="G552" s="153">
        <v>43646</v>
      </c>
      <c r="H552" s="154" t="s">
        <v>294</v>
      </c>
      <c r="I552" s="154">
        <v>1</v>
      </c>
      <c r="J552" s="152" t="s">
        <v>168</v>
      </c>
      <c r="K552" s="155" t="s">
        <v>16</v>
      </c>
      <c r="L552" s="154">
        <v>1</v>
      </c>
      <c r="M552" s="154">
        <v>6</v>
      </c>
      <c r="N552" s="156">
        <v>9</v>
      </c>
      <c r="O552" s="157">
        <v>45</v>
      </c>
      <c r="P552" s="158">
        <v>45</v>
      </c>
      <c r="Q552" s="159"/>
      <c r="R552" s="160" t="s">
        <v>4</v>
      </c>
      <c r="S552" s="161">
        <v>43650</v>
      </c>
      <c r="T552" s="203">
        <f t="shared" si="320"/>
        <v>43647</v>
      </c>
      <c r="U552" s="204">
        <f t="shared" si="321"/>
        <v>43677</v>
      </c>
      <c r="V552" s="207">
        <f>IF(G552-F552+1-IF(G552-U552&gt;0,G552-U552,0)-IF(T552-F552&gt;0,T552-F552,0)&gt;0,G552-F552+1-IF(G552-U552&gt;0,G552-U552,0)-IF(T552-F552&gt;0,T552-F552,0),0)</f>
        <v>0</v>
      </c>
      <c r="W552" s="206" t="str">
        <f t="shared" ref="W552:W557" si="336">IF(V552&gt;0,H552,"")</f>
        <v/>
      </c>
      <c r="X552" s="206">
        <f t="shared" ref="X552:X557" si="337">IF(AND($V552&gt;0,$I552=1),P552/$E552*$V552,0)</f>
        <v>0</v>
      </c>
      <c r="Y552" s="209">
        <f t="shared" ref="Y552:Y557" si="338">IF(AND($V552&gt;0,$I552&lt;&gt;1),Q552/$E552*$V552,0)</f>
        <v>0</v>
      </c>
    </row>
    <row r="553" spans="2:25" hidden="1" x14ac:dyDescent="0.25">
      <c r="B553" s="60">
        <f>B552</f>
        <v>31</v>
      </c>
      <c r="C553" s="102">
        <v>212</v>
      </c>
      <c r="D553" s="192" t="str">
        <f t="shared" si="327"/>
        <v>II</v>
      </c>
      <c r="E553" s="162"/>
      <c r="F553" s="163"/>
      <c r="G553" s="163"/>
      <c r="H553" s="164"/>
      <c r="I553" s="164"/>
      <c r="J553" s="162"/>
      <c r="K553" s="165"/>
      <c r="L553" s="164"/>
      <c r="M553" s="164"/>
      <c r="N553" s="166"/>
      <c r="O553" s="167"/>
      <c r="P553" s="168"/>
      <c r="Q553" s="169"/>
      <c r="R553" s="170"/>
      <c r="S553" s="171"/>
      <c r="T553" s="203">
        <f t="shared" si="320"/>
        <v>43647</v>
      </c>
      <c r="U553" s="204">
        <f t="shared" si="321"/>
        <v>43677</v>
      </c>
      <c r="V553" s="207">
        <f t="shared" ref="V553:V558" si="339">IF(G553-F553+1-IF(G553-U553&gt;0,G553-U553,0)-IF(T553-F553&gt;0,T553-F553,0)&gt;0,G553-F553+1-IF(G553-U553&gt;0,G553-U553,0)-IF(T553-F553&gt;0,T553-F553,0),0)</f>
        <v>0</v>
      </c>
      <c r="W553" s="206" t="str">
        <f t="shared" si="336"/>
        <v/>
      </c>
      <c r="X553" s="206">
        <f t="shared" si="337"/>
        <v>0</v>
      </c>
      <c r="Y553" s="209">
        <f t="shared" si="338"/>
        <v>0</v>
      </c>
    </row>
    <row r="554" spans="2:25" hidden="1" x14ac:dyDescent="0.25">
      <c r="B554" s="60">
        <f>B552</f>
        <v>31</v>
      </c>
      <c r="C554" s="102">
        <v>213</v>
      </c>
      <c r="D554" s="192" t="str">
        <f t="shared" si="327"/>
        <v>II</v>
      </c>
      <c r="E554" s="162"/>
      <c r="F554" s="163"/>
      <c r="G554" s="163"/>
      <c r="H554" s="164"/>
      <c r="I554" s="164"/>
      <c r="J554" s="162"/>
      <c r="K554" s="165"/>
      <c r="L554" s="164"/>
      <c r="M554" s="164"/>
      <c r="N554" s="166"/>
      <c r="O554" s="167"/>
      <c r="P554" s="168"/>
      <c r="Q554" s="169"/>
      <c r="R554" s="170"/>
      <c r="S554" s="171"/>
      <c r="T554" s="203">
        <f t="shared" si="320"/>
        <v>43647</v>
      </c>
      <c r="U554" s="204">
        <f t="shared" si="321"/>
        <v>43677</v>
      </c>
      <c r="V554" s="207">
        <f t="shared" si="339"/>
        <v>0</v>
      </c>
      <c r="W554" s="206" t="str">
        <f t="shared" si="336"/>
        <v/>
      </c>
      <c r="X554" s="206">
        <f t="shared" si="337"/>
        <v>0</v>
      </c>
      <c r="Y554" s="209">
        <f t="shared" si="338"/>
        <v>0</v>
      </c>
    </row>
    <row r="555" spans="2:25" hidden="1" x14ac:dyDescent="0.25">
      <c r="B555" s="60">
        <f>B552</f>
        <v>31</v>
      </c>
      <c r="C555" s="102">
        <v>214</v>
      </c>
      <c r="D555" s="192" t="str">
        <f t="shared" si="327"/>
        <v>II</v>
      </c>
      <c r="E555" s="162"/>
      <c r="F555" s="163"/>
      <c r="G555" s="163"/>
      <c r="H555" s="164"/>
      <c r="I555" s="164"/>
      <c r="J555" s="162"/>
      <c r="K555" s="165"/>
      <c r="L555" s="164"/>
      <c r="M555" s="164"/>
      <c r="N555" s="166"/>
      <c r="O555" s="167"/>
      <c r="P555" s="168"/>
      <c r="Q555" s="169"/>
      <c r="R555" s="170"/>
      <c r="S555" s="171"/>
      <c r="T555" s="203">
        <f t="shared" si="320"/>
        <v>43647</v>
      </c>
      <c r="U555" s="204">
        <f t="shared" si="321"/>
        <v>43677</v>
      </c>
      <c r="V555" s="207">
        <f t="shared" si="339"/>
        <v>0</v>
      </c>
      <c r="W555" s="206" t="str">
        <f t="shared" si="336"/>
        <v/>
      </c>
      <c r="X555" s="206">
        <f t="shared" si="337"/>
        <v>0</v>
      </c>
      <c r="Y555" s="209">
        <f t="shared" si="338"/>
        <v>0</v>
      </c>
    </row>
    <row r="556" spans="2:25" hidden="1" x14ac:dyDescent="0.25">
      <c r="B556" s="60">
        <f>B552</f>
        <v>31</v>
      </c>
      <c r="C556" s="102">
        <v>215</v>
      </c>
      <c r="D556" s="192" t="str">
        <f t="shared" si="327"/>
        <v>II</v>
      </c>
      <c r="E556" s="162"/>
      <c r="F556" s="163"/>
      <c r="G556" s="163"/>
      <c r="H556" s="164"/>
      <c r="I556" s="164"/>
      <c r="J556" s="162"/>
      <c r="K556" s="165"/>
      <c r="L556" s="164"/>
      <c r="M556" s="164"/>
      <c r="N556" s="166"/>
      <c r="O556" s="167"/>
      <c r="P556" s="168"/>
      <c r="Q556" s="169"/>
      <c r="R556" s="170"/>
      <c r="S556" s="171"/>
      <c r="T556" s="203">
        <f t="shared" si="320"/>
        <v>43647</v>
      </c>
      <c r="U556" s="204">
        <f t="shared" si="321"/>
        <v>43677</v>
      </c>
      <c r="V556" s="207">
        <f t="shared" si="339"/>
        <v>0</v>
      </c>
      <c r="W556" s="206" t="str">
        <f t="shared" si="336"/>
        <v/>
      </c>
      <c r="X556" s="206">
        <f t="shared" si="337"/>
        <v>0</v>
      </c>
      <c r="Y556" s="209">
        <f t="shared" si="338"/>
        <v>0</v>
      </c>
    </row>
    <row r="557" spans="2:25" hidden="1" x14ac:dyDescent="0.25">
      <c r="B557" s="60">
        <f>B552</f>
        <v>31</v>
      </c>
      <c r="C557" s="102">
        <v>216</v>
      </c>
      <c r="D557" s="192" t="str">
        <f t="shared" si="327"/>
        <v>II</v>
      </c>
      <c r="E557" s="172"/>
      <c r="F557" s="173"/>
      <c r="G557" s="173"/>
      <c r="H557" s="174"/>
      <c r="I557" s="174"/>
      <c r="J557" s="172"/>
      <c r="K557" s="175"/>
      <c r="L557" s="174"/>
      <c r="M557" s="174"/>
      <c r="N557" s="176"/>
      <c r="O557" s="177"/>
      <c r="P557" s="178"/>
      <c r="Q557" s="179"/>
      <c r="R557" s="180"/>
      <c r="S557" s="181"/>
      <c r="T557" s="203">
        <f t="shared" si="320"/>
        <v>43647</v>
      </c>
      <c r="U557" s="204">
        <f t="shared" si="321"/>
        <v>43677</v>
      </c>
      <c r="V557" s="207">
        <f t="shared" si="339"/>
        <v>0</v>
      </c>
      <c r="W557" s="206" t="str">
        <f t="shared" si="336"/>
        <v/>
      </c>
      <c r="X557" s="206">
        <f t="shared" si="337"/>
        <v>0</v>
      </c>
      <c r="Y557" s="209">
        <f t="shared" si="338"/>
        <v>0</v>
      </c>
    </row>
    <row r="558" spans="2:25" ht="15.75" thickBot="1" x14ac:dyDescent="0.3">
      <c r="B558" s="141">
        <f>B552</f>
        <v>31</v>
      </c>
      <c r="C558" s="142">
        <v>217</v>
      </c>
      <c r="D558" s="194" t="str">
        <f t="shared" si="327"/>
        <v>II</v>
      </c>
      <c r="E558" s="189"/>
      <c r="F558" s="190"/>
      <c r="G558" s="190"/>
      <c r="H558" s="182"/>
      <c r="I558" s="182"/>
      <c r="J558" s="436" t="s">
        <v>181</v>
      </c>
      <c r="K558" s="437"/>
      <c r="L558" s="438"/>
      <c r="M558" s="182"/>
      <c r="N558" s="183">
        <v>10</v>
      </c>
      <c r="O558" s="184">
        <v>10</v>
      </c>
      <c r="P558" s="185"/>
      <c r="Q558" s="186">
        <v>10</v>
      </c>
      <c r="R558" s="187" t="s">
        <v>4</v>
      </c>
      <c r="S558" s="188">
        <v>43650</v>
      </c>
      <c r="T558" s="213">
        <f t="shared" si="320"/>
        <v>43647</v>
      </c>
      <c r="U558" s="214">
        <f t="shared" si="321"/>
        <v>43677</v>
      </c>
      <c r="V558" s="210">
        <f t="shared" si="339"/>
        <v>0</v>
      </c>
      <c r="W558" s="211"/>
      <c r="X558" s="211">
        <f>IF(AND($V558&gt;0,$I558=1),IF($E558=10,P558/10,P558/$V558),0)</f>
        <v>0</v>
      </c>
      <c r="Y558" s="212">
        <f>IF(AND($V552&gt;0,$I558&lt;&gt;1),Q558/E552*V552,0)</f>
        <v>0</v>
      </c>
    </row>
    <row r="559" spans="2:25" ht="16.5" hidden="1" thickTop="1" thickBot="1" x14ac:dyDescent="0.3">
      <c r="B559" s="129">
        <f>B557+1</f>
        <v>32</v>
      </c>
      <c r="C559" s="130">
        <v>218</v>
      </c>
      <c r="D559" s="196" t="str">
        <f t="shared" si="327"/>
        <v>II</v>
      </c>
      <c r="E559" s="131"/>
      <c r="F559" s="132"/>
      <c r="G559" s="132"/>
      <c r="H559" s="133"/>
      <c r="I559" s="133"/>
      <c r="J559" s="131"/>
      <c r="K559" s="134"/>
      <c r="L559" s="133"/>
      <c r="M559" s="133"/>
      <c r="N559" s="135"/>
      <c r="O559" s="136"/>
      <c r="P559" s="137"/>
      <c r="Q559" s="138"/>
      <c r="R559" s="139"/>
      <c r="S559" s="140"/>
      <c r="T559" s="203">
        <f t="shared" si="320"/>
        <v>43647</v>
      </c>
      <c r="U559" s="204">
        <f t="shared" si="321"/>
        <v>43677</v>
      </c>
      <c r="V559" s="207">
        <f>IF(G559-F559+1-IF(G559-U559&gt;0,G559-U559,0)-IF(T559-F559&gt;0,T559-F559,0)&gt;0,G559-F559+1-IF(G559-U559&gt;0,G559-U559,0)-IF(T559-F559&gt;0,T559-F559,0),0)</f>
        <v>0</v>
      </c>
      <c r="W559" s="206" t="str">
        <f t="shared" ref="W559:W564" si="340">IF(V559&gt;0,H559,"")</f>
        <v/>
      </c>
      <c r="X559" s="206">
        <f t="shared" ref="X559:X564" si="341">IF(AND($V559&gt;0,$I559=1),P559/$E559*$V559,0)</f>
        <v>0</v>
      </c>
      <c r="Y559" s="209">
        <f t="shared" ref="Y559:Y564" si="342">IF(AND($V559&gt;0,$I559&lt;&gt;1),Q559/$E559*$V559,0)</f>
        <v>0</v>
      </c>
    </row>
    <row r="560" spans="2:25" ht="16.5" hidden="1" thickTop="1" thickBot="1" x14ac:dyDescent="0.3">
      <c r="B560" s="60">
        <f>B559</f>
        <v>32</v>
      </c>
      <c r="C560" s="102">
        <v>219</v>
      </c>
      <c r="D560" s="192" t="str">
        <f t="shared" si="327"/>
        <v>II</v>
      </c>
      <c r="E560" s="62"/>
      <c r="F560" s="105"/>
      <c r="G560" s="105"/>
      <c r="H560" s="61"/>
      <c r="I560" s="61"/>
      <c r="J560" s="62"/>
      <c r="K560" s="63"/>
      <c r="L560" s="61"/>
      <c r="M560" s="61"/>
      <c r="N560" s="111"/>
      <c r="O560" s="112"/>
      <c r="P560" s="113"/>
      <c r="Q560" s="114"/>
      <c r="R560" s="64"/>
      <c r="S560" s="108"/>
      <c r="T560" s="203">
        <f t="shared" si="320"/>
        <v>43647</v>
      </c>
      <c r="U560" s="204">
        <f t="shared" si="321"/>
        <v>43677</v>
      </c>
      <c r="V560" s="207">
        <f t="shared" ref="V560:V565" si="343">IF(G560-F560+1-IF(G560-U560&gt;0,G560-U560,0)-IF(T560-F560&gt;0,T560-F560,0)&gt;0,G560-F560+1-IF(G560-U560&gt;0,G560-U560,0)-IF(T560-F560&gt;0,T560-F560,0),0)</f>
        <v>0</v>
      </c>
      <c r="W560" s="206" t="str">
        <f t="shared" si="340"/>
        <v/>
      </c>
      <c r="X560" s="206">
        <f t="shared" si="341"/>
        <v>0</v>
      </c>
      <c r="Y560" s="209">
        <f t="shared" si="342"/>
        <v>0</v>
      </c>
    </row>
    <row r="561" spans="2:25" ht="16.5" hidden="1" thickTop="1" thickBot="1" x14ac:dyDescent="0.3">
      <c r="B561" s="60">
        <f>B559</f>
        <v>32</v>
      </c>
      <c r="C561" s="102">
        <v>220</v>
      </c>
      <c r="D561" s="192" t="str">
        <f t="shared" si="327"/>
        <v>II</v>
      </c>
      <c r="E561" s="62"/>
      <c r="F561" s="105"/>
      <c r="G561" s="105"/>
      <c r="H561" s="61"/>
      <c r="I561" s="61"/>
      <c r="J561" s="62"/>
      <c r="K561" s="63"/>
      <c r="L561" s="61"/>
      <c r="M561" s="61"/>
      <c r="N561" s="111"/>
      <c r="O561" s="112"/>
      <c r="P561" s="113"/>
      <c r="Q561" s="114"/>
      <c r="R561" s="64"/>
      <c r="S561" s="108"/>
      <c r="T561" s="203">
        <f t="shared" si="320"/>
        <v>43647</v>
      </c>
      <c r="U561" s="204">
        <f t="shared" si="321"/>
        <v>43677</v>
      </c>
      <c r="V561" s="207">
        <f t="shared" si="343"/>
        <v>0</v>
      </c>
      <c r="W561" s="206" t="str">
        <f t="shared" si="340"/>
        <v/>
      </c>
      <c r="X561" s="206">
        <f t="shared" si="341"/>
        <v>0</v>
      </c>
      <c r="Y561" s="209">
        <f t="shared" si="342"/>
        <v>0</v>
      </c>
    </row>
    <row r="562" spans="2:25" ht="16.5" hidden="1" thickTop="1" thickBot="1" x14ac:dyDescent="0.3">
      <c r="B562" s="60">
        <f>B559</f>
        <v>32</v>
      </c>
      <c r="C562" s="102">
        <v>221</v>
      </c>
      <c r="D562" s="192" t="str">
        <f t="shared" si="327"/>
        <v>II</v>
      </c>
      <c r="E562" s="62"/>
      <c r="F562" s="105"/>
      <c r="G562" s="105"/>
      <c r="H562" s="61"/>
      <c r="I562" s="61"/>
      <c r="J562" s="62"/>
      <c r="K562" s="63"/>
      <c r="L562" s="61"/>
      <c r="M562" s="61"/>
      <c r="N562" s="111"/>
      <c r="O562" s="112"/>
      <c r="P562" s="113"/>
      <c r="Q562" s="114"/>
      <c r="R562" s="64"/>
      <c r="S562" s="108"/>
      <c r="T562" s="203">
        <f t="shared" si="320"/>
        <v>43647</v>
      </c>
      <c r="U562" s="204">
        <f t="shared" si="321"/>
        <v>43677</v>
      </c>
      <c r="V562" s="207">
        <f t="shared" si="343"/>
        <v>0</v>
      </c>
      <c r="W562" s="206" t="str">
        <f t="shared" si="340"/>
        <v/>
      </c>
      <c r="X562" s="206">
        <f t="shared" si="341"/>
        <v>0</v>
      </c>
      <c r="Y562" s="209">
        <f t="shared" si="342"/>
        <v>0</v>
      </c>
    </row>
    <row r="563" spans="2:25" ht="16.5" hidden="1" thickTop="1" thickBot="1" x14ac:dyDescent="0.3">
      <c r="B563" s="60">
        <f>B559</f>
        <v>32</v>
      </c>
      <c r="C563" s="102">
        <v>222</v>
      </c>
      <c r="D563" s="192" t="str">
        <f t="shared" si="327"/>
        <v>II</v>
      </c>
      <c r="E563" s="62"/>
      <c r="F563" s="105"/>
      <c r="G563" s="105"/>
      <c r="H563" s="61"/>
      <c r="I563" s="61"/>
      <c r="J563" s="62"/>
      <c r="K563" s="63"/>
      <c r="L563" s="61"/>
      <c r="M563" s="61"/>
      <c r="N563" s="111"/>
      <c r="O563" s="112"/>
      <c r="P563" s="113"/>
      <c r="Q563" s="114"/>
      <c r="R563" s="64"/>
      <c r="S563" s="108"/>
      <c r="T563" s="203">
        <f t="shared" si="320"/>
        <v>43647</v>
      </c>
      <c r="U563" s="204">
        <f t="shared" si="321"/>
        <v>43677</v>
      </c>
      <c r="V563" s="207">
        <f t="shared" si="343"/>
        <v>0</v>
      </c>
      <c r="W563" s="206" t="str">
        <f t="shared" si="340"/>
        <v/>
      </c>
      <c r="X563" s="206">
        <f t="shared" si="341"/>
        <v>0</v>
      </c>
      <c r="Y563" s="209">
        <f t="shared" si="342"/>
        <v>0</v>
      </c>
    </row>
    <row r="564" spans="2:25" ht="16.5" hidden="1" thickTop="1" thickBot="1" x14ac:dyDescent="0.3">
      <c r="B564" s="60">
        <f>B559</f>
        <v>32</v>
      </c>
      <c r="C564" s="102">
        <v>223</v>
      </c>
      <c r="D564" s="192" t="str">
        <f t="shared" si="327"/>
        <v>II</v>
      </c>
      <c r="E564" s="62"/>
      <c r="F564" s="105"/>
      <c r="G564" s="105"/>
      <c r="H564" s="61"/>
      <c r="I564" s="61"/>
      <c r="J564" s="62"/>
      <c r="K564" s="63"/>
      <c r="L564" s="61"/>
      <c r="M564" s="61"/>
      <c r="N564" s="111"/>
      <c r="O564" s="112"/>
      <c r="P564" s="113"/>
      <c r="Q564" s="114"/>
      <c r="R564" s="64"/>
      <c r="S564" s="108"/>
      <c r="T564" s="203">
        <f t="shared" si="320"/>
        <v>43647</v>
      </c>
      <c r="U564" s="204">
        <f t="shared" si="321"/>
        <v>43677</v>
      </c>
      <c r="V564" s="207">
        <f t="shared" si="343"/>
        <v>0</v>
      </c>
      <c r="W564" s="206" t="str">
        <f t="shared" si="340"/>
        <v/>
      </c>
      <c r="X564" s="206">
        <f t="shared" si="341"/>
        <v>0</v>
      </c>
      <c r="Y564" s="209">
        <f t="shared" si="342"/>
        <v>0</v>
      </c>
    </row>
    <row r="565" spans="2:25" ht="16.5" hidden="1" thickTop="1" thickBot="1" x14ac:dyDescent="0.3">
      <c r="B565" s="141">
        <f>B559</f>
        <v>32</v>
      </c>
      <c r="C565" s="142">
        <v>224</v>
      </c>
      <c r="D565" s="194" t="str">
        <f t="shared" si="327"/>
        <v>II</v>
      </c>
      <c r="E565" s="143"/>
      <c r="F565" s="144"/>
      <c r="G565" s="144"/>
      <c r="H565" s="145"/>
      <c r="I565" s="145"/>
      <c r="J565" s="436" t="s">
        <v>181</v>
      </c>
      <c r="K565" s="437"/>
      <c r="L565" s="438"/>
      <c r="M565" s="145"/>
      <c r="N565" s="146"/>
      <c r="O565" s="147"/>
      <c r="P565" s="148"/>
      <c r="Q565" s="149"/>
      <c r="R565" s="150"/>
      <c r="S565" s="151"/>
      <c r="T565" s="213">
        <f t="shared" si="320"/>
        <v>43647</v>
      </c>
      <c r="U565" s="214">
        <f t="shared" si="321"/>
        <v>43677</v>
      </c>
      <c r="V565" s="210">
        <f t="shared" si="343"/>
        <v>0</v>
      </c>
      <c r="W565" s="211"/>
      <c r="X565" s="211">
        <f>IF(AND($V565&gt;0,$I565=1),IF($E565=10,P565/10,P565/$V565),0)</f>
        <v>0</v>
      </c>
      <c r="Y565" s="212">
        <f>IF(AND($V559&gt;0,$I565&lt;&gt;1),Q565/E559*V559,0)</f>
        <v>0</v>
      </c>
    </row>
    <row r="566" spans="2:25" ht="45.75" thickTop="1" x14ac:dyDescent="0.25">
      <c r="B566" s="129">
        <f>B564+1</f>
        <v>33</v>
      </c>
      <c r="C566" s="130">
        <v>225</v>
      </c>
      <c r="D566" s="196" t="str">
        <f t="shared" si="327"/>
        <v>II</v>
      </c>
      <c r="E566" s="152">
        <v>10</v>
      </c>
      <c r="F566" s="153">
        <v>43642</v>
      </c>
      <c r="G566" s="153">
        <v>43651</v>
      </c>
      <c r="H566" s="154" t="s">
        <v>295</v>
      </c>
      <c r="I566" s="154">
        <v>2</v>
      </c>
      <c r="J566" s="152" t="s">
        <v>167</v>
      </c>
      <c r="K566" s="155" t="s">
        <v>16</v>
      </c>
      <c r="L566" s="154">
        <v>1</v>
      </c>
      <c r="M566" s="154">
        <v>4</v>
      </c>
      <c r="N566" s="156">
        <v>54</v>
      </c>
      <c r="O566" s="157">
        <v>54</v>
      </c>
      <c r="P566" s="158"/>
      <c r="Q566" s="159">
        <v>54</v>
      </c>
      <c r="R566" s="160" t="s">
        <v>4</v>
      </c>
      <c r="S566" s="161">
        <v>43620</v>
      </c>
      <c r="T566" s="203">
        <f t="shared" si="320"/>
        <v>43647</v>
      </c>
      <c r="U566" s="204">
        <f t="shared" si="321"/>
        <v>43677</v>
      </c>
      <c r="V566" s="207">
        <f>IF(G566-F566+1-IF(G566-U566&gt;0,G566-U566,0)-IF(T566-F566&gt;0,T566-F566,0)&gt;0,G566-F566+1-IF(G566-U566&gt;0,G566-U566,0)-IF(T566-F566&gt;0,T566-F566,0),0)</f>
        <v>5</v>
      </c>
      <c r="W566" s="206" t="str">
        <f t="shared" ref="W566:W571" si="344">IF(V566&gt;0,H566,"")</f>
        <v>Стефан Енчев Неделчев</v>
      </c>
      <c r="X566" s="206">
        <f t="shared" ref="X566:X571" si="345">IF(AND($V566&gt;0,$I566=1),P566/$E566*$V566,0)</f>
        <v>0</v>
      </c>
      <c r="Y566" s="209">
        <f t="shared" ref="Y566:Y571" si="346">IF(AND($V566&gt;0,$I566&lt;&gt;1),Q566/$E566*$V566,0)</f>
        <v>27</v>
      </c>
    </row>
    <row r="567" spans="2:25" ht="45" x14ac:dyDescent="0.25">
      <c r="B567" s="60">
        <f>B566</f>
        <v>33</v>
      </c>
      <c r="C567" s="102">
        <v>226</v>
      </c>
      <c r="D567" s="192" t="str">
        <f t="shared" si="327"/>
        <v>II</v>
      </c>
      <c r="E567" s="162">
        <v>10</v>
      </c>
      <c r="F567" s="163">
        <v>43642</v>
      </c>
      <c r="G567" s="163">
        <v>43651</v>
      </c>
      <c r="H567" s="164" t="s">
        <v>296</v>
      </c>
      <c r="I567" s="164">
        <v>2</v>
      </c>
      <c r="J567" s="162" t="s">
        <v>167</v>
      </c>
      <c r="K567" s="165" t="s">
        <v>16</v>
      </c>
      <c r="L567" s="164">
        <v>1</v>
      </c>
      <c r="M567" s="164">
        <v>4</v>
      </c>
      <c r="N567" s="166">
        <v>54</v>
      </c>
      <c r="O567" s="167">
        <v>54</v>
      </c>
      <c r="P567" s="168"/>
      <c r="Q567" s="169">
        <v>54</v>
      </c>
      <c r="R567" s="170" t="s">
        <v>4</v>
      </c>
      <c r="S567" s="171">
        <v>43620</v>
      </c>
      <c r="T567" s="203">
        <f t="shared" si="320"/>
        <v>43647</v>
      </c>
      <c r="U567" s="204">
        <f t="shared" si="321"/>
        <v>43677</v>
      </c>
      <c r="V567" s="207">
        <f t="shared" ref="V567:V572" si="347">IF(G567-F567+1-IF(G567-U567&gt;0,G567-U567,0)-IF(T567-F567&gt;0,T567-F567,0)&gt;0,G567-F567+1-IF(G567-U567&gt;0,G567-U567,0)-IF(T567-F567&gt;0,T567-F567,0),0)</f>
        <v>5</v>
      </c>
      <c r="W567" s="206" t="str">
        <f t="shared" si="344"/>
        <v>Божидар Кирилов</v>
      </c>
      <c r="X567" s="206">
        <f t="shared" si="345"/>
        <v>0</v>
      </c>
      <c r="Y567" s="209">
        <f t="shared" si="346"/>
        <v>27</v>
      </c>
    </row>
    <row r="568" spans="2:25" x14ac:dyDescent="0.25">
      <c r="B568" s="60">
        <f>B566</f>
        <v>33</v>
      </c>
      <c r="C568" s="102">
        <v>227</v>
      </c>
      <c r="D568" s="192" t="str">
        <f t="shared" si="327"/>
        <v>II</v>
      </c>
      <c r="E568" s="162">
        <v>10</v>
      </c>
      <c r="F568" s="163">
        <v>43642</v>
      </c>
      <c r="G568" s="163">
        <v>43651</v>
      </c>
      <c r="H568" s="164" t="s">
        <v>297</v>
      </c>
      <c r="I568" s="164">
        <v>4</v>
      </c>
      <c r="J568" s="162" t="s">
        <v>171</v>
      </c>
      <c r="K568" s="165" t="s">
        <v>16</v>
      </c>
      <c r="L568" s="164">
        <v>1</v>
      </c>
      <c r="M568" s="164">
        <v>4</v>
      </c>
      <c r="N568" s="166">
        <v>27</v>
      </c>
      <c r="O568" s="167">
        <v>27</v>
      </c>
      <c r="P568" s="168"/>
      <c r="Q568" s="169">
        <v>27</v>
      </c>
      <c r="R568" s="170" t="s">
        <v>4</v>
      </c>
      <c r="S568" s="171">
        <v>43620</v>
      </c>
      <c r="T568" s="203">
        <f t="shared" si="320"/>
        <v>43647</v>
      </c>
      <c r="U568" s="204">
        <f t="shared" si="321"/>
        <v>43677</v>
      </c>
      <c r="V568" s="207">
        <f t="shared" si="347"/>
        <v>5</v>
      </c>
      <c r="W568" s="206" t="str">
        <f t="shared" si="344"/>
        <v>Виктор Кирилов</v>
      </c>
      <c r="X568" s="206">
        <f t="shared" si="345"/>
        <v>0</v>
      </c>
      <c r="Y568" s="209">
        <f t="shared" si="346"/>
        <v>13.5</v>
      </c>
    </row>
    <row r="569" spans="2:25" ht="45" x14ac:dyDescent="0.25">
      <c r="B569" s="60">
        <f>B566</f>
        <v>33</v>
      </c>
      <c r="C569" s="102">
        <v>228</v>
      </c>
      <c r="D569" s="192" t="str">
        <f t="shared" si="327"/>
        <v>II</v>
      </c>
      <c r="E569" s="162">
        <v>10</v>
      </c>
      <c r="F569" s="163">
        <v>43642</v>
      </c>
      <c r="G569" s="163">
        <v>43651</v>
      </c>
      <c r="H569" s="164" t="s">
        <v>298</v>
      </c>
      <c r="I569" s="164">
        <v>2</v>
      </c>
      <c r="J569" s="162" t="s">
        <v>167</v>
      </c>
      <c r="K569" s="165" t="s">
        <v>16</v>
      </c>
      <c r="L569" s="164">
        <v>1</v>
      </c>
      <c r="M569" s="164">
        <v>4</v>
      </c>
      <c r="N569" s="166">
        <v>54</v>
      </c>
      <c r="O569" s="167">
        <v>54</v>
      </c>
      <c r="P569" s="168"/>
      <c r="Q569" s="169">
        <v>54</v>
      </c>
      <c r="R569" s="170" t="s">
        <v>4</v>
      </c>
      <c r="S569" s="171">
        <v>43620</v>
      </c>
      <c r="T569" s="203">
        <f t="shared" si="320"/>
        <v>43647</v>
      </c>
      <c r="U569" s="204">
        <f t="shared" si="321"/>
        <v>43677</v>
      </c>
      <c r="V569" s="207">
        <f t="shared" si="347"/>
        <v>5</v>
      </c>
      <c r="W569" s="206" t="str">
        <f t="shared" si="344"/>
        <v>Надежда Найденова</v>
      </c>
      <c r="X569" s="206">
        <f t="shared" si="345"/>
        <v>0</v>
      </c>
      <c r="Y569" s="209">
        <f t="shared" si="346"/>
        <v>27</v>
      </c>
    </row>
    <row r="570" spans="2:25" hidden="1" x14ac:dyDescent="0.25">
      <c r="B570" s="60">
        <f>B566</f>
        <v>33</v>
      </c>
      <c r="C570" s="102">
        <v>229</v>
      </c>
      <c r="D570" s="192" t="str">
        <f t="shared" si="327"/>
        <v>II</v>
      </c>
      <c r="E570" s="162"/>
      <c r="F570" s="163"/>
      <c r="G570" s="163"/>
      <c r="H570" s="164"/>
      <c r="I570" s="164"/>
      <c r="J570" s="162"/>
      <c r="K570" s="165"/>
      <c r="L570" s="164"/>
      <c r="M570" s="164"/>
      <c r="N570" s="166"/>
      <c r="O570" s="167"/>
      <c r="P570" s="168"/>
      <c r="Q570" s="169"/>
      <c r="R570" s="170"/>
      <c r="S570" s="171"/>
      <c r="T570" s="203">
        <f t="shared" si="320"/>
        <v>43647</v>
      </c>
      <c r="U570" s="204">
        <f t="shared" si="321"/>
        <v>43677</v>
      </c>
      <c r="V570" s="207">
        <f t="shared" si="347"/>
        <v>0</v>
      </c>
      <c r="W570" s="206" t="str">
        <f t="shared" si="344"/>
        <v/>
      </c>
      <c r="X570" s="206">
        <f t="shared" si="345"/>
        <v>0</v>
      </c>
      <c r="Y570" s="209">
        <f t="shared" si="346"/>
        <v>0</v>
      </c>
    </row>
    <row r="571" spans="2:25" hidden="1" x14ac:dyDescent="0.25">
      <c r="B571" s="60">
        <f>B566</f>
        <v>33</v>
      </c>
      <c r="C571" s="102">
        <v>230</v>
      </c>
      <c r="D571" s="192" t="str">
        <f t="shared" si="327"/>
        <v>II</v>
      </c>
      <c r="E571" s="172"/>
      <c r="F571" s="173"/>
      <c r="G571" s="173"/>
      <c r="H571" s="174"/>
      <c r="I571" s="174"/>
      <c r="J571" s="172"/>
      <c r="K571" s="175"/>
      <c r="L571" s="174"/>
      <c r="M571" s="174"/>
      <c r="N571" s="176"/>
      <c r="O571" s="177"/>
      <c r="P571" s="178"/>
      <c r="Q571" s="179"/>
      <c r="R571" s="180"/>
      <c r="S571" s="181"/>
      <c r="T571" s="203">
        <f t="shared" si="320"/>
        <v>43647</v>
      </c>
      <c r="U571" s="204">
        <f t="shared" si="321"/>
        <v>43677</v>
      </c>
      <c r="V571" s="207">
        <f t="shared" si="347"/>
        <v>0</v>
      </c>
      <c r="W571" s="206" t="str">
        <f t="shared" si="344"/>
        <v/>
      </c>
      <c r="X571" s="206">
        <f t="shared" si="345"/>
        <v>0</v>
      </c>
      <c r="Y571" s="209">
        <f t="shared" si="346"/>
        <v>0</v>
      </c>
    </row>
    <row r="572" spans="2:25" ht="15.75" thickBot="1" x14ac:dyDescent="0.3">
      <c r="B572" s="141">
        <f>B566</f>
        <v>33</v>
      </c>
      <c r="C572" s="142">
        <v>231</v>
      </c>
      <c r="D572" s="194" t="str">
        <f t="shared" si="327"/>
        <v>II</v>
      </c>
      <c r="E572" s="189"/>
      <c r="F572" s="190"/>
      <c r="G572" s="190"/>
      <c r="H572" s="182"/>
      <c r="I572" s="182"/>
      <c r="J572" s="436" t="s">
        <v>181</v>
      </c>
      <c r="K572" s="437"/>
      <c r="L572" s="438"/>
      <c r="M572" s="182"/>
      <c r="N572" s="183">
        <v>10</v>
      </c>
      <c r="O572" s="184">
        <v>10</v>
      </c>
      <c r="P572" s="185"/>
      <c r="Q572" s="186">
        <v>10</v>
      </c>
      <c r="R572" s="187" t="s">
        <v>4</v>
      </c>
      <c r="S572" s="188">
        <v>43620</v>
      </c>
      <c r="T572" s="213">
        <f t="shared" si="320"/>
        <v>43647</v>
      </c>
      <c r="U572" s="214">
        <f t="shared" si="321"/>
        <v>43677</v>
      </c>
      <c r="V572" s="210">
        <f t="shared" si="347"/>
        <v>0</v>
      </c>
      <c r="W572" s="211"/>
      <c r="X572" s="211">
        <f>IF(AND($V572&gt;0,$I572=1),IF($E572=10,P572/10,P572/$V572),0)</f>
        <v>0</v>
      </c>
      <c r="Y572" s="212">
        <f>IF(AND($V566&gt;0,$I572&lt;&gt;1),Q572/E566*V566,0)</f>
        <v>5</v>
      </c>
    </row>
    <row r="573" spans="2:25" ht="45.75" thickTop="1" x14ac:dyDescent="0.25">
      <c r="B573" s="129">
        <f>B571+1</f>
        <v>34</v>
      </c>
      <c r="C573" s="130">
        <v>232</v>
      </c>
      <c r="D573" s="196" t="str">
        <f t="shared" si="327"/>
        <v>II</v>
      </c>
      <c r="E573" s="131">
        <v>10</v>
      </c>
      <c r="F573" s="132">
        <v>43642</v>
      </c>
      <c r="G573" s="132">
        <v>43651</v>
      </c>
      <c r="H573" s="133" t="s">
        <v>299</v>
      </c>
      <c r="I573" s="133">
        <v>2</v>
      </c>
      <c r="J573" s="131" t="s">
        <v>167</v>
      </c>
      <c r="K573" s="134" t="s">
        <v>61</v>
      </c>
      <c r="L573" s="133">
        <v>1.5</v>
      </c>
      <c r="M573" s="133">
        <v>4</v>
      </c>
      <c r="N573" s="135">
        <v>81</v>
      </c>
      <c r="O573" s="136">
        <v>81</v>
      </c>
      <c r="P573" s="137"/>
      <c r="Q573" s="138">
        <v>81</v>
      </c>
      <c r="R573" s="139" t="s">
        <v>4</v>
      </c>
      <c r="S573" s="140">
        <v>43633</v>
      </c>
      <c r="T573" s="203">
        <f t="shared" si="320"/>
        <v>43647</v>
      </c>
      <c r="U573" s="204">
        <f t="shared" si="321"/>
        <v>43677</v>
      </c>
      <c r="V573" s="207">
        <f>IF(G573-F573+1-IF(G573-U573&gt;0,G573-U573,0)-IF(T573-F573&gt;0,T573-F573,0)&gt;0,G573-F573+1-IF(G573-U573&gt;0,G573-U573,0)-IF(T573-F573&gt;0,T573-F573,0),0)</f>
        <v>5</v>
      </c>
      <c r="W573" s="206" t="str">
        <f t="shared" ref="W573:W578" si="348">IF(V573&gt;0,H573,"")</f>
        <v>Маргарита Якимова, Никола Крумов</v>
      </c>
      <c r="X573" s="206">
        <f t="shared" ref="X573:X578" si="349">IF(AND($V573&gt;0,$I573=1),P573/$E573*$V573,0)</f>
        <v>0</v>
      </c>
      <c r="Y573" s="209">
        <f t="shared" ref="Y573:Y578" si="350">IF(AND($V573&gt;0,$I573&lt;&gt;1),Q573/$E573*$V573,0)</f>
        <v>40.5</v>
      </c>
    </row>
    <row r="574" spans="2:25" ht="30" x14ac:dyDescent="0.25">
      <c r="B574" s="60">
        <f>B573</f>
        <v>34</v>
      </c>
      <c r="C574" s="102">
        <v>233</v>
      </c>
      <c r="D574" s="192" t="str">
        <f t="shared" si="327"/>
        <v>II</v>
      </c>
      <c r="E574" s="62">
        <v>10</v>
      </c>
      <c r="F574" s="105">
        <v>43642</v>
      </c>
      <c r="G574" s="105">
        <v>43651</v>
      </c>
      <c r="H574" s="61" t="s">
        <v>300</v>
      </c>
      <c r="I574" s="61">
        <v>5</v>
      </c>
      <c r="J574" s="62" t="s">
        <v>172</v>
      </c>
      <c r="K574" s="63" t="s">
        <v>61</v>
      </c>
      <c r="L574" s="61">
        <v>1.5</v>
      </c>
      <c r="M574" s="61">
        <v>4</v>
      </c>
      <c r="N574" s="111">
        <v>81</v>
      </c>
      <c r="O574" s="112">
        <v>81</v>
      </c>
      <c r="P574" s="113"/>
      <c r="Q574" s="114">
        <v>81</v>
      </c>
      <c r="R574" s="64" t="s">
        <v>4</v>
      </c>
      <c r="S574" s="108">
        <v>43633</v>
      </c>
      <c r="T574" s="203">
        <f t="shared" si="320"/>
        <v>43647</v>
      </c>
      <c r="U574" s="204">
        <f t="shared" si="321"/>
        <v>43677</v>
      </c>
      <c r="V574" s="207">
        <f t="shared" ref="V574:V579" si="351">IF(G574-F574+1-IF(G574-U574&gt;0,G574-U574,0)-IF(T574-F574&gt;0,T574-F574,0)&gt;0,G574-F574+1-IF(G574-U574&gt;0,G574-U574,0)-IF(T574-F574&gt;0,T574-F574,0),0)</f>
        <v>5</v>
      </c>
      <c r="W574" s="206" t="str">
        <f t="shared" si="348"/>
        <v>Виктор Крумов</v>
      </c>
      <c r="X574" s="206">
        <f t="shared" si="349"/>
        <v>0</v>
      </c>
      <c r="Y574" s="209">
        <f t="shared" si="350"/>
        <v>40.5</v>
      </c>
    </row>
    <row r="575" spans="2:25" hidden="1" x14ac:dyDescent="0.25">
      <c r="B575" s="60">
        <f>B573</f>
        <v>34</v>
      </c>
      <c r="C575" s="102">
        <v>234</v>
      </c>
      <c r="D575" s="192" t="str">
        <f t="shared" si="327"/>
        <v>II</v>
      </c>
      <c r="E575" s="62"/>
      <c r="F575" s="105"/>
      <c r="G575" s="105"/>
      <c r="H575" s="61"/>
      <c r="I575" s="61"/>
      <c r="J575" s="62"/>
      <c r="K575" s="63"/>
      <c r="L575" s="61"/>
      <c r="M575" s="61"/>
      <c r="N575" s="111"/>
      <c r="O575" s="112"/>
      <c r="P575" s="113"/>
      <c r="Q575" s="114"/>
      <c r="R575" s="64"/>
      <c r="S575" s="108"/>
      <c r="T575" s="203">
        <f t="shared" si="320"/>
        <v>43647</v>
      </c>
      <c r="U575" s="204">
        <f t="shared" si="321"/>
        <v>43677</v>
      </c>
      <c r="V575" s="207">
        <f t="shared" si="351"/>
        <v>0</v>
      </c>
      <c r="W575" s="206" t="str">
        <f t="shared" si="348"/>
        <v/>
      </c>
      <c r="X575" s="206">
        <f t="shared" si="349"/>
        <v>0</v>
      </c>
      <c r="Y575" s="209">
        <f t="shared" si="350"/>
        <v>0</v>
      </c>
    </row>
    <row r="576" spans="2:25" hidden="1" x14ac:dyDescent="0.25">
      <c r="B576" s="60">
        <f>B573</f>
        <v>34</v>
      </c>
      <c r="C576" s="102">
        <v>235</v>
      </c>
      <c r="D576" s="192" t="str">
        <f t="shared" si="327"/>
        <v>II</v>
      </c>
      <c r="E576" s="62"/>
      <c r="F576" s="105"/>
      <c r="G576" s="105"/>
      <c r="H576" s="61"/>
      <c r="I576" s="61"/>
      <c r="J576" s="62"/>
      <c r="K576" s="63"/>
      <c r="L576" s="61"/>
      <c r="M576" s="61"/>
      <c r="N576" s="111"/>
      <c r="O576" s="112"/>
      <c r="P576" s="113"/>
      <c r="Q576" s="114"/>
      <c r="R576" s="64"/>
      <c r="S576" s="108"/>
      <c r="T576" s="203">
        <f t="shared" si="320"/>
        <v>43647</v>
      </c>
      <c r="U576" s="204">
        <f t="shared" si="321"/>
        <v>43677</v>
      </c>
      <c r="V576" s="207">
        <f t="shared" si="351"/>
        <v>0</v>
      </c>
      <c r="W576" s="206" t="str">
        <f t="shared" si="348"/>
        <v/>
      </c>
      <c r="X576" s="206">
        <f t="shared" si="349"/>
        <v>0</v>
      </c>
      <c r="Y576" s="209">
        <f t="shared" si="350"/>
        <v>0</v>
      </c>
    </row>
    <row r="577" spans="2:25" hidden="1" x14ac:dyDescent="0.25">
      <c r="B577" s="60">
        <f>B573</f>
        <v>34</v>
      </c>
      <c r="C577" s="102">
        <v>236</v>
      </c>
      <c r="D577" s="192" t="str">
        <f t="shared" si="327"/>
        <v>II</v>
      </c>
      <c r="E577" s="62"/>
      <c r="F577" s="105"/>
      <c r="G577" s="105"/>
      <c r="H577" s="61"/>
      <c r="I577" s="61"/>
      <c r="J577" s="62"/>
      <c r="K577" s="63"/>
      <c r="L577" s="61"/>
      <c r="M577" s="61"/>
      <c r="N577" s="111"/>
      <c r="O577" s="112"/>
      <c r="P577" s="113"/>
      <c r="Q577" s="114"/>
      <c r="R577" s="64"/>
      <c r="S577" s="108"/>
      <c r="T577" s="203">
        <f t="shared" si="320"/>
        <v>43647</v>
      </c>
      <c r="U577" s="204">
        <f t="shared" si="321"/>
        <v>43677</v>
      </c>
      <c r="V577" s="207">
        <f t="shared" si="351"/>
        <v>0</v>
      </c>
      <c r="W577" s="206" t="str">
        <f t="shared" si="348"/>
        <v/>
      </c>
      <c r="X577" s="206">
        <f t="shared" si="349"/>
        <v>0</v>
      </c>
      <c r="Y577" s="209">
        <f t="shared" si="350"/>
        <v>0</v>
      </c>
    </row>
    <row r="578" spans="2:25" hidden="1" x14ac:dyDescent="0.25">
      <c r="B578" s="60">
        <f>B573</f>
        <v>34</v>
      </c>
      <c r="C578" s="102">
        <v>237</v>
      </c>
      <c r="D578" s="192" t="str">
        <f t="shared" si="327"/>
        <v>II</v>
      </c>
      <c r="E578" s="62"/>
      <c r="F578" s="105"/>
      <c r="G578" s="105"/>
      <c r="H578" s="61"/>
      <c r="I578" s="61"/>
      <c r="J578" s="62"/>
      <c r="K578" s="63"/>
      <c r="L578" s="61"/>
      <c r="M578" s="61"/>
      <c r="N578" s="111"/>
      <c r="O578" s="112"/>
      <c r="P578" s="113"/>
      <c r="Q578" s="114"/>
      <c r="R578" s="64"/>
      <c r="S578" s="108"/>
      <c r="T578" s="203">
        <f t="shared" si="320"/>
        <v>43647</v>
      </c>
      <c r="U578" s="204">
        <f t="shared" si="321"/>
        <v>43677</v>
      </c>
      <c r="V578" s="207">
        <f t="shared" si="351"/>
        <v>0</v>
      </c>
      <c r="W578" s="206" t="str">
        <f t="shared" si="348"/>
        <v/>
      </c>
      <c r="X578" s="206">
        <f t="shared" si="349"/>
        <v>0</v>
      </c>
      <c r="Y578" s="209">
        <f t="shared" si="350"/>
        <v>0</v>
      </c>
    </row>
    <row r="579" spans="2:25" ht="15.75" thickBot="1" x14ac:dyDescent="0.3">
      <c r="B579" s="141">
        <f>B573</f>
        <v>34</v>
      </c>
      <c r="C579" s="142">
        <v>238</v>
      </c>
      <c r="D579" s="194" t="str">
        <f t="shared" si="327"/>
        <v>II</v>
      </c>
      <c r="E579" s="143"/>
      <c r="F579" s="144"/>
      <c r="G579" s="144"/>
      <c r="H579" s="145"/>
      <c r="I579" s="145"/>
      <c r="J579" s="436" t="s">
        <v>181</v>
      </c>
      <c r="K579" s="437"/>
      <c r="L579" s="438"/>
      <c r="M579" s="145"/>
      <c r="N579" s="146">
        <v>10</v>
      </c>
      <c r="O579" s="147">
        <v>10</v>
      </c>
      <c r="P579" s="148"/>
      <c r="Q579" s="149">
        <v>10</v>
      </c>
      <c r="R579" s="150" t="s">
        <v>4</v>
      </c>
      <c r="S579" s="151">
        <v>43633</v>
      </c>
      <c r="T579" s="213">
        <f t="shared" si="320"/>
        <v>43647</v>
      </c>
      <c r="U579" s="214">
        <f t="shared" si="321"/>
        <v>43677</v>
      </c>
      <c r="V579" s="210">
        <f t="shared" si="351"/>
        <v>0</v>
      </c>
      <c r="W579" s="211"/>
      <c r="X579" s="211">
        <f>IF(AND($V579&gt;0,$I579=1),IF($E579=10,P579/10,P579/$V579),0)</f>
        <v>0</v>
      </c>
      <c r="Y579" s="212">
        <f>IF(AND($V573&gt;0,$I579&lt;&gt;1),Q579/E573*V573,0)</f>
        <v>5</v>
      </c>
    </row>
    <row r="580" spans="2:25" ht="16.5" hidden="1" thickTop="1" thickBot="1" x14ac:dyDescent="0.3">
      <c r="B580" s="129">
        <f>B578+1</f>
        <v>35</v>
      </c>
      <c r="C580" s="130">
        <v>239</v>
      </c>
      <c r="D580" s="196" t="str">
        <f t="shared" si="327"/>
        <v>II</v>
      </c>
      <c r="E580" s="152"/>
      <c r="F580" s="153"/>
      <c r="G580" s="153"/>
      <c r="H580" s="154"/>
      <c r="I580" s="154"/>
      <c r="J580" s="152"/>
      <c r="K580" s="155"/>
      <c r="L580" s="154"/>
      <c r="M580" s="154"/>
      <c r="N580" s="156"/>
      <c r="O580" s="157"/>
      <c r="P580" s="158"/>
      <c r="Q580" s="159"/>
      <c r="R580" s="160"/>
      <c r="S580" s="161"/>
      <c r="T580" s="203">
        <f t="shared" si="320"/>
        <v>43647</v>
      </c>
      <c r="U580" s="204">
        <f t="shared" si="321"/>
        <v>43677</v>
      </c>
      <c r="V580" s="207">
        <f>IF(G580-F580+1-IF(G580-U580&gt;0,G580-U580,0)-IF(T580-F580&gt;0,T580-F580,0)&gt;0,G580-F580+1-IF(G580-U580&gt;0,G580-U580,0)-IF(T580-F580&gt;0,T580-F580,0),0)</f>
        <v>0</v>
      </c>
      <c r="W580" s="206" t="str">
        <f t="shared" ref="W580:W585" si="352">IF(V580&gt;0,H580,"")</f>
        <v/>
      </c>
      <c r="X580" s="206">
        <f t="shared" ref="X580:X585" si="353">IF(AND($V580&gt;0,$I580=1),P580/$E580*$V580,0)</f>
        <v>0</v>
      </c>
      <c r="Y580" s="209">
        <f t="shared" ref="Y580:Y585" si="354">IF(AND($V580&gt;0,$I580&lt;&gt;1),Q580/$E580*$V580,0)</f>
        <v>0</v>
      </c>
    </row>
    <row r="581" spans="2:25" ht="16.5" hidden="1" thickTop="1" thickBot="1" x14ac:dyDescent="0.3">
      <c r="B581" s="60">
        <f>B580</f>
        <v>35</v>
      </c>
      <c r="C581" s="102">
        <v>240</v>
      </c>
      <c r="D581" s="192" t="str">
        <f t="shared" si="327"/>
        <v>II</v>
      </c>
      <c r="E581" s="162"/>
      <c r="F581" s="163"/>
      <c r="G581" s="163"/>
      <c r="H581" s="164"/>
      <c r="I581" s="164"/>
      <c r="J581" s="162"/>
      <c r="K581" s="165"/>
      <c r="L581" s="164"/>
      <c r="M581" s="164"/>
      <c r="N581" s="166"/>
      <c r="O581" s="167"/>
      <c r="P581" s="168"/>
      <c r="Q581" s="169"/>
      <c r="R581" s="170"/>
      <c r="S581" s="171"/>
      <c r="T581" s="203">
        <f t="shared" si="320"/>
        <v>43647</v>
      </c>
      <c r="U581" s="204">
        <f t="shared" si="321"/>
        <v>43677</v>
      </c>
      <c r="V581" s="207">
        <f t="shared" ref="V581:V586" si="355">IF(G581-F581+1-IF(G581-U581&gt;0,G581-U581,0)-IF(T581-F581&gt;0,T581-F581,0)&gt;0,G581-F581+1-IF(G581-U581&gt;0,G581-U581,0)-IF(T581-F581&gt;0,T581-F581,0),0)</f>
        <v>0</v>
      </c>
      <c r="W581" s="206" t="str">
        <f t="shared" si="352"/>
        <v/>
      </c>
      <c r="X581" s="206">
        <f t="shared" si="353"/>
        <v>0</v>
      </c>
      <c r="Y581" s="209">
        <f t="shared" si="354"/>
        <v>0</v>
      </c>
    </row>
    <row r="582" spans="2:25" ht="16.5" hidden="1" thickTop="1" thickBot="1" x14ac:dyDescent="0.3">
      <c r="B582" s="60">
        <f>B580</f>
        <v>35</v>
      </c>
      <c r="C582" s="102">
        <v>241</v>
      </c>
      <c r="D582" s="192" t="str">
        <f t="shared" si="327"/>
        <v>II</v>
      </c>
      <c r="E582" s="162"/>
      <c r="F582" s="163"/>
      <c r="G582" s="163"/>
      <c r="H582" s="164"/>
      <c r="I582" s="164"/>
      <c r="J582" s="162"/>
      <c r="K582" s="165"/>
      <c r="L582" s="164"/>
      <c r="M582" s="164"/>
      <c r="N582" s="166"/>
      <c r="O582" s="167"/>
      <c r="P582" s="168"/>
      <c r="Q582" s="169"/>
      <c r="R582" s="170"/>
      <c r="S582" s="171"/>
      <c r="T582" s="203">
        <f t="shared" si="320"/>
        <v>43647</v>
      </c>
      <c r="U582" s="204">
        <f t="shared" si="321"/>
        <v>43677</v>
      </c>
      <c r="V582" s="207">
        <f t="shared" si="355"/>
        <v>0</v>
      </c>
      <c r="W582" s="206" t="str">
        <f t="shared" si="352"/>
        <v/>
      </c>
      <c r="X582" s="206">
        <f t="shared" si="353"/>
        <v>0</v>
      </c>
      <c r="Y582" s="209">
        <f t="shared" si="354"/>
        <v>0</v>
      </c>
    </row>
    <row r="583" spans="2:25" ht="16.5" hidden="1" thickTop="1" thickBot="1" x14ac:dyDescent="0.3">
      <c r="B583" s="60">
        <f>B580</f>
        <v>35</v>
      </c>
      <c r="C583" s="102">
        <v>242</v>
      </c>
      <c r="D583" s="192" t="str">
        <f t="shared" si="327"/>
        <v>II</v>
      </c>
      <c r="E583" s="162"/>
      <c r="F583" s="163"/>
      <c r="G583" s="163"/>
      <c r="H583" s="164"/>
      <c r="I583" s="164"/>
      <c r="J583" s="162"/>
      <c r="K583" s="165"/>
      <c r="L583" s="164"/>
      <c r="M583" s="164"/>
      <c r="N583" s="166"/>
      <c r="O583" s="167"/>
      <c r="P583" s="168"/>
      <c r="Q583" s="169"/>
      <c r="R583" s="170"/>
      <c r="S583" s="171"/>
      <c r="T583" s="203">
        <f t="shared" si="320"/>
        <v>43647</v>
      </c>
      <c r="U583" s="204">
        <f t="shared" si="321"/>
        <v>43677</v>
      </c>
      <c r="V583" s="207">
        <f t="shared" si="355"/>
        <v>0</v>
      </c>
      <c r="W583" s="206" t="str">
        <f t="shared" si="352"/>
        <v/>
      </c>
      <c r="X583" s="206">
        <f t="shared" si="353"/>
        <v>0</v>
      </c>
      <c r="Y583" s="209">
        <f t="shared" si="354"/>
        <v>0</v>
      </c>
    </row>
    <row r="584" spans="2:25" ht="16.5" hidden="1" thickTop="1" thickBot="1" x14ac:dyDescent="0.3">
      <c r="B584" s="60">
        <f>B580</f>
        <v>35</v>
      </c>
      <c r="C584" s="102">
        <v>243</v>
      </c>
      <c r="D584" s="192" t="str">
        <f t="shared" si="327"/>
        <v>II</v>
      </c>
      <c r="E584" s="162"/>
      <c r="F584" s="163"/>
      <c r="G584" s="163"/>
      <c r="H584" s="164"/>
      <c r="I584" s="164"/>
      <c r="J584" s="162"/>
      <c r="K584" s="165"/>
      <c r="L584" s="164"/>
      <c r="M584" s="164"/>
      <c r="N584" s="166"/>
      <c r="O584" s="167"/>
      <c r="P584" s="168"/>
      <c r="Q584" s="169"/>
      <c r="R584" s="170"/>
      <c r="S584" s="171"/>
      <c r="T584" s="203">
        <f t="shared" si="320"/>
        <v>43647</v>
      </c>
      <c r="U584" s="204">
        <f t="shared" si="321"/>
        <v>43677</v>
      </c>
      <c r="V584" s="207">
        <f t="shared" si="355"/>
        <v>0</v>
      </c>
      <c r="W584" s="206" t="str">
        <f t="shared" si="352"/>
        <v/>
      </c>
      <c r="X584" s="206">
        <f t="shared" si="353"/>
        <v>0</v>
      </c>
      <c r="Y584" s="209">
        <f t="shared" si="354"/>
        <v>0</v>
      </c>
    </row>
    <row r="585" spans="2:25" ht="16.5" hidden="1" thickTop="1" thickBot="1" x14ac:dyDescent="0.3">
      <c r="B585" s="60">
        <f>B580</f>
        <v>35</v>
      </c>
      <c r="C585" s="102">
        <v>244</v>
      </c>
      <c r="D585" s="192" t="str">
        <f t="shared" si="327"/>
        <v>II</v>
      </c>
      <c r="E585" s="172"/>
      <c r="F585" s="173"/>
      <c r="G585" s="173"/>
      <c r="H585" s="174"/>
      <c r="I585" s="174"/>
      <c r="J585" s="172"/>
      <c r="K585" s="175"/>
      <c r="L585" s="174"/>
      <c r="M585" s="174"/>
      <c r="N585" s="176"/>
      <c r="O585" s="177"/>
      <c r="P585" s="178"/>
      <c r="Q585" s="179"/>
      <c r="R585" s="180"/>
      <c r="S585" s="181"/>
      <c r="T585" s="203">
        <f t="shared" si="320"/>
        <v>43647</v>
      </c>
      <c r="U585" s="204">
        <f t="shared" si="321"/>
        <v>43677</v>
      </c>
      <c r="V585" s="207">
        <f t="shared" si="355"/>
        <v>0</v>
      </c>
      <c r="W585" s="206" t="str">
        <f t="shared" si="352"/>
        <v/>
      </c>
      <c r="X585" s="206">
        <f t="shared" si="353"/>
        <v>0</v>
      </c>
      <c r="Y585" s="209">
        <f t="shared" si="354"/>
        <v>0</v>
      </c>
    </row>
    <row r="586" spans="2:25" ht="16.5" hidden="1" thickTop="1" thickBot="1" x14ac:dyDescent="0.3">
      <c r="B586" s="141">
        <f>B580</f>
        <v>35</v>
      </c>
      <c r="C586" s="142">
        <v>245</v>
      </c>
      <c r="D586" s="194" t="str">
        <f t="shared" si="327"/>
        <v>II</v>
      </c>
      <c r="E586" s="189"/>
      <c r="F586" s="190"/>
      <c r="G586" s="190"/>
      <c r="H586" s="182"/>
      <c r="I586" s="182"/>
      <c r="J586" s="436" t="s">
        <v>181</v>
      </c>
      <c r="K586" s="437"/>
      <c r="L586" s="438"/>
      <c r="M586" s="182"/>
      <c r="N586" s="183"/>
      <c r="O586" s="184"/>
      <c r="P586" s="185"/>
      <c r="Q586" s="186"/>
      <c r="R586" s="187"/>
      <c r="S586" s="188"/>
      <c r="T586" s="213">
        <f t="shared" si="320"/>
        <v>43647</v>
      </c>
      <c r="U586" s="214">
        <f t="shared" si="321"/>
        <v>43677</v>
      </c>
      <c r="V586" s="210">
        <f t="shared" si="355"/>
        <v>0</v>
      </c>
      <c r="W586" s="211"/>
      <c r="X586" s="211">
        <f>IF(AND($V586&gt;0,$I586=1),IF($E586=10,P586/10,P586/$V586),0)</f>
        <v>0</v>
      </c>
      <c r="Y586" s="212">
        <f>IF(AND($V580&gt;0,$I586&lt;&gt;1),Q586/E580*V580,0)</f>
        <v>0</v>
      </c>
    </row>
    <row r="587" spans="2:25" ht="16.5" hidden="1" thickTop="1" thickBot="1" x14ac:dyDescent="0.3">
      <c r="B587" s="129">
        <f>B585+1</f>
        <v>36</v>
      </c>
      <c r="C587" s="130">
        <v>246</v>
      </c>
      <c r="D587" s="196" t="str">
        <f t="shared" si="327"/>
        <v>II</v>
      </c>
      <c r="E587" s="131"/>
      <c r="F587" s="132"/>
      <c r="G587" s="132"/>
      <c r="H587" s="133"/>
      <c r="I587" s="133"/>
      <c r="J587" s="131"/>
      <c r="K587" s="134"/>
      <c r="L587" s="133"/>
      <c r="M587" s="133"/>
      <c r="N587" s="135"/>
      <c r="O587" s="136"/>
      <c r="P587" s="137"/>
      <c r="Q587" s="138"/>
      <c r="R587" s="139"/>
      <c r="S587" s="140"/>
      <c r="T587" s="203">
        <f t="shared" si="320"/>
        <v>43647</v>
      </c>
      <c r="U587" s="204">
        <f t="shared" si="321"/>
        <v>43677</v>
      </c>
      <c r="V587" s="207">
        <f>IF(G587-F587+1-IF(G587-U587&gt;0,G587-U587,0)-IF(T587-F587&gt;0,T587-F587,0)&gt;0,G587-F587+1-IF(G587-U587&gt;0,G587-U587,0)-IF(T587-F587&gt;0,T587-F587,0),0)</f>
        <v>0</v>
      </c>
      <c r="W587" s="206" t="str">
        <f t="shared" ref="W587:W592" si="356">IF(V587&gt;0,H587,"")</f>
        <v/>
      </c>
      <c r="X587" s="206">
        <f t="shared" ref="X587:X592" si="357">IF(AND($V587&gt;0,$I587=1),P587/$E587*$V587,0)</f>
        <v>0</v>
      </c>
      <c r="Y587" s="209">
        <f t="shared" ref="Y587:Y592" si="358">IF(AND($V587&gt;0,$I587&lt;&gt;1),Q587/$E587*$V587,0)</f>
        <v>0</v>
      </c>
    </row>
    <row r="588" spans="2:25" ht="16.5" hidden="1" thickTop="1" thickBot="1" x14ac:dyDescent="0.3">
      <c r="B588" s="60">
        <f>B587</f>
        <v>36</v>
      </c>
      <c r="C588" s="102">
        <v>247</v>
      </c>
      <c r="D588" s="192" t="str">
        <f t="shared" si="327"/>
        <v>II</v>
      </c>
      <c r="E588" s="62"/>
      <c r="F588" s="105"/>
      <c r="G588" s="105"/>
      <c r="H588" s="61"/>
      <c r="I588" s="61"/>
      <c r="J588" s="62"/>
      <c r="K588" s="63"/>
      <c r="L588" s="61"/>
      <c r="M588" s="61"/>
      <c r="N588" s="111"/>
      <c r="O588" s="112"/>
      <c r="P588" s="113"/>
      <c r="Q588" s="114"/>
      <c r="R588" s="64"/>
      <c r="S588" s="108"/>
      <c r="T588" s="203">
        <f t="shared" si="320"/>
        <v>43647</v>
      </c>
      <c r="U588" s="204">
        <f t="shared" si="321"/>
        <v>43677</v>
      </c>
      <c r="V588" s="207">
        <f t="shared" ref="V588:V593" si="359">IF(G588-F588+1-IF(G588-U588&gt;0,G588-U588,0)-IF(T588-F588&gt;0,T588-F588,0)&gt;0,G588-F588+1-IF(G588-U588&gt;0,G588-U588,0)-IF(T588-F588&gt;0,T588-F588,0),0)</f>
        <v>0</v>
      </c>
      <c r="W588" s="206" t="str">
        <f t="shared" si="356"/>
        <v/>
      </c>
      <c r="X588" s="206">
        <f t="shared" si="357"/>
        <v>0</v>
      </c>
      <c r="Y588" s="209">
        <f t="shared" si="358"/>
        <v>0</v>
      </c>
    </row>
    <row r="589" spans="2:25" ht="16.5" hidden="1" thickTop="1" thickBot="1" x14ac:dyDescent="0.3">
      <c r="B589" s="60">
        <f>B587</f>
        <v>36</v>
      </c>
      <c r="C589" s="102">
        <v>248</v>
      </c>
      <c r="D589" s="192" t="str">
        <f t="shared" si="327"/>
        <v>II</v>
      </c>
      <c r="E589" s="62"/>
      <c r="F589" s="105"/>
      <c r="G589" s="105"/>
      <c r="H589" s="61"/>
      <c r="I589" s="61"/>
      <c r="J589" s="62"/>
      <c r="K589" s="63"/>
      <c r="L589" s="61"/>
      <c r="M589" s="61"/>
      <c r="N589" s="111"/>
      <c r="O589" s="112"/>
      <c r="P589" s="113"/>
      <c r="Q589" s="114"/>
      <c r="R589" s="64"/>
      <c r="S589" s="108"/>
      <c r="T589" s="203">
        <f t="shared" ref="T589:T652" si="360">$F$4</f>
        <v>43647</v>
      </c>
      <c r="U589" s="204">
        <f t="shared" ref="U589:U652" si="361">$G$4</f>
        <v>43677</v>
      </c>
      <c r="V589" s="207">
        <f t="shared" si="359"/>
        <v>0</v>
      </c>
      <c r="W589" s="206" t="str">
        <f t="shared" si="356"/>
        <v/>
      </c>
      <c r="X589" s="206">
        <f t="shared" si="357"/>
        <v>0</v>
      </c>
      <c r="Y589" s="209">
        <f t="shared" si="358"/>
        <v>0</v>
      </c>
    </row>
    <row r="590" spans="2:25" ht="16.5" hidden="1" thickTop="1" thickBot="1" x14ac:dyDescent="0.3">
      <c r="B590" s="60">
        <f>B587</f>
        <v>36</v>
      </c>
      <c r="C590" s="102">
        <v>249</v>
      </c>
      <c r="D590" s="192" t="str">
        <f t="shared" si="327"/>
        <v>II</v>
      </c>
      <c r="E590" s="62"/>
      <c r="F590" s="105"/>
      <c r="G590" s="105"/>
      <c r="H590" s="61"/>
      <c r="I590" s="61"/>
      <c r="J590" s="62"/>
      <c r="K590" s="63"/>
      <c r="L590" s="61"/>
      <c r="M590" s="61"/>
      <c r="N590" s="111"/>
      <c r="O590" s="112"/>
      <c r="P590" s="113"/>
      <c r="Q590" s="114"/>
      <c r="R590" s="64"/>
      <c r="S590" s="108"/>
      <c r="T590" s="203">
        <f t="shared" si="360"/>
        <v>43647</v>
      </c>
      <c r="U590" s="204">
        <f t="shared" si="361"/>
        <v>43677</v>
      </c>
      <c r="V590" s="207">
        <f t="shared" si="359"/>
        <v>0</v>
      </c>
      <c r="W590" s="206" t="str">
        <f t="shared" si="356"/>
        <v/>
      </c>
      <c r="X590" s="206">
        <f t="shared" si="357"/>
        <v>0</v>
      </c>
      <c r="Y590" s="209">
        <f t="shared" si="358"/>
        <v>0</v>
      </c>
    </row>
    <row r="591" spans="2:25" ht="16.5" hidden="1" thickTop="1" thickBot="1" x14ac:dyDescent="0.3">
      <c r="B591" s="60">
        <f>B587</f>
        <v>36</v>
      </c>
      <c r="C591" s="102">
        <v>250</v>
      </c>
      <c r="D591" s="192" t="str">
        <f t="shared" si="327"/>
        <v>II</v>
      </c>
      <c r="E591" s="62"/>
      <c r="F591" s="105"/>
      <c r="G591" s="105"/>
      <c r="H591" s="61"/>
      <c r="I591" s="61"/>
      <c r="J591" s="62"/>
      <c r="K591" s="63"/>
      <c r="L591" s="61"/>
      <c r="M591" s="61"/>
      <c r="N591" s="111"/>
      <c r="O591" s="112"/>
      <c r="P591" s="113"/>
      <c r="Q591" s="114"/>
      <c r="R591" s="64"/>
      <c r="S591" s="108"/>
      <c r="T591" s="203">
        <f t="shared" si="360"/>
        <v>43647</v>
      </c>
      <c r="U591" s="204">
        <f t="shared" si="361"/>
        <v>43677</v>
      </c>
      <c r="V591" s="207">
        <f t="shared" si="359"/>
        <v>0</v>
      </c>
      <c r="W591" s="206" t="str">
        <f t="shared" si="356"/>
        <v/>
      </c>
      <c r="X591" s="206">
        <f t="shared" si="357"/>
        <v>0</v>
      </c>
      <c r="Y591" s="209">
        <f t="shared" si="358"/>
        <v>0</v>
      </c>
    </row>
    <row r="592" spans="2:25" ht="16.5" hidden="1" thickTop="1" thickBot="1" x14ac:dyDescent="0.3">
      <c r="B592" s="60">
        <f>B587</f>
        <v>36</v>
      </c>
      <c r="C592" s="102">
        <v>251</v>
      </c>
      <c r="D592" s="192" t="str">
        <f t="shared" si="327"/>
        <v>II</v>
      </c>
      <c r="E592" s="62"/>
      <c r="F592" s="105"/>
      <c r="G592" s="105"/>
      <c r="H592" s="61"/>
      <c r="I592" s="61"/>
      <c r="J592" s="62"/>
      <c r="K592" s="63"/>
      <c r="L592" s="61"/>
      <c r="M592" s="61"/>
      <c r="N592" s="111"/>
      <c r="O592" s="112"/>
      <c r="P592" s="113"/>
      <c r="Q592" s="114"/>
      <c r="R592" s="64"/>
      <c r="S592" s="108"/>
      <c r="T592" s="203">
        <f t="shared" si="360"/>
        <v>43647</v>
      </c>
      <c r="U592" s="204">
        <f t="shared" si="361"/>
        <v>43677</v>
      </c>
      <c r="V592" s="207">
        <f t="shared" si="359"/>
        <v>0</v>
      </c>
      <c r="W592" s="206" t="str">
        <f t="shared" si="356"/>
        <v/>
      </c>
      <c r="X592" s="206">
        <f t="shared" si="357"/>
        <v>0</v>
      </c>
      <c r="Y592" s="209">
        <f t="shared" si="358"/>
        <v>0</v>
      </c>
    </row>
    <row r="593" spans="2:25" ht="16.5" hidden="1" thickTop="1" thickBot="1" x14ac:dyDescent="0.3">
      <c r="B593" s="141">
        <f>B587</f>
        <v>36</v>
      </c>
      <c r="C593" s="142">
        <v>252</v>
      </c>
      <c r="D593" s="194" t="str">
        <f t="shared" si="327"/>
        <v>II</v>
      </c>
      <c r="E593" s="143"/>
      <c r="F593" s="144"/>
      <c r="G593" s="144"/>
      <c r="H593" s="145"/>
      <c r="I593" s="145"/>
      <c r="J593" s="436" t="s">
        <v>181</v>
      </c>
      <c r="K593" s="437"/>
      <c r="L593" s="438"/>
      <c r="M593" s="145"/>
      <c r="N593" s="146"/>
      <c r="O593" s="147"/>
      <c r="P593" s="148"/>
      <c r="Q593" s="149"/>
      <c r="R593" s="150"/>
      <c r="S593" s="151"/>
      <c r="T593" s="213">
        <f t="shared" si="360"/>
        <v>43647</v>
      </c>
      <c r="U593" s="214">
        <f t="shared" si="361"/>
        <v>43677</v>
      </c>
      <c r="V593" s="210">
        <f t="shared" si="359"/>
        <v>0</v>
      </c>
      <c r="W593" s="211"/>
      <c r="X593" s="211">
        <f>IF(AND($V593&gt;0,$I593=1),IF($E593=10,P593/10,P593/$V593),0)</f>
        <v>0</v>
      </c>
      <c r="Y593" s="212">
        <f>IF(AND($V587&gt;0,$I593&lt;&gt;1),Q593/E587*V587,0)</f>
        <v>0</v>
      </c>
    </row>
    <row r="594" spans="2:25" ht="45.75" thickTop="1" x14ac:dyDescent="0.25">
      <c r="B594" s="129">
        <f>B592+1</f>
        <v>37</v>
      </c>
      <c r="C594" s="130">
        <v>253</v>
      </c>
      <c r="D594" s="196"/>
      <c r="E594" s="152">
        <v>10</v>
      </c>
      <c r="F594" s="153">
        <v>43642</v>
      </c>
      <c r="G594" s="153">
        <v>43651</v>
      </c>
      <c r="H594" s="154" t="s">
        <v>301</v>
      </c>
      <c r="I594" s="154">
        <v>2</v>
      </c>
      <c r="J594" s="152" t="s">
        <v>167</v>
      </c>
      <c r="K594" s="155" t="s">
        <v>16</v>
      </c>
      <c r="L594" s="154">
        <v>1</v>
      </c>
      <c r="M594" s="154">
        <v>4</v>
      </c>
      <c r="N594" s="156">
        <v>54</v>
      </c>
      <c r="O594" s="157">
        <v>54</v>
      </c>
      <c r="P594" s="158"/>
      <c r="Q594" s="159">
        <v>54</v>
      </c>
      <c r="R594" s="160" t="s">
        <v>4</v>
      </c>
      <c r="S594" s="161">
        <v>43626</v>
      </c>
      <c r="T594" s="203">
        <f t="shared" si="360"/>
        <v>43647</v>
      </c>
      <c r="U594" s="204">
        <f t="shared" si="361"/>
        <v>43677</v>
      </c>
      <c r="V594" s="207">
        <f>IF(G594-F594+1-IF(G594-U594&gt;0,G594-U594,0)-IF(T594-F594&gt;0,T594-F594,0)&gt;0,G594-F594+1-IF(G594-U594&gt;0,G594-U594,0)-IF(T594-F594&gt;0,T594-F594,0),0)</f>
        <v>5</v>
      </c>
      <c r="W594" s="206" t="str">
        <f t="shared" ref="W594:W599" si="362">IF(V594&gt;0,H594,"")</f>
        <v>Капка Петрова Христова</v>
      </c>
      <c r="X594" s="206">
        <f t="shared" ref="X594:X599" si="363">IF(AND($V594&gt;0,$I594=1),P594/$E594*$V594,0)</f>
        <v>0</v>
      </c>
      <c r="Y594" s="209">
        <f t="shared" ref="Y594:Y599" si="364">IF(AND($V594&gt;0,$I594&lt;&gt;1),Q594/$E594*$V594,0)</f>
        <v>27</v>
      </c>
    </row>
    <row r="595" spans="2:25" x14ac:dyDescent="0.25">
      <c r="B595" s="60">
        <f>B594</f>
        <v>37</v>
      </c>
      <c r="C595" s="102">
        <v>254</v>
      </c>
      <c r="D595" s="192"/>
      <c r="E595" s="162">
        <v>10</v>
      </c>
      <c r="F595" s="163">
        <v>43642</v>
      </c>
      <c r="G595" s="163">
        <v>43651</v>
      </c>
      <c r="H595" s="164" t="s">
        <v>302</v>
      </c>
      <c r="I595" s="164">
        <v>4</v>
      </c>
      <c r="J595" s="162" t="s">
        <v>171</v>
      </c>
      <c r="K595" s="165" t="s">
        <v>16</v>
      </c>
      <c r="L595" s="164">
        <v>1</v>
      </c>
      <c r="M595" s="164">
        <v>4</v>
      </c>
      <c r="N595" s="166">
        <v>27</v>
      </c>
      <c r="O595" s="167">
        <v>27</v>
      </c>
      <c r="P595" s="168"/>
      <c r="Q595" s="169">
        <v>27</v>
      </c>
      <c r="R595" s="170" t="s">
        <v>4</v>
      </c>
      <c r="S595" s="171">
        <v>43626</v>
      </c>
      <c r="T595" s="203">
        <f t="shared" si="360"/>
        <v>43647</v>
      </c>
      <c r="U595" s="204">
        <f t="shared" si="361"/>
        <v>43677</v>
      </c>
      <c r="V595" s="207">
        <f t="shared" ref="V595:V600" si="365">IF(G595-F595+1-IF(G595-U595&gt;0,G595-U595,0)-IF(T595-F595&gt;0,T595-F595,0)&gt;0,G595-F595+1-IF(G595-U595&gt;0,G595-U595,0)-IF(T595-F595&gt;0,T595-F595,0),0)</f>
        <v>5</v>
      </c>
      <c r="W595" s="206" t="str">
        <f t="shared" si="362"/>
        <v>Максим Димов</v>
      </c>
      <c r="X595" s="206">
        <f t="shared" si="363"/>
        <v>0</v>
      </c>
      <c r="Y595" s="209">
        <f t="shared" si="364"/>
        <v>13.5</v>
      </c>
    </row>
    <row r="596" spans="2:25" hidden="1" x14ac:dyDescent="0.25">
      <c r="B596" s="60">
        <f>B594</f>
        <v>37</v>
      </c>
      <c r="C596" s="102">
        <v>255</v>
      </c>
      <c r="D596" s="192">
        <f t="shared" si="327"/>
        <v>0</v>
      </c>
      <c r="E596" s="162"/>
      <c r="F596" s="163"/>
      <c r="G596" s="163"/>
      <c r="H596" s="164"/>
      <c r="I596" s="164"/>
      <c r="J596" s="162"/>
      <c r="K596" s="165"/>
      <c r="L596" s="164"/>
      <c r="M596" s="164"/>
      <c r="N596" s="166"/>
      <c r="O596" s="167"/>
      <c r="P596" s="168"/>
      <c r="Q596" s="169"/>
      <c r="R596" s="170"/>
      <c r="S596" s="171"/>
      <c r="T596" s="203">
        <f t="shared" si="360"/>
        <v>43647</v>
      </c>
      <c r="U596" s="204">
        <f t="shared" si="361"/>
        <v>43677</v>
      </c>
      <c r="V596" s="207">
        <f t="shared" si="365"/>
        <v>0</v>
      </c>
      <c r="W596" s="206" t="str">
        <f t="shared" si="362"/>
        <v/>
      </c>
      <c r="X596" s="206">
        <f t="shared" si="363"/>
        <v>0</v>
      </c>
      <c r="Y596" s="209">
        <f t="shared" si="364"/>
        <v>0</v>
      </c>
    </row>
    <row r="597" spans="2:25" hidden="1" x14ac:dyDescent="0.25">
      <c r="B597" s="60">
        <f>B594</f>
        <v>37</v>
      </c>
      <c r="C597" s="102">
        <v>256</v>
      </c>
      <c r="D597" s="192">
        <f t="shared" si="327"/>
        <v>0</v>
      </c>
      <c r="E597" s="162"/>
      <c r="F597" s="163"/>
      <c r="G597" s="163"/>
      <c r="H597" s="164"/>
      <c r="I597" s="164"/>
      <c r="J597" s="162"/>
      <c r="K597" s="165"/>
      <c r="L597" s="164"/>
      <c r="M597" s="164"/>
      <c r="N597" s="166"/>
      <c r="O597" s="167"/>
      <c r="P597" s="168"/>
      <c r="Q597" s="169"/>
      <c r="R597" s="170"/>
      <c r="S597" s="171"/>
      <c r="T597" s="203">
        <f t="shared" si="360"/>
        <v>43647</v>
      </c>
      <c r="U597" s="204">
        <f t="shared" si="361"/>
        <v>43677</v>
      </c>
      <c r="V597" s="207">
        <f t="shared" si="365"/>
        <v>0</v>
      </c>
      <c r="W597" s="206" t="str">
        <f t="shared" si="362"/>
        <v/>
      </c>
      <c r="X597" s="206">
        <f t="shared" si="363"/>
        <v>0</v>
      </c>
      <c r="Y597" s="209">
        <f t="shared" si="364"/>
        <v>0</v>
      </c>
    </row>
    <row r="598" spans="2:25" hidden="1" x14ac:dyDescent="0.25">
      <c r="B598" s="60">
        <f>B594</f>
        <v>37</v>
      </c>
      <c r="C598" s="102">
        <v>257</v>
      </c>
      <c r="D598" s="192">
        <f t="shared" si="327"/>
        <v>0</v>
      </c>
      <c r="E598" s="162"/>
      <c r="F598" s="163"/>
      <c r="G598" s="163"/>
      <c r="H598" s="164"/>
      <c r="I598" s="164"/>
      <c r="J598" s="162"/>
      <c r="K598" s="165"/>
      <c r="L598" s="164"/>
      <c r="M598" s="164"/>
      <c r="N598" s="166"/>
      <c r="O598" s="167"/>
      <c r="P598" s="168"/>
      <c r="Q598" s="169"/>
      <c r="R598" s="170"/>
      <c r="S598" s="171"/>
      <c r="T598" s="203">
        <f t="shared" si="360"/>
        <v>43647</v>
      </c>
      <c r="U598" s="204">
        <f t="shared" si="361"/>
        <v>43677</v>
      </c>
      <c r="V598" s="207">
        <f t="shared" si="365"/>
        <v>0</v>
      </c>
      <c r="W598" s="206" t="str">
        <f t="shared" si="362"/>
        <v/>
      </c>
      <c r="X598" s="206">
        <f t="shared" si="363"/>
        <v>0</v>
      </c>
      <c r="Y598" s="209">
        <f t="shared" si="364"/>
        <v>0</v>
      </c>
    </row>
    <row r="599" spans="2:25" hidden="1" x14ac:dyDescent="0.25">
      <c r="B599" s="60">
        <f>B594</f>
        <v>37</v>
      </c>
      <c r="C599" s="102">
        <v>258</v>
      </c>
      <c r="D599" s="192">
        <f t="shared" si="327"/>
        <v>0</v>
      </c>
      <c r="E599" s="172"/>
      <c r="F599" s="173"/>
      <c r="G599" s="173"/>
      <c r="H599" s="174"/>
      <c r="I599" s="174"/>
      <c r="J599" s="172"/>
      <c r="K599" s="175"/>
      <c r="L599" s="174"/>
      <c r="M599" s="174"/>
      <c r="N599" s="176"/>
      <c r="O599" s="177"/>
      <c r="P599" s="178"/>
      <c r="Q599" s="179"/>
      <c r="R599" s="180"/>
      <c r="S599" s="181"/>
      <c r="T599" s="203">
        <f t="shared" si="360"/>
        <v>43647</v>
      </c>
      <c r="U599" s="204">
        <f t="shared" si="361"/>
        <v>43677</v>
      </c>
      <c r="V599" s="207">
        <f t="shared" si="365"/>
        <v>0</v>
      </c>
      <c r="W599" s="206" t="str">
        <f t="shared" si="362"/>
        <v/>
      </c>
      <c r="X599" s="206">
        <f t="shared" si="363"/>
        <v>0</v>
      </c>
      <c r="Y599" s="209">
        <f t="shared" si="364"/>
        <v>0</v>
      </c>
    </row>
    <row r="600" spans="2:25" ht="15.75" thickBot="1" x14ac:dyDescent="0.3">
      <c r="B600" s="141">
        <f>B594</f>
        <v>37</v>
      </c>
      <c r="C600" s="142">
        <v>259</v>
      </c>
      <c r="D600" s="194">
        <f t="shared" ref="D600:D663" si="366">D599</f>
        <v>0</v>
      </c>
      <c r="E600" s="189"/>
      <c r="F600" s="190"/>
      <c r="G600" s="190"/>
      <c r="H600" s="182"/>
      <c r="I600" s="182"/>
      <c r="J600" s="436" t="s">
        <v>181</v>
      </c>
      <c r="K600" s="437"/>
      <c r="L600" s="438"/>
      <c r="M600" s="182"/>
      <c r="N600" s="183">
        <v>10</v>
      </c>
      <c r="O600" s="184">
        <v>10</v>
      </c>
      <c r="P600" s="185"/>
      <c r="Q600" s="186">
        <v>10</v>
      </c>
      <c r="R600" s="187" t="s">
        <v>4</v>
      </c>
      <c r="S600" s="188">
        <v>43626</v>
      </c>
      <c r="T600" s="213">
        <f t="shared" si="360"/>
        <v>43647</v>
      </c>
      <c r="U600" s="214">
        <f t="shared" si="361"/>
        <v>43677</v>
      </c>
      <c r="V600" s="210">
        <f t="shared" si="365"/>
        <v>0</v>
      </c>
      <c r="W600" s="211"/>
      <c r="X600" s="211">
        <f>IF(AND($V600&gt;0,$I600=1),IF($E600=10,P600/10,P600/$V600),0)</f>
        <v>0</v>
      </c>
      <c r="Y600" s="212">
        <f>IF(AND($V594&gt;0,$I600&lt;&gt;1),Q600/E594*V594,0)</f>
        <v>5</v>
      </c>
    </row>
    <row r="601" spans="2:25" ht="16.5" hidden="1" thickTop="1" thickBot="1" x14ac:dyDescent="0.3">
      <c r="B601" s="129">
        <f>B599+1</f>
        <v>38</v>
      </c>
      <c r="C601" s="130">
        <v>260</v>
      </c>
      <c r="D601" s="196">
        <f t="shared" si="366"/>
        <v>0</v>
      </c>
      <c r="E601" s="131"/>
      <c r="F601" s="132"/>
      <c r="G601" s="132"/>
      <c r="H601" s="133"/>
      <c r="I601" s="133"/>
      <c r="J601" s="131"/>
      <c r="K601" s="134"/>
      <c r="L601" s="133"/>
      <c r="M601" s="133"/>
      <c r="N601" s="135"/>
      <c r="O601" s="136"/>
      <c r="P601" s="137"/>
      <c r="Q601" s="138"/>
      <c r="R601" s="139"/>
      <c r="S601" s="140"/>
      <c r="T601" s="203">
        <f t="shared" si="360"/>
        <v>43647</v>
      </c>
      <c r="U601" s="204">
        <f t="shared" si="361"/>
        <v>43677</v>
      </c>
      <c r="V601" s="207">
        <f>IF(G601-F601+1-IF(G601-U601&gt;0,G601-U601,0)-IF(T601-F601&gt;0,T601-F601,0)&gt;0,G601-F601+1-IF(G601-U601&gt;0,G601-U601,0)-IF(T601-F601&gt;0,T601-F601,0),0)</f>
        <v>0</v>
      </c>
      <c r="W601" s="206" t="str">
        <f t="shared" ref="W601:W606" si="367">IF(V601&gt;0,H601,"")</f>
        <v/>
      </c>
      <c r="X601" s="206">
        <f t="shared" ref="X601:X606" si="368">IF(AND($V601&gt;0,$I601=1),P601/$E601*$V601,0)</f>
        <v>0</v>
      </c>
      <c r="Y601" s="209">
        <f t="shared" ref="Y601:Y606" si="369">IF(AND($V601&gt;0,$I601&lt;&gt;1),Q601/$E601*$V601,0)</f>
        <v>0</v>
      </c>
    </row>
    <row r="602" spans="2:25" ht="16.5" hidden="1" thickTop="1" thickBot="1" x14ac:dyDescent="0.3">
      <c r="B602" s="60">
        <f>B601</f>
        <v>38</v>
      </c>
      <c r="C602" s="102">
        <v>261</v>
      </c>
      <c r="D602" s="192">
        <f t="shared" si="366"/>
        <v>0</v>
      </c>
      <c r="E602" s="62"/>
      <c r="F602" s="105"/>
      <c r="G602" s="105"/>
      <c r="H602" s="61"/>
      <c r="I602" s="61"/>
      <c r="J602" s="62"/>
      <c r="K602" s="63"/>
      <c r="L602" s="61"/>
      <c r="M602" s="61"/>
      <c r="N602" s="111"/>
      <c r="O602" s="112"/>
      <c r="P602" s="113"/>
      <c r="Q602" s="114"/>
      <c r="R602" s="64"/>
      <c r="S602" s="108"/>
      <c r="T602" s="203">
        <f t="shared" si="360"/>
        <v>43647</v>
      </c>
      <c r="U602" s="204">
        <f t="shared" si="361"/>
        <v>43677</v>
      </c>
      <c r="V602" s="207">
        <f t="shared" ref="V602:V607" si="370">IF(G602-F602+1-IF(G602-U602&gt;0,G602-U602,0)-IF(T602-F602&gt;0,T602-F602,0)&gt;0,G602-F602+1-IF(G602-U602&gt;0,G602-U602,0)-IF(T602-F602&gt;0,T602-F602,0),0)</f>
        <v>0</v>
      </c>
      <c r="W602" s="206" t="str">
        <f t="shared" si="367"/>
        <v/>
      </c>
      <c r="X602" s="206">
        <f t="shared" si="368"/>
        <v>0</v>
      </c>
      <c r="Y602" s="209">
        <f t="shared" si="369"/>
        <v>0</v>
      </c>
    </row>
    <row r="603" spans="2:25" ht="16.5" hidden="1" thickTop="1" thickBot="1" x14ac:dyDescent="0.3">
      <c r="B603" s="60">
        <f>B601</f>
        <v>38</v>
      </c>
      <c r="C603" s="102">
        <v>262</v>
      </c>
      <c r="D603" s="192">
        <f t="shared" si="366"/>
        <v>0</v>
      </c>
      <c r="E603" s="62"/>
      <c r="F603" s="105"/>
      <c r="G603" s="105"/>
      <c r="H603" s="61"/>
      <c r="I603" s="61"/>
      <c r="J603" s="62"/>
      <c r="K603" s="63"/>
      <c r="L603" s="61"/>
      <c r="M603" s="61"/>
      <c r="N603" s="111"/>
      <c r="O603" s="112"/>
      <c r="P603" s="113"/>
      <c r="Q603" s="114"/>
      <c r="R603" s="64"/>
      <c r="S603" s="108"/>
      <c r="T603" s="203">
        <f t="shared" si="360"/>
        <v>43647</v>
      </c>
      <c r="U603" s="204">
        <f t="shared" si="361"/>
        <v>43677</v>
      </c>
      <c r="V603" s="207">
        <f t="shared" si="370"/>
        <v>0</v>
      </c>
      <c r="W603" s="206" t="str">
        <f t="shared" si="367"/>
        <v/>
      </c>
      <c r="X603" s="206">
        <f t="shared" si="368"/>
        <v>0</v>
      </c>
      <c r="Y603" s="209">
        <f t="shared" si="369"/>
        <v>0</v>
      </c>
    </row>
    <row r="604" spans="2:25" ht="16.5" hidden="1" thickTop="1" thickBot="1" x14ac:dyDescent="0.3">
      <c r="B604" s="60">
        <f>B601</f>
        <v>38</v>
      </c>
      <c r="C604" s="102">
        <v>263</v>
      </c>
      <c r="D604" s="192">
        <f t="shared" si="366"/>
        <v>0</v>
      </c>
      <c r="E604" s="62"/>
      <c r="F604" s="105"/>
      <c r="G604" s="105"/>
      <c r="H604" s="61"/>
      <c r="I604" s="61"/>
      <c r="J604" s="62"/>
      <c r="K604" s="63"/>
      <c r="L604" s="61"/>
      <c r="M604" s="61"/>
      <c r="N604" s="111"/>
      <c r="O604" s="112"/>
      <c r="P604" s="113"/>
      <c r="Q604" s="114"/>
      <c r="R604" s="64"/>
      <c r="S604" s="108"/>
      <c r="T604" s="203">
        <f t="shared" si="360"/>
        <v>43647</v>
      </c>
      <c r="U604" s="204">
        <f t="shared" si="361"/>
        <v>43677</v>
      </c>
      <c r="V604" s="207">
        <f t="shared" si="370"/>
        <v>0</v>
      </c>
      <c r="W604" s="206" t="str">
        <f t="shared" si="367"/>
        <v/>
      </c>
      <c r="X604" s="206">
        <f t="shared" si="368"/>
        <v>0</v>
      </c>
      <c r="Y604" s="209">
        <f t="shared" si="369"/>
        <v>0</v>
      </c>
    </row>
    <row r="605" spans="2:25" ht="16.5" hidden="1" thickTop="1" thickBot="1" x14ac:dyDescent="0.3">
      <c r="B605" s="60">
        <f>B601</f>
        <v>38</v>
      </c>
      <c r="C605" s="102">
        <v>264</v>
      </c>
      <c r="D605" s="192">
        <f t="shared" si="366"/>
        <v>0</v>
      </c>
      <c r="E605" s="62"/>
      <c r="F605" s="105"/>
      <c r="G605" s="105"/>
      <c r="H605" s="61"/>
      <c r="I605" s="61"/>
      <c r="J605" s="62"/>
      <c r="K605" s="63"/>
      <c r="L605" s="61"/>
      <c r="M605" s="61"/>
      <c r="N605" s="111"/>
      <c r="O605" s="112"/>
      <c r="P605" s="113"/>
      <c r="Q605" s="114"/>
      <c r="R605" s="64"/>
      <c r="S605" s="108"/>
      <c r="T605" s="203">
        <f t="shared" si="360"/>
        <v>43647</v>
      </c>
      <c r="U605" s="204">
        <f t="shared" si="361"/>
        <v>43677</v>
      </c>
      <c r="V605" s="207">
        <f t="shared" si="370"/>
        <v>0</v>
      </c>
      <c r="W605" s="206" t="str">
        <f t="shared" si="367"/>
        <v/>
      </c>
      <c r="X605" s="206">
        <f t="shared" si="368"/>
        <v>0</v>
      </c>
      <c r="Y605" s="209">
        <f t="shared" si="369"/>
        <v>0</v>
      </c>
    </row>
    <row r="606" spans="2:25" ht="16.5" hidden="1" thickTop="1" thickBot="1" x14ac:dyDescent="0.3">
      <c r="B606" s="60">
        <f>B601</f>
        <v>38</v>
      </c>
      <c r="C606" s="102">
        <v>265</v>
      </c>
      <c r="D606" s="192">
        <f t="shared" si="366"/>
        <v>0</v>
      </c>
      <c r="E606" s="62"/>
      <c r="F606" s="105"/>
      <c r="G606" s="105"/>
      <c r="H606" s="61"/>
      <c r="I606" s="61"/>
      <c r="J606" s="62"/>
      <c r="K606" s="63"/>
      <c r="L606" s="61"/>
      <c r="M606" s="61"/>
      <c r="N606" s="111"/>
      <c r="O606" s="112"/>
      <c r="P606" s="113"/>
      <c r="Q606" s="114"/>
      <c r="R606" s="64"/>
      <c r="S606" s="108"/>
      <c r="T606" s="203">
        <f t="shared" si="360"/>
        <v>43647</v>
      </c>
      <c r="U606" s="204">
        <f t="shared" si="361"/>
        <v>43677</v>
      </c>
      <c r="V606" s="207">
        <f t="shared" si="370"/>
        <v>0</v>
      </c>
      <c r="W606" s="206" t="str">
        <f t="shared" si="367"/>
        <v/>
      </c>
      <c r="X606" s="206">
        <f t="shared" si="368"/>
        <v>0</v>
      </c>
      <c r="Y606" s="209">
        <f t="shared" si="369"/>
        <v>0</v>
      </c>
    </row>
    <row r="607" spans="2:25" ht="16.5" hidden="1" thickTop="1" thickBot="1" x14ac:dyDescent="0.3">
      <c r="B607" s="141">
        <f>B601</f>
        <v>38</v>
      </c>
      <c r="C607" s="142">
        <v>266</v>
      </c>
      <c r="D607" s="194">
        <f t="shared" si="366"/>
        <v>0</v>
      </c>
      <c r="E607" s="143"/>
      <c r="F607" s="144"/>
      <c r="G607" s="144"/>
      <c r="H607" s="145"/>
      <c r="I607" s="145"/>
      <c r="J607" s="436" t="s">
        <v>181</v>
      </c>
      <c r="K607" s="437"/>
      <c r="L607" s="438"/>
      <c r="M607" s="145"/>
      <c r="N607" s="146"/>
      <c r="O607" s="147"/>
      <c r="P607" s="148"/>
      <c r="Q607" s="149"/>
      <c r="R607" s="150"/>
      <c r="S607" s="151"/>
      <c r="T607" s="213">
        <f t="shared" si="360"/>
        <v>43647</v>
      </c>
      <c r="U607" s="214">
        <f t="shared" si="361"/>
        <v>43677</v>
      </c>
      <c r="V607" s="210">
        <f t="shared" si="370"/>
        <v>0</v>
      </c>
      <c r="W607" s="211"/>
      <c r="X607" s="211">
        <f>IF(AND($V607&gt;0,$I607=1),IF($E607=10,P607/10,P607/$V607),0)</f>
        <v>0</v>
      </c>
      <c r="Y607" s="212">
        <f>IF(AND($V601&gt;0,$I607&lt;&gt;1),Q607/E601*V601,0)</f>
        <v>0</v>
      </c>
    </row>
    <row r="608" spans="2:25" ht="16.5" hidden="1" thickTop="1" thickBot="1" x14ac:dyDescent="0.3">
      <c r="B608" s="129">
        <f>B606+1</f>
        <v>39</v>
      </c>
      <c r="C608" s="130">
        <v>267</v>
      </c>
      <c r="D608" s="196">
        <f t="shared" si="366"/>
        <v>0</v>
      </c>
      <c r="E608" s="152"/>
      <c r="F608" s="153"/>
      <c r="G608" s="153"/>
      <c r="H608" s="154"/>
      <c r="I608" s="154"/>
      <c r="J608" s="152"/>
      <c r="K608" s="155"/>
      <c r="L608" s="154"/>
      <c r="M608" s="154"/>
      <c r="N608" s="156"/>
      <c r="O608" s="157"/>
      <c r="P608" s="158"/>
      <c r="Q608" s="159"/>
      <c r="R608" s="160"/>
      <c r="S608" s="161"/>
      <c r="T608" s="203">
        <f t="shared" si="360"/>
        <v>43647</v>
      </c>
      <c r="U608" s="204">
        <f t="shared" si="361"/>
        <v>43677</v>
      </c>
      <c r="V608" s="207">
        <f>IF(G608-F608+1-IF(G608-U608&gt;0,G608-U608,0)-IF(T608-F608&gt;0,T608-F608,0)&gt;0,G608-F608+1-IF(G608-U608&gt;0,G608-U608,0)-IF(T608-F608&gt;0,T608-F608,0),0)</f>
        <v>0</v>
      </c>
      <c r="W608" s="206" t="str">
        <f t="shared" ref="W608:W613" si="371">IF(V608&gt;0,H608,"")</f>
        <v/>
      </c>
      <c r="X608" s="206">
        <f t="shared" ref="X608:X613" si="372">IF(AND($V608&gt;0,$I608=1),P608/$E608*$V608,0)</f>
        <v>0</v>
      </c>
      <c r="Y608" s="209">
        <f t="shared" ref="Y608:Y613" si="373">IF(AND($V608&gt;0,$I608&lt;&gt;1),Q608/$E608*$V608,0)</f>
        <v>0</v>
      </c>
    </row>
    <row r="609" spans="2:25" ht="16.5" hidden="1" thickTop="1" thickBot="1" x14ac:dyDescent="0.3">
      <c r="B609" s="60">
        <f>B608</f>
        <v>39</v>
      </c>
      <c r="C609" s="102">
        <v>268</v>
      </c>
      <c r="D609" s="192">
        <f t="shared" si="366"/>
        <v>0</v>
      </c>
      <c r="E609" s="162"/>
      <c r="F609" s="163"/>
      <c r="G609" s="163"/>
      <c r="H609" s="164"/>
      <c r="I609" s="164"/>
      <c r="J609" s="162"/>
      <c r="K609" s="165"/>
      <c r="L609" s="164"/>
      <c r="M609" s="164"/>
      <c r="N609" s="166"/>
      <c r="O609" s="167"/>
      <c r="P609" s="168"/>
      <c r="Q609" s="169"/>
      <c r="R609" s="170"/>
      <c r="S609" s="171"/>
      <c r="T609" s="203">
        <f t="shared" si="360"/>
        <v>43647</v>
      </c>
      <c r="U609" s="204">
        <f t="shared" si="361"/>
        <v>43677</v>
      </c>
      <c r="V609" s="207">
        <f t="shared" ref="V609:V614" si="374">IF(G609-F609+1-IF(G609-U609&gt;0,G609-U609,0)-IF(T609-F609&gt;0,T609-F609,0)&gt;0,G609-F609+1-IF(G609-U609&gt;0,G609-U609,0)-IF(T609-F609&gt;0,T609-F609,0),0)</f>
        <v>0</v>
      </c>
      <c r="W609" s="206" t="str">
        <f t="shared" si="371"/>
        <v/>
      </c>
      <c r="X609" s="206">
        <f t="shared" si="372"/>
        <v>0</v>
      </c>
      <c r="Y609" s="209">
        <f t="shared" si="373"/>
        <v>0</v>
      </c>
    </row>
    <row r="610" spans="2:25" ht="16.5" hidden="1" thickTop="1" thickBot="1" x14ac:dyDescent="0.3">
      <c r="B610" s="60">
        <f>B608</f>
        <v>39</v>
      </c>
      <c r="C610" s="102">
        <v>269</v>
      </c>
      <c r="D610" s="192">
        <f t="shared" si="366"/>
        <v>0</v>
      </c>
      <c r="E610" s="162"/>
      <c r="F610" s="163"/>
      <c r="G610" s="163"/>
      <c r="H610" s="164"/>
      <c r="I610" s="164"/>
      <c r="J610" s="162"/>
      <c r="K610" s="165"/>
      <c r="L610" s="164"/>
      <c r="M610" s="164"/>
      <c r="N610" s="166"/>
      <c r="O610" s="167"/>
      <c r="P610" s="168"/>
      <c r="Q610" s="169"/>
      <c r="R610" s="170"/>
      <c r="S610" s="171"/>
      <c r="T610" s="203">
        <f t="shared" si="360"/>
        <v>43647</v>
      </c>
      <c r="U610" s="204">
        <f t="shared" si="361"/>
        <v>43677</v>
      </c>
      <c r="V610" s="207">
        <f t="shared" si="374"/>
        <v>0</v>
      </c>
      <c r="W610" s="206" t="str">
        <f t="shared" si="371"/>
        <v/>
      </c>
      <c r="X610" s="206">
        <f t="shared" si="372"/>
        <v>0</v>
      </c>
      <c r="Y610" s="209">
        <f t="shared" si="373"/>
        <v>0</v>
      </c>
    </row>
    <row r="611" spans="2:25" ht="16.5" hidden="1" thickTop="1" thickBot="1" x14ac:dyDescent="0.3">
      <c r="B611" s="60">
        <f>B608</f>
        <v>39</v>
      </c>
      <c r="C611" s="102">
        <v>270</v>
      </c>
      <c r="D611" s="192">
        <f t="shared" si="366"/>
        <v>0</v>
      </c>
      <c r="E611" s="162"/>
      <c r="F611" s="163"/>
      <c r="G611" s="163"/>
      <c r="H611" s="164"/>
      <c r="I611" s="164"/>
      <c r="J611" s="162"/>
      <c r="K611" s="165"/>
      <c r="L611" s="164"/>
      <c r="M611" s="164"/>
      <c r="N611" s="166"/>
      <c r="O611" s="167"/>
      <c r="P611" s="168"/>
      <c r="Q611" s="169"/>
      <c r="R611" s="170"/>
      <c r="S611" s="171"/>
      <c r="T611" s="203">
        <f t="shared" si="360"/>
        <v>43647</v>
      </c>
      <c r="U611" s="204">
        <f t="shared" si="361"/>
        <v>43677</v>
      </c>
      <c r="V611" s="207">
        <f t="shared" si="374"/>
        <v>0</v>
      </c>
      <c r="W611" s="206" t="str">
        <f t="shared" si="371"/>
        <v/>
      </c>
      <c r="X611" s="206">
        <f t="shared" si="372"/>
        <v>0</v>
      </c>
      <c r="Y611" s="209">
        <f t="shared" si="373"/>
        <v>0</v>
      </c>
    </row>
    <row r="612" spans="2:25" ht="16.5" hidden="1" thickTop="1" thickBot="1" x14ac:dyDescent="0.3">
      <c r="B612" s="60">
        <f>B608</f>
        <v>39</v>
      </c>
      <c r="C612" s="102">
        <v>271</v>
      </c>
      <c r="D612" s="192">
        <f t="shared" si="366"/>
        <v>0</v>
      </c>
      <c r="E612" s="162"/>
      <c r="F612" s="163"/>
      <c r="G612" s="163"/>
      <c r="H612" s="164"/>
      <c r="I612" s="164"/>
      <c r="J612" s="162"/>
      <c r="K612" s="165"/>
      <c r="L612" s="164"/>
      <c r="M612" s="164"/>
      <c r="N612" s="166"/>
      <c r="O612" s="167"/>
      <c r="P612" s="168"/>
      <c r="Q612" s="169"/>
      <c r="R612" s="170"/>
      <c r="S612" s="171"/>
      <c r="T612" s="203">
        <f t="shared" si="360"/>
        <v>43647</v>
      </c>
      <c r="U612" s="204">
        <f t="shared" si="361"/>
        <v>43677</v>
      </c>
      <c r="V612" s="207">
        <f t="shared" si="374"/>
        <v>0</v>
      </c>
      <c r="W612" s="206" t="str">
        <f t="shared" si="371"/>
        <v/>
      </c>
      <c r="X612" s="206">
        <f t="shared" si="372"/>
        <v>0</v>
      </c>
      <c r="Y612" s="209">
        <f t="shared" si="373"/>
        <v>0</v>
      </c>
    </row>
    <row r="613" spans="2:25" ht="16.5" hidden="1" thickTop="1" thickBot="1" x14ac:dyDescent="0.3">
      <c r="B613" s="60">
        <f>B608</f>
        <v>39</v>
      </c>
      <c r="C613" s="102">
        <v>272</v>
      </c>
      <c r="D613" s="192">
        <f t="shared" si="366"/>
        <v>0</v>
      </c>
      <c r="E613" s="172"/>
      <c r="F613" s="173"/>
      <c r="G613" s="173"/>
      <c r="H613" s="174"/>
      <c r="I613" s="174"/>
      <c r="J613" s="172"/>
      <c r="K613" s="175"/>
      <c r="L613" s="174"/>
      <c r="M613" s="174"/>
      <c r="N613" s="176"/>
      <c r="O613" s="177"/>
      <c r="P613" s="178"/>
      <c r="Q613" s="179"/>
      <c r="R613" s="180"/>
      <c r="S613" s="181"/>
      <c r="T613" s="203">
        <f t="shared" si="360"/>
        <v>43647</v>
      </c>
      <c r="U613" s="204">
        <f t="shared" si="361"/>
        <v>43677</v>
      </c>
      <c r="V613" s="207">
        <f t="shared" si="374"/>
        <v>0</v>
      </c>
      <c r="W613" s="206" t="str">
        <f t="shared" si="371"/>
        <v/>
      </c>
      <c r="X613" s="206">
        <f t="shared" si="372"/>
        <v>0</v>
      </c>
      <c r="Y613" s="209">
        <f t="shared" si="373"/>
        <v>0</v>
      </c>
    </row>
    <row r="614" spans="2:25" ht="16.5" hidden="1" thickTop="1" thickBot="1" x14ac:dyDescent="0.3">
      <c r="B614" s="141">
        <f>B608</f>
        <v>39</v>
      </c>
      <c r="C614" s="142">
        <v>273</v>
      </c>
      <c r="D614" s="194">
        <f t="shared" si="366"/>
        <v>0</v>
      </c>
      <c r="E614" s="189"/>
      <c r="F614" s="190"/>
      <c r="G614" s="190"/>
      <c r="H614" s="182"/>
      <c r="I614" s="182"/>
      <c r="J614" s="436" t="s">
        <v>181</v>
      </c>
      <c r="K614" s="437"/>
      <c r="L614" s="438"/>
      <c r="M614" s="182"/>
      <c r="N614" s="183"/>
      <c r="O614" s="184"/>
      <c r="P614" s="185"/>
      <c r="Q614" s="186"/>
      <c r="R614" s="187"/>
      <c r="S614" s="188"/>
      <c r="T614" s="213">
        <f t="shared" si="360"/>
        <v>43647</v>
      </c>
      <c r="U614" s="214">
        <f t="shared" si="361"/>
        <v>43677</v>
      </c>
      <c r="V614" s="210">
        <f t="shared" si="374"/>
        <v>0</v>
      </c>
      <c r="W614" s="211"/>
      <c r="X614" s="211">
        <f>IF(AND($V614&gt;0,$I614=1),IF($E614=10,P614/10,P614/$V614),0)</f>
        <v>0</v>
      </c>
      <c r="Y614" s="212">
        <f>IF(AND($V608&gt;0,$I614&lt;&gt;1),Q614/E608*V608,0)</f>
        <v>0</v>
      </c>
    </row>
    <row r="615" spans="2:25" ht="16.5" hidden="1" thickTop="1" thickBot="1" x14ac:dyDescent="0.3">
      <c r="B615" s="129">
        <f>B613+1</f>
        <v>40</v>
      </c>
      <c r="C615" s="130">
        <v>274</v>
      </c>
      <c r="D615" s="196">
        <f t="shared" si="366"/>
        <v>0</v>
      </c>
      <c r="E615" s="131"/>
      <c r="F615" s="132"/>
      <c r="G615" s="132"/>
      <c r="H615" s="133"/>
      <c r="I615" s="133"/>
      <c r="J615" s="131"/>
      <c r="K615" s="134"/>
      <c r="L615" s="133"/>
      <c r="M615" s="133"/>
      <c r="N615" s="135"/>
      <c r="O615" s="136"/>
      <c r="P615" s="137"/>
      <c r="Q615" s="138"/>
      <c r="R615" s="139"/>
      <c r="S615" s="140"/>
      <c r="T615" s="203">
        <f t="shared" si="360"/>
        <v>43647</v>
      </c>
      <c r="U615" s="204">
        <f t="shared" si="361"/>
        <v>43677</v>
      </c>
      <c r="V615" s="207">
        <f>IF(G615-F615+1-IF(G615-U615&gt;0,G615-U615,0)-IF(T615-F615&gt;0,T615-F615,0)&gt;0,G615-F615+1-IF(G615-U615&gt;0,G615-U615,0)-IF(T615-F615&gt;0,T615-F615,0),0)</f>
        <v>0</v>
      </c>
      <c r="W615" s="206" t="str">
        <f t="shared" ref="W615:W620" si="375">IF(V615&gt;0,H615,"")</f>
        <v/>
      </c>
      <c r="X615" s="206">
        <f t="shared" ref="X615:X620" si="376">IF(AND($V615&gt;0,$I615=1),P615/$E615*$V615,0)</f>
        <v>0</v>
      </c>
      <c r="Y615" s="209">
        <f t="shared" ref="Y615:Y620" si="377">IF(AND($V615&gt;0,$I615&lt;&gt;1),Q615/$E615*$V615,0)</f>
        <v>0</v>
      </c>
    </row>
    <row r="616" spans="2:25" ht="16.5" hidden="1" thickTop="1" thickBot="1" x14ac:dyDescent="0.3">
      <c r="B616" s="60">
        <f>B615</f>
        <v>40</v>
      </c>
      <c r="C616" s="102">
        <v>275</v>
      </c>
      <c r="D616" s="192">
        <f t="shared" si="366"/>
        <v>0</v>
      </c>
      <c r="E616" s="62"/>
      <c r="F616" s="105"/>
      <c r="G616" s="105"/>
      <c r="H616" s="61"/>
      <c r="I616" s="61"/>
      <c r="J616" s="62"/>
      <c r="K616" s="63"/>
      <c r="L616" s="61"/>
      <c r="M616" s="61"/>
      <c r="N616" s="111"/>
      <c r="O616" s="112"/>
      <c r="P616" s="113"/>
      <c r="Q616" s="114"/>
      <c r="R616" s="64"/>
      <c r="S616" s="108"/>
      <c r="T616" s="203">
        <f t="shared" si="360"/>
        <v>43647</v>
      </c>
      <c r="U616" s="204">
        <f t="shared" si="361"/>
        <v>43677</v>
      </c>
      <c r="V616" s="207">
        <f t="shared" ref="V616:V621" si="378">IF(G616-F616+1-IF(G616-U616&gt;0,G616-U616,0)-IF(T616-F616&gt;0,T616-F616,0)&gt;0,G616-F616+1-IF(G616-U616&gt;0,G616-U616,0)-IF(T616-F616&gt;0,T616-F616,0),0)</f>
        <v>0</v>
      </c>
      <c r="W616" s="206" t="str">
        <f t="shared" si="375"/>
        <v/>
      </c>
      <c r="X616" s="206">
        <f t="shared" si="376"/>
        <v>0</v>
      </c>
      <c r="Y616" s="209">
        <f t="shared" si="377"/>
        <v>0</v>
      </c>
    </row>
    <row r="617" spans="2:25" ht="16.5" hidden="1" thickTop="1" thickBot="1" x14ac:dyDescent="0.3">
      <c r="B617" s="60">
        <f>B615</f>
        <v>40</v>
      </c>
      <c r="C617" s="102">
        <v>276</v>
      </c>
      <c r="D617" s="192">
        <f t="shared" si="366"/>
        <v>0</v>
      </c>
      <c r="E617" s="62"/>
      <c r="F617" s="105"/>
      <c r="G617" s="105"/>
      <c r="H617" s="61"/>
      <c r="I617" s="61"/>
      <c r="J617" s="62"/>
      <c r="K617" s="63"/>
      <c r="L617" s="61"/>
      <c r="M617" s="61"/>
      <c r="N617" s="111"/>
      <c r="O617" s="112"/>
      <c r="P617" s="113"/>
      <c r="Q617" s="114"/>
      <c r="R617" s="64"/>
      <c r="S617" s="108"/>
      <c r="T617" s="203">
        <f t="shared" si="360"/>
        <v>43647</v>
      </c>
      <c r="U617" s="204">
        <f t="shared" si="361"/>
        <v>43677</v>
      </c>
      <c r="V617" s="207">
        <f t="shared" si="378"/>
        <v>0</v>
      </c>
      <c r="W617" s="206" t="str">
        <f t="shared" si="375"/>
        <v/>
      </c>
      <c r="X617" s="206">
        <f t="shared" si="376"/>
        <v>0</v>
      </c>
      <c r="Y617" s="209">
        <f t="shared" si="377"/>
        <v>0</v>
      </c>
    </row>
    <row r="618" spans="2:25" ht="16.5" hidden="1" thickTop="1" thickBot="1" x14ac:dyDescent="0.3">
      <c r="B618" s="60">
        <f>B615</f>
        <v>40</v>
      </c>
      <c r="C618" s="102">
        <v>277</v>
      </c>
      <c r="D618" s="192">
        <f t="shared" si="366"/>
        <v>0</v>
      </c>
      <c r="E618" s="62"/>
      <c r="F618" s="105"/>
      <c r="G618" s="105"/>
      <c r="H618" s="61"/>
      <c r="I618" s="61"/>
      <c r="J618" s="62"/>
      <c r="K618" s="63"/>
      <c r="L618" s="61"/>
      <c r="M618" s="61"/>
      <c r="N618" s="111"/>
      <c r="O618" s="112"/>
      <c r="P618" s="113"/>
      <c r="Q618" s="114"/>
      <c r="R618" s="64"/>
      <c r="S618" s="108"/>
      <c r="T618" s="203">
        <f t="shared" si="360"/>
        <v>43647</v>
      </c>
      <c r="U618" s="204">
        <f t="shared" si="361"/>
        <v>43677</v>
      </c>
      <c r="V618" s="207">
        <f t="shared" si="378"/>
        <v>0</v>
      </c>
      <c r="W618" s="206" t="str">
        <f t="shared" si="375"/>
        <v/>
      </c>
      <c r="X618" s="206">
        <f t="shared" si="376"/>
        <v>0</v>
      </c>
      <c r="Y618" s="209">
        <f t="shared" si="377"/>
        <v>0</v>
      </c>
    </row>
    <row r="619" spans="2:25" ht="16.5" hidden="1" thickTop="1" thickBot="1" x14ac:dyDescent="0.3">
      <c r="B619" s="60">
        <f>B615</f>
        <v>40</v>
      </c>
      <c r="C619" s="102">
        <v>278</v>
      </c>
      <c r="D619" s="192">
        <f t="shared" si="366"/>
        <v>0</v>
      </c>
      <c r="E619" s="62"/>
      <c r="F619" s="105"/>
      <c r="G619" s="105"/>
      <c r="H619" s="61"/>
      <c r="I619" s="61"/>
      <c r="J619" s="62"/>
      <c r="K619" s="63"/>
      <c r="L619" s="61"/>
      <c r="M619" s="61"/>
      <c r="N619" s="111"/>
      <c r="O619" s="112"/>
      <c r="P619" s="113"/>
      <c r="Q619" s="114"/>
      <c r="R619" s="64"/>
      <c r="S619" s="108"/>
      <c r="T619" s="203">
        <f t="shared" si="360"/>
        <v>43647</v>
      </c>
      <c r="U619" s="204">
        <f t="shared" si="361"/>
        <v>43677</v>
      </c>
      <c r="V619" s="207">
        <f t="shared" si="378"/>
        <v>0</v>
      </c>
      <c r="W619" s="206" t="str">
        <f t="shared" si="375"/>
        <v/>
      </c>
      <c r="X619" s="206">
        <f t="shared" si="376"/>
        <v>0</v>
      </c>
      <c r="Y619" s="209">
        <f t="shared" si="377"/>
        <v>0</v>
      </c>
    </row>
    <row r="620" spans="2:25" ht="16.5" hidden="1" thickTop="1" thickBot="1" x14ac:dyDescent="0.3">
      <c r="B620" s="60">
        <f>B615</f>
        <v>40</v>
      </c>
      <c r="C620" s="102">
        <v>279</v>
      </c>
      <c r="D620" s="192">
        <f t="shared" si="366"/>
        <v>0</v>
      </c>
      <c r="E620" s="62"/>
      <c r="F620" s="105"/>
      <c r="G620" s="105"/>
      <c r="H620" s="61"/>
      <c r="I620" s="61"/>
      <c r="J620" s="62"/>
      <c r="K620" s="63"/>
      <c r="L620" s="61"/>
      <c r="M620" s="61"/>
      <c r="N620" s="111"/>
      <c r="O620" s="112"/>
      <c r="P620" s="113"/>
      <c r="Q620" s="114"/>
      <c r="R620" s="64"/>
      <c r="S620" s="108"/>
      <c r="T620" s="203">
        <f t="shared" si="360"/>
        <v>43647</v>
      </c>
      <c r="U620" s="204">
        <f t="shared" si="361"/>
        <v>43677</v>
      </c>
      <c r="V620" s="207">
        <f t="shared" si="378"/>
        <v>0</v>
      </c>
      <c r="W620" s="206" t="str">
        <f t="shared" si="375"/>
        <v/>
      </c>
      <c r="X620" s="206">
        <f t="shared" si="376"/>
        <v>0</v>
      </c>
      <c r="Y620" s="209">
        <f t="shared" si="377"/>
        <v>0</v>
      </c>
    </row>
    <row r="621" spans="2:25" ht="16.5" hidden="1" thickTop="1" thickBot="1" x14ac:dyDescent="0.3">
      <c r="B621" s="141">
        <f>B615</f>
        <v>40</v>
      </c>
      <c r="C621" s="142">
        <v>280</v>
      </c>
      <c r="D621" s="194">
        <f t="shared" si="366"/>
        <v>0</v>
      </c>
      <c r="E621" s="143"/>
      <c r="F621" s="144"/>
      <c r="G621" s="144"/>
      <c r="H621" s="145"/>
      <c r="I621" s="145"/>
      <c r="J621" s="436" t="s">
        <v>181</v>
      </c>
      <c r="K621" s="437"/>
      <c r="L621" s="438"/>
      <c r="M621" s="145"/>
      <c r="N621" s="146"/>
      <c r="O621" s="147"/>
      <c r="P621" s="148"/>
      <c r="Q621" s="149"/>
      <c r="R621" s="150"/>
      <c r="S621" s="151"/>
      <c r="T621" s="213">
        <f t="shared" si="360"/>
        <v>43647</v>
      </c>
      <c r="U621" s="214">
        <f t="shared" si="361"/>
        <v>43677</v>
      </c>
      <c r="V621" s="210">
        <f t="shared" si="378"/>
        <v>0</v>
      </c>
      <c r="W621" s="211"/>
      <c r="X621" s="211">
        <f>IF(AND($V621&gt;0,$I621=1),IF($E621=10,P621/10,P621/$V621),0)</f>
        <v>0</v>
      </c>
      <c r="Y621" s="212">
        <f>IF(AND($V615&gt;0,$I621&lt;&gt;1),Q621/E615*V615,0)</f>
        <v>0</v>
      </c>
    </row>
    <row r="622" spans="2:25" ht="16.5" hidden="1" thickTop="1" thickBot="1" x14ac:dyDescent="0.3">
      <c r="B622" s="129">
        <f>B620+1</f>
        <v>41</v>
      </c>
      <c r="C622" s="130">
        <v>281</v>
      </c>
      <c r="D622" s="196">
        <f t="shared" si="366"/>
        <v>0</v>
      </c>
      <c r="E622" s="152"/>
      <c r="F622" s="153"/>
      <c r="G622" s="153"/>
      <c r="H622" s="154"/>
      <c r="I622" s="154"/>
      <c r="J622" s="152"/>
      <c r="K622" s="155"/>
      <c r="L622" s="154"/>
      <c r="M622" s="154"/>
      <c r="N622" s="156"/>
      <c r="O622" s="157"/>
      <c r="P622" s="158"/>
      <c r="Q622" s="159"/>
      <c r="R622" s="160"/>
      <c r="S622" s="161"/>
      <c r="T622" s="203">
        <f t="shared" si="360"/>
        <v>43647</v>
      </c>
      <c r="U622" s="204">
        <f t="shared" si="361"/>
        <v>43677</v>
      </c>
      <c r="V622" s="207">
        <f>IF(G622-F622+1-IF(G622-U622&gt;0,G622-U622,0)-IF(T622-F622&gt;0,T622-F622,0)&gt;0,G622-F622+1-IF(G622-U622&gt;0,G622-U622,0)-IF(T622-F622&gt;0,T622-F622,0),0)</f>
        <v>0</v>
      </c>
      <c r="W622" s="206" t="str">
        <f t="shared" ref="W622:W627" si="379">IF(V622&gt;0,H622,"")</f>
        <v/>
      </c>
      <c r="X622" s="206">
        <f t="shared" ref="X622:X627" si="380">IF(AND($V622&gt;0,$I622=1),P622/$E622*$V622,0)</f>
        <v>0</v>
      </c>
      <c r="Y622" s="209">
        <f t="shared" ref="Y622:Y627" si="381">IF(AND($V622&gt;0,$I622&lt;&gt;1),Q622/$E622*$V622,0)</f>
        <v>0</v>
      </c>
    </row>
    <row r="623" spans="2:25" ht="16.5" hidden="1" thickTop="1" thickBot="1" x14ac:dyDescent="0.3">
      <c r="B623" s="60">
        <f>B622</f>
        <v>41</v>
      </c>
      <c r="C623" s="102">
        <v>282</v>
      </c>
      <c r="D623" s="192">
        <f t="shared" si="366"/>
        <v>0</v>
      </c>
      <c r="E623" s="162"/>
      <c r="F623" s="163"/>
      <c r="G623" s="163"/>
      <c r="H623" s="164"/>
      <c r="I623" s="164"/>
      <c r="J623" s="162"/>
      <c r="K623" s="165"/>
      <c r="L623" s="164"/>
      <c r="M623" s="164"/>
      <c r="N623" s="166"/>
      <c r="O623" s="167"/>
      <c r="P623" s="168"/>
      <c r="Q623" s="169"/>
      <c r="R623" s="170"/>
      <c r="S623" s="171"/>
      <c r="T623" s="203">
        <f t="shared" si="360"/>
        <v>43647</v>
      </c>
      <c r="U623" s="204">
        <f t="shared" si="361"/>
        <v>43677</v>
      </c>
      <c r="V623" s="207">
        <f t="shared" ref="V623:V628" si="382">IF(G623-F623+1-IF(G623-U623&gt;0,G623-U623,0)-IF(T623-F623&gt;0,T623-F623,0)&gt;0,G623-F623+1-IF(G623-U623&gt;0,G623-U623,0)-IF(T623-F623&gt;0,T623-F623,0),0)</f>
        <v>0</v>
      </c>
      <c r="W623" s="206" t="str">
        <f t="shared" si="379"/>
        <v/>
      </c>
      <c r="X623" s="206">
        <f t="shared" si="380"/>
        <v>0</v>
      </c>
      <c r="Y623" s="209">
        <f t="shared" si="381"/>
        <v>0</v>
      </c>
    </row>
    <row r="624" spans="2:25" ht="16.5" hidden="1" thickTop="1" thickBot="1" x14ac:dyDescent="0.3">
      <c r="B624" s="60">
        <f>B622</f>
        <v>41</v>
      </c>
      <c r="C624" s="102">
        <v>283</v>
      </c>
      <c r="D624" s="192">
        <f t="shared" si="366"/>
        <v>0</v>
      </c>
      <c r="E624" s="162"/>
      <c r="F624" s="163"/>
      <c r="G624" s="163"/>
      <c r="H624" s="164"/>
      <c r="I624" s="164"/>
      <c r="J624" s="162"/>
      <c r="K624" s="165"/>
      <c r="L624" s="164"/>
      <c r="M624" s="164"/>
      <c r="N624" s="166"/>
      <c r="O624" s="167"/>
      <c r="P624" s="168"/>
      <c r="Q624" s="169"/>
      <c r="R624" s="170"/>
      <c r="S624" s="171"/>
      <c r="T624" s="203">
        <f t="shared" si="360"/>
        <v>43647</v>
      </c>
      <c r="U624" s="204">
        <f t="shared" si="361"/>
        <v>43677</v>
      </c>
      <c r="V624" s="207">
        <f t="shared" si="382"/>
        <v>0</v>
      </c>
      <c r="W624" s="206" t="str">
        <f t="shared" si="379"/>
        <v/>
      </c>
      <c r="X624" s="206">
        <f t="shared" si="380"/>
        <v>0</v>
      </c>
      <c r="Y624" s="209">
        <f t="shared" si="381"/>
        <v>0</v>
      </c>
    </row>
    <row r="625" spans="2:25" ht="16.5" hidden="1" thickTop="1" thickBot="1" x14ac:dyDescent="0.3">
      <c r="B625" s="60">
        <f>B622</f>
        <v>41</v>
      </c>
      <c r="C625" s="102">
        <v>284</v>
      </c>
      <c r="D625" s="192">
        <f t="shared" si="366"/>
        <v>0</v>
      </c>
      <c r="E625" s="162"/>
      <c r="F625" s="163"/>
      <c r="G625" s="163"/>
      <c r="H625" s="164"/>
      <c r="I625" s="164"/>
      <c r="J625" s="162"/>
      <c r="K625" s="165"/>
      <c r="L625" s="164"/>
      <c r="M625" s="164"/>
      <c r="N625" s="166"/>
      <c r="O625" s="167"/>
      <c r="P625" s="168"/>
      <c r="Q625" s="169"/>
      <c r="R625" s="170"/>
      <c r="S625" s="171"/>
      <c r="T625" s="203">
        <f t="shared" si="360"/>
        <v>43647</v>
      </c>
      <c r="U625" s="204">
        <f t="shared" si="361"/>
        <v>43677</v>
      </c>
      <c r="V625" s="207">
        <f t="shared" si="382"/>
        <v>0</v>
      </c>
      <c r="W625" s="206" t="str">
        <f t="shared" si="379"/>
        <v/>
      </c>
      <c r="X625" s="206">
        <f t="shared" si="380"/>
        <v>0</v>
      </c>
      <c r="Y625" s="209">
        <f t="shared" si="381"/>
        <v>0</v>
      </c>
    </row>
    <row r="626" spans="2:25" ht="16.5" hidden="1" thickTop="1" thickBot="1" x14ac:dyDescent="0.3">
      <c r="B626" s="60">
        <f>B622</f>
        <v>41</v>
      </c>
      <c r="C626" s="102">
        <v>285</v>
      </c>
      <c r="D626" s="192">
        <f t="shared" si="366"/>
        <v>0</v>
      </c>
      <c r="E626" s="162"/>
      <c r="F626" s="163"/>
      <c r="G626" s="163"/>
      <c r="H626" s="164"/>
      <c r="I626" s="164"/>
      <c r="J626" s="162"/>
      <c r="K626" s="165"/>
      <c r="L626" s="164"/>
      <c r="M626" s="164"/>
      <c r="N626" s="166"/>
      <c r="O626" s="167"/>
      <c r="P626" s="168"/>
      <c r="Q626" s="169"/>
      <c r="R626" s="170"/>
      <c r="S626" s="171"/>
      <c r="T626" s="203">
        <f t="shared" si="360"/>
        <v>43647</v>
      </c>
      <c r="U626" s="204">
        <f t="shared" si="361"/>
        <v>43677</v>
      </c>
      <c r="V626" s="207">
        <f t="shared" si="382"/>
        <v>0</v>
      </c>
      <c r="W626" s="206" t="str">
        <f t="shared" si="379"/>
        <v/>
      </c>
      <c r="X626" s="206">
        <f t="shared" si="380"/>
        <v>0</v>
      </c>
      <c r="Y626" s="209">
        <f t="shared" si="381"/>
        <v>0</v>
      </c>
    </row>
    <row r="627" spans="2:25" ht="16.5" hidden="1" thickTop="1" thickBot="1" x14ac:dyDescent="0.3">
      <c r="B627" s="60">
        <f>B622</f>
        <v>41</v>
      </c>
      <c r="C627" s="102">
        <v>286</v>
      </c>
      <c r="D627" s="192">
        <f t="shared" si="366"/>
        <v>0</v>
      </c>
      <c r="E627" s="172"/>
      <c r="F627" s="173"/>
      <c r="G627" s="173"/>
      <c r="H627" s="174"/>
      <c r="I627" s="174"/>
      <c r="J627" s="172"/>
      <c r="K627" s="175"/>
      <c r="L627" s="174"/>
      <c r="M627" s="174"/>
      <c r="N627" s="176"/>
      <c r="O627" s="177"/>
      <c r="P627" s="178"/>
      <c r="Q627" s="179"/>
      <c r="R627" s="180"/>
      <c r="S627" s="181"/>
      <c r="T627" s="203">
        <f t="shared" si="360"/>
        <v>43647</v>
      </c>
      <c r="U627" s="204">
        <f t="shared" si="361"/>
        <v>43677</v>
      </c>
      <c r="V627" s="207">
        <f t="shared" si="382"/>
        <v>0</v>
      </c>
      <c r="W627" s="206" t="str">
        <f t="shared" si="379"/>
        <v/>
      </c>
      <c r="X627" s="206">
        <f t="shared" si="380"/>
        <v>0</v>
      </c>
      <c r="Y627" s="209">
        <f t="shared" si="381"/>
        <v>0</v>
      </c>
    </row>
    <row r="628" spans="2:25" ht="16.5" hidden="1" thickTop="1" thickBot="1" x14ac:dyDescent="0.3">
      <c r="B628" s="141">
        <f>B622</f>
        <v>41</v>
      </c>
      <c r="C628" s="142">
        <v>287</v>
      </c>
      <c r="D628" s="194">
        <f t="shared" si="366"/>
        <v>0</v>
      </c>
      <c r="E628" s="189"/>
      <c r="F628" s="190"/>
      <c r="G628" s="190"/>
      <c r="H628" s="182"/>
      <c r="I628" s="182"/>
      <c r="J628" s="436" t="s">
        <v>181</v>
      </c>
      <c r="K628" s="437"/>
      <c r="L628" s="438"/>
      <c r="M628" s="182"/>
      <c r="N628" s="183"/>
      <c r="O628" s="184"/>
      <c r="P628" s="185"/>
      <c r="Q628" s="186"/>
      <c r="R628" s="187"/>
      <c r="S628" s="188"/>
      <c r="T628" s="213">
        <f t="shared" si="360"/>
        <v>43647</v>
      </c>
      <c r="U628" s="214">
        <f t="shared" si="361"/>
        <v>43677</v>
      </c>
      <c r="V628" s="210">
        <f t="shared" si="382"/>
        <v>0</v>
      </c>
      <c r="W628" s="211"/>
      <c r="X628" s="211">
        <f>IF(AND($V628&gt;0,$I628=1),IF($E628=10,P628/10,P628/$V628),0)</f>
        <v>0</v>
      </c>
      <c r="Y628" s="212">
        <f>IF(AND($V622&gt;0,$I628&lt;&gt;1),Q628/E622*V622,0)</f>
        <v>0</v>
      </c>
    </row>
    <row r="629" spans="2:25" ht="16.5" hidden="1" thickTop="1" thickBot="1" x14ac:dyDescent="0.3">
      <c r="B629" s="129">
        <f>B627+1</f>
        <v>42</v>
      </c>
      <c r="C629" s="130">
        <v>288</v>
      </c>
      <c r="D629" s="196">
        <f t="shared" si="366"/>
        <v>0</v>
      </c>
      <c r="E629" s="131"/>
      <c r="F629" s="132"/>
      <c r="G629" s="132"/>
      <c r="H629" s="133"/>
      <c r="I629" s="133"/>
      <c r="J629" s="131"/>
      <c r="K629" s="134"/>
      <c r="L629" s="133"/>
      <c r="M629" s="133"/>
      <c r="N629" s="135"/>
      <c r="O629" s="136"/>
      <c r="P629" s="137"/>
      <c r="Q629" s="138"/>
      <c r="R629" s="139"/>
      <c r="S629" s="140"/>
      <c r="T629" s="203">
        <f t="shared" si="360"/>
        <v>43647</v>
      </c>
      <c r="U629" s="204">
        <f t="shared" si="361"/>
        <v>43677</v>
      </c>
      <c r="V629" s="207">
        <f>IF(G629-F629+1-IF(G629-U629&gt;0,G629-U629,0)-IF(T629-F629&gt;0,T629-F629,0)&gt;0,G629-F629+1-IF(G629-U629&gt;0,G629-U629,0)-IF(T629-F629&gt;0,T629-F629,0),0)</f>
        <v>0</v>
      </c>
      <c r="W629" s="206" t="str">
        <f t="shared" ref="W629:W634" si="383">IF(V629&gt;0,H629,"")</f>
        <v/>
      </c>
      <c r="X629" s="206">
        <f t="shared" ref="X629:X634" si="384">IF(AND($V629&gt;0,$I629=1),P629/$E629*$V629,0)</f>
        <v>0</v>
      </c>
      <c r="Y629" s="209">
        <f t="shared" ref="Y629:Y634" si="385">IF(AND($V629&gt;0,$I629&lt;&gt;1),Q629/$E629*$V629,0)</f>
        <v>0</v>
      </c>
    </row>
    <row r="630" spans="2:25" ht="16.5" hidden="1" thickTop="1" thickBot="1" x14ac:dyDescent="0.3">
      <c r="B630" s="60">
        <f>B629</f>
        <v>42</v>
      </c>
      <c r="C630" s="102">
        <v>289</v>
      </c>
      <c r="D630" s="192">
        <f t="shared" si="366"/>
        <v>0</v>
      </c>
      <c r="E630" s="62"/>
      <c r="F630" s="105"/>
      <c r="G630" s="105"/>
      <c r="H630" s="61"/>
      <c r="I630" s="61"/>
      <c r="J630" s="62"/>
      <c r="K630" s="63"/>
      <c r="L630" s="61"/>
      <c r="M630" s="61"/>
      <c r="N630" s="111"/>
      <c r="O630" s="112"/>
      <c r="P630" s="113"/>
      <c r="Q630" s="114"/>
      <c r="R630" s="64"/>
      <c r="S630" s="108"/>
      <c r="T630" s="203">
        <f t="shared" si="360"/>
        <v>43647</v>
      </c>
      <c r="U630" s="204">
        <f t="shared" si="361"/>
        <v>43677</v>
      </c>
      <c r="V630" s="207">
        <f t="shared" ref="V630:V635" si="386">IF(G630-F630+1-IF(G630-U630&gt;0,G630-U630,0)-IF(T630-F630&gt;0,T630-F630,0)&gt;0,G630-F630+1-IF(G630-U630&gt;0,G630-U630,0)-IF(T630-F630&gt;0,T630-F630,0),0)</f>
        <v>0</v>
      </c>
      <c r="W630" s="206" t="str">
        <f t="shared" si="383"/>
        <v/>
      </c>
      <c r="X630" s="206">
        <f t="shared" si="384"/>
        <v>0</v>
      </c>
      <c r="Y630" s="209">
        <f t="shared" si="385"/>
        <v>0</v>
      </c>
    </row>
    <row r="631" spans="2:25" ht="16.5" hidden="1" thickTop="1" thickBot="1" x14ac:dyDescent="0.3">
      <c r="B631" s="60">
        <f>B629</f>
        <v>42</v>
      </c>
      <c r="C631" s="102">
        <v>290</v>
      </c>
      <c r="D631" s="192">
        <f t="shared" si="366"/>
        <v>0</v>
      </c>
      <c r="E631" s="62"/>
      <c r="F631" s="105"/>
      <c r="G631" s="105"/>
      <c r="H631" s="61"/>
      <c r="I631" s="61"/>
      <c r="J631" s="62"/>
      <c r="K631" s="63"/>
      <c r="L631" s="61"/>
      <c r="M631" s="61"/>
      <c r="N631" s="111"/>
      <c r="O631" s="112"/>
      <c r="P631" s="113"/>
      <c r="Q631" s="114"/>
      <c r="R631" s="64"/>
      <c r="S631" s="108"/>
      <c r="T631" s="203">
        <f t="shared" si="360"/>
        <v>43647</v>
      </c>
      <c r="U631" s="204">
        <f t="shared" si="361"/>
        <v>43677</v>
      </c>
      <c r="V631" s="207">
        <f t="shared" si="386"/>
        <v>0</v>
      </c>
      <c r="W631" s="206" t="str">
        <f t="shared" si="383"/>
        <v/>
      </c>
      <c r="X631" s="206">
        <f t="shared" si="384"/>
        <v>0</v>
      </c>
      <c r="Y631" s="209">
        <f t="shared" si="385"/>
        <v>0</v>
      </c>
    </row>
    <row r="632" spans="2:25" ht="16.5" hidden="1" thickTop="1" thickBot="1" x14ac:dyDescent="0.3">
      <c r="B632" s="60">
        <f>B629</f>
        <v>42</v>
      </c>
      <c r="C632" s="102">
        <v>291</v>
      </c>
      <c r="D632" s="192">
        <f t="shared" si="366"/>
        <v>0</v>
      </c>
      <c r="E632" s="62"/>
      <c r="F632" s="105"/>
      <c r="G632" s="105"/>
      <c r="H632" s="61"/>
      <c r="I632" s="61"/>
      <c r="J632" s="62"/>
      <c r="K632" s="63"/>
      <c r="L632" s="61"/>
      <c r="M632" s="61"/>
      <c r="N632" s="111"/>
      <c r="O632" s="112"/>
      <c r="P632" s="113"/>
      <c r="Q632" s="114"/>
      <c r="R632" s="64"/>
      <c r="S632" s="108"/>
      <c r="T632" s="203">
        <f t="shared" si="360"/>
        <v>43647</v>
      </c>
      <c r="U632" s="204">
        <f t="shared" si="361"/>
        <v>43677</v>
      </c>
      <c r="V632" s="207">
        <f t="shared" si="386"/>
        <v>0</v>
      </c>
      <c r="W632" s="206" t="str">
        <f t="shared" si="383"/>
        <v/>
      </c>
      <c r="X632" s="206">
        <f t="shared" si="384"/>
        <v>0</v>
      </c>
      <c r="Y632" s="209">
        <f t="shared" si="385"/>
        <v>0</v>
      </c>
    </row>
    <row r="633" spans="2:25" ht="16.5" hidden="1" thickTop="1" thickBot="1" x14ac:dyDescent="0.3">
      <c r="B633" s="60">
        <f>B629</f>
        <v>42</v>
      </c>
      <c r="C633" s="102">
        <v>292</v>
      </c>
      <c r="D633" s="192">
        <f t="shared" si="366"/>
        <v>0</v>
      </c>
      <c r="E633" s="62"/>
      <c r="F633" s="105"/>
      <c r="G633" s="105"/>
      <c r="H633" s="61"/>
      <c r="I633" s="61"/>
      <c r="J633" s="62"/>
      <c r="K633" s="63"/>
      <c r="L633" s="61"/>
      <c r="M633" s="61"/>
      <c r="N633" s="111"/>
      <c r="O633" s="112"/>
      <c r="P633" s="113"/>
      <c r="Q633" s="114"/>
      <c r="R633" s="64"/>
      <c r="S633" s="108"/>
      <c r="T633" s="203">
        <f t="shared" si="360"/>
        <v>43647</v>
      </c>
      <c r="U633" s="204">
        <f t="shared" si="361"/>
        <v>43677</v>
      </c>
      <c r="V633" s="207">
        <f t="shared" si="386"/>
        <v>0</v>
      </c>
      <c r="W633" s="206" t="str">
        <f t="shared" si="383"/>
        <v/>
      </c>
      <c r="X633" s="206">
        <f t="shared" si="384"/>
        <v>0</v>
      </c>
      <c r="Y633" s="209">
        <f t="shared" si="385"/>
        <v>0</v>
      </c>
    </row>
    <row r="634" spans="2:25" ht="16.5" hidden="1" thickTop="1" thickBot="1" x14ac:dyDescent="0.3">
      <c r="B634" s="60">
        <f>B629</f>
        <v>42</v>
      </c>
      <c r="C634" s="102">
        <v>293</v>
      </c>
      <c r="D634" s="192">
        <f t="shared" si="366"/>
        <v>0</v>
      </c>
      <c r="E634" s="62"/>
      <c r="F634" s="105"/>
      <c r="G634" s="105"/>
      <c r="H634" s="61"/>
      <c r="I634" s="61"/>
      <c r="J634" s="62"/>
      <c r="K634" s="63"/>
      <c r="L634" s="61"/>
      <c r="M634" s="61"/>
      <c r="N634" s="111"/>
      <c r="O634" s="112"/>
      <c r="P634" s="113"/>
      <c r="Q634" s="114"/>
      <c r="R634" s="64"/>
      <c r="S634" s="108"/>
      <c r="T634" s="203">
        <f t="shared" si="360"/>
        <v>43647</v>
      </c>
      <c r="U634" s="204">
        <f t="shared" si="361"/>
        <v>43677</v>
      </c>
      <c r="V634" s="207">
        <f t="shared" si="386"/>
        <v>0</v>
      </c>
      <c r="W634" s="206" t="str">
        <f t="shared" si="383"/>
        <v/>
      </c>
      <c r="X634" s="206">
        <f t="shared" si="384"/>
        <v>0</v>
      </c>
      <c r="Y634" s="209">
        <f t="shared" si="385"/>
        <v>0</v>
      </c>
    </row>
    <row r="635" spans="2:25" ht="16.5" hidden="1" thickTop="1" thickBot="1" x14ac:dyDescent="0.3">
      <c r="B635" s="141">
        <f>B629</f>
        <v>42</v>
      </c>
      <c r="C635" s="142">
        <v>294</v>
      </c>
      <c r="D635" s="194">
        <f t="shared" si="366"/>
        <v>0</v>
      </c>
      <c r="E635" s="143"/>
      <c r="F635" s="144"/>
      <c r="G635" s="144"/>
      <c r="H635" s="145"/>
      <c r="I635" s="145"/>
      <c r="J635" s="436" t="s">
        <v>181</v>
      </c>
      <c r="K635" s="437"/>
      <c r="L635" s="438"/>
      <c r="M635" s="145"/>
      <c r="N635" s="146"/>
      <c r="O635" s="147"/>
      <c r="P635" s="148"/>
      <c r="Q635" s="149"/>
      <c r="R635" s="150"/>
      <c r="S635" s="151"/>
      <c r="T635" s="213">
        <f t="shared" si="360"/>
        <v>43647</v>
      </c>
      <c r="U635" s="214">
        <f t="shared" si="361"/>
        <v>43677</v>
      </c>
      <c r="V635" s="210">
        <f t="shared" si="386"/>
        <v>0</v>
      </c>
      <c r="W635" s="211"/>
      <c r="X635" s="211">
        <f>IF(AND($V635&gt;0,$I635=1),IF($E635=10,P635/10,P635/$V635),0)</f>
        <v>0</v>
      </c>
      <c r="Y635" s="212">
        <f>IF(AND($V629&gt;0,$I635&lt;&gt;1),Q635/E629*V629,0)</f>
        <v>0</v>
      </c>
    </row>
    <row r="636" spans="2:25" ht="16.5" hidden="1" thickTop="1" thickBot="1" x14ac:dyDescent="0.3">
      <c r="B636" s="129">
        <f>B634+1</f>
        <v>43</v>
      </c>
      <c r="C636" s="130">
        <v>295</v>
      </c>
      <c r="D636" s="196">
        <f t="shared" si="366"/>
        <v>0</v>
      </c>
      <c r="E636" s="152"/>
      <c r="F636" s="153"/>
      <c r="G636" s="153"/>
      <c r="H636" s="154"/>
      <c r="I636" s="154"/>
      <c r="J636" s="152"/>
      <c r="K636" s="155"/>
      <c r="L636" s="154"/>
      <c r="M636" s="154"/>
      <c r="N636" s="156"/>
      <c r="O636" s="157"/>
      <c r="P636" s="158"/>
      <c r="Q636" s="159"/>
      <c r="R636" s="160"/>
      <c r="S636" s="161"/>
      <c r="T636" s="203">
        <f t="shared" si="360"/>
        <v>43647</v>
      </c>
      <c r="U636" s="204">
        <f t="shared" si="361"/>
        <v>43677</v>
      </c>
      <c r="V636" s="207">
        <f>IF(G636-F636+1-IF(G636-U636&gt;0,G636-U636,0)-IF(T636-F636&gt;0,T636-F636,0)&gt;0,G636-F636+1-IF(G636-U636&gt;0,G636-U636,0)-IF(T636-F636&gt;0,T636-F636,0),0)</f>
        <v>0</v>
      </c>
      <c r="W636" s="206" t="str">
        <f t="shared" ref="W636:W641" si="387">IF(V636&gt;0,H636,"")</f>
        <v/>
      </c>
      <c r="X636" s="206">
        <f t="shared" ref="X636:X641" si="388">IF(AND($V636&gt;0,$I636=1),P636/$E636*$V636,0)</f>
        <v>0</v>
      </c>
      <c r="Y636" s="209">
        <f t="shared" ref="Y636:Y641" si="389">IF(AND($V636&gt;0,$I636&lt;&gt;1),Q636/$E636*$V636,0)</f>
        <v>0</v>
      </c>
    </row>
    <row r="637" spans="2:25" ht="16.5" hidden="1" thickTop="1" thickBot="1" x14ac:dyDescent="0.3">
      <c r="B637" s="60">
        <f>B636</f>
        <v>43</v>
      </c>
      <c r="C637" s="102">
        <v>296</v>
      </c>
      <c r="D637" s="192">
        <f t="shared" si="366"/>
        <v>0</v>
      </c>
      <c r="E637" s="162"/>
      <c r="F637" s="163"/>
      <c r="G637" s="163"/>
      <c r="H637" s="164"/>
      <c r="I637" s="164"/>
      <c r="J637" s="162"/>
      <c r="K637" s="165"/>
      <c r="L637" s="164"/>
      <c r="M637" s="164"/>
      <c r="N637" s="166"/>
      <c r="O637" s="167"/>
      <c r="P637" s="168"/>
      <c r="Q637" s="169"/>
      <c r="R637" s="170"/>
      <c r="S637" s="171"/>
      <c r="T637" s="203">
        <f t="shared" si="360"/>
        <v>43647</v>
      </c>
      <c r="U637" s="204">
        <f t="shared" si="361"/>
        <v>43677</v>
      </c>
      <c r="V637" s="207">
        <f t="shared" ref="V637:V642" si="390">IF(G637-F637+1-IF(G637-U637&gt;0,G637-U637,0)-IF(T637-F637&gt;0,T637-F637,0)&gt;0,G637-F637+1-IF(G637-U637&gt;0,G637-U637,0)-IF(T637-F637&gt;0,T637-F637,0),0)</f>
        <v>0</v>
      </c>
      <c r="W637" s="206" t="str">
        <f t="shared" si="387"/>
        <v/>
      </c>
      <c r="X637" s="206">
        <f t="shared" si="388"/>
        <v>0</v>
      </c>
      <c r="Y637" s="209">
        <f t="shared" si="389"/>
        <v>0</v>
      </c>
    </row>
    <row r="638" spans="2:25" ht="16.5" hidden="1" thickTop="1" thickBot="1" x14ac:dyDescent="0.3">
      <c r="B638" s="60">
        <f>B636</f>
        <v>43</v>
      </c>
      <c r="C638" s="102">
        <v>297</v>
      </c>
      <c r="D638" s="192">
        <f t="shared" si="366"/>
        <v>0</v>
      </c>
      <c r="E638" s="162"/>
      <c r="F638" s="163"/>
      <c r="G638" s="163"/>
      <c r="H638" s="164"/>
      <c r="I638" s="164"/>
      <c r="J638" s="162"/>
      <c r="K638" s="165"/>
      <c r="L638" s="164"/>
      <c r="M638" s="164"/>
      <c r="N638" s="166"/>
      <c r="O638" s="167"/>
      <c r="P638" s="168"/>
      <c r="Q638" s="169"/>
      <c r="R638" s="170"/>
      <c r="S638" s="171"/>
      <c r="T638" s="203">
        <f t="shared" si="360"/>
        <v>43647</v>
      </c>
      <c r="U638" s="204">
        <f t="shared" si="361"/>
        <v>43677</v>
      </c>
      <c r="V638" s="207">
        <f t="shared" si="390"/>
        <v>0</v>
      </c>
      <c r="W638" s="206" t="str">
        <f t="shared" si="387"/>
        <v/>
      </c>
      <c r="X638" s="206">
        <f t="shared" si="388"/>
        <v>0</v>
      </c>
      <c r="Y638" s="209">
        <f t="shared" si="389"/>
        <v>0</v>
      </c>
    </row>
    <row r="639" spans="2:25" ht="16.5" hidden="1" thickTop="1" thickBot="1" x14ac:dyDescent="0.3">
      <c r="B639" s="60">
        <f>B636</f>
        <v>43</v>
      </c>
      <c r="C639" s="102">
        <v>298</v>
      </c>
      <c r="D639" s="192">
        <f t="shared" si="366"/>
        <v>0</v>
      </c>
      <c r="E639" s="162"/>
      <c r="F639" s="163"/>
      <c r="G639" s="163"/>
      <c r="H639" s="164"/>
      <c r="I639" s="164"/>
      <c r="J639" s="162"/>
      <c r="K639" s="165"/>
      <c r="L639" s="164"/>
      <c r="M639" s="164"/>
      <c r="N639" s="166"/>
      <c r="O639" s="167"/>
      <c r="P639" s="168"/>
      <c r="Q639" s="169"/>
      <c r="R639" s="170"/>
      <c r="S639" s="171"/>
      <c r="T639" s="203">
        <f t="shared" si="360"/>
        <v>43647</v>
      </c>
      <c r="U639" s="204">
        <f t="shared" si="361"/>
        <v>43677</v>
      </c>
      <c r="V639" s="207">
        <f t="shared" si="390"/>
        <v>0</v>
      </c>
      <c r="W639" s="206" t="str">
        <f t="shared" si="387"/>
        <v/>
      </c>
      <c r="X639" s="206">
        <f t="shared" si="388"/>
        <v>0</v>
      </c>
      <c r="Y639" s="209">
        <f t="shared" si="389"/>
        <v>0</v>
      </c>
    </row>
    <row r="640" spans="2:25" ht="16.5" hidden="1" thickTop="1" thickBot="1" x14ac:dyDescent="0.3">
      <c r="B640" s="60">
        <f>B636</f>
        <v>43</v>
      </c>
      <c r="C640" s="102">
        <v>299</v>
      </c>
      <c r="D640" s="192">
        <f t="shared" si="366"/>
        <v>0</v>
      </c>
      <c r="E640" s="162"/>
      <c r="F640" s="163"/>
      <c r="G640" s="163"/>
      <c r="H640" s="164"/>
      <c r="I640" s="164"/>
      <c r="J640" s="162"/>
      <c r="K640" s="165"/>
      <c r="L640" s="164"/>
      <c r="M640" s="164"/>
      <c r="N640" s="166"/>
      <c r="O640" s="167"/>
      <c r="P640" s="168"/>
      <c r="Q640" s="169"/>
      <c r="R640" s="170"/>
      <c r="S640" s="171"/>
      <c r="T640" s="203">
        <f t="shared" si="360"/>
        <v>43647</v>
      </c>
      <c r="U640" s="204">
        <f t="shared" si="361"/>
        <v>43677</v>
      </c>
      <c r="V640" s="207">
        <f t="shared" si="390"/>
        <v>0</v>
      </c>
      <c r="W640" s="206" t="str">
        <f t="shared" si="387"/>
        <v/>
      </c>
      <c r="X640" s="206">
        <f t="shared" si="388"/>
        <v>0</v>
      </c>
      <c r="Y640" s="209">
        <f t="shared" si="389"/>
        <v>0</v>
      </c>
    </row>
    <row r="641" spans="2:25" ht="16.5" hidden="1" thickTop="1" thickBot="1" x14ac:dyDescent="0.3">
      <c r="B641" s="60">
        <f>B636</f>
        <v>43</v>
      </c>
      <c r="C641" s="102">
        <v>300</v>
      </c>
      <c r="D641" s="192">
        <f t="shared" si="366"/>
        <v>0</v>
      </c>
      <c r="E641" s="172"/>
      <c r="F641" s="173"/>
      <c r="G641" s="173"/>
      <c r="H641" s="174"/>
      <c r="I641" s="174"/>
      <c r="J641" s="172"/>
      <c r="K641" s="175"/>
      <c r="L641" s="174"/>
      <c r="M641" s="174"/>
      <c r="N641" s="176"/>
      <c r="O641" s="177"/>
      <c r="P641" s="178"/>
      <c r="Q641" s="179"/>
      <c r="R641" s="180"/>
      <c r="S641" s="181"/>
      <c r="T641" s="203">
        <f t="shared" si="360"/>
        <v>43647</v>
      </c>
      <c r="U641" s="204">
        <f t="shared" si="361"/>
        <v>43677</v>
      </c>
      <c r="V641" s="207">
        <f t="shared" si="390"/>
        <v>0</v>
      </c>
      <c r="W641" s="206" t="str">
        <f t="shared" si="387"/>
        <v/>
      </c>
      <c r="X641" s="206">
        <f t="shared" si="388"/>
        <v>0</v>
      </c>
      <c r="Y641" s="209">
        <f t="shared" si="389"/>
        <v>0</v>
      </c>
    </row>
    <row r="642" spans="2:25" ht="16.5" hidden="1" thickTop="1" thickBot="1" x14ac:dyDescent="0.3">
      <c r="B642" s="141">
        <f>B636</f>
        <v>43</v>
      </c>
      <c r="C642" s="142">
        <v>301</v>
      </c>
      <c r="D642" s="194">
        <f t="shared" si="366"/>
        <v>0</v>
      </c>
      <c r="E642" s="189"/>
      <c r="F642" s="190"/>
      <c r="G642" s="190"/>
      <c r="H642" s="182"/>
      <c r="I642" s="182"/>
      <c r="J642" s="436" t="s">
        <v>181</v>
      </c>
      <c r="K642" s="437"/>
      <c r="L642" s="438"/>
      <c r="M642" s="182"/>
      <c r="N642" s="183"/>
      <c r="O642" s="184"/>
      <c r="P642" s="185"/>
      <c r="Q642" s="186"/>
      <c r="R642" s="187"/>
      <c r="S642" s="188"/>
      <c r="T642" s="213">
        <f t="shared" si="360"/>
        <v>43647</v>
      </c>
      <c r="U642" s="214">
        <f t="shared" si="361"/>
        <v>43677</v>
      </c>
      <c r="V642" s="210">
        <f t="shared" si="390"/>
        <v>0</v>
      </c>
      <c r="W642" s="211"/>
      <c r="X642" s="211">
        <f>IF(AND($V642&gt;0,$I642=1),IF($E642=10,P642/10,P642/$V642),0)</f>
        <v>0</v>
      </c>
      <c r="Y642" s="212">
        <f>IF(AND($V636&gt;0,$I642&lt;&gt;1),Q642/E636*V636,0)</f>
        <v>0</v>
      </c>
    </row>
    <row r="643" spans="2:25" ht="16.5" hidden="1" thickTop="1" thickBot="1" x14ac:dyDescent="0.3">
      <c r="B643" s="129">
        <f>B641+1</f>
        <v>44</v>
      </c>
      <c r="C643" s="130">
        <v>302</v>
      </c>
      <c r="D643" s="196">
        <f t="shared" si="366"/>
        <v>0</v>
      </c>
      <c r="E643" s="131"/>
      <c r="F643" s="132"/>
      <c r="G643" s="132"/>
      <c r="H643" s="133"/>
      <c r="I643" s="133"/>
      <c r="J643" s="131"/>
      <c r="K643" s="134"/>
      <c r="L643" s="133"/>
      <c r="M643" s="133"/>
      <c r="N643" s="135"/>
      <c r="O643" s="136"/>
      <c r="P643" s="137"/>
      <c r="Q643" s="138"/>
      <c r="R643" s="139"/>
      <c r="S643" s="140"/>
      <c r="T643" s="203">
        <f t="shared" si="360"/>
        <v>43647</v>
      </c>
      <c r="U643" s="204">
        <f t="shared" si="361"/>
        <v>43677</v>
      </c>
      <c r="V643" s="207">
        <f>IF(G643-F643+1-IF(G643-U643&gt;0,G643-U643,0)-IF(T643-F643&gt;0,T643-F643,0)&gt;0,G643-F643+1-IF(G643-U643&gt;0,G643-U643,0)-IF(T643-F643&gt;0,T643-F643,0),0)</f>
        <v>0</v>
      </c>
      <c r="W643" s="206" t="str">
        <f t="shared" ref="W643:W648" si="391">IF(V643&gt;0,H643,"")</f>
        <v/>
      </c>
      <c r="X643" s="206">
        <f t="shared" ref="X643:X648" si="392">IF(AND($V643&gt;0,$I643=1),P643/$E643*$V643,0)</f>
        <v>0</v>
      </c>
      <c r="Y643" s="209">
        <f t="shared" ref="Y643:Y648" si="393">IF(AND($V643&gt;0,$I643&lt;&gt;1),Q643/$E643*$V643,0)</f>
        <v>0</v>
      </c>
    </row>
    <row r="644" spans="2:25" ht="16.5" hidden="1" thickTop="1" thickBot="1" x14ac:dyDescent="0.3">
      <c r="B644" s="60">
        <f>B643</f>
        <v>44</v>
      </c>
      <c r="C644" s="102">
        <v>303</v>
      </c>
      <c r="D644" s="192">
        <f t="shared" si="366"/>
        <v>0</v>
      </c>
      <c r="E644" s="62"/>
      <c r="F644" s="105"/>
      <c r="G644" s="105"/>
      <c r="H644" s="61"/>
      <c r="I644" s="61"/>
      <c r="J644" s="62"/>
      <c r="K644" s="63"/>
      <c r="L644" s="61"/>
      <c r="M644" s="61"/>
      <c r="N644" s="111"/>
      <c r="O644" s="112"/>
      <c r="P644" s="113"/>
      <c r="Q644" s="114"/>
      <c r="R644" s="64"/>
      <c r="S644" s="108"/>
      <c r="T644" s="203">
        <f t="shared" si="360"/>
        <v>43647</v>
      </c>
      <c r="U644" s="204">
        <f t="shared" si="361"/>
        <v>43677</v>
      </c>
      <c r="V644" s="207">
        <f t="shared" ref="V644:V649" si="394">IF(G644-F644+1-IF(G644-U644&gt;0,G644-U644,0)-IF(T644-F644&gt;0,T644-F644,0)&gt;0,G644-F644+1-IF(G644-U644&gt;0,G644-U644,0)-IF(T644-F644&gt;0,T644-F644,0),0)</f>
        <v>0</v>
      </c>
      <c r="W644" s="206" t="str">
        <f t="shared" si="391"/>
        <v/>
      </c>
      <c r="X644" s="206">
        <f t="shared" si="392"/>
        <v>0</v>
      </c>
      <c r="Y644" s="209">
        <f t="shared" si="393"/>
        <v>0</v>
      </c>
    </row>
    <row r="645" spans="2:25" ht="16.5" hidden="1" thickTop="1" thickBot="1" x14ac:dyDescent="0.3">
      <c r="B645" s="60">
        <f>B643</f>
        <v>44</v>
      </c>
      <c r="C645" s="102">
        <v>304</v>
      </c>
      <c r="D645" s="192">
        <f t="shared" si="366"/>
        <v>0</v>
      </c>
      <c r="E645" s="62"/>
      <c r="F645" s="105"/>
      <c r="G645" s="105"/>
      <c r="H645" s="61"/>
      <c r="I645" s="61"/>
      <c r="J645" s="62"/>
      <c r="K645" s="63"/>
      <c r="L645" s="61"/>
      <c r="M645" s="61"/>
      <c r="N645" s="111"/>
      <c r="O645" s="112"/>
      <c r="P645" s="113"/>
      <c r="Q645" s="114"/>
      <c r="R645" s="64"/>
      <c r="S645" s="108"/>
      <c r="T645" s="203">
        <f t="shared" si="360"/>
        <v>43647</v>
      </c>
      <c r="U645" s="204">
        <f t="shared" si="361"/>
        <v>43677</v>
      </c>
      <c r="V645" s="207">
        <f t="shared" si="394"/>
        <v>0</v>
      </c>
      <c r="W645" s="206" t="str">
        <f t="shared" si="391"/>
        <v/>
      </c>
      <c r="X645" s="206">
        <f t="shared" si="392"/>
        <v>0</v>
      </c>
      <c r="Y645" s="209">
        <f t="shared" si="393"/>
        <v>0</v>
      </c>
    </row>
    <row r="646" spans="2:25" ht="16.5" hidden="1" thickTop="1" thickBot="1" x14ac:dyDescent="0.3">
      <c r="B646" s="60">
        <f>B643</f>
        <v>44</v>
      </c>
      <c r="C646" s="102">
        <v>305</v>
      </c>
      <c r="D646" s="192">
        <f t="shared" si="366"/>
        <v>0</v>
      </c>
      <c r="E646" s="62"/>
      <c r="F646" s="105"/>
      <c r="G646" s="105"/>
      <c r="H646" s="61"/>
      <c r="I646" s="61"/>
      <c r="J646" s="62"/>
      <c r="K646" s="63"/>
      <c r="L646" s="61"/>
      <c r="M646" s="61"/>
      <c r="N646" s="111"/>
      <c r="O646" s="112"/>
      <c r="P646" s="113"/>
      <c r="Q646" s="114"/>
      <c r="R646" s="64"/>
      <c r="S646" s="108"/>
      <c r="T646" s="203">
        <f t="shared" si="360"/>
        <v>43647</v>
      </c>
      <c r="U646" s="204">
        <f t="shared" si="361"/>
        <v>43677</v>
      </c>
      <c r="V646" s="207">
        <f t="shared" si="394"/>
        <v>0</v>
      </c>
      <c r="W646" s="206" t="str">
        <f t="shared" si="391"/>
        <v/>
      </c>
      <c r="X646" s="206">
        <f t="shared" si="392"/>
        <v>0</v>
      </c>
      <c r="Y646" s="209">
        <f t="shared" si="393"/>
        <v>0</v>
      </c>
    </row>
    <row r="647" spans="2:25" ht="16.5" hidden="1" thickTop="1" thickBot="1" x14ac:dyDescent="0.3">
      <c r="B647" s="60">
        <f>B643</f>
        <v>44</v>
      </c>
      <c r="C647" s="102">
        <v>306</v>
      </c>
      <c r="D647" s="192">
        <f t="shared" si="366"/>
        <v>0</v>
      </c>
      <c r="E647" s="62"/>
      <c r="F647" s="105"/>
      <c r="G647" s="105"/>
      <c r="H647" s="61"/>
      <c r="I647" s="61"/>
      <c r="J647" s="62"/>
      <c r="K647" s="63"/>
      <c r="L647" s="61"/>
      <c r="M647" s="61"/>
      <c r="N647" s="111"/>
      <c r="O647" s="112"/>
      <c r="P647" s="113"/>
      <c r="Q647" s="114"/>
      <c r="R647" s="64"/>
      <c r="S647" s="108"/>
      <c r="T647" s="203">
        <f t="shared" si="360"/>
        <v>43647</v>
      </c>
      <c r="U647" s="204">
        <f t="shared" si="361"/>
        <v>43677</v>
      </c>
      <c r="V647" s="207">
        <f t="shared" si="394"/>
        <v>0</v>
      </c>
      <c r="W647" s="206" t="str">
        <f t="shared" si="391"/>
        <v/>
      </c>
      <c r="X647" s="206">
        <f t="shared" si="392"/>
        <v>0</v>
      </c>
      <c r="Y647" s="209">
        <f t="shared" si="393"/>
        <v>0</v>
      </c>
    </row>
    <row r="648" spans="2:25" ht="16.5" hidden="1" thickTop="1" thickBot="1" x14ac:dyDescent="0.3">
      <c r="B648" s="60">
        <f>B643</f>
        <v>44</v>
      </c>
      <c r="C648" s="102">
        <v>307</v>
      </c>
      <c r="D648" s="192">
        <f t="shared" si="366"/>
        <v>0</v>
      </c>
      <c r="E648" s="62"/>
      <c r="F648" s="105"/>
      <c r="G648" s="105"/>
      <c r="H648" s="61"/>
      <c r="I648" s="61"/>
      <c r="J648" s="62"/>
      <c r="K648" s="63"/>
      <c r="L648" s="61"/>
      <c r="M648" s="61"/>
      <c r="N648" s="111"/>
      <c r="O648" s="112"/>
      <c r="P648" s="113"/>
      <c r="Q648" s="114"/>
      <c r="R648" s="64"/>
      <c r="S648" s="108"/>
      <c r="T648" s="203">
        <f t="shared" si="360"/>
        <v>43647</v>
      </c>
      <c r="U648" s="204">
        <f t="shared" si="361"/>
        <v>43677</v>
      </c>
      <c r="V648" s="207">
        <f t="shared" si="394"/>
        <v>0</v>
      </c>
      <c r="W648" s="206" t="str">
        <f t="shared" si="391"/>
        <v/>
      </c>
      <c r="X648" s="206">
        <f t="shared" si="392"/>
        <v>0</v>
      </c>
      <c r="Y648" s="209">
        <f t="shared" si="393"/>
        <v>0</v>
      </c>
    </row>
    <row r="649" spans="2:25" ht="16.5" hidden="1" thickTop="1" thickBot="1" x14ac:dyDescent="0.3">
      <c r="B649" s="141">
        <f>B643</f>
        <v>44</v>
      </c>
      <c r="C649" s="142">
        <v>308</v>
      </c>
      <c r="D649" s="194">
        <f t="shared" si="366"/>
        <v>0</v>
      </c>
      <c r="E649" s="143"/>
      <c r="F649" s="144"/>
      <c r="G649" s="144"/>
      <c r="H649" s="145"/>
      <c r="I649" s="145"/>
      <c r="J649" s="436" t="s">
        <v>181</v>
      </c>
      <c r="K649" s="437"/>
      <c r="L649" s="438"/>
      <c r="M649" s="145"/>
      <c r="N649" s="146"/>
      <c r="O649" s="147"/>
      <c r="P649" s="148"/>
      <c r="Q649" s="149"/>
      <c r="R649" s="150"/>
      <c r="S649" s="151"/>
      <c r="T649" s="213">
        <f t="shared" si="360"/>
        <v>43647</v>
      </c>
      <c r="U649" s="214">
        <f t="shared" si="361"/>
        <v>43677</v>
      </c>
      <c r="V649" s="210">
        <f t="shared" si="394"/>
        <v>0</v>
      </c>
      <c r="W649" s="211"/>
      <c r="X649" s="211">
        <f>IF(AND($V649&gt;0,$I649=1),IF($E649=10,P649/10,P649/$V649),0)</f>
        <v>0</v>
      </c>
      <c r="Y649" s="212">
        <f>IF(AND($V643&gt;0,$I649&lt;&gt;1),Q649/E643*V643,0)</f>
        <v>0</v>
      </c>
    </row>
    <row r="650" spans="2:25" ht="45.75" thickTop="1" x14ac:dyDescent="0.25">
      <c r="B650" s="129">
        <f>B648+1</f>
        <v>45</v>
      </c>
      <c r="C650" s="130">
        <v>309</v>
      </c>
      <c r="D650" s="196">
        <f t="shared" si="366"/>
        <v>0</v>
      </c>
      <c r="E650" s="152">
        <v>10</v>
      </c>
      <c r="F650" s="153">
        <v>43642</v>
      </c>
      <c r="G650" s="153">
        <v>43651</v>
      </c>
      <c r="H650" s="154" t="s">
        <v>303</v>
      </c>
      <c r="I650" s="154">
        <v>2</v>
      </c>
      <c r="J650" s="152" t="s">
        <v>167</v>
      </c>
      <c r="K650" s="155" t="s">
        <v>16</v>
      </c>
      <c r="L650" s="154">
        <v>1</v>
      </c>
      <c r="M650" s="154">
        <v>4</v>
      </c>
      <c r="N650" s="156">
        <v>54</v>
      </c>
      <c r="O650" s="157">
        <v>54</v>
      </c>
      <c r="P650" s="158"/>
      <c r="Q650" s="159">
        <v>54</v>
      </c>
      <c r="R650" s="160" t="s">
        <v>4</v>
      </c>
      <c r="S650" s="161">
        <v>43626</v>
      </c>
      <c r="T650" s="203">
        <f t="shared" si="360"/>
        <v>43647</v>
      </c>
      <c r="U650" s="204">
        <f t="shared" si="361"/>
        <v>43677</v>
      </c>
      <c r="V650" s="207">
        <f>IF(G650-F650+1-IF(G650-U650&gt;0,G650-U650,0)-IF(T650-F650&gt;0,T650-F650,0)&gt;0,G650-F650+1-IF(G650-U650&gt;0,G650-U650,0)-IF(T650-F650&gt;0,T650-F650,0),0)</f>
        <v>5</v>
      </c>
      <c r="W650" s="206" t="str">
        <f t="shared" ref="W650:W655" si="395">IF(V650&gt;0,H650,"")</f>
        <v>Вълю Джаджев</v>
      </c>
      <c r="X650" s="206">
        <f t="shared" ref="X650:X655" si="396">IF(AND($V650&gt;0,$I650=1),P650/$E650*$V650,0)</f>
        <v>0</v>
      </c>
      <c r="Y650" s="209">
        <f t="shared" ref="Y650:Y655" si="397">IF(AND($V650&gt;0,$I650&lt;&gt;1),Q650/$E650*$V650,0)</f>
        <v>27</v>
      </c>
    </row>
    <row r="651" spans="2:25" hidden="1" x14ac:dyDescent="0.25">
      <c r="B651" s="60">
        <f>B650</f>
        <v>45</v>
      </c>
      <c r="C651" s="102">
        <v>310</v>
      </c>
      <c r="D651" s="192">
        <f t="shared" si="366"/>
        <v>0</v>
      </c>
      <c r="E651" s="162"/>
      <c r="F651" s="163"/>
      <c r="G651" s="163"/>
      <c r="H651" s="164"/>
      <c r="I651" s="164"/>
      <c r="J651" s="162"/>
      <c r="K651" s="165"/>
      <c r="L651" s="164"/>
      <c r="M651" s="164"/>
      <c r="N651" s="166"/>
      <c r="O651" s="167"/>
      <c r="P651" s="168"/>
      <c r="Q651" s="169"/>
      <c r="R651" s="170"/>
      <c r="S651" s="171"/>
      <c r="T651" s="203">
        <f t="shared" si="360"/>
        <v>43647</v>
      </c>
      <c r="U651" s="204">
        <f t="shared" si="361"/>
        <v>43677</v>
      </c>
      <c r="V651" s="207">
        <f t="shared" ref="V651:V656" si="398">IF(G651-F651+1-IF(G651-U651&gt;0,G651-U651,0)-IF(T651-F651&gt;0,T651-F651,0)&gt;0,G651-F651+1-IF(G651-U651&gt;0,G651-U651,0)-IF(T651-F651&gt;0,T651-F651,0),0)</f>
        <v>0</v>
      </c>
      <c r="W651" s="206" t="str">
        <f t="shared" si="395"/>
        <v/>
      </c>
      <c r="X651" s="206">
        <f t="shared" si="396"/>
        <v>0</v>
      </c>
      <c r="Y651" s="209">
        <f t="shared" si="397"/>
        <v>0</v>
      </c>
    </row>
    <row r="652" spans="2:25" hidden="1" x14ac:dyDescent="0.25">
      <c r="B652" s="60">
        <f>B650</f>
        <v>45</v>
      </c>
      <c r="C652" s="102">
        <v>311</v>
      </c>
      <c r="D652" s="192">
        <f t="shared" si="366"/>
        <v>0</v>
      </c>
      <c r="E652" s="162"/>
      <c r="F652" s="163"/>
      <c r="G652" s="163"/>
      <c r="H652" s="164"/>
      <c r="I652" s="164"/>
      <c r="J652" s="162"/>
      <c r="K652" s="165"/>
      <c r="L652" s="164"/>
      <c r="M652" s="164"/>
      <c r="N652" s="166"/>
      <c r="O652" s="167"/>
      <c r="P652" s="168"/>
      <c r="Q652" s="169"/>
      <c r="R652" s="170"/>
      <c r="S652" s="171"/>
      <c r="T652" s="203">
        <f t="shared" si="360"/>
        <v>43647</v>
      </c>
      <c r="U652" s="204">
        <f t="shared" si="361"/>
        <v>43677</v>
      </c>
      <c r="V652" s="207">
        <f t="shared" si="398"/>
        <v>0</v>
      </c>
      <c r="W652" s="206" t="str">
        <f t="shared" si="395"/>
        <v/>
      </c>
      <c r="X652" s="206">
        <f t="shared" si="396"/>
        <v>0</v>
      </c>
      <c r="Y652" s="209">
        <f t="shared" si="397"/>
        <v>0</v>
      </c>
    </row>
    <row r="653" spans="2:25" hidden="1" x14ac:dyDescent="0.25">
      <c r="B653" s="60">
        <f>B650</f>
        <v>45</v>
      </c>
      <c r="C653" s="102">
        <v>312</v>
      </c>
      <c r="D653" s="192">
        <f t="shared" si="366"/>
        <v>0</v>
      </c>
      <c r="E653" s="162"/>
      <c r="F653" s="163"/>
      <c r="G653" s="163"/>
      <c r="H653" s="164"/>
      <c r="I653" s="164"/>
      <c r="J653" s="162"/>
      <c r="K653" s="165"/>
      <c r="L653" s="164"/>
      <c r="M653" s="164"/>
      <c r="N653" s="166"/>
      <c r="O653" s="167"/>
      <c r="P653" s="168"/>
      <c r="Q653" s="169"/>
      <c r="R653" s="170"/>
      <c r="S653" s="171"/>
      <c r="T653" s="203">
        <f t="shared" ref="T653:T716" si="399">$F$4</f>
        <v>43647</v>
      </c>
      <c r="U653" s="204">
        <f t="shared" ref="U653:U716" si="400">$G$4</f>
        <v>43677</v>
      </c>
      <c r="V653" s="207">
        <f t="shared" si="398"/>
        <v>0</v>
      </c>
      <c r="W653" s="206" t="str">
        <f t="shared" si="395"/>
        <v/>
      </c>
      <c r="X653" s="206">
        <f t="shared" si="396"/>
        <v>0</v>
      </c>
      <c r="Y653" s="209">
        <f t="shared" si="397"/>
        <v>0</v>
      </c>
    </row>
    <row r="654" spans="2:25" hidden="1" x14ac:dyDescent="0.25">
      <c r="B654" s="60">
        <f>B650</f>
        <v>45</v>
      </c>
      <c r="C654" s="102">
        <v>313</v>
      </c>
      <c r="D654" s="192">
        <f t="shared" si="366"/>
        <v>0</v>
      </c>
      <c r="E654" s="162"/>
      <c r="F654" s="163"/>
      <c r="G654" s="163"/>
      <c r="H654" s="164"/>
      <c r="I654" s="164"/>
      <c r="J654" s="162"/>
      <c r="K654" s="165"/>
      <c r="L654" s="164"/>
      <c r="M654" s="164"/>
      <c r="N654" s="166"/>
      <c r="O654" s="167"/>
      <c r="P654" s="168"/>
      <c r="Q654" s="169"/>
      <c r="R654" s="170"/>
      <c r="S654" s="171"/>
      <c r="T654" s="203">
        <f t="shared" si="399"/>
        <v>43647</v>
      </c>
      <c r="U654" s="204">
        <f t="shared" si="400"/>
        <v>43677</v>
      </c>
      <c r="V654" s="207">
        <f t="shared" si="398"/>
        <v>0</v>
      </c>
      <c r="W654" s="206" t="str">
        <f t="shared" si="395"/>
        <v/>
      </c>
      <c r="X654" s="206">
        <f t="shared" si="396"/>
        <v>0</v>
      </c>
      <c r="Y654" s="209">
        <f t="shared" si="397"/>
        <v>0</v>
      </c>
    </row>
    <row r="655" spans="2:25" hidden="1" x14ac:dyDescent="0.25">
      <c r="B655" s="60">
        <f>B650</f>
        <v>45</v>
      </c>
      <c r="C655" s="102">
        <v>314</v>
      </c>
      <c r="D655" s="192">
        <f t="shared" si="366"/>
        <v>0</v>
      </c>
      <c r="E655" s="172"/>
      <c r="F655" s="173"/>
      <c r="G655" s="173"/>
      <c r="H655" s="174"/>
      <c r="I655" s="174"/>
      <c r="J655" s="172"/>
      <c r="K655" s="175"/>
      <c r="L655" s="174"/>
      <c r="M655" s="174"/>
      <c r="N655" s="176"/>
      <c r="O655" s="177"/>
      <c r="P655" s="178"/>
      <c r="Q655" s="179"/>
      <c r="R655" s="180"/>
      <c r="S655" s="181"/>
      <c r="T655" s="203">
        <f t="shared" si="399"/>
        <v>43647</v>
      </c>
      <c r="U655" s="204">
        <f t="shared" si="400"/>
        <v>43677</v>
      </c>
      <c r="V655" s="207">
        <f t="shared" si="398"/>
        <v>0</v>
      </c>
      <c r="W655" s="206" t="str">
        <f t="shared" si="395"/>
        <v/>
      </c>
      <c r="X655" s="206">
        <f t="shared" si="396"/>
        <v>0</v>
      </c>
      <c r="Y655" s="209">
        <f t="shared" si="397"/>
        <v>0</v>
      </c>
    </row>
    <row r="656" spans="2:25" ht="15.75" thickBot="1" x14ac:dyDescent="0.3">
      <c r="B656" s="141">
        <f>B650</f>
        <v>45</v>
      </c>
      <c r="C656" s="142">
        <v>315</v>
      </c>
      <c r="D656" s="194">
        <f t="shared" si="366"/>
        <v>0</v>
      </c>
      <c r="E656" s="189"/>
      <c r="F656" s="190"/>
      <c r="G656" s="190"/>
      <c r="H656" s="182"/>
      <c r="I656" s="182"/>
      <c r="J656" s="436" t="s">
        <v>181</v>
      </c>
      <c r="K656" s="437"/>
      <c r="L656" s="438"/>
      <c r="M656" s="182"/>
      <c r="N656" s="183">
        <v>10</v>
      </c>
      <c r="O656" s="184">
        <v>10</v>
      </c>
      <c r="P656" s="185"/>
      <c r="Q656" s="186">
        <v>10</v>
      </c>
      <c r="R656" s="187" t="s">
        <v>4</v>
      </c>
      <c r="S656" s="188">
        <v>43626</v>
      </c>
      <c r="T656" s="213">
        <f t="shared" si="399"/>
        <v>43647</v>
      </c>
      <c r="U656" s="214">
        <f t="shared" si="400"/>
        <v>43677</v>
      </c>
      <c r="V656" s="210">
        <f t="shared" si="398"/>
        <v>0</v>
      </c>
      <c r="W656" s="211"/>
      <c r="X656" s="211">
        <f>IF(AND($V656&gt;0,$I656=1),IF($E656=10,P656/10,P656/$V656),0)</f>
        <v>0</v>
      </c>
      <c r="Y656" s="212">
        <f>IF(AND($V650&gt;0,$I656&lt;&gt;1),Q656/E650*V650,0)</f>
        <v>5</v>
      </c>
    </row>
    <row r="657" spans="2:25" ht="16.5" hidden="1" thickTop="1" thickBot="1" x14ac:dyDescent="0.3">
      <c r="B657" s="129">
        <f>B655+1</f>
        <v>46</v>
      </c>
      <c r="C657" s="130">
        <v>316</v>
      </c>
      <c r="D657" s="196">
        <f t="shared" si="366"/>
        <v>0</v>
      </c>
      <c r="E657" s="131"/>
      <c r="F657" s="132"/>
      <c r="G657" s="132"/>
      <c r="H657" s="133"/>
      <c r="I657" s="133"/>
      <c r="J657" s="131"/>
      <c r="K657" s="134"/>
      <c r="L657" s="133"/>
      <c r="M657" s="133"/>
      <c r="N657" s="135"/>
      <c r="O657" s="136"/>
      <c r="P657" s="137"/>
      <c r="Q657" s="138"/>
      <c r="R657" s="139"/>
      <c r="S657" s="140"/>
      <c r="T657" s="203">
        <f t="shared" si="399"/>
        <v>43647</v>
      </c>
      <c r="U657" s="204">
        <f t="shared" si="400"/>
        <v>43677</v>
      </c>
      <c r="V657" s="207">
        <f>IF(G657-F657+1-IF(G657-U657&gt;0,G657-U657,0)-IF(T657-F657&gt;0,T657-F657,0)&gt;0,G657-F657+1-IF(G657-U657&gt;0,G657-U657,0)-IF(T657-F657&gt;0,T657-F657,0),0)</f>
        <v>0</v>
      </c>
      <c r="W657" s="206" t="str">
        <f t="shared" ref="W657:W662" si="401">IF(V657&gt;0,H657,"")</f>
        <v/>
      </c>
      <c r="X657" s="206">
        <f t="shared" ref="X657:X662" si="402">IF(AND($V657&gt;0,$I657=1),P657/$E657*$V657,0)</f>
        <v>0</v>
      </c>
      <c r="Y657" s="209">
        <f t="shared" ref="Y657:Y662" si="403">IF(AND($V657&gt;0,$I657&lt;&gt;1),Q657/$E657*$V657,0)</f>
        <v>0</v>
      </c>
    </row>
    <row r="658" spans="2:25" ht="16.5" hidden="1" thickTop="1" thickBot="1" x14ac:dyDescent="0.3">
      <c r="B658" s="60">
        <f>B657</f>
        <v>46</v>
      </c>
      <c r="C658" s="102">
        <v>317</v>
      </c>
      <c r="D658" s="192">
        <f t="shared" si="366"/>
        <v>0</v>
      </c>
      <c r="E658" s="62"/>
      <c r="F658" s="105"/>
      <c r="G658" s="105"/>
      <c r="H658" s="61"/>
      <c r="I658" s="61"/>
      <c r="J658" s="62"/>
      <c r="K658" s="63"/>
      <c r="L658" s="61"/>
      <c r="M658" s="61"/>
      <c r="N658" s="111"/>
      <c r="O658" s="112"/>
      <c r="P658" s="113"/>
      <c r="Q658" s="114"/>
      <c r="R658" s="64"/>
      <c r="S658" s="108"/>
      <c r="T658" s="203">
        <f t="shared" si="399"/>
        <v>43647</v>
      </c>
      <c r="U658" s="204">
        <f t="shared" si="400"/>
        <v>43677</v>
      </c>
      <c r="V658" s="207">
        <f t="shared" ref="V658:V663" si="404">IF(G658-F658+1-IF(G658-U658&gt;0,G658-U658,0)-IF(T658-F658&gt;0,T658-F658,0)&gt;0,G658-F658+1-IF(G658-U658&gt;0,G658-U658,0)-IF(T658-F658&gt;0,T658-F658,0),0)</f>
        <v>0</v>
      </c>
      <c r="W658" s="206" t="str">
        <f t="shared" si="401"/>
        <v/>
      </c>
      <c r="X658" s="206">
        <f t="shared" si="402"/>
        <v>0</v>
      </c>
      <c r="Y658" s="209">
        <f t="shared" si="403"/>
        <v>0</v>
      </c>
    </row>
    <row r="659" spans="2:25" ht="16.5" hidden="1" thickTop="1" thickBot="1" x14ac:dyDescent="0.3">
      <c r="B659" s="60">
        <f>B657</f>
        <v>46</v>
      </c>
      <c r="C659" s="102">
        <v>318</v>
      </c>
      <c r="D659" s="192">
        <f t="shared" si="366"/>
        <v>0</v>
      </c>
      <c r="E659" s="62"/>
      <c r="F659" s="105"/>
      <c r="G659" s="105"/>
      <c r="H659" s="61"/>
      <c r="I659" s="61"/>
      <c r="J659" s="62"/>
      <c r="K659" s="63"/>
      <c r="L659" s="61"/>
      <c r="M659" s="61"/>
      <c r="N659" s="111"/>
      <c r="O659" s="112"/>
      <c r="P659" s="113"/>
      <c r="Q659" s="114"/>
      <c r="R659" s="64"/>
      <c r="S659" s="108"/>
      <c r="T659" s="203">
        <f t="shared" si="399"/>
        <v>43647</v>
      </c>
      <c r="U659" s="204">
        <f t="shared" si="400"/>
        <v>43677</v>
      </c>
      <c r="V659" s="207">
        <f t="shared" si="404"/>
        <v>0</v>
      </c>
      <c r="W659" s="206" t="str">
        <f t="shared" si="401"/>
        <v/>
      </c>
      <c r="X659" s="206">
        <f t="shared" si="402"/>
        <v>0</v>
      </c>
      <c r="Y659" s="209">
        <f t="shared" si="403"/>
        <v>0</v>
      </c>
    </row>
    <row r="660" spans="2:25" ht="16.5" hidden="1" thickTop="1" thickBot="1" x14ac:dyDescent="0.3">
      <c r="B660" s="60">
        <f>B657</f>
        <v>46</v>
      </c>
      <c r="C660" s="102">
        <v>319</v>
      </c>
      <c r="D660" s="192">
        <f t="shared" si="366"/>
        <v>0</v>
      </c>
      <c r="E660" s="62"/>
      <c r="F660" s="105"/>
      <c r="G660" s="105"/>
      <c r="H660" s="61"/>
      <c r="I660" s="61"/>
      <c r="J660" s="62"/>
      <c r="K660" s="63"/>
      <c r="L660" s="61"/>
      <c r="M660" s="61"/>
      <c r="N660" s="111"/>
      <c r="O660" s="112"/>
      <c r="P660" s="113"/>
      <c r="Q660" s="114"/>
      <c r="R660" s="64"/>
      <c r="S660" s="108"/>
      <c r="T660" s="203">
        <f t="shared" si="399"/>
        <v>43647</v>
      </c>
      <c r="U660" s="204">
        <f t="shared" si="400"/>
        <v>43677</v>
      </c>
      <c r="V660" s="207">
        <f t="shared" si="404"/>
        <v>0</v>
      </c>
      <c r="W660" s="206" t="str">
        <f t="shared" si="401"/>
        <v/>
      </c>
      <c r="X660" s="206">
        <f t="shared" si="402"/>
        <v>0</v>
      </c>
      <c r="Y660" s="209">
        <f t="shared" si="403"/>
        <v>0</v>
      </c>
    </row>
    <row r="661" spans="2:25" ht="16.5" hidden="1" thickTop="1" thickBot="1" x14ac:dyDescent="0.3">
      <c r="B661" s="60">
        <f>B657</f>
        <v>46</v>
      </c>
      <c r="C661" s="102">
        <v>320</v>
      </c>
      <c r="D661" s="192">
        <f t="shared" si="366"/>
        <v>0</v>
      </c>
      <c r="E661" s="62"/>
      <c r="F661" s="105"/>
      <c r="G661" s="105"/>
      <c r="H661" s="61"/>
      <c r="I661" s="61"/>
      <c r="J661" s="62"/>
      <c r="K661" s="63"/>
      <c r="L661" s="61"/>
      <c r="M661" s="61"/>
      <c r="N661" s="111"/>
      <c r="O661" s="112"/>
      <c r="P661" s="113"/>
      <c r="Q661" s="114"/>
      <c r="R661" s="64"/>
      <c r="S661" s="108"/>
      <c r="T661" s="203">
        <f t="shared" si="399"/>
        <v>43647</v>
      </c>
      <c r="U661" s="204">
        <f t="shared" si="400"/>
        <v>43677</v>
      </c>
      <c r="V661" s="207">
        <f t="shared" si="404"/>
        <v>0</v>
      </c>
      <c r="W661" s="206" t="str">
        <f t="shared" si="401"/>
        <v/>
      </c>
      <c r="X661" s="206">
        <f t="shared" si="402"/>
        <v>0</v>
      </c>
      <c r="Y661" s="209">
        <f t="shared" si="403"/>
        <v>0</v>
      </c>
    </row>
    <row r="662" spans="2:25" ht="16.5" hidden="1" thickTop="1" thickBot="1" x14ac:dyDescent="0.3">
      <c r="B662" s="60">
        <f>B657</f>
        <v>46</v>
      </c>
      <c r="C662" s="102">
        <v>321</v>
      </c>
      <c r="D662" s="192">
        <f t="shared" si="366"/>
        <v>0</v>
      </c>
      <c r="E662" s="62"/>
      <c r="F662" s="105"/>
      <c r="G662" s="105"/>
      <c r="H662" s="61"/>
      <c r="I662" s="61"/>
      <c r="J662" s="62"/>
      <c r="K662" s="63"/>
      <c r="L662" s="61"/>
      <c r="M662" s="61"/>
      <c r="N662" s="111"/>
      <c r="O662" s="112"/>
      <c r="P662" s="113"/>
      <c r="Q662" s="114"/>
      <c r="R662" s="64"/>
      <c r="S662" s="108"/>
      <c r="T662" s="203">
        <f t="shared" si="399"/>
        <v>43647</v>
      </c>
      <c r="U662" s="204">
        <f t="shared" si="400"/>
        <v>43677</v>
      </c>
      <c r="V662" s="207">
        <f t="shared" si="404"/>
        <v>0</v>
      </c>
      <c r="W662" s="206" t="str">
        <f t="shared" si="401"/>
        <v/>
      </c>
      <c r="X662" s="206">
        <f t="shared" si="402"/>
        <v>0</v>
      </c>
      <c r="Y662" s="209">
        <f t="shared" si="403"/>
        <v>0</v>
      </c>
    </row>
    <row r="663" spans="2:25" ht="16.5" hidden="1" thickTop="1" thickBot="1" x14ac:dyDescent="0.3">
      <c r="B663" s="141">
        <f>B657</f>
        <v>46</v>
      </c>
      <c r="C663" s="142">
        <v>322</v>
      </c>
      <c r="D663" s="194">
        <f t="shared" si="366"/>
        <v>0</v>
      </c>
      <c r="E663" s="143"/>
      <c r="F663" s="144"/>
      <c r="G663" s="144"/>
      <c r="H663" s="145"/>
      <c r="I663" s="145"/>
      <c r="J663" s="436" t="s">
        <v>181</v>
      </c>
      <c r="K663" s="437"/>
      <c r="L663" s="438"/>
      <c r="M663" s="145"/>
      <c r="N663" s="146"/>
      <c r="O663" s="147"/>
      <c r="P663" s="148"/>
      <c r="Q663" s="149"/>
      <c r="R663" s="150"/>
      <c r="S663" s="151"/>
      <c r="T663" s="213">
        <f t="shared" si="399"/>
        <v>43647</v>
      </c>
      <c r="U663" s="214">
        <f t="shared" si="400"/>
        <v>43677</v>
      </c>
      <c r="V663" s="210">
        <f t="shared" si="404"/>
        <v>0</v>
      </c>
      <c r="W663" s="211"/>
      <c r="X663" s="211">
        <f>IF(AND($V663&gt;0,$I663=1),IF($E663=10,P663/10,P663/$V663),0)</f>
        <v>0</v>
      </c>
      <c r="Y663" s="212">
        <f>IF(AND($V657&gt;0,$I663&lt;&gt;1),Q663/E657*V657,0)</f>
        <v>0</v>
      </c>
    </row>
    <row r="664" spans="2:25" ht="16.5" hidden="1" thickTop="1" thickBot="1" x14ac:dyDescent="0.3">
      <c r="B664" s="129">
        <f>B662+1</f>
        <v>47</v>
      </c>
      <c r="C664" s="130">
        <v>323</v>
      </c>
      <c r="D664" s="196">
        <f t="shared" ref="D664:D670" si="405">D663</f>
        <v>0</v>
      </c>
      <c r="E664" s="152"/>
      <c r="F664" s="153"/>
      <c r="G664" s="153"/>
      <c r="H664" s="154"/>
      <c r="I664" s="154"/>
      <c r="J664" s="152"/>
      <c r="K664" s="155"/>
      <c r="L664" s="154"/>
      <c r="M664" s="154"/>
      <c r="N664" s="156"/>
      <c r="O664" s="157"/>
      <c r="P664" s="158"/>
      <c r="Q664" s="159"/>
      <c r="R664" s="160"/>
      <c r="S664" s="161"/>
      <c r="T664" s="215">
        <f t="shared" si="399"/>
        <v>43647</v>
      </c>
      <c r="U664" s="216">
        <f t="shared" si="400"/>
        <v>43677</v>
      </c>
      <c r="V664" s="217">
        <f>IF(G664-F664+1-IF(G664-U664&gt;0,G664-U664,0)-IF(T664-F664&gt;0,T664-F664,0)&gt;0,G664-F664+1-IF(G664-U664&gt;0,G664-U664,0)-IF(T664-F664&gt;0,T664-F664,0),0)</f>
        <v>0</v>
      </c>
      <c r="W664" s="218" t="str">
        <f t="shared" ref="W664:W669" si="406">IF(V664&gt;0,H664,"")</f>
        <v/>
      </c>
      <c r="X664" s="218">
        <f t="shared" ref="X664:X669" si="407">IF(AND($V664&gt;0,$I664=1),P664/$E664*$V664,0)</f>
        <v>0</v>
      </c>
      <c r="Y664" s="219">
        <f t="shared" ref="Y664:Y669" si="408">IF(AND($V664&gt;0,$I664&lt;&gt;1),Q664/$E664*$V664,0)</f>
        <v>0</v>
      </c>
    </row>
    <row r="665" spans="2:25" ht="16.5" hidden="1" thickTop="1" thickBot="1" x14ac:dyDescent="0.3">
      <c r="B665" s="60">
        <f>B664</f>
        <v>47</v>
      </c>
      <c r="C665" s="102">
        <v>324</v>
      </c>
      <c r="D665" s="192">
        <f t="shared" si="405"/>
        <v>0</v>
      </c>
      <c r="E665" s="162"/>
      <c r="F665" s="163"/>
      <c r="G665" s="163"/>
      <c r="H665" s="164"/>
      <c r="I665" s="164"/>
      <c r="J665" s="162"/>
      <c r="K665" s="165"/>
      <c r="L665" s="164"/>
      <c r="M665" s="164"/>
      <c r="N665" s="166"/>
      <c r="O665" s="167"/>
      <c r="P665" s="168"/>
      <c r="Q665" s="169"/>
      <c r="R665" s="170"/>
      <c r="S665" s="171"/>
      <c r="T665" s="203">
        <f t="shared" si="399"/>
        <v>43647</v>
      </c>
      <c r="U665" s="205">
        <f t="shared" si="400"/>
        <v>43677</v>
      </c>
      <c r="V665" s="207">
        <f t="shared" ref="V665:V670" si="409">IF(G665-F665+1-IF(G665-U665&gt;0,G665-U665,0)-IF(T665-F665&gt;0,T665-F665,0)&gt;0,G665-F665+1-IF(G665-U665&gt;0,G665-U665,0)-IF(T665-F665&gt;0,T665-F665,0),0)</f>
        <v>0</v>
      </c>
      <c r="W665" s="206" t="str">
        <f t="shared" si="406"/>
        <v/>
      </c>
      <c r="X665" s="206">
        <f t="shared" si="407"/>
        <v>0</v>
      </c>
      <c r="Y665" s="208">
        <f t="shared" si="408"/>
        <v>0</v>
      </c>
    </row>
    <row r="666" spans="2:25" ht="16.5" hidden="1" thickTop="1" thickBot="1" x14ac:dyDescent="0.3">
      <c r="B666" s="60">
        <f>B664</f>
        <v>47</v>
      </c>
      <c r="C666" s="102">
        <v>325</v>
      </c>
      <c r="D666" s="192">
        <f t="shared" si="405"/>
        <v>0</v>
      </c>
      <c r="E666" s="162"/>
      <c r="F666" s="163"/>
      <c r="G666" s="163"/>
      <c r="H666" s="164"/>
      <c r="I666" s="164"/>
      <c r="J666" s="162"/>
      <c r="K666" s="165"/>
      <c r="L666" s="164"/>
      <c r="M666" s="164"/>
      <c r="N666" s="166"/>
      <c r="O666" s="167"/>
      <c r="P666" s="168"/>
      <c r="Q666" s="169"/>
      <c r="R666" s="170"/>
      <c r="S666" s="171"/>
      <c r="T666" s="203">
        <f t="shared" si="399"/>
        <v>43647</v>
      </c>
      <c r="U666" s="205">
        <f t="shared" si="400"/>
        <v>43677</v>
      </c>
      <c r="V666" s="207">
        <f t="shared" si="409"/>
        <v>0</v>
      </c>
      <c r="W666" s="206" t="str">
        <f t="shared" si="406"/>
        <v/>
      </c>
      <c r="X666" s="206">
        <f t="shared" si="407"/>
        <v>0</v>
      </c>
      <c r="Y666" s="208">
        <f t="shared" si="408"/>
        <v>0</v>
      </c>
    </row>
    <row r="667" spans="2:25" ht="16.5" hidden="1" thickTop="1" thickBot="1" x14ac:dyDescent="0.3">
      <c r="B667" s="60">
        <f>B664</f>
        <v>47</v>
      </c>
      <c r="C667" s="102">
        <v>326</v>
      </c>
      <c r="D667" s="192">
        <f t="shared" si="405"/>
        <v>0</v>
      </c>
      <c r="E667" s="162"/>
      <c r="F667" s="163"/>
      <c r="G667" s="163"/>
      <c r="H667" s="164"/>
      <c r="I667" s="164"/>
      <c r="J667" s="162"/>
      <c r="K667" s="165"/>
      <c r="L667" s="164"/>
      <c r="M667" s="164"/>
      <c r="N667" s="166"/>
      <c r="O667" s="167"/>
      <c r="P667" s="168"/>
      <c r="Q667" s="169"/>
      <c r="R667" s="170"/>
      <c r="S667" s="171"/>
      <c r="T667" s="203">
        <f t="shared" si="399"/>
        <v>43647</v>
      </c>
      <c r="U667" s="205">
        <f t="shared" si="400"/>
        <v>43677</v>
      </c>
      <c r="V667" s="207">
        <f t="shared" si="409"/>
        <v>0</v>
      </c>
      <c r="W667" s="206" t="str">
        <f t="shared" si="406"/>
        <v/>
      </c>
      <c r="X667" s="206">
        <f t="shared" si="407"/>
        <v>0</v>
      </c>
      <c r="Y667" s="208">
        <f t="shared" si="408"/>
        <v>0</v>
      </c>
    </row>
    <row r="668" spans="2:25" ht="16.5" hidden="1" thickTop="1" thickBot="1" x14ac:dyDescent="0.3">
      <c r="B668" s="60">
        <f>B664</f>
        <v>47</v>
      </c>
      <c r="C668" s="102">
        <v>327</v>
      </c>
      <c r="D668" s="192">
        <f t="shared" si="405"/>
        <v>0</v>
      </c>
      <c r="E668" s="162"/>
      <c r="F668" s="163"/>
      <c r="G668" s="163"/>
      <c r="H668" s="164"/>
      <c r="I668" s="164"/>
      <c r="J668" s="162"/>
      <c r="K668" s="165"/>
      <c r="L668" s="164"/>
      <c r="M668" s="164"/>
      <c r="N668" s="166"/>
      <c r="O668" s="167"/>
      <c r="P668" s="168"/>
      <c r="Q668" s="169"/>
      <c r="R668" s="170"/>
      <c r="S668" s="171"/>
      <c r="T668" s="203">
        <f t="shared" si="399"/>
        <v>43647</v>
      </c>
      <c r="U668" s="205">
        <f t="shared" si="400"/>
        <v>43677</v>
      </c>
      <c r="V668" s="207">
        <f t="shared" si="409"/>
        <v>0</v>
      </c>
      <c r="W668" s="206" t="str">
        <f t="shared" si="406"/>
        <v/>
      </c>
      <c r="X668" s="206">
        <f t="shared" si="407"/>
        <v>0</v>
      </c>
      <c r="Y668" s="208">
        <f t="shared" si="408"/>
        <v>0</v>
      </c>
    </row>
    <row r="669" spans="2:25" ht="16.5" hidden="1" thickTop="1" thickBot="1" x14ac:dyDescent="0.3">
      <c r="B669" s="60">
        <f>B664</f>
        <v>47</v>
      </c>
      <c r="C669" s="102">
        <v>328</v>
      </c>
      <c r="D669" s="192">
        <f t="shared" si="405"/>
        <v>0</v>
      </c>
      <c r="E669" s="172"/>
      <c r="F669" s="173"/>
      <c r="G669" s="173"/>
      <c r="H669" s="174"/>
      <c r="I669" s="174"/>
      <c r="J669" s="172"/>
      <c r="K669" s="175"/>
      <c r="L669" s="174"/>
      <c r="M669" s="174"/>
      <c r="N669" s="176"/>
      <c r="O669" s="177"/>
      <c r="P669" s="178"/>
      <c r="Q669" s="179"/>
      <c r="R669" s="180"/>
      <c r="S669" s="181"/>
      <c r="T669" s="203">
        <f t="shared" si="399"/>
        <v>43647</v>
      </c>
      <c r="U669" s="205">
        <f t="shared" si="400"/>
        <v>43677</v>
      </c>
      <c r="V669" s="207">
        <f t="shared" si="409"/>
        <v>0</v>
      </c>
      <c r="W669" s="206" t="str">
        <f t="shared" si="406"/>
        <v/>
      </c>
      <c r="X669" s="206">
        <f t="shared" si="407"/>
        <v>0</v>
      </c>
      <c r="Y669" s="208">
        <f t="shared" si="408"/>
        <v>0</v>
      </c>
    </row>
    <row r="670" spans="2:25" ht="16.5" hidden="1" thickTop="1" thickBot="1" x14ac:dyDescent="0.3">
      <c r="B670" s="141">
        <f>B664</f>
        <v>47</v>
      </c>
      <c r="C670" s="142">
        <v>329</v>
      </c>
      <c r="D670" s="194">
        <f t="shared" si="405"/>
        <v>0</v>
      </c>
      <c r="E670" s="189"/>
      <c r="F670" s="190"/>
      <c r="G670" s="190"/>
      <c r="H670" s="182"/>
      <c r="I670" s="182"/>
      <c r="J670" s="436" t="s">
        <v>181</v>
      </c>
      <c r="K670" s="437"/>
      <c r="L670" s="438"/>
      <c r="M670" s="182"/>
      <c r="N670" s="183"/>
      <c r="O670" s="184"/>
      <c r="P670" s="185"/>
      <c r="Q670" s="186"/>
      <c r="R670" s="187"/>
      <c r="S670" s="188"/>
      <c r="T670" s="213">
        <f t="shared" si="399"/>
        <v>43647</v>
      </c>
      <c r="U670" s="214">
        <f t="shared" si="400"/>
        <v>43677</v>
      </c>
      <c r="V670" s="210">
        <f t="shared" si="409"/>
        <v>0</v>
      </c>
      <c r="W670" s="211"/>
      <c r="X670" s="211">
        <f>IF(AND($V670&gt;0,$I670=1),IF($E670=10,P670/10,P670/$V670),0)</f>
        <v>0</v>
      </c>
      <c r="Y670" s="212">
        <f>IF(AND($V664&gt;0,$I670&lt;&gt;1),Q670/E664*V664,0)</f>
        <v>0</v>
      </c>
    </row>
    <row r="671" spans="2:25" ht="16.5" hidden="1" thickTop="1" thickBot="1" x14ac:dyDescent="0.3">
      <c r="B671" s="129">
        <v>1</v>
      </c>
      <c r="C671" s="130">
        <v>1</v>
      </c>
      <c r="D671" s="191" t="s">
        <v>37</v>
      </c>
      <c r="E671" s="152"/>
      <c r="F671" s="153"/>
      <c r="G671" s="153"/>
      <c r="H671" s="154"/>
      <c r="I671" s="154"/>
      <c r="J671" s="152"/>
      <c r="K671" s="155"/>
      <c r="L671" s="154"/>
      <c r="M671" s="154"/>
      <c r="N671" s="156"/>
      <c r="O671" s="157"/>
      <c r="P671" s="158"/>
      <c r="Q671" s="159"/>
      <c r="R671" s="160"/>
      <c r="S671" s="161"/>
      <c r="T671" s="215">
        <f t="shared" si="399"/>
        <v>43647</v>
      </c>
      <c r="U671" s="216">
        <f t="shared" si="400"/>
        <v>43677</v>
      </c>
      <c r="V671" s="217">
        <f>IF(G671-F671+1-IF(G671-U671&gt;0,G671-U671,0)-IF(T671-F671&gt;0,T671-F671,0)&gt;0,G671-F671+1-IF(G671-U671&gt;0,G671-U671,0)-IF(T671-F671&gt;0,T671-F671,0),0)</f>
        <v>0</v>
      </c>
      <c r="W671" s="206" t="str">
        <f t="shared" ref="W671:W676" si="410">IF(V671&gt;0,H671,"")</f>
        <v/>
      </c>
      <c r="X671" s="218">
        <f t="shared" ref="X671:X676" si="411">IF(AND($V671&gt;0,$I671=1),P671/$E671*$V671,0)</f>
        <v>0</v>
      </c>
      <c r="Y671" s="219">
        <f t="shared" ref="Y671:Y676" si="412">IF(AND($V671&gt;0,$I671&lt;&gt;1),Q671/$E671*$V671,0)</f>
        <v>0</v>
      </c>
    </row>
    <row r="672" spans="2:25" ht="16.5" hidden="1" thickTop="1" thickBot="1" x14ac:dyDescent="0.3">
      <c r="B672" s="60">
        <f>B671</f>
        <v>1</v>
      </c>
      <c r="C672" s="102">
        <v>2</v>
      </c>
      <c r="D672" s="192" t="str">
        <f>D671</f>
        <v>III</v>
      </c>
      <c r="E672" s="162"/>
      <c r="F672" s="163"/>
      <c r="G672" s="163"/>
      <c r="H672" s="164"/>
      <c r="I672" s="164"/>
      <c r="J672" s="162"/>
      <c r="K672" s="165"/>
      <c r="L672" s="164"/>
      <c r="M672" s="164"/>
      <c r="N672" s="166"/>
      <c r="O672" s="167"/>
      <c r="P672" s="168"/>
      <c r="Q672" s="169"/>
      <c r="R672" s="170"/>
      <c r="S672" s="171"/>
      <c r="T672" s="203">
        <f t="shared" si="399"/>
        <v>43647</v>
      </c>
      <c r="U672" s="205">
        <f t="shared" si="400"/>
        <v>43677</v>
      </c>
      <c r="V672" s="207">
        <f t="shared" ref="V672:V677" si="413">IF(G672-F672+1-IF(G672-U672&gt;0,G672-U672,0)-IF(T672-F672&gt;0,T672-F672,0)&gt;0,G672-F672+1-IF(G672-U672&gt;0,G672-U672,0)-IF(T672-F672&gt;0,T672-F672,0),0)</f>
        <v>0</v>
      </c>
      <c r="W672" s="206" t="str">
        <f t="shared" si="410"/>
        <v/>
      </c>
      <c r="X672" s="206">
        <f t="shared" si="411"/>
        <v>0</v>
      </c>
      <c r="Y672" s="208">
        <f t="shared" si="412"/>
        <v>0</v>
      </c>
    </row>
    <row r="673" spans="2:25" ht="16.5" hidden="1" thickTop="1" thickBot="1" x14ac:dyDescent="0.3">
      <c r="B673" s="60">
        <f>B671</f>
        <v>1</v>
      </c>
      <c r="C673" s="102">
        <v>3</v>
      </c>
      <c r="D673" s="192" t="str">
        <f t="shared" ref="D673:D736" si="414">D672</f>
        <v>III</v>
      </c>
      <c r="E673" s="162"/>
      <c r="F673" s="163"/>
      <c r="G673" s="163"/>
      <c r="H673" s="164"/>
      <c r="I673" s="164"/>
      <c r="J673" s="162"/>
      <c r="K673" s="165"/>
      <c r="L673" s="164"/>
      <c r="M673" s="164"/>
      <c r="N673" s="166"/>
      <c r="O673" s="167"/>
      <c r="P673" s="168"/>
      <c r="Q673" s="169"/>
      <c r="R673" s="170"/>
      <c r="S673" s="171"/>
      <c r="T673" s="203">
        <f t="shared" si="399"/>
        <v>43647</v>
      </c>
      <c r="U673" s="205">
        <f t="shared" si="400"/>
        <v>43677</v>
      </c>
      <c r="V673" s="207">
        <f t="shared" si="413"/>
        <v>0</v>
      </c>
      <c r="W673" s="206" t="str">
        <f t="shared" si="410"/>
        <v/>
      </c>
      <c r="X673" s="206">
        <f t="shared" si="411"/>
        <v>0</v>
      </c>
      <c r="Y673" s="208">
        <f t="shared" si="412"/>
        <v>0</v>
      </c>
    </row>
    <row r="674" spans="2:25" ht="16.5" hidden="1" thickTop="1" thickBot="1" x14ac:dyDescent="0.3">
      <c r="B674" s="60">
        <f>B671</f>
        <v>1</v>
      </c>
      <c r="C674" s="102">
        <v>4</v>
      </c>
      <c r="D674" s="192" t="str">
        <f t="shared" si="414"/>
        <v>III</v>
      </c>
      <c r="E674" s="162"/>
      <c r="F674" s="163"/>
      <c r="G674" s="163"/>
      <c r="H674" s="164"/>
      <c r="I674" s="164"/>
      <c r="J674" s="162"/>
      <c r="K674" s="165"/>
      <c r="L674" s="164"/>
      <c r="M674" s="164"/>
      <c r="N674" s="166"/>
      <c r="O674" s="167"/>
      <c r="P674" s="168"/>
      <c r="Q674" s="169"/>
      <c r="R674" s="170"/>
      <c r="S674" s="171"/>
      <c r="T674" s="203">
        <f t="shared" si="399"/>
        <v>43647</v>
      </c>
      <c r="U674" s="205">
        <f t="shared" si="400"/>
        <v>43677</v>
      </c>
      <c r="V674" s="207">
        <f t="shared" si="413"/>
        <v>0</v>
      </c>
      <c r="W674" s="206" t="str">
        <f t="shared" si="410"/>
        <v/>
      </c>
      <c r="X674" s="206">
        <f t="shared" si="411"/>
        <v>0</v>
      </c>
      <c r="Y674" s="208">
        <f t="shared" si="412"/>
        <v>0</v>
      </c>
    </row>
    <row r="675" spans="2:25" ht="16.5" hidden="1" thickTop="1" thickBot="1" x14ac:dyDescent="0.3">
      <c r="B675" s="60">
        <f>B671</f>
        <v>1</v>
      </c>
      <c r="C675" s="102">
        <v>5</v>
      </c>
      <c r="D675" s="192" t="str">
        <f t="shared" si="414"/>
        <v>III</v>
      </c>
      <c r="E675" s="162"/>
      <c r="F675" s="163"/>
      <c r="G675" s="163"/>
      <c r="H675" s="164"/>
      <c r="I675" s="164"/>
      <c r="J675" s="162"/>
      <c r="K675" s="165"/>
      <c r="L675" s="164"/>
      <c r="M675" s="164"/>
      <c r="N675" s="166"/>
      <c r="O675" s="167"/>
      <c r="P675" s="168"/>
      <c r="Q675" s="169"/>
      <c r="R675" s="170"/>
      <c r="S675" s="171"/>
      <c r="T675" s="203">
        <f t="shared" si="399"/>
        <v>43647</v>
      </c>
      <c r="U675" s="205">
        <f t="shared" si="400"/>
        <v>43677</v>
      </c>
      <c r="V675" s="207">
        <f t="shared" si="413"/>
        <v>0</v>
      </c>
      <c r="W675" s="206" t="str">
        <f t="shared" si="410"/>
        <v/>
      </c>
      <c r="X675" s="206">
        <f t="shared" si="411"/>
        <v>0</v>
      </c>
      <c r="Y675" s="208">
        <f t="shared" si="412"/>
        <v>0</v>
      </c>
    </row>
    <row r="676" spans="2:25" ht="16.5" hidden="1" thickTop="1" thickBot="1" x14ac:dyDescent="0.3">
      <c r="B676" s="86">
        <f>B675</f>
        <v>1</v>
      </c>
      <c r="C676" s="103">
        <v>6</v>
      </c>
      <c r="D676" s="193" t="str">
        <f t="shared" si="414"/>
        <v>III</v>
      </c>
      <c r="E676" s="172"/>
      <c r="F676" s="173"/>
      <c r="G676" s="173"/>
      <c r="H676" s="174"/>
      <c r="I676" s="174"/>
      <c r="J676" s="172"/>
      <c r="K676" s="175"/>
      <c r="L676" s="174"/>
      <c r="M676" s="174"/>
      <c r="N676" s="176"/>
      <c r="O676" s="177"/>
      <c r="P676" s="178"/>
      <c r="Q676" s="179"/>
      <c r="R676" s="180"/>
      <c r="S676" s="181"/>
      <c r="T676" s="203">
        <f t="shared" si="399"/>
        <v>43647</v>
      </c>
      <c r="U676" s="205">
        <f t="shared" si="400"/>
        <v>43677</v>
      </c>
      <c r="V676" s="207">
        <f t="shared" si="413"/>
        <v>0</v>
      </c>
      <c r="W676" s="206" t="str">
        <f t="shared" si="410"/>
        <v/>
      </c>
      <c r="X676" s="206">
        <f t="shared" si="411"/>
        <v>0</v>
      </c>
      <c r="Y676" s="208">
        <f t="shared" si="412"/>
        <v>0</v>
      </c>
    </row>
    <row r="677" spans="2:25" ht="16.5" hidden="1" thickTop="1" thickBot="1" x14ac:dyDescent="0.3">
      <c r="B677" s="141">
        <f>B671</f>
        <v>1</v>
      </c>
      <c r="C677" s="142">
        <v>7</v>
      </c>
      <c r="D677" s="194" t="str">
        <f t="shared" si="414"/>
        <v>III</v>
      </c>
      <c r="E677" s="189"/>
      <c r="F677" s="190"/>
      <c r="G677" s="190"/>
      <c r="H677" s="182"/>
      <c r="I677" s="182"/>
      <c r="J677" s="436" t="s">
        <v>181</v>
      </c>
      <c r="K677" s="437"/>
      <c r="L677" s="438"/>
      <c r="M677" s="182"/>
      <c r="N677" s="183"/>
      <c r="O677" s="184"/>
      <c r="P677" s="185"/>
      <c r="Q677" s="186"/>
      <c r="R677" s="187"/>
      <c r="S677" s="188"/>
      <c r="T677" s="213">
        <f t="shared" si="399"/>
        <v>43647</v>
      </c>
      <c r="U677" s="214">
        <f t="shared" si="400"/>
        <v>43677</v>
      </c>
      <c r="V677" s="210">
        <f t="shared" si="413"/>
        <v>0</v>
      </c>
      <c r="W677" s="211"/>
      <c r="X677" s="211">
        <f>IF(AND($V677&gt;0,$I677=1),IF($E677=10,P677/10,P677/$V677),0)</f>
        <v>0</v>
      </c>
      <c r="Y677" s="212">
        <f>IF(AND($V671&gt;0,$I677&lt;&gt;1),Q677/E671*V671,0)</f>
        <v>0</v>
      </c>
    </row>
    <row r="678" spans="2:25" ht="16.5" hidden="1" thickTop="1" thickBot="1" x14ac:dyDescent="0.3">
      <c r="B678" s="91">
        <f>B677+1</f>
        <v>2</v>
      </c>
      <c r="C678" s="104">
        <v>8</v>
      </c>
      <c r="D678" s="195" t="str">
        <f t="shared" si="414"/>
        <v>III</v>
      </c>
      <c r="E678" s="92"/>
      <c r="F678" s="107"/>
      <c r="G678" s="107"/>
      <c r="H678" s="93"/>
      <c r="I678" s="93"/>
      <c r="J678" s="92"/>
      <c r="K678" s="94"/>
      <c r="L678" s="93"/>
      <c r="M678" s="93"/>
      <c r="N678" s="119"/>
      <c r="O678" s="120"/>
      <c r="P678" s="121"/>
      <c r="Q678" s="122"/>
      <c r="R678" s="95"/>
      <c r="S678" s="110"/>
      <c r="T678" s="201">
        <f t="shared" si="399"/>
        <v>43647</v>
      </c>
      <c r="U678" s="202">
        <f t="shared" si="400"/>
        <v>43677</v>
      </c>
      <c r="V678" s="207">
        <f>IF(G678-F678+1-IF(G678-U678&gt;0,G678-U678,0)-IF(T678-F678&gt;0,T678-F678,0)&gt;0,G678-F678+1-IF(G678-U678&gt;0,G678-U678,0)-IF(T678-F678&gt;0,T678-F678,0),0)</f>
        <v>0</v>
      </c>
      <c r="W678" s="206" t="str">
        <f t="shared" ref="W678:W683" si="415">IF(V678&gt;0,H678,"")</f>
        <v/>
      </c>
      <c r="X678" s="206">
        <f t="shared" ref="X678:X683" si="416">IF(AND($V678&gt;0,$I678=1),P678/$E678*$V678,0)</f>
        <v>0</v>
      </c>
      <c r="Y678" s="209">
        <f t="shared" ref="Y678:Y683" si="417">IF(AND($V678&gt;0,$I678&lt;&gt;1),Q678/$E678*$V678,0)</f>
        <v>0</v>
      </c>
    </row>
    <row r="679" spans="2:25" ht="16.5" hidden="1" thickTop="1" thickBot="1" x14ac:dyDescent="0.3">
      <c r="B679" s="60">
        <f>B678</f>
        <v>2</v>
      </c>
      <c r="C679" s="102">
        <v>9</v>
      </c>
      <c r="D679" s="192" t="str">
        <f t="shared" si="414"/>
        <v>III</v>
      </c>
      <c r="E679" s="62"/>
      <c r="F679" s="105"/>
      <c r="G679" s="105"/>
      <c r="H679" s="61"/>
      <c r="I679" s="61"/>
      <c r="J679" s="62"/>
      <c r="K679" s="63"/>
      <c r="L679" s="61"/>
      <c r="M679" s="61"/>
      <c r="N679" s="111"/>
      <c r="O679" s="112"/>
      <c r="P679" s="113"/>
      <c r="Q679" s="114"/>
      <c r="R679" s="64"/>
      <c r="S679" s="108"/>
      <c r="T679" s="203">
        <f t="shared" si="399"/>
        <v>43647</v>
      </c>
      <c r="U679" s="204">
        <f t="shared" si="400"/>
        <v>43677</v>
      </c>
      <c r="V679" s="207">
        <f t="shared" ref="V679:V684" si="418">IF(G679-F679+1-IF(G679-U679&gt;0,G679-U679,0)-IF(T679-F679&gt;0,T679-F679,0)&gt;0,G679-F679+1-IF(G679-U679&gt;0,G679-U679,0)-IF(T679-F679&gt;0,T679-F679,0),0)</f>
        <v>0</v>
      </c>
      <c r="W679" s="206" t="str">
        <f t="shared" si="415"/>
        <v/>
      </c>
      <c r="X679" s="206">
        <f t="shared" si="416"/>
        <v>0</v>
      </c>
      <c r="Y679" s="209">
        <f t="shared" si="417"/>
        <v>0</v>
      </c>
    </row>
    <row r="680" spans="2:25" ht="16.5" hidden="1" thickTop="1" thickBot="1" x14ac:dyDescent="0.3">
      <c r="B680" s="60">
        <f>B678</f>
        <v>2</v>
      </c>
      <c r="C680" s="102">
        <v>10</v>
      </c>
      <c r="D680" s="192" t="str">
        <f t="shared" si="414"/>
        <v>III</v>
      </c>
      <c r="E680" s="62"/>
      <c r="F680" s="105"/>
      <c r="G680" s="105"/>
      <c r="H680" s="61"/>
      <c r="I680" s="61"/>
      <c r="J680" s="62"/>
      <c r="K680" s="63"/>
      <c r="L680" s="61"/>
      <c r="M680" s="61"/>
      <c r="N680" s="111"/>
      <c r="O680" s="112"/>
      <c r="P680" s="113"/>
      <c r="Q680" s="114"/>
      <c r="R680" s="64"/>
      <c r="S680" s="108"/>
      <c r="T680" s="203">
        <f t="shared" si="399"/>
        <v>43647</v>
      </c>
      <c r="U680" s="204">
        <f t="shared" si="400"/>
        <v>43677</v>
      </c>
      <c r="V680" s="207">
        <f t="shared" si="418"/>
        <v>0</v>
      </c>
      <c r="W680" s="206" t="str">
        <f t="shared" si="415"/>
        <v/>
      </c>
      <c r="X680" s="206">
        <f t="shared" si="416"/>
        <v>0</v>
      </c>
      <c r="Y680" s="209">
        <f t="shared" si="417"/>
        <v>0</v>
      </c>
    </row>
    <row r="681" spans="2:25" ht="16.5" hidden="1" thickTop="1" thickBot="1" x14ac:dyDescent="0.3">
      <c r="B681" s="60">
        <f>B678</f>
        <v>2</v>
      </c>
      <c r="C681" s="102">
        <v>11</v>
      </c>
      <c r="D681" s="192" t="str">
        <f t="shared" si="414"/>
        <v>III</v>
      </c>
      <c r="E681" s="62"/>
      <c r="F681" s="105"/>
      <c r="G681" s="105"/>
      <c r="H681" s="61"/>
      <c r="I681" s="61"/>
      <c r="J681" s="62"/>
      <c r="K681" s="63"/>
      <c r="L681" s="61"/>
      <c r="M681" s="61"/>
      <c r="N681" s="111"/>
      <c r="O681" s="112"/>
      <c r="P681" s="113"/>
      <c r="Q681" s="114"/>
      <c r="R681" s="64"/>
      <c r="S681" s="108"/>
      <c r="T681" s="203">
        <f t="shared" si="399"/>
        <v>43647</v>
      </c>
      <c r="U681" s="204">
        <f t="shared" si="400"/>
        <v>43677</v>
      </c>
      <c r="V681" s="207">
        <f t="shared" si="418"/>
        <v>0</v>
      </c>
      <c r="W681" s="206" t="str">
        <f t="shared" si="415"/>
        <v/>
      </c>
      <c r="X681" s="206">
        <f t="shared" si="416"/>
        <v>0</v>
      </c>
      <c r="Y681" s="209">
        <f t="shared" si="417"/>
        <v>0</v>
      </c>
    </row>
    <row r="682" spans="2:25" ht="16.5" hidden="1" thickTop="1" thickBot="1" x14ac:dyDescent="0.3">
      <c r="B682" s="60">
        <f>B678</f>
        <v>2</v>
      </c>
      <c r="C682" s="102">
        <v>12</v>
      </c>
      <c r="D682" s="192" t="str">
        <f t="shared" si="414"/>
        <v>III</v>
      </c>
      <c r="E682" s="62"/>
      <c r="F682" s="105"/>
      <c r="G682" s="105"/>
      <c r="H682" s="61"/>
      <c r="I682" s="61"/>
      <c r="J682" s="62"/>
      <c r="K682" s="63"/>
      <c r="L682" s="61"/>
      <c r="M682" s="61"/>
      <c r="N682" s="111"/>
      <c r="O682" s="112"/>
      <c r="P682" s="113"/>
      <c r="Q682" s="114"/>
      <c r="R682" s="64"/>
      <c r="S682" s="108"/>
      <c r="T682" s="203">
        <f t="shared" si="399"/>
        <v>43647</v>
      </c>
      <c r="U682" s="204">
        <f t="shared" si="400"/>
        <v>43677</v>
      </c>
      <c r="V682" s="207">
        <f t="shared" si="418"/>
        <v>0</v>
      </c>
      <c r="W682" s="206" t="str">
        <f t="shared" si="415"/>
        <v/>
      </c>
      <c r="X682" s="206">
        <f t="shared" si="416"/>
        <v>0</v>
      </c>
      <c r="Y682" s="209">
        <f t="shared" si="417"/>
        <v>0</v>
      </c>
    </row>
    <row r="683" spans="2:25" ht="16.5" hidden="1" thickTop="1" thickBot="1" x14ac:dyDescent="0.3">
      <c r="B683" s="86">
        <f>B678</f>
        <v>2</v>
      </c>
      <c r="C683" s="103">
        <v>13</v>
      </c>
      <c r="D683" s="193" t="str">
        <f t="shared" si="414"/>
        <v>III</v>
      </c>
      <c r="E683" s="87"/>
      <c r="F683" s="106"/>
      <c r="G683" s="106"/>
      <c r="H683" s="88"/>
      <c r="I683" s="88"/>
      <c r="J683" s="87"/>
      <c r="K683" s="89"/>
      <c r="L683" s="88"/>
      <c r="M683" s="88"/>
      <c r="N683" s="115"/>
      <c r="O683" s="116"/>
      <c r="P683" s="117"/>
      <c r="Q683" s="118"/>
      <c r="R683" s="90"/>
      <c r="S683" s="109"/>
      <c r="T683" s="203">
        <f t="shared" si="399"/>
        <v>43647</v>
      </c>
      <c r="U683" s="204">
        <f t="shared" si="400"/>
        <v>43677</v>
      </c>
      <c r="V683" s="207">
        <f t="shared" si="418"/>
        <v>0</v>
      </c>
      <c r="W683" s="206" t="str">
        <f t="shared" si="415"/>
        <v/>
      </c>
      <c r="X683" s="206">
        <f t="shared" si="416"/>
        <v>0</v>
      </c>
      <c r="Y683" s="209">
        <f t="shared" si="417"/>
        <v>0</v>
      </c>
    </row>
    <row r="684" spans="2:25" ht="16.5" hidden="1" thickTop="1" thickBot="1" x14ac:dyDescent="0.3">
      <c r="B684" s="141">
        <f>B678</f>
        <v>2</v>
      </c>
      <c r="C684" s="142">
        <v>14</v>
      </c>
      <c r="D684" s="194" t="str">
        <f t="shared" si="414"/>
        <v>III</v>
      </c>
      <c r="E684" s="143"/>
      <c r="F684" s="144"/>
      <c r="G684" s="144"/>
      <c r="H684" s="145"/>
      <c r="I684" s="145"/>
      <c r="J684" s="436" t="s">
        <v>181</v>
      </c>
      <c r="K684" s="437"/>
      <c r="L684" s="438"/>
      <c r="M684" s="145"/>
      <c r="N684" s="146"/>
      <c r="O684" s="147"/>
      <c r="P684" s="148"/>
      <c r="Q684" s="149"/>
      <c r="R684" s="150"/>
      <c r="S684" s="151"/>
      <c r="T684" s="213">
        <f t="shared" si="399"/>
        <v>43647</v>
      </c>
      <c r="U684" s="214">
        <f t="shared" si="400"/>
        <v>43677</v>
      </c>
      <c r="V684" s="210">
        <f t="shared" si="418"/>
        <v>0</v>
      </c>
      <c r="W684" s="211"/>
      <c r="X684" s="211">
        <f>IF(AND($V684&gt;0,$I684=1),IF($E684=10,P684/10,P684/$V684),0)</f>
        <v>0</v>
      </c>
      <c r="Y684" s="212">
        <f>IF(AND($V678&gt;0,$I684&lt;&gt;1),Q684/E678*V678,0)</f>
        <v>0</v>
      </c>
    </row>
    <row r="685" spans="2:25" ht="16.5" hidden="1" thickTop="1" thickBot="1" x14ac:dyDescent="0.3">
      <c r="B685" s="129">
        <f>B683+1</f>
        <v>3</v>
      </c>
      <c r="C685" s="130">
        <v>15</v>
      </c>
      <c r="D685" s="196" t="str">
        <f t="shared" si="414"/>
        <v>III</v>
      </c>
      <c r="E685" s="152"/>
      <c r="F685" s="153"/>
      <c r="G685" s="153"/>
      <c r="H685" s="154"/>
      <c r="I685" s="154"/>
      <c r="J685" s="152"/>
      <c r="K685" s="155"/>
      <c r="L685" s="154"/>
      <c r="M685" s="154"/>
      <c r="N685" s="156"/>
      <c r="O685" s="157"/>
      <c r="P685" s="158"/>
      <c r="Q685" s="159"/>
      <c r="R685" s="160"/>
      <c r="S685" s="161"/>
      <c r="T685" s="203">
        <f t="shared" si="399"/>
        <v>43647</v>
      </c>
      <c r="U685" s="204">
        <f t="shared" si="400"/>
        <v>43677</v>
      </c>
      <c r="V685" s="207">
        <f>IF(G685-F685+1-IF(G685-U685&gt;0,G685-U685,0)-IF(T685-F685&gt;0,T685-F685,0)&gt;0,G685-F685+1-IF(G685-U685&gt;0,G685-U685,0)-IF(T685-F685&gt;0,T685-F685,0),0)</f>
        <v>0</v>
      </c>
      <c r="W685" s="206" t="str">
        <f t="shared" ref="W685:W690" si="419">IF(V685&gt;0,H685,"")</f>
        <v/>
      </c>
      <c r="X685" s="206">
        <f t="shared" ref="X685:X690" si="420">IF(AND($V685&gt;0,$I685=1),P685/$E685*$V685,0)</f>
        <v>0</v>
      </c>
      <c r="Y685" s="209">
        <f t="shared" ref="Y685:Y690" si="421">IF(AND($V685&gt;0,$I685&lt;&gt;1),Q685/$E685*$V685,0)</f>
        <v>0</v>
      </c>
    </row>
    <row r="686" spans="2:25" ht="16.5" hidden="1" thickTop="1" thickBot="1" x14ac:dyDescent="0.3">
      <c r="B686" s="60">
        <f>B685</f>
        <v>3</v>
      </c>
      <c r="C686" s="102">
        <v>16</v>
      </c>
      <c r="D686" s="192" t="str">
        <f t="shared" si="414"/>
        <v>III</v>
      </c>
      <c r="E686" s="162"/>
      <c r="F686" s="163"/>
      <c r="G686" s="163"/>
      <c r="H686" s="164"/>
      <c r="I686" s="164"/>
      <c r="J686" s="162"/>
      <c r="K686" s="165"/>
      <c r="L686" s="164"/>
      <c r="M686" s="164"/>
      <c r="N686" s="166"/>
      <c r="O686" s="167"/>
      <c r="P686" s="168"/>
      <c r="Q686" s="169"/>
      <c r="R686" s="170"/>
      <c r="S686" s="171"/>
      <c r="T686" s="203">
        <f t="shared" si="399"/>
        <v>43647</v>
      </c>
      <c r="U686" s="204">
        <f t="shared" si="400"/>
        <v>43677</v>
      </c>
      <c r="V686" s="207">
        <f t="shared" ref="V686:V691" si="422">IF(G686-F686+1-IF(G686-U686&gt;0,G686-U686,0)-IF(T686-F686&gt;0,T686-F686,0)&gt;0,G686-F686+1-IF(G686-U686&gt;0,G686-U686,0)-IF(T686-F686&gt;0,T686-F686,0),0)</f>
        <v>0</v>
      </c>
      <c r="W686" s="206" t="str">
        <f t="shared" si="419"/>
        <v/>
      </c>
      <c r="X686" s="206">
        <f t="shared" si="420"/>
        <v>0</v>
      </c>
      <c r="Y686" s="209">
        <f t="shared" si="421"/>
        <v>0</v>
      </c>
    </row>
    <row r="687" spans="2:25" ht="16.5" hidden="1" thickTop="1" thickBot="1" x14ac:dyDescent="0.3">
      <c r="B687" s="60">
        <f>B685</f>
        <v>3</v>
      </c>
      <c r="C687" s="102">
        <v>17</v>
      </c>
      <c r="D687" s="192" t="str">
        <f t="shared" si="414"/>
        <v>III</v>
      </c>
      <c r="E687" s="162"/>
      <c r="F687" s="163"/>
      <c r="G687" s="163"/>
      <c r="H687" s="164"/>
      <c r="I687" s="164"/>
      <c r="J687" s="162"/>
      <c r="K687" s="165"/>
      <c r="L687" s="164"/>
      <c r="M687" s="164"/>
      <c r="N687" s="166"/>
      <c r="O687" s="167"/>
      <c r="P687" s="168"/>
      <c r="Q687" s="169"/>
      <c r="R687" s="170"/>
      <c r="S687" s="171"/>
      <c r="T687" s="203">
        <f t="shared" si="399"/>
        <v>43647</v>
      </c>
      <c r="U687" s="204">
        <f t="shared" si="400"/>
        <v>43677</v>
      </c>
      <c r="V687" s="207">
        <f t="shared" si="422"/>
        <v>0</v>
      </c>
      <c r="W687" s="206" t="str">
        <f t="shared" si="419"/>
        <v/>
      </c>
      <c r="X687" s="206">
        <f t="shared" si="420"/>
        <v>0</v>
      </c>
      <c r="Y687" s="209">
        <f t="shared" si="421"/>
        <v>0</v>
      </c>
    </row>
    <row r="688" spans="2:25" ht="16.5" hidden="1" thickTop="1" thickBot="1" x14ac:dyDescent="0.3">
      <c r="B688" s="60">
        <f>B685</f>
        <v>3</v>
      </c>
      <c r="C688" s="102">
        <v>18</v>
      </c>
      <c r="D688" s="192" t="str">
        <f t="shared" si="414"/>
        <v>III</v>
      </c>
      <c r="E688" s="162"/>
      <c r="F688" s="163"/>
      <c r="G688" s="163"/>
      <c r="H688" s="164"/>
      <c r="I688" s="164"/>
      <c r="J688" s="162"/>
      <c r="K688" s="165"/>
      <c r="L688" s="164"/>
      <c r="M688" s="164"/>
      <c r="N688" s="166"/>
      <c r="O688" s="167"/>
      <c r="P688" s="168"/>
      <c r="Q688" s="169"/>
      <c r="R688" s="170"/>
      <c r="S688" s="171"/>
      <c r="T688" s="203">
        <f t="shared" si="399"/>
        <v>43647</v>
      </c>
      <c r="U688" s="204">
        <f t="shared" si="400"/>
        <v>43677</v>
      </c>
      <c r="V688" s="207">
        <f t="shared" si="422"/>
        <v>0</v>
      </c>
      <c r="W688" s="206" t="str">
        <f t="shared" si="419"/>
        <v/>
      </c>
      <c r="X688" s="206">
        <f t="shared" si="420"/>
        <v>0</v>
      </c>
      <c r="Y688" s="209">
        <f t="shared" si="421"/>
        <v>0</v>
      </c>
    </row>
    <row r="689" spans="2:25" ht="16.5" hidden="1" thickTop="1" thickBot="1" x14ac:dyDescent="0.3">
      <c r="B689" s="60">
        <f>B685</f>
        <v>3</v>
      </c>
      <c r="C689" s="102">
        <v>19</v>
      </c>
      <c r="D689" s="192" t="str">
        <f t="shared" si="414"/>
        <v>III</v>
      </c>
      <c r="E689" s="162"/>
      <c r="F689" s="163"/>
      <c r="G689" s="163"/>
      <c r="H689" s="164"/>
      <c r="I689" s="164"/>
      <c r="J689" s="162"/>
      <c r="K689" s="165"/>
      <c r="L689" s="164"/>
      <c r="M689" s="164"/>
      <c r="N689" s="166"/>
      <c r="O689" s="167"/>
      <c r="P689" s="168"/>
      <c r="Q689" s="169"/>
      <c r="R689" s="170"/>
      <c r="S689" s="171"/>
      <c r="T689" s="203">
        <f t="shared" si="399"/>
        <v>43647</v>
      </c>
      <c r="U689" s="204">
        <f t="shared" si="400"/>
        <v>43677</v>
      </c>
      <c r="V689" s="207">
        <f t="shared" si="422"/>
        <v>0</v>
      </c>
      <c r="W689" s="206" t="str">
        <f t="shared" si="419"/>
        <v/>
      </c>
      <c r="X689" s="206">
        <f t="shared" si="420"/>
        <v>0</v>
      </c>
      <c r="Y689" s="209">
        <f t="shared" si="421"/>
        <v>0</v>
      </c>
    </row>
    <row r="690" spans="2:25" ht="16.5" hidden="1" thickTop="1" thickBot="1" x14ac:dyDescent="0.3">
      <c r="B690" s="60">
        <f>B685</f>
        <v>3</v>
      </c>
      <c r="C690" s="102">
        <v>20</v>
      </c>
      <c r="D690" s="192" t="str">
        <f t="shared" si="414"/>
        <v>III</v>
      </c>
      <c r="E690" s="172"/>
      <c r="F690" s="173"/>
      <c r="G690" s="173"/>
      <c r="H690" s="174"/>
      <c r="I690" s="174"/>
      <c r="J690" s="172"/>
      <c r="K690" s="175"/>
      <c r="L690" s="174"/>
      <c r="M690" s="174"/>
      <c r="N690" s="176"/>
      <c r="O690" s="177"/>
      <c r="P690" s="178"/>
      <c r="Q690" s="179"/>
      <c r="R690" s="180"/>
      <c r="S690" s="181"/>
      <c r="T690" s="203">
        <f t="shared" si="399"/>
        <v>43647</v>
      </c>
      <c r="U690" s="204">
        <f t="shared" si="400"/>
        <v>43677</v>
      </c>
      <c r="V690" s="207">
        <f t="shared" si="422"/>
        <v>0</v>
      </c>
      <c r="W690" s="206" t="str">
        <f t="shared" si="419"/>
        <v/>
      </c>
      <c r="X690" s="206">
        <f t="shared" si="420"/>
        <v>0</v>
      </c>
      <c r="Y690" s="209">
        <f t="shared" si="421"/>
        <v>0</v>
      </c>
    </row>
    <row r="691" spans="2:25" ht="16.5" hidden="1" thickTop="1" thickBot="1" x14ac:dyDescent="0.3">
      <c r="B691" s="141">
        <f>B685</f>
        <v>3</v>
      </c>
      <c r="C691" s="142">
        <v>21</v>
      </c>
      <c r="D691" s="194" t="str">
        <f t="shared" si="414"/>
        <v>III</v>
      </c>
      <c r="E691" s="189"/>
      <c r="F691" s="190"/>
      <c r="G691" s="190"/>
      <c r="H691" s="182"/>
      <c r="I691" s="182"/>
      <c r="J691" s="436" t="s">
        <v>181</v>
      </c>
      <c r="K691" s="437"/>
      <c r="L691" s="438"/>
      <c r="M691" s="182"/>
      <c r="N691" s="183"/>
      <c r="O691" s="184"/>
      <c r="P691" s="185"/>
      <c r="Q691" s="186"/>
      <c r="R691" s="187"/>
      <c r="S691" s="188"/>
      <c r="T691" s="213">
        <f t="shared" si="399"/>
        <v>43647</v>
      </c>
      <c r="U691" s="214">
        <f t="shared" si="400"/>
        <v>43677</v>
      </c>
      <c r="V691" s="210">
        <f t="shared" si="422"/>
        <v>0</v>
      </c>
      <c r="W691" s="211"/>
      <c r="X691" s="211">
        <f>IF(AND($V691&gt;0,$I691=1),IF($E691=10,P691/10,P691/$V691),0)</f>
        <v>0</v>
      </c>
      <c r="Y691" s="212">
        <f>IF(AND($V685&gt;0,$I691&lt;&gt;1),Q691/E685*V685,0)</f>
        <v>0</v>
      </c>
    </row>
    <row r="692" spans="2:25" ht="16.5" hidden="1" thickTop="1" thickBot="1" x14ac:dyDescent="0.3">
      <c r="B692" s="129">
        <f>B690+1</f>
        <v>4</v>
      </c>
      <c r="C692" s="130">
        <v>22</v>
      </c>
      <c r="D692" s="196" t="str">
        <f t="shared" si="414"/>
        <v>III</v>
      </c>
      <c r="E692" s="131"/>
      <c r="F692" s="132"/>
      <c r="G692" s="132"/>
      <c r="H692" s="133"/>
      <c r="I692" s="133"/>
      <c r="J692" s="131"/>
      <c r="K692" s="134"/>
      <c r="L692" s="133"/>
      <c r="M692" s="133"/>
      <c r="N692" s="135"/>
      <c r="O692" s="136"/>
      <c r="P692" s="137"/>
      <c r="Q692" s="138"/>
      <c r="R692" s="139"/>
      <c r="S692" s="140"/>
      <c r="T692" s="203">
        <f t="shared" si="399"/>
        <v>43647</v>
      </c>
      <c r="U692" s="204">
        <f t="shared" si="400"/>
        <v>43677</v>
      </c>
      <c r="V692" s="207">
        <f>IF(G692-F692+1-IF(G692-U692&gt;0,G692-U692,0)-IF(T692-F692&gt;0,T692-F692,0)&gt;0,G692-F692+1-IF(G692-U692&gt;0,G692-U692,0)-IF(T692-F692&gt;0,T692-F692,0),0)</f>
        <v>0</v>
      </c>
      <c r="W692" s="206" t="str">
        <f t="shared" ref="W692:W697" si="423">IF(V692&gt;0,H692,"")</f>
        <v/>
      </c>
      <c r="X692" s="206">
        <f t="shared" ref="X692:X697" si="424">IF(AND($V692&gt;0,$I692=1),P692/$E692*$V692,0)</f>
        <v>0</v>
      </c>
      <c r="Y692" s="209">
        <f t="shared" ref="Y692:Y697" si="425">IF(AND($V692&gt;0,$I692&lt;&gt;1),Q692/$E692*$V692,0)</f>
        <v>0</v>
      </c>
    </row>
    <row r="693" spans="2:25" ht="16.5" hidden="1" thickTop="1" thickBot="1" x14ac:dyDescent="0.3">
      <c r="B693" s="60">
        <f>B692</f>
        <v>4</v>
      </c>
      <c r="C693" s="102">
        <v>23</v>
      </c>
      <c r="D693" s="192" t="str">
        <f t="shared" si="414"/>
        <v>III</v>
      </c>
      <c r="E693" s="62"/>
      <c r="F693" s="105"/>
      <c r="G693" s="105"/>
      <c r="H693" s="61"/>
      <c r="I693" s="61"/>
      <c r="J693" s="62"/>
      <c r="K693" s="63"/>
      <c r="L693" s="61"/>
      <c r="M693" s="61"/>
      <c r="N693" s="111"/>
      <c r="O693" s="112"/>
      <c r="P693" s="113"/>
      <c r="Q693" s="114"/>
      <c r="R693" s="64"/>
      <c r="S693" s="108"/>
      <c r="T693" s="203">
        <f t="shared" si="399"/>
        <v>43647</v>
      </c>
      <c r="U693" s="204">
        <f t="shared" si="400"/>
        <v>43677</v>
      </c>
      <c r="V693" s="207">
        <f t="shared" ref="V693:V698" si="426">IF(G693-F693+1-IF(G693-U693&gt;0,G693-U693,0)-IF(T693-F693&gt;0,T693-F693,0)&gt;0,G693-F693+1-IF(G693-U693&gt;0,G693-U693,0)-IF(T693-F693&gt;0,T693-F693,0),0)</f>
        <v>0</v>
      </c>
      <c r="W693" s="206" t="str">
        <f t="shared" si="423"/>
        <v/>
      </c>
      <c r="X693" s="206">
        <f t="shared" si="424"/>
        <v>0</v>
      </c>
      <c r="Y693" s="209">
        <f t="shared" si="425"/>
        <v>0</v>
      </c>
    </row>
    <row r="694" spans="2:25" ht="16.5" hidden="1" thickTop="1" thickBot="1" x14ac:dyDescent="0.3">
      <c r="B694" s="60">
        <f>B692</f>
        <v>4</v>
      </c>
      <c r="C694" s="102">
        <v>24</v>
      </c>
      <c r="D694" s="192" t="str">
        <f t="shared" si="414"/>
        <v>III</v>
      </c>
      <c r="E694" s="62"/>
      <c r="F694" s="105"/>
      <c r="G694" s="105"/>
      <c r="H694" s="61"/>
      <c r="I694" s="61"/>
      <c r="J694" s="62"/>
      <c r="K694" s="63"/>
      <c r="L694" s="61"/>
      <c r="M694" s="61"/>
      <c r="N694" s="111"/>
      <c r="O694" s="112"/>
      <c r="P694" s="113"/>
      <c r="Q694" s="114"/>
      <c r="R694" s="64"/>
      <c r="S694" s="108"/>
      <c r="T694" s="203">
        <f t="shared" si="399"/>
        <v>43647</v>
      </c>
      <c r="U694" s="204">
        <f t="shared" si="400"/>
        <v>43677</v>
      </c>
      <c r="V694" s="207">
        <f t="shared" si="426"/>
        <v>0</v>
      </c>
      <c r="W694" s="206" t="str">
        <f t="shared" si="423"/>
        <v/>
      </c>
      <c r="X694" s="206">
        <f t="shared" si="424"/>
        <v>0</v>
      </c>
      <c r="Y694" s="209">
        <f t="shared" si="425"/>
        <v>0</v>
      </c>
    </row>
    <row r="695" spans="2:25" ht="16.5" hidden="1" thickTop="1" thickBot="1" x14ac:dyDescent="0.3">
      <c r="B695" s="60">
        <f>B692</f>
        <v>4</v>
      </c>
      <c r="C695" s="102">
        <v>25</v>
      </c>
      <c r="D695" s="192" t="str">
        <f t="shared" si="414"/>
        <v>III</v>
      </c>
      <c r="E695" s="62"/>
      <c r="F695" s="105"/>
      <c r="G695" s="105"/>
      <c r="H695" s="61"/>
      <c r="I695" s="61"/>
      <c r="J695" s="62"/>
      <c r="K695" s="63"/>
      <c r="L695" s="61"/>
      <c r="M695" s="61"/>
      <c r="N695" s="111"/>
      <c r="O695" s="112"/>
      <c r="P695" s="113"/>
      <c r="Q695" s="114"/>
      <c r="R695" s="64"/>
      <c r="S695" s="108"/>
      <c r="T695" s="203">
        <f t="shared" si="399"/>
        <v>43647</v>
      </c>
      <c r="U695" s="204">
        <f t="shared" si="400"/>
        <v>43677</v>
      </c>
      <c r="V695" s="207">
        <f t="shared" si="426"/>
        <v>0</v>
      </c>
      <c r="W695" s="206" t="str">
        <f t="shared" si="423"/>
        <v/>
      </c>
      <c r="X695" s="206">
        <f t="shared" si="424"/>
        <v>0</v>
      </c>
      <c r="Y695" s="209">
        <f t="shared" si="425"/>
        <v>0</v>
      </c>
    </row>
    <row r="696" spans="2:25" ht="16.5" hidden="1" thickTop="1" thickBot="1" x14ac:dyDescent="0.3">
      <c r="B696" s="60">
        <f>B692</f>
        <v>4</v>
      </c>
      <c r="C696" s="102">
        <v>26</v>
      </c>
      <c r="D696" s="192" t="str">
        <f t="shared" si="414"/>
        <v>III</v>
      </c>
      <c r="E696" s="62"/>
      <c r="F696" s="105"/>
      <c r="G696" s="105"/>
      <c r="H696" s="61"/>
      <c r="I696" s="61"/>
      <c r="J696" s="62"/>
      <c r="K696" s="63"/>
      <c r="L696" s="61"/>
      <c r="M696" s="61"/>
      <c r="N696" s="111"/>
      <c r="O696" s="112"/>
      <c r="P696" s="113"/>
      <c r="Q696" s="114"/>
      <c r="R696" s="64"/>
      <c r="S696" s="108"/>
      <c r="T696" s="203">
        <f t="shared" si="399"/>
        <v>43647</v>
      </c>
      <c r="U696" s="204">
        <f t="shared" si="400"/>
        <v>43677</v>
      </c>
      <c r="V696" s="207">
        <f t="shared" si="426"/>
        <v>0</v>
      </c>
      <c r="W696" s="206" t="str">
        <f t="shared" si="423"/>
        <v/>
      </c>
      <c r="X696" s="206">
        <f t="shared" si="424"/>
        <v>0</v>
      </c>
      <c r="Y696" s="209">
        <f t="shared" si="425"/>
        <v>0</v>
      </c>
    </row>
    <row r="697" spans="2:25" ht="16.5" hidden="1" thickTop="1" thickBot="1" x14ac:dyDescent="0.3">
      <c r="B697" s="60">
        <f>B692</f>
        <v>4</v>
      </c>
      <c r="C697" s="102">
        <v>27</v>
      </c>
      <c r="D697" s="192" t="str">
        <f t="shared" si="414"/>
        <v>III</v>
      </c>
      <c r="E697" s="62"/>
      <c r="F697" s="105"/>
      <c r="G697" s="105"/>
      <c r="H697" s="61"/>
      <c r="I697" s="61"/>
      <c r="J697" s="62"/>
      <c r="K697" s="63"/>
      <c r="L697" s="61"/>
      <c r="M697" s="61"/>
      <c r="N697" s="111"/>
      <c r="O697" s="112"/>
      <c r="P697" s="113"/>
      <c r="Q697" s="114"/>
      <c r="R697" s="64"/>
      <c r="S697" s="108"/>
      <c r="T697" s="203">
        <f t="shared" si="399"/>
        <v>43647</v>
      </c>
      <c r="U697" s="204">
        <f t="shared" si="400"/>
        <v>43677</v>
      </c>
      <c r="V697" s="207">
        <f t="shared" si="426"/>
        <v>0</v>
      </c>
      <c r="W697" s="206" t="str">
        <f t="shared" si="423"/>
        <v/>
      </c>
      <c r="X697" s="206">
        <f t="shared" si="424"/>
        <v>0</v>
      </c>
      <c r="Y697" s="209">
        <f t="shared" si="425"/>
        <v>0</v>
      </c>
    </row>
    <row r="698" spans="2:25" ht="16.5" hidden="1" thickTop="1" thickBot="1" x14ac:dyDescent="0.3">
      <c r="B698" s="141">
        <f>B692</f>
        <v>4</v>
      </c>
      <c r="C698" s="142">
        <v>28</v>
      </c>
      <c r="D698" s="194" t="str">
        <f t="shared" si="414"/>
        <v>III</v>
      </c>
      <c r="E698" s="143"/>
      <c r="F698" s="144"/>
      <c r="G698" s="144"/>
      <c r="H698" s="145"/>
      <c r="I698" s="145"/>
      <c r="J698" s="436" t="s">
        <v>181</v>
      </c>
      <c r="K698" s="437"/>
      <c r="L698" s="438"/>
      <c r="M698" s="145"/>
      <c r="N698" s="146"/>
      <c r="O698" s="147"/>
      <c r="P698" s="148"/>
      <c r="Q698" s="149"/>
      <c r="R698" s="150"/>
      <c r="S698" s="151"/>
      <c r="T698" s="213">
        <f t="shared" si="399"/>
        <v>43647</v>
      </c>
      <c r="U698" s="214">
        <f t="shared" si="400"/>
        <v>43677</v>
      </c>
      <c r="V698" s="210">
        <f t="shared" si="426"/>
        <v>0</v>
      </c>
      <c r="W698" s="211"/>
      <c r="X698" s="211">
        <f>IF(AND($V698&gt;0,$I698=1),IF($E698=10,P698/10,P698/$V698),0)</f>
        <v>0</v>
      </c>
      <c r="Y698" s="212">
        <f>IF(AND($V692&gt;0,$I698&lt;&gt;1),Q698/E692*V692,0)</f>
        <v>0</v>
      </c>
    </row>
    <row r="699" spans="2:25" ht="16.5" hidden="1" thickTop="1" thickBot="1" x14ac:dyDescent="0.3">
      <c r="B699" s="129">
        <f>B697+1</f>
        <v>5</v>
      </c>
      <c r="C699" s="130">
        <v>29</v>
      </c>
      <c r="D699" s="196" t="str">
        <f t="shared" si="414"/>
        <v>III</v>
      </c>
      <c r="E699" s="152"/>
      <c r="F699" s="153"/>
      <c r="G699" s="153"/>
      <c r="H699" s="154"/>
      <c r="I699" s="154"/>
      <c r="J699" s="152"/>
      <c r="K699" s="155"/>
      <c r="L699" s="154"/>
      <c r="M699" s="154"/>
      <c r="N699" s="156"/>
      <c r="O699" s="157"/>
      <c r="P699" s="158"/>
      <c r="Q699" s="159"/>
      <c r="R699" s="160"/>
      <c r="S699" s="161"/>
      <c r="T699" s="203">
        <f t="shared" si="399"/>
        <v>43647</v>
      </c>
      <c r="U699" s="204">
        <f t="shared" si="400"/>
        <v>43677</v>
      </c>
      <c r="V699" s="207">
        <f>IF(G699-F699+1-IF(G699-U699&gt;0,G699-U699,0)-IF(T699-F699&gt;0,T699-F699,0)&gt;0,G699-F699+1-IF(G699-U699&gt;0,G699-U699,0)-IF(T699-F699&gt;0,T699-F699,0),0)</f>
        <v>0</v>
      </c>
      <c r="W699" s="206" t="str">
        <f t="shared" ref="W699:W704" si="427">IF(V699&gt;0,H699,"")</f>
        <v/>
      </c>
      <c r="X699" s="206">
        <f t="shared" ref="X699:X704" si="428">IF(AND($V699&gt;0,$I699=1),P699/$E699*$V699,0)</f>
        <v>0</v>
      </c>
      <c r="Y699" s="209">
        <f t="shared" ref="Y699:Y704" si="429">IF(AND($V699&gt;0,$I699&lt;&gt;1),Q699/$E699*$V699,0)</f>
        <v>0</v>
      </c>
    </row>
    <row r="700" spans="2:25" ht="16.5" hidden="1" thickTop="1" thickBot="1" x14ac:dyDescent="0.3">
      <c r="B700" s="60">
        <f>B699</f>
        <v>5</v>
      </c>
      <c r="C700" s="102">
        <v>30</v>
      </c>
      <c r="D700" s="192" t="str">
        <f t="shared" si="414"/>
        <v>III</v>
      </c>
      <c r="E700" s="162"/>
      <c r="F700" s="163"/>
      <c r="G700" s="163"/>
      <c r="H700" s="164"/>
      <c r="I700" s="164"/>
      <c r="J700" s="162"/>
      <c r="K700" s="165"/>
      <c r="L700" s="164"/>
      <c r="M700" s="164"/>
      <c r="N700" s="166"/>
      <c r="O700" s="167"/>
      <c r="P700" s="168"/>
      <c r="Q700" s="169"/>
      <c r="R700" s="170"/>
      <c r="S700" s="171"/>
      <c r="T700" s="203">
        <f t="shared" si="399"/>
        <v>43647</v>
      </c>
      <c r="U700" s="204">
        <f t="shared" si="400"/>
        <v>43677</v>
      </c>
      <c r="V700" s="207">
        <f t="shared" ref="V700:V705" si="430">IF(G700-F700+1-IF(G700-U700&gt;0,G700-U700,0)-IF(T700-F700&gt;0,T700-F700,0)&gt;0,G700-F700+1-IF(G700-U700&gt;0,G700-U700,0)-IF(T700-F700&gt;0,T700-F700,0),0)</f>
        <v>0</v>
      </c>
      <c r="W700" s="206" t="str">
        <f t="shared" si="427"/>
        <v/>
      </c>
      <c r="X700" s="206">
        <f t="shared" si="428"/>
        <v>0</v>
      </c>
      <c r="Y700" s="209">
        <f t="shared" si="429"/>
        <v>0</v>
      </c>
    </row>
    <row r="701" spans="2:25" ht="16.5" hidden="1" thickTop="1" thickBot="1" x14ac:dyDescent="0.3">
      <c r="B701" s="60">
        <f>B699</f>
        <v>5</v>
      </c>
      <c r="C701" s="102">
        <v>31</v>
      </c>
      <c r="D701" s="192" t="str">
        <f t="shared" si="414"/>
        <v>III</v>
      </c>
      <c r="E701" s="162"/>
      <c r="F701" s="163"/>
      <c r="G701" s="163"/>
      <c r="H701" s="164"/>
      <c r="I701" s="164"/>
      <c r="J701" s="162"/>
      <c r="K701" s="165"/>
      <c r="L701" s="164"/>
      <c r="M701" s="164"/>
      <c r="N701" s="166"/>
      <c r="O701" s="167"/>
      <c r="P701" s="168"/>
      <c r="Q701" s="169"/>
      <c r="R701" s="170"/>
      <c r="S701" s="171"/>
      <c r="T701" s="203">
        <f t="shared" si="399"/>
        <v>43647</v>
      </c>
      <c r="U701" s="204">
        <f t="shared" si="400"/>
        <v>43677</v>
      </c>
      <c r="V701" s="207">
        <f t="shared" si="430"/>
        <v>0</v>
      </c>
      <c r="W701" s="206" t="str">
        <f t="shared" si="427"/>
        <v/>
      </c>
      <c r="X701" s="206">
        <f t="shared" si="428"/>
        <v>0</v>
      </c>
      <c r="Y701" s="209">
        <f t="shared" si="429"/>
        <v>0</v>
      </c>
    </row>
    <row r="702" spans="2:25" ht="16.5" hidden="1" thickTop="1" thickBot="1" x14ac:dyDescent="0.3">
      <c r="B702" s="60">
        <f>B699</f>
        <v>5</v>
      </c>
      <c r="C702" s="102">
        <v>32</v>
      </c>
      <c r="D702" s="192" t="str">
        <f t="shared" si="414"/>
        <v>III</v>
      </c>
      <c r="E702" s="162"/>
      <c r="F702" s="163"/>
      <c r="G702" s="163"/>
      <c r="H702" s="164"/>
      <c r="I702" s="164"/>
      <c r="J702" s="162"/>
      <c r="K702" s="165"/>
      <c r="L702" s="164"/>
      <c r="M702" s="164"/>
      <c r="N702" s="166"/>
      <c r="O702" s="167"/>
      <c r="P702" s="168"/>
      <c r="Q702" s="169"/>
      <c r="R702" s="170"/>
      <c r="S702" s="171"/>
      <c r="T702" s="203">
        <f t="shared" si="399"/>
        <v>43647</v>
      </c>
      <c r="U702" s="204">
        <f t="shared" si="400"/>
        <v>43677</v>
      </c>
      <c r="V702" s="207">
        <f t="shared" si="430"/>
        <v>0</v>
      </c>
      <c r="W702" s="206" t="str">
        <f t="shared" si="427"/>
        <v/>
      </c>
      <c r="X702" s="206">
        <f t="shared" si="428"/>
        <v>0</v>
      </c>
      <c r="Y702" s="209">
        <f t="shared" si="429"/>
        <v>0</v>
      </c>
    </row>
    <row r="703" spans="2:25" ht="16.5" hidden="1" thickTop="1" thickBot="1" x14ac:dyDescent="0.3">
      <c r="B703" s="60">
        <f>B699</f>
        <v>5</v>
      </c>
      <c r="C703" s="102">
        <v>33</v>
      </c>
      <c r="D703" s="192" t="str">
        <f t="shared" si="414"/>
        <v>III</v>
      </c>
      <c r="E703" s="162"/>
      <c r="F703" s="163"/>
      <c r="G703" s="163"/>
      <c r="H703" s="164"/>
      <c r="I703" s="164"/>
      <c r="J703" s="162"/>
      <c r="K703" s="165"/>
      <c r="L703" s="164"/>
      <c r="M703" s="164"/>
      <c r="N703" s="166"/>
      <c r="O703" s="167"/>
      <c r="P703" s="168"/>
      <c r="Q703" s="169"/>
      <c r="R703" s="170"/>
      <c r="S703" s="171"/>
      <c r="T703" s="203">
        <f t="shared" si="399"/>
        <v>43647</v>
      </c>
      <c r="U703" s="204">
        <f t="shared" si="400"/>
        <v>43677</v>
      </c>
      <c r="V703" s="207">
        <f t="shared" si="430"/>
        <v>0</v>
      </c>
      <c r="W703" s="206" t="str">
        <f t="shared" si="427"/>
        <v/>
      </c>
      <c r="X703" s="206">
        <f t="shared" si="428"/>
        <v>0</v>
      </c>
      <c r="Y703" s="209">
        <f t="shared" si="429"/>
        <v>0</v>
      </c>
    </row>
    <row r="704" spans="2:25" ht="16.5" hidden="1" thickTop="1" thickBot="1" x14ac:dyDescent="0.3">
      <c r="B704" s="60">
        <f>B699</f>
        <v>5</v>
      </c>
      <c r="C704" s="102">
        <v>34</v>
      </c>
      <c r="D704" s="192" t="str">
        <f t="shared" si="414"/>
        <v>III</v>
      </c>
      <c r="E704" s="172"/>
      <c r="F704" s="173"/>
      <c r="G704" s="173"/>
      <c r="H704" s="174"/>
      <c r="I704" s="174"/>
      <c r="J704" s="172"/>
      <c r="K704" s="175"/>
      <c r="L704" s="174"/>
      <c r="M704" s="174"/>
      <c r="N704" s="176"/>
      <c r="O704" s="177"/>
      <c r="P704" s="178"/>
      <c r="Q704" s="179"/>
      <c r="R704" s="180"/>
      <c r="S704" s="181"/>
      <c r="T704" s="203">
        <f t="shared" si="399"/>
        <v>43647</v>
      </c>
      <c r="U704" s="204">
        <f t="shared" si="400"/>
        <v>43677</v>
      </c>
      <c r="V704" s="207">
        <f t="shared" si="430"/>
        <v>0</v>
      </c>
      <c r="W704" s="206" t="str">
        <f t="shared" si="427"/>
        <v/>
      </c>
      <c r="X704" s="206">
        <f t="shared" si="428"/>
        <v>0</v>
      </c>
      <c r="Y704" s="209">
        <f t="shared" si="429"/>
        <v>0</v>
      </c>
    </row>
    <row r="705" spans="2:25" ht="16.5" hidden="1" thickTop="1" thickBot="1" x14ac:dyDescent="0.3">
      <c r="B705" s="141">
        <f>B699</f>
        <v>5</v>
      </c>
      <c r="C705" s="142">
        <v>35</v>
      </c>
      <c r="D705" s="194" t="str">
        <f t="shared" si="414"/>
        <v>III</v>
      </c>
      <c r="E705" s="189"/>
      <c r="F705" s="190"/>
      <c r="G705" s="190"/>
      <c r="H705" s="182"/>
      <c r="I705" s="182"/>
      <c r="J705" s="436" t="s">
        <v>181</v>
      </c>
      <c r="K705" s="437"/>
      <c r="L705" s="438"/>
      <c r="M705" s="182"/>
      <c r="N705" s="183"/>
      <c r="O705" s="184"/>
      <c r="P705" s="185"/>
      <c r="Q705" s="186"/>
      <c r="R705" s="187"/>
      <c r="S705" s="188"/>
      <c r="T705" s="213">
        <f t="shared" si="399"/>
        <v>43647</v>
      </c>
      <c r="U705" s="214">
        <f t="shared" si="400"/>
        <v>43677</v>
      </c>
      <c r="V705" s="210">
        <f t="shared" si="430"/>
        <v>0</v>
      </c>
      <c r="W705" s="211"/>
      <c r="X705" s="211">
        <f>IF(AND($V705&gt;0,$I705=1),IF($E705=10,P705/10,P705/$V705),0)</f>
        <v>0</v>
      </c>
      <c r="Y705" s="212">
        <f>IF(AND($V699&gt;0,$I705&lt;&gt;1),Q705/E699*V699,0)</f>
        <v>0</v>
      </c>
    </row>
    <row r="706" spans="2:25" ht="16.5" hidden="1" thickTop="1" thickBot="1" x14ac:dyDescent="0.3">
      <c r="B706" s="129">
        <f>B704+1</f>
        <v>6</v>
      </c>
      <c r="C706" s="130">
        <v>36</v>
      </c>
      <c r="D706" s="196" t="str">
        <f t="shared" si="414"/>
        <v>III</v>
      </c>
      <c r="E706" s="131"/>
      <c r="F706" s="132"/>
      <c r="G706" s="132"/>
      <c r="H706" s="133"/>
      <c r="I706" s="133"/>
      <c r="J706" s="131"/>
      <c r="K706" s="134"/>
      <c r="L706" s="133"/>
      <c r="M706" s="133"/>
      <c r="N706" s="135"/>
      <c r="O706" s="136"/>
      <c r="P706" s="137"/>
      <c r="Q706" s="138"/>
      <c r="R706" s="139"/>
      <c r="S706" s="140"/>
      <c r="T706" s="203">
        <f t="shared" si="399"/>
        <v>43647</v>
      </c>
      <c r="U706" s="204">
        <f t="shared" si="400"/>
        <v>43677</v>
      </c>
      <c r="V706" s="207">
        <f>IF(G706-F706+1-IF(G706-U706&gt;0,G706-U706,0)-IF(T706-F706&gt;0,T706-F706,0)&gt;0,G706-F706+1-IF(G706-U706&gt;0,G706-U706,0)-IF(T706-F706&gt;0,T706-F706,0),0)</f>
        <v>0</v>
      </c>
      <c r="W706" s="206" t="str">
        <f t="shared" ref="W706:W711" si="431">IF(V706&gt;0,H706,"")</f>
        <v/>
      </c>
      <c r="X706" s="206">
        <f t="shared" ref="X706:X711" si="432">IF(AND($V706&gt;0,$I706=1),P706/$E706*$V706,0)</f>
        <v>0</v>
      </c>
      <c r="Y706" s="209">
        <f t="shared" ref="Y706:Y711" si="433">IF(AND($V706&gt;0,$I706&lt;&gt;1),Q706/$E706*$V706,0)</f>
        <v>0</v>
      </c>
    </row>
    <row r="707" spans="2:25" ht="16.5" hidden="1" thickTop="1" thickBot="1" x14ac:dyDescent="0.3">
      <c r="B707" s="60">
        <f>B706</f>
        <v>6</v>
      </c>
      <c r="C707" s="102">
        <v>37</v>
      </c>
      <c r="D707" s="192" t="str">
        <f t="shared" si="414"/>
        <v>III</v>
      </c>
      <c r="E707" s="62"/>
      <c r="F707" s="105"/>
      <c r="G707" s="105"/>
      <c r="H707" s="61"/>
      <c r="I707" s="61"/>
      <c r="J707" s="62"/>
      <c r="K707" s="63"/>
      <c r="L707" s="61"/>
      <c r="M707" s="61"/>
      <c r="N707" s="111"/>
      <c r="O707" s="112"/>
      <c r="P707" s="113"/>
      <c r="Q707" s="114"/>
      <c r="R707" s="64"/>
      <c r="S707" s="108"/>
      <c r="T707" s="203">
        <f t="shared" si="399"/>
        <v>43647</v>
      </c>
      <c r="U707" s="204">
        <f t="shared" si="400"/>
        <v>43677</v>
      </c>
      <c r="V707" s="207">
        <f t="shared" ref="V707:V712" si="434">IF(G707-F707+1-IF(G707-U707&gt;0,G707-U707,0)-IF(T707-F707&gt;0,T707-F707,0)&gt;0,G707-F707+1-IF(G707-U707&gt;0,G707-U707,0)-IF(T707-F707&gt;0,T707-F707,0),0)</f>
        <v>0</v>
      </c>
      <c r="W707" s="206" t="str">
        <f t="shared" si="431"/>
        <v/>
      </c>
      <c r="X707" s="206">
        <f t="shared" si="432"/>
        <v>0</v>
      </c>
      <c r="Y707" s="209">
        <f t="shared" si="433"/>
        <v>0</v>
      </c>
    </row>
    <row r="708" spans="2:25" ht="16.5" hidden="1" thickTop="1" thickBot="1" x14ac:dyDescent="0.3">
      <c r="B708" s="60">
        <f>B706</f>
        <v>6</v>
      </c>
      <c r="C708" s="102">
        <v>38</v>
      </c>
      <c r="D708" s="192" t="str">
        <f t="shared" si="414"/>
        <v>III</v>
      </c>
      <c r="E708" s="62"/>
      <c r="F708" s="105"/>
      <c r="G708" s="105"/>
      <c r="H708" s="61"/>
      <c r="I708" s="61"/>
      <c r="J708" s="62"/>
      <c r="K708" s="63"/>
      <c r="L708" s="61"/>
      <c r="M708" s="61"/>
      <c r="N708" s="111"/>
      <c r="O708" s="112"/>
      <c r="P708" s="113"/>
      <c r="Q708" s="114"/>
      <c r="R708" s="64"/>
      <c r="S708" s="108"/>
      <c r="T708" s="203">
        <f t="shared" si="399"/>
        <v>43647</v>
      </c>
      <c r="U708" s="204">
        <f t="shared" si="400"/>
        <v>43677</v>
      </c>
      <c r="V708" s="207">
        <f t="shared" si="434"/>
        <v>0</v>
      </c>
      <c r="W708" s="206" t="str">
        <f t="shared" si="431"/>
        <v/>
      </c>
      <c r="X708" s="206">
        <f t="shared" si="432"/>
        <v>0</v>
      </c>
      <c r="Y708" s="209">
        <f t="shared" si="433"/>
        <v>0</v>
      </c>
    </row>
    <row r="709" spans="2:25" ht="16.5" hidden="1" thickTop="1" thickBot="1" x14ac:dyDescent="0.3">
      <c r="B709" s="60">
        <f>B706</f>
        <v>6</v>
      </c>
      <c r="C709" s="102">
        <v>39</v>
      </c>
      <c r="D709" s="192" t="str">
        <f t="shared" si="414"/>
        <v>III</v>
      </c>
      <c r="E709" s="62"/>
      <c r="F709" s="105"/>
      <c r="G709" s="105"/>
      <c r="H709" s="61"/>
      <c r="I709" s="61"/>
      <c r="J709" s="62"/>
      <c r="K709" s="63"/>
      <c r="L709" s="61"/>
      <c r="M709" s="61"/>
      <c r="N709" s="111"/>
      <c r="O709" s="112"/>
      <c r="P709" s="113"/>
      <c r="Q709" s="114"/>
      <c r="R709" s="64"/>
      <c r="S709" s="108"/>
      <c r="T709" s="203">
        <f t="shared" si="399"/>
        <v>43647</v>
      </c>
      <c r="U709" s="204">
        <f t="shared" si="400"/>
        <v>43677</v>
      </c>
      <c r="V709" s="207">
        <f t="shared" si="434"/>
        <v>0</v>
      </c>
      <c r="W709" s="206" t="str">
        <f t="shared" si="431"/>
        <v/>
      </c>
      <c r="X709" s="206">
        <f t="shared" si="432"/>
        <v>0</v>
      </c>
      <c r="Y709" s="209">
        <f t="shared" si="433"/>
        <v>0</v>
      </c>
    </row>
    <row r="710" spans="2:25" ht="16.5" hidden="1" thickTop="1" thickBot="1" x14ac:dyDescent="0.3">
      <c r="B710" s="60">
        <f>B706</f>
        <v>6</v>
      </c>
      <c r="C710" s="102">
        <v>40</v>
      </c>
      <c r="D710" s="192" t="str">
        <f t="shared" si="414"/>
        <v>III</v>
      </c>
      <c r="E710" s="62"/>
      <c r="F710" s="105"/>
      <c r="G710" s="105"/>
      <c r="H710" s="61"/>
      <c r="I710" s="61"/>
      <c r="J710" s="62"/>
      <c r="K710" s="63"/>
      <c r="L710" s="61"/>
      <c r="M710" s="61"/>
      <c r="N710" s="111"/>
      <c r="O710" s="112"/>
      <c r="P710" s="113"/>
      <c r="Q710" s="114"/>
      <c r="R710" s="64"/>
      <c r="S710" s="108"/>
      <c r="T710" s="203">
        <f t="shared" si="399"/>
        <v>43647</v>
      </c>
      <c r="U710" s="204">
        <f t="shared" si="400"/>
        <v>43677</v>
      </c>
      <c r="V710" s="207">
        <f t="shared" si="434"/>
        <v>0</v>
      </c>
      <c r="W710" s="206" t="str">
        <f t="shared" si="431"/>
        <v/>
      </c>
      <c r="X710" s="206">
        <f t="shared" si="432"/>
        <v>0</v>
      </c>
      <c r="Y710" s="209">
        <f t="shared" si="433"/>
        <v>0</v>
      </c>
    </row>
    <row r="711" spans="2:25" ht="16.5" hidden="1" thickTop="1" thickBot="1" x14ac:dyDescent="0.3">
      <c r="B711" s="60">
        <f>B706</f>
        <v>6</v>
      </c>
      <c r="C711" s="102">
        <v>41</v>
      </c>
      <c r="D711" s="192" t="str">
        <f t="shared" si="414"/>
        <v>III</v>
      </c>
      <c r="E711" s="62"/>
      <c r="F711" s="105"/>
      <c r="G711" s="105"/>
      <c r="H711" s="61"/>
      <c r="I711" s="61"/>
      <c r="J711" s="62"/>
      <c r="K711" s="63"/>
      <c r="L711" s="61"/>
      <c r="M711" s="61"/>
      <c r="N711" s="111"/>
      <c r="O711" s="112"/>
      <c r="P711" s="113"/>
      <c r="Q711" s="114"/>
      <c r="R711" s="64"/>
      <c r="S711" s="108"/>
      <c r="T711" s="203">
        <f t="shared" si="399"/>
        <v>43647</v>
      </c>
      <c r="U711" s="204">
        <f t="shared" si="400"/>
        <v>43677</v>
      </c>
      <c r="V711" s="207">
        <f t="shared" si="434"/>
        <v>0</v>
      </c>
      <c r="W711" s="206" t="str">
        <f t="shared" si="431"/>
        <v/>
      </c>
      <c r="X711" s="206">
        <f t="shared" si="432"/>
        <v>0</v>
      </c>
      <c r="Y711" s="209">
        <f t="shared" si="433"/>
        <v>0</v>
      </c>
    </row>
    <row r="712" spans="2:25" ht="16.5" hidden="1" thickTop="1" thickBot="1" x14ac:dyDescent="0.3">
      <c r="B712" s="141">
        <f>B706</f>
        <v>6</v>
      </c>
      <c r="C712" s="142">
        <v>42</v>
      </c>
      <c r="D712" s="194" t="str">
        <f t="shared" si="414"/>
        <v>III</v>
      </c>
      <c r="E712" s="143"/>
      <c r="F712" s="144"/>
      <c r="G712" s="144"/>
      <c r="H712" s="145"/>
      <c r="I712" s="145"/>
      <c r="J712" s="436" t="s">
        <v>181</v>
      </c>
      <c r="K712" s="437"/>
      <c r="L712" s="438"/>
      <c r="M712" s="145"/>
      <c r="N712" s="146"/>
      <c r="O712" s="147"/>
      <c r="P712" s="148"/>
      <c r="Q712" s="149"/>
      <c r="R712" s="150"/>
      <c r="S712" s="151"/>
      <c r="T712" s="213">
        <f t="shared" si="399"/>
        <v>43647</v>
      </c>
      <c r="U712" s="214">
        <f t="shared" si="400"/>
        <v>43677</v>
      </c>
      <c r="V712" s="210">
        <f t="shared" si="434"/>
        <v>0</v>
      </c>
      <c r="W712" s="211"/>
      <c r="X712" s="211">
        <f>IF(AND($V712&gt;0,$I712=1),IF($E712=10,P712/10,P712/$V712),0)</f>
        <v>0</v>
      </c>
      <c r="Y712" s="212">
        <f>IF(AND($V706&gt;0,$I712&lt;&gt;1),Q712/E706*V706,0)</f>
        <v>0</v>
      </c>
    </row>
    <row r="713" spans="2:25" ht="16.5" hidden="1" thickTop="1" thickBot="1" x14ac:dyDescent="0.3">
      <c r="B713" s="129">
        <f>B711+1</f>
        <v>7</v>
      </c>
      <c r="C713" s="130">
        <v>43</v>
      </c>
      <c r="D713" s="196" t="str">
        <f t="shared" si="414"/>
        <v>III</v>
      </c>
      <c r="E713" s="152"/>
      <c r="F713" s="153"/>
      <c r="G713" s="153"/>
      <c r="H713" s="154"/>
      <c r="I713" s="154"/>
      <c r="J713" s="152"/>
      <c r="K713" s="155"/>
      <c r="L713" s="154"/>
      <c r="M713" s="154"/>
      <c r="N713" s="156"/>
      <c r="O713" s="157"/>
      <c r="P713" s="158"/>
      <c r="Q713" s="159"/>
      <c r="R713" s="160"/>
      <c r="S713" s="161"/>
      <c r="T713" s="203">
        <f t="shared" si="399"/>
        <v>43647</v>
      </c>
      <c r="U713" s="204">
        <f t="shared" si="400"/>
        <v>43677</v>
      </c>
      <c r="V713" s="207">
        <f>IF(G713-F713+1-IF(G713-U713&gt;0,G713-U713,0)-IF(T713-F713&gt;0,T713-F713,0)&gt;0,G713-F713+1-IF(G713-U713&gt;0,G713-U713,0)-IF(T713-F713&gt;0,T713-F713,0),0)</f>
        <v>0</v>
      </c>
      <c r="W713" s="206" t="str">
        <f t="shared" ref="W713:W718" si="435">IF(V713&gt;0,H713,"")</f>
        <v/>
      </c>
      <c r="X713" s="206">
        <f t="shared" ref="X713:X718" si="436">IF(AND($V713&gt;0,$I713=1),P713/$E713*$V713,0)</f>
        <v>0</v>
      </c>
      <c r="Y713" s="209">
        <f t="shared" ref="Y713:Y718" si="437">IF(AND($V713&gt;0,$I713&lt;&gt;1),Q713/$E713*$V713,0)</f>
        <v>0</v>
      </c>
    </row>
    <row r="714" spans="2:25" ht="16.5" hidden="1" thickTop="1" thickBot="1" x14ac:dyDescent="0.3">
      <c r="B714" s="60">
        <f>B713</f>
        <v>7</v>
      </c>
      <c r="C714" s="102">
        <v>44</v>
      </c>
      <c r="D714" s="192" t="str">
        <f t="shared" si="414"/>
        <v>III</v>
      </c>
      <c r="E714" s="162"/>
      <c r="F714" s="163"/>
      <c r="G714" s="163"/>
      <c r="H714" s="164"/>
      <c r="I714" s="164"/>
      <c r="J714" s="162"/>
      <c r="K714" s="165"/>
      <c r="L714" s="164"/>
      <c r="M714" s="164"/>
      <c r="N714" s="166"/>
      <c r="O714" s="167"/>
      <c r="P714" s="168"/>
      <c r="Q714" s="169"/>
      <c r="R714" s="170"/>
      <c r="S714" s="171"/>
      <c r="T714" s="203">
        <f t="shared" si="399"/>
        <v>43647</v>
      </c>
      <c r="U714" s="204">
        <f t="shared" si="400"/>
        <v>43677</v>
      </c>
      <c r="V714" s="207">
        <f t="shared" ref="V714:V719" si="438">IF(G714-F714+1-IF(G714-U714&gt;0,G714-U714,0)-IF(T714-F714&gt;0,T714-F714,0)&gt;0,G714-F714+1-IF(G714-U714&gt;0,G714-U714,0)-IF(T714-F714&gt;0,T714-F714,0),0)</f>
        <v>0</v>
      </c>
      <c r="W714" s="206" t="str">
        <f t="shared" si="435"/>
        <v/>
      </c>
      <c r="X714" s="206">
        <f t="shared" si="436"/>
        <v>0</v>
      </c>
      <c r="Y714" s="209">
        <f t="shared" si="437"/>
        <v>0</v>
      </c>
    </row>
    <row r="715" spans="2:25" ht="16.5" hidden="1" thickTop="1" thickBot="1" x14ac:dyDescent="0.3">
      <c r="B715" s="60">
        <f>B713</f>
        <v>7</v>
      </c>
      <c r="C715" s="102">
        <v>45</v>
      </c>
      <c r="D715" s="192" t="str">
        <f t="shared" si="414"/>
        <v>III</v>
      </c>
      <c r="E715" s="162"/>
      <c r="F715" s="163"/>
      <c r="G715" s="163"/>
      <c r="H715" s="164"/>
      <c r="I715" s="164"/>
      <c r="J715" s="162"/>
      <c r="K715" s="165"/>
      <c r="L715" s="164"/>
      <c r="M715" s="164"/>
      <c r="N715" s="166"/>
      <c r="O715" s="167"/>
      <c r="P715" s="168"/>
      <c r="Q715" s="169"/>
      <c r="R715" s="170"/>
      <c r="S715" s="171"/>
      <c r="T715" s="203">
        <f t="shared" si="399"/>
        <v>43647</v>
      </c>
      <c r="U715" s="204">
        <f t="shared" si="400"/>
        <v>43677</v>
      </c>
      <c r="V715" s="207">
        <f t="shared" si="438"/>
        <v>0</v>
      </c>
      <c r="W715" s="206" t="str">
        <f t="shared" si="435"/>
        <v/>
      </c>
      <c r="X715" s="206">
        <f t="shared" si="436"/>
        <v>0</v>
      </c>
      <c r="Y715" s="209">
        <f t="shared" si="437"/>
        <v>0</v>
      </c>
    </row>
    <row r="716" spans="2:25" ht="16.5" hidden="1" thickTop="1" thickBot="1" x14ac:dyDescent="0.3">
      <c r="B716" s="60">
        <f>B713</f>
        <v>7</v>
      </c>
      <c r="C716" s="102">
        <v>46</v>
      </c>
      <c r="D716" s="192" t="str">
        <f t="shared" si="414"/>
        <v>III</v>
      </c>
      <c r="E716" s="162"/>
      <c r="F716" s="163"/>
      <c r="G716" s="163"/>
      <c r="H716" s="164"/>
      <c r="I716" s="164"/>
      <c r="J716" s="162"/>
      <c r="K716" s="165"/>
      <c r="L716" s="164"/>
      <c r="M716" s="164"/>
      <c r="N716" s="166"/>
      <c r="O716" s="167"/>
      <c r="P716" s="168"/>
      <c r="Q716" s="169"/>
      <c r="R716" s="170"/>
      <c r="S716" s="171"/>
      <c r="T716" s="203">
        <f t="shared" si="399"/>
        <v>43647</v>
      </c>
      <c r="U716" s="204">
        <f t="shared" si="400"/>
        <v>43677</v>
      </c>
      <c r="V716" s="207">
        <f t="shared" si="438"/>
        <v>0</v>
      </c>
      <c r="W716" s="206" t="str">
        <f t="shared" si="435"/>
        <v/>
      </c>
      <c r="X716" s="206">
        <f t="shared" si="436"/>
        <v>0</v>
      </c>
      <c r="Y716" s="209">
        <f t="shared" si="437"/>
        <v>0</v>
      </c>
    </row>
    <row r="717" spans="2:25" ht="16.5" hidden="1" thickTop="1" thickBot="1" x14ac:dyDescent="0.3">
      <c r="B717" s="60">
        <f>B713</f>
        <v>7</v>
      </c>
      <c r="C717" s="102">
        <v>47</v>
      </c>
      <c r="D717" s="192" t="str">
        <f t="shared" si="414"/>
        <v>III</v>
      </c>
      <c r="E717" s="162"/>
      <c r="F717" s="163"/>
      <c r="G717" s="163"/>
      <c r="H717" s="164"/>
      <c r="I717" s="164"/>
      <c r="J717" s="162"/>
      <c r="K717" s="165"/>
      <c r="L717" s="164"/>
      <c r="M717" s="164"/>
      <c r="N717" s="166"/>
      <c r="O717" s="167"/>
      <c r="P717" s="168"/>
      <c r="Q717" s="169"/>
      <c r="R717" s="170"/>
      <c r="S717" s="171"/>
      <c r="T717" s="203">
        <f t="shared" ref="T717:T780" si="439">$F$4</f>
        <v>43647</v>
      </c>
      <c r="U717" s="204">
        <f t="shared" ref="U717:U780" si="440">$G$4</f>
        <v>43677</v>
      </c>
      <c r="V717" s="207">
        <f t="shared" si="438"/>
        <v>0</v>
      </c>
      <c r="W717" s="206" t="str">
        <f t="shared" si="435"/>
        <v/>
      </c>
      <c r="X717" s="206">
        <f t="shared" si="436"/>
        <v>0</v>
      </c>
      <c r="Y717" s="209">
        <f t="shared" si="437"/>
        <v>0</v>
      </c>
    </row>
    <row r="718" spans="2:25" ht="16.5" hidden="1" thickTop="1" thickBot="1" x14ac:dyDescent="0.3">
      <c r="B718" s="60">
        <f>B713</f>
        <v>7</v>
      </c>
      <c r="C718" s="102">
        <v>48</v>
      </c>
      <c r="D718" s="192" t="str">
        <f t="shared" si="414"/>
        <v>III</v>
      </c>
      <c r="E718" s="172"/>
      <c r="F718" s="173"/>
      <c r="G718" s="173"/>
      <c r="H718" s="174"/>
      <c r="I718" s="174"/>
      <c r="J718" s="172"/>
      <c r="K718" s="175"/>
      <c r="L718" s="174"/>
      <c r="M718" s="174"/>
      <c r="N718" s="176"/>
      <c r="O718" s="177"/>
      <c r="P718" s="178"/>
      <c r="Q718" s="179"/>
      <c r="R718" s="180"/>
      <c r="S718" s="181"/>
      <c r="T718" s="203">
        <f t="shared" si="439"/>
        <v>43647</v>
      </c>
      <c r="U718" s="204">
        <f t="shared" si="440"/>
        <v>43677</v>
      </c>
      <c r="V718" s="207">
        <f t="shared" si="438"/>
        <v>0</v>
      </c>
      <c r="W718" s="206" t="str">
        <f t="shared" si="435"/>
        <v/>
      </c>
      <c r="X718" s="206">
        <f t="shared" si="436"/>
        <v>0</v>
      </c>
      <c r="Y718" s="209">
        <f t="shared" si="437"/>
        <v>0</v>
      </c>
    </row>
    <row r="719" spans="2:25" ht="16.5" hidden="1" thickTop="1" thickBot="1" x14ac:dyDescent="0.3">
      <c r="B719" s="141">
        <f>B713</f>
        <v>7</v>
      </c>
      <c r="C719" s="142">
        <v>49</v>
      </c>
      <c r="D719" s="194" t="str">
        <f t="shared" si="414"/>
        <v>III</v>
      </c>
      <c r="E719" s="189"/>
      <c r="F719" s="190"/>
      <c r="G719" s="190"/>
      <c r="H719" s="182"/>
      <c r="I719" s="182"/>
      <c r="J719" s="436" t="s">
        <v>181</v>
      </c>
      <c r="K719" s="437"/>
      <c r="L719" s="438"/>
      <c r="M719" s="182"/>
      <c r="N719" s="183"/>
      <c r="O719" s="184"/>
      <c r="P719" s="185"/>
      <c r="Q719" s="186"/>
      <c r="R719" s="187"/>
      <c r="S719" s="188"/>
      <c r="T719" s="213">
        <f t="shared" si="439"/>
        <v>43647</v>
      </c>
      <c r="U719" s="214">
        <f t="shared" si="440"/>
        <v>43677</v>
      </c>
      <c r="V719" s="210">
        <f t="shared" si="438"/>
        <v>0</v>
      </c>
      <c r="W719" s="211"/>
      <c r="X719" s="211">
        <f>IF(AND($V719&gt;0,$I719=1),IF($E719=10,P719/10,P719/$V719),0)</f>
        <v>0</v>
      </c>
      <c r="Y719" s="212">
        <f>IF(AND($V713&gt;0,$I719&lt;&gt;1),Q719/E713*V713,0)</f>
        <v>0</v>
      </c>
    </row>
    <row r="720" spans="2:25" ht="16.5" hidden="1" thickTop="1" thickBot="1" x14ac:dyDescent="0.3">
      <c r="B720" s="129">
        <f>B718+1</f>
        <v>8</v>
      </c>
      <c r="C720" s="130">
        <v>50</v>
      </c>
      <c r="D720" s="196" t="str">
        <f t="shared" si="414"/>
        <v>III</v>
      </c>
      <c r="E720" s="131"/>
      <c r="F720" s="132"/>
      <c r="G720" s="132"/>
      <c r="H720" s="133"/>
      <c r="I720" s="133"/>
      <c r="J720" s="131"/>
      <c r="K720" s="134"/>
      <c r="L720" s="133"/>
      <c r="M720" s="133"/>
      <c r="N720" s="135"/>
      <c r="O720" s="136"/>
      <c r="P720" s="137"/>
      <c r="Q720" s="138"/>
      <c r="R720" s="139"/>
      <c r="S720" s="140"/>
      <c r="T720" s="203">
        <f t="shared" si="439"/>
        <v>43647</v>
      </c>
      <c r="U720" s="204">
        <f t="shared" si="440"/>
        <v>43677</v>
      </c>
      <c r="V720" s="207">
        <f>IF(G720-F720+1-IF(G720-U720&gt;0,G720-U720,0)-IF(T720-F720&gt;0,T720-F720,0)&gt;0,G720-F720+1-IF(G720-U720&gt;0,G720-U720,0)-IF(T720-F720&gt;0,T720-F720,0),0)</f>
        <v>0</v>
      </c>
      <c r="W720" s="206" t="str">
        <f t="shared" ref="W720:W725" si="441">IF(V720&gt;0,H720,"")</f>
        <v/>
      </c>
      <c r="X720" s="206">
        <f t="shared" ref="X720:X725" si="442">IF(AND($V720&gt;0,$I720=1),P720/$E720*$V720,0)</f>
        <v>0</v>
      </c>
      <c r="Y720" s="209">
        <f t="shared" ref="Y720:Y725" si="443">IF(AND($V720&gt;0,$I720&lt;&gt;1),Q720/$E720*$V720,0)</f>
        <v>0</v>
      </c>
    </row>
    <row r="721" spans="2:25" ht="16.5" hidden="1" thickTop="1" thickBot="1" x14ac:dyDescent="0.3">
      <c r="B721" s="60">
        <f>B720</f>
        <v>8</v>
      </c>
      <c r="C721" s="102">
        <v>51</v>
      </c>
      <c r="D721" s="192" t="str">
        <f t="shared" si="414"/>
        <v>III</v>
      </c>
      <c r="E721" s="62"/>
      <c r="F721" s="105"/>
      <c r="G721" s="105"/>
      <c r="H721" s="61"/>
      <c r="I721" s="61"/>
      <c r="J721" s="62"/>
      <c r="K721" s="63"/>
      <c r="L721" s="61"/>
      <c r="M721" s="61"/>
      <c r="N721" s="111"/>
      <c r="O721" s="112"/>
      <c r="P721" s="113"/>
      <c r="Q721" s="114"/>
      <c r="R721" s="64"/>
      <c r="S721" s="108"/>
      <c r="T721" s="203">
        <f t="shared" si="439"/>
        <v>43647</v>
      </c>
      <c r="U721" s="204">
        <f t="shared" si="440"/>
        <v>43677</v>
      </c>
      <c r="V721" s="207">
        <f t="shared" ref="V721:V726" si="444">IF(G721-F721+1-IF(G721-U721&gt;0,G721-U721,0)-IF(T721-F721&gt;0,T721-F721,0)&gt;0,G721-F721+1-IF(G721-U721&gt;0,G721-U721,0)-IF(T721-F721&gt;0,T721-F721,0),0)</f>
        <v>0</v>
      </c>
      <c r="W721" s="206" t="str">
        <f t="shared" si="441"/>
        <v/>
      </c>
      <c r="X721" s="206">
        <f t="shared" si="442"/>
        <v>0</v>
      </c>
      <c r="Y721" s="209">
        <f t="shared" si="443"/>
        <v>0</v>
      </c>
    </row>
    <row r="722" spans="2:25" ht="16.5" hidden="1" thickTop="1" thickBot="1" x14ac:dyDescent="0.3">
      <c r="B722" s="60">
        <f>B720</f>
        <v>8</v>
      </c>
      <c r="C722" s="102">
        <v>52</v>
      </c>
      <c r="D722" s="192" t="str">
        <f t="shared" si="414"/>
        <v>III</v>
      </c>
      <c r="E722" s="62"/>
      <c r="F722" s="105"/>
      <c r="G722" s="105"/>
      <c r="H722" s="61"/>
      <c r="I722" s="61"/>
      <c r="J722" s="62"/>
      <c r="K722" s="63"/>
      <c r="L722" s="61"/>
      <c r="M722" s="61"/>
      <c r="N722" s="111"/>
      <c r="O722" s="112"/>
      <c r="P722" s="113"/>
      <c r="Q722" s="114"/>
      <c r="R722" s="64"/>
      <c r="S722" s="108"/>
      <c r="T722" s="203">
        <f t="shared" si="439"/>
        <v>43647</v>
      </c>
      <c r="U722" s="204">
        <f t="shared" si="440"/>
        <v>43677</v>
      </c>
      <c r="V722" s="207">
        <f t="shared" si="444"/>
        <v>0</v>
      </c>
      <c r="W722" s="206" t="str">
        <f t="shared" si="441"/>
        <v/>
      </c>
      <c r="X722" s="206">
        <f t="shared" si="442"/>
        <v>0</v>
      </c>
      <c r="Y722" s="209">
        <f t="shared" si="443"/>
        <v>0</v>
      </c>
    </row>
    <row r="723" spans="2:25" ht="16.5" hidden="1" thickTop="1" thickBot="1" x14ac:dyDescent="0.3">
      <c r="B723" s="60">
        <f>B720</f>
        <v>8</v>
      </c>
      <c r="C723" s="102">
        <v>53</v>
      </c>
      <c r="D723" s="192" t="str">
        <f t="shared" si="414"/>
        <v>III</v>
      </c>
      <c r="E723" s="62"/>
      <c r="F723" s="105"/>
      <c r="G723" s="105"/>
      <c r="H723" s="61"/>
      <c r="I723" s="61"/>
      <c r="J723" s="62"/>
      <c r="K723" s="63"/>
      <c r="L723" s="61"/>
      <c r="M723" s="61"/>
      <c r="N723" s="111"/>
      <c r="O723" s="112"/>
      <c r="P723" s="113"/>
      <c r="Q723" s="114"/>
      <c r="R723" s="64"/>
      <c r="S723" s="108"/>
      <c r="T723" s="203">
        <f t="shared" si="439"/>
        <v>43647</v>
      </c>
      <c r="U723" s="204">
        <f t="shared" si="440"/>
        <v>43677</v>
      </c>
      <c r="V723" s="207">
        <f t="shared" si="444"/>
        <v>0</v>
      </c>
      <c r="W723" s="206" t="str">
        <f t="shared" si="441"/>
        <v/>
      </c>
      <c r="X723" s="206">
        <f t="shared" si="442"/>
        <v>0</v>
      </c>
      <c r="Y723" s="209">
        <f t="shared" si="443"/>
        <v>0</v>
      </c>
    </row>
    <row r="724" spans="2:25" ht="16.5" hidden="1" thickTop="1" thickBot="1" x14ac:dyDescent="0.3">
      <c r="B724" s="60">
        <f>B720</f>
        <v>8</v>
      </c>
      <c r="C724" s="102">
        <v>54</v>
      </c>
      <c r="D724" s="192" t="str">
        <f t="shared" si="414"/>
        <v>III</v>
      </c>
      <c r="E724" s="62"/>
      <c r="F724" s="105"/>
      <c r="G724" s="105"/>
      <c r="H724" s="61"/>
      <c r="I724" s="61"/>
      <c r="J724" s="62"/>
      <c r="K724" s="63"/>
      <c r="L724" s="61"/>
      <c r="M724" s="61"/>
      <c r="N724" s="111"/>
      <c r="O724" s="112"/>
      <c r="P724" s="113"/>
      <c r="Q724" s="114"/>
      <c r="R724" s="64"/>
      <c r="S724" s="108"/>
      <c r="T724" s="203">
        <f t="shared" si="439"/>
        <v>43647</v>
      </c>
      <c r="U724" s="204">
        <f t="shared" si="440"/>
        <v>43677</v>
      </c>
      <c r="V724" s="207">
        <f t="shared" si="444"/>
        <v>0</v>
      </c>
      <c r="W724" s="206" t="str">
        <f t="shared" si="441"/>
        <v/>
      </c>
      <c r="X724" s="206">
        <f t="shared" si="442"/>
        <v>0</v>
      </c>
      <c r="Y724" s="209">
        <f t="shared" si="443"/>
        <v>0</v>
      </c>
    </row>
    <row r="725" spans="2:25" ht="16.5" hidden="1" thickTop="1" thickBot="1" x14ac:dyDescent="0.3">
      <c r="B725" s="60">
        <f>B720</f>
        <v>8</v>
      </c>
      <c r="C725" s="102">
        <v>55</v>
      </c>
      <c r="D725" s="192" t="str">
        <f t="shared" si="414"/>
        <v>III</v>
      </c>
      <c r="E725" s="62"/>
      <c r="F725" s="105"/>
      <c r="G725" s="105"/>
      <c r="H725" s="61"/>
      <c r="I725" s="61"/>
      <c r="J725" s="62"/>
      <c r="K725" s="63"/>
      <c r="L725" s="61"/>
      <c r="M725" s="61"/>
      <c r="N725" s="111"/>
      <c r="O725" s="112"/>
      <c r="P725" s="113"/>
      <c r="Q725" s="114"/>
      <c r="R725" s="64"/>
      <c r="S725" s="108"/>
      <c r="T725" s="203">
        <f t="shared" si="439"/>
        <v>43647</v>
      </c>
      <c r="U725" s="204">
        <f t="shared" si="440"/>
        <v>43677</v>
      </c>
      <c r="V725" s="207">
        <f t="shared" si="444"/>
        <v>0</v>
      </c>
      <c r="W725" s="206" t="str">
        <f t="shared" si="441"/>
        <v/>
      </c>
      <c r="X725" s="206">
        <f t="shared" si="442"/>
        <v>0</v>
      </c>
      <c r="Y725" s="209">
        <f t="shared" si="443"/>
        <v>0</v>
      </c>
    </row>
    <row r="726" spans="2:25" ht="16.5" hidden="1" thickTop="1" thickBot="1" x14ac:dyDescent="0.3">
      <c r="B726" s="141">
        <f>B720</f>
        <v>8</v>
      </c>
      <c r="C726" s="142">
        <v>56</v>
      </c>
      <c r="D726" s="194" t="str">
        <f t="shared" si="414"/>
        <v>III</v>
      </c>
      <c r="E726" s="143"/>
      <c r="F726" s="144"/>
      <c r="G726" s="144"/>
      <c r="H726" s="145"/>
      <c r="I726" s="145"/>
      <c r="J726" s="436" t="s">
        <v>181</v>
      </c>
      <c r="K726" s="437"/>
      <c r="L726" s="438"/>
      <c r="M726" s="145"/>
      <c r="N726" s="146"/>
      <c r="O726" s="147"/>
      <c r="P726" s="148"/>
      <c r="Q726" s="149"/>
      <c r="R726" s="150"/>
      <c r="S726" s="151"/>
      <c r="T726" s="213">
        <f t="shared" si="439"/>
        <v>43647</v>
      </c>
      <c r="U726" s="214">
        <f t="shared" si="440"/>
        <v>43677</v>
      </c>
      <c r="V726" s="210">
        <f t="shared" si="444"/>
        <v>0</v>
      </c>
      <c r="W726" s="211"/>
      <c r="X726" s="211">
        <f>IF(AND($V726&gt;0,$I726=1),IF($E726=10,P726/10,P726/$V726),0)</f>
        <v>0</v>
      </c>
      <c r="Y726" s="212">
        <f>IF(AND($V720&gt;0,$I726&lt;&gt;1),Q726/E720*V720,0)</f>
        <v>0</v>
      </c>
    </row>
    <row r="727" spans="2:25" ht="16.5" hidden="1" thickTop="1" thickBot="1" x14ac:dyDescent="0.3">
      <c r="B727" s="129">
        <f>B725+1</f>
        <v>9</v>
      </c>
      <c r="C727" s="130">
        <v>57</v>
      </c>
      <c r="D727" s="196" t="str">
        <f t="shared" si="414"/>
        <v>III</v>
      </c>
      <c r="E727" s="152"/>
      <c r="F727" s="153"/>
      <c r="G727" s="153"/>
      <c r="H727" s="154"/>
      <c r="I727" s="154"/>
      <c r="J727" s="152"/>
      <c r="K727" s="155"/>
      <c r="L727" s="154"/>
      <c r="M727" s="154"/>
      <c r="N727" s="156"/>
      <c r="O727" s="157"/>
      <c r="P727" s="158"/>
      <c r="Q727" s="159"/>
      <c r="R727" s="160"/>
      <c r="S727" s="161"/>
      <c r="T727" s="203">
        <f t="shared" si="439"/>
        <v>43647</v>
      </c>
      <c r="U727" s="204">
        <f t="shared" si="440"/>
        <v>43677</v>
      </c>
      <c r="V727" s="207">
        <f>IF(G727-F727+1-IF(G727-U727&gt;0,G727-U727,0)-IF(T727-F727&gt;0,T727-F727,0)&gt;0,G727-F727+1-IF(G727-U727&gt;0,G727-U727,0)-IF(T727-F727&gt;0,T727-F727,0),0)</f>
        <v>0</v>
      </c>
      <c r="W727" s="206" t="str">
        <f t="shared" ref="W727:W732" si="445">IF(V727&gt;0,H727,"")</f>
        <v/>
      </c>
      <c r="X727" s="206">
        <f t="shared" ref="X727:X732" si="446">IF(AND($V727&gt;0,$I727=1),P727/$E727*$V727,0)</f>
        <v>0</v>
      </c>
      <c r="Y727" s="209">
        <f t="shared" ref="Y727:Y732" si="447">IF(AND($V727&gt;0,$I727&lt;&gt;1),Q727/$E727*$V727,0)</f>
        <v>0</v>
      </c>
    </row>
    <row r="728" spans="2:25" ht="16.5" hidden="1" thickTop="1" thickBot="1" x14ac:dyDescent="0.3">
      <c r="B728" s="60">
        <f>B727</f>
        <v>9</v>
      </c>
      <c r="C728" s="102">
        <v>58</v>
      </c>
      <c r="D728" s="192" t="str">
        <f t="shared" si="414"/>
        <v>III</v>
      </c>
      <c r="E728" s="162"/>
      <c r="F728" s="163"/>
      <c r="G728" s="163"/>
      <c r="H728" s="164"/>
      <c r="I728" s="164"/>
      <c r="J728" s="162"/>
      <c r="K728" s="165"/>
      <c r="L728" s="164"/>
      <c r="M728" s="164"/>
      <c r="N728" s="166"/>
      <c r="O728" s="167"/>
      <c r="P728" s="168"/>
      <c r="Q728" s="169"/>
      <c r="R728" s="170"/>
      <c r="S728" s="171"/>
      <c r="T728" s="203">
        <f t="shared" si="439"/>
        <v>43647</v>
      </c>
      <c r="U728" s="204">
        <f t="shared" si="440"/>
        <v>43677</v>
      </c>
      <c r="V728" s="207">
        <f t="shared" ref="V728:V733" si="448">IF(G728-F728+1-IF(G728-U728&gt;0,G728-U728,0)-IF(T728-F728&gt;0,T728-F728,0)&gt;0,G728-F728+1-IF(G728-U728&gt;0,G728-U728,0)-IF(T728-F728&gt;0,T728-F728,0),0)</f>
        <v>0</v>
      </c>
      <c r="W728" s="206" t="str">
        <f t="shared" si="445"/>
        <v/>
      </c>
      <c r="X728" s="206">
        <f t="shared" si="446"/>
        <v>0</v>
      </c>
      <c r="Y728" s="209">
        <f t="shared" si="447"/>
        <v>0</v>
      </c>
    </row>
    <row r="729" spans="2:25" ht="16.5" hidden="1" thickTop="1" thickBot="1" x14ac:dyDescent="0.3">
      <c r="B729" s="60">
        <f>B727</f>
        <v>9</v>
      </c>
      <c r="C729" s="102">
        <v>59</v>
      </c>
      <c r="D729" s="192" t="str">
        <f t="shared" si="414"/>
        <v>III</v>
      </c>
      <c r="E729" s="162"/>
      <c r="F729" s="163"/>
      <c r="G729" s="163"/>
      <c r="H729" s="164"/>
      <c r="I729" s="164"/>
      <c r="J729" s="162"/>
      <c r="K729" s="165"/>
      <c r="L729" s="164"/>
      <c r="M729" s="164"/>
      <c r="N729" s="166"/>
      <c r="O729" s="167"/>
      <c r="P729" s="168"/>
      <c r="Q729" s="169"/>
      <c r="R729" s="170"/>
      <c r="S729" s="171"/>
      <c r="T729" s="203">
        <f t="shared" si="439"/>
        <v>43647</v>
      </c>
      <c r="U729" s="204">
        <f t="shared" si="440"/>
        <v>43677</v>
      </c>
      <c r="V729" s="207">
        <f t="shared" si="448"/>
        <v>0</v>
      </c>
      <c r="W729" s="206" t="str">
        <f t="shared" si="445"/>
        <v/>
      </c>
      <c r="X729" s="206">
        <f t="shared" si="446"/>
        <v>0</v>
      </c>
      <c r="Y729" s="209">
        <f t="shared" si="447"/>
        <v>0</v>
      </c>
    </row>
    <row r="730" spans="2:25" ht="16.5" hidden="1" thickTop="1" thickBot="1" x14ac:dyDescent="0.3">
      <c r="B730" s="60">
        <f>B727</f>
        <v>9</v>
      </c>
      <c r="C730" s="102">
        <v>60</v>
      </c>
      <c r="D730" s="192" t="str">
        <f t="shared" si="414"/>
        <v>III</v>
      </c>
      <c r="E730" s="162"/>
      <c r="F730" s="163"/>
      <c r="G730" s="163"/>
      <c r="H730" s="164"/>
      <c r="I730" s="164"/>
      <c r="J730" s="162"/>
      <c r="K730" s="165"/>
      <c r="L730" s="164"/>
      <c r="M730" s="164"/>
      <c r="N730" s="166"/>
      <c r="O730" s="167"/>
      <c r="P730" s="168"/>
      <c r="Q730" s="169"/>
      <c r="R730" s="170"/>
      <c r="S730" s="171"/>
      <c r="T730" s="203">
        <f t="shared" si="439"/>
        <v>43647</v>
      </c>
      <c r="U730" s="204">
        <f t="shared" si="440"/>
        <v>43677</v>
      </c>
      <c r="V730" s="207">
        <f t="shared" si="448"/>
        <v>0</v>
      </c>
      <c r="W730" s="206" t="str">
        <f t="shared" si="445"/>
        <v/>
      </c>
      <c r="X730" s="206">
        <f t="shared" si="446"/>
        <v>0</v>
      </c>
      <c r="Y730" s="209">
        <f t="shared" si="447"/>
        <v>0</v>
      </c>
    </row>
    <row r="731" spans="2:25" ht="16.5" hidden="1" thickTop="1" thickBot="1" x14ac:dyDescent="0.3">
      <c r="B731" s="60">
        <f>B727</f>
        <v>9</v>
      </c>
      <c r="C731" s="102">
        <v>61</v>
      </c>
      <c r="D731" s="192" t="str">
        <f t="shared" si="414"/>
        <v>III</v>
      </c>
      <c r="E731" s="162"/>
      <c r="F731" s="163"/>
      <c r="G731" s="163"/>
      <c r="H731" s="164"/>
      <c r="I731" s="164"/>
      <c r="J731" s="162"/>
      <c r="K731" s="165"/>
      <c r="L731" s="164"/>
      <c r="M731" s="164"/>
      <c r="N731" s="166"/>
      <c r="O731" s="167"/>
      <c r="P731" s="168"/>
      <c r="Q731" s="169"/>
      <c r="R731" s="170"/>
      <c r="S731" s="171"/>
      <c r="T731" s="203">
        <f t="shared" si="439"/>
        <v>43647</v>
      </c>
      <c r="U731" s="204">
        <f t="shared" si="440"/>
        <v>43677</v>
      </c>
      <c r="V731" s="207">
        <f t="shared" si="448"/>
        <v>0</v>
      </c>
      <c r="W731" s="206" t="str">
        <f t="shared" si="445"/>
        <v/>
      </c>
      <c r="X731" s="206">
        <f t="shared" si="446"/>
        <v>0</v>
      </c>
      <c r="Y731" s="209">
        <f t="shared" si="447"/>
        <v>0</v>
      </c>
    </row>
    <row r="732" spans="2:25" ht="16.5" hidden="1" thickTop="1" thickBot="1" x14ac:dyDescent="0.3">
      <c r="B732" s="60">
        <f>B727</f>
        <v>9</v>
      </c>
      <c r="C732" s="102">
        <v>62</v>
      </c>
      <c r="D732" s="192" t="str">
        <f t="shared" si="414"/>
        <v>III</v>
      </c>
      <c r="E732" s="172"/>
      <c r="F732" s="173"/>
      <c r="G732" s="173"/>
      <c r="H732" s="174"/>
      <c r="I732" s="174"/>
      <c r="J732" s="172"/>
      <c r="K732" s="175"/>
      <c r="L732" s="174"/>
      <c r="M732" s="174"/>
      <c r="N732" s="176"/>
      <c r="O732" s="177"/>
      <c r="P732" s="178"/>
      <c r="Q732" s="179"/>
      <c r="R732" s="180"/>
      <c r="S732" s="181"/>
      <c r="T732" s="203">
        <f t="shared" si="439"/>
        <v>43647</v>
      </c>
      <c r="U732" s="204">
        <f t="shared" si="440"/>
        <v>43677</v>
      </c>
      <c r="V732" s="207">
        <f t="shared" si="448"/>
        <v>0</v>
      </c>
      <c r="W732" s="206" t="str">
        <f t="shared" si="445"/>
        <v/>
      </c>
      <c r="X732" s="206">
        <f t="shared" si="446"/>
        <v>0</v>
      </c>
      <c r="Y732" s="209">
        <f t="shared" si="447"/>
        <v>0</v>
      </c>
    </row>
    <row r="733" spans="2:25" ht="16.5" hidden="1" thickTop="1" thickBot="1" x14ac:dyDescent="0.3">
      <c r="B733" s="141">
        <f>B727</f>
        <v>9</v>
      </c>
      <c r="C733" s="142">
        <v>63</v>
      </c>
      <c r="D733" s="194" t="str">
        <f t="shared" si="414"/>
        <v>III</v>
      </c>
      <c r="E733" s="189"/>
      <c r="F733" s="190"/>
      <c r="G733" s="190"/>
      <c r="H733" s="182"/>
      <c r="I733" s="182"/>
      <c r="J733" s="436" t="s">
        <v>181</v>
      </c>
      <c r="K733" s="437"/>
      <c r="L733" s="438"/>
      <c r="M733" s="182"/>
      <c r="N733" s="183"/>
      <c r="O733" s="184"/>
      <c r="P733" s="185"/>
      <c r="Q733" s="186"/>
      <c r="R733" s="187"/>
      <c r="S733" s="188"/>
      <c r="T733" s="213">
        <f t="shared" si="439"/>
        <v>43647</v>
      </c>
      <c r="U733" s="214">
        <f t="shared" si="440"/>
        <v>43677</v>
      </c>
      <c r="V733" s="210">
        <f t="shared" si="448"/>
        <v>0</v>
      </c>
      <c r="W733" s="211"/>
      <c r="X733" s="211">
        <f>IF(AND($V733&gt;0,$I733=1),IF($E733=10,P733/10,P733/$V733),0)</f>
        <v>0</v>
      </c>
      <c r="Y733" s="212">
        <f>IF(AND($V727&gt;0,$I733&lt;&gt;1),Q733/E727*V727,0)</f>
        <v>0</v>
      </c>
    </row>
    <row r="734" spans="2:25" ht="16.5" hidden="1" thickTop="1" thickBot="1" x14ac:dyDescent="0.3">
      <c r="B734" s="129">
        <f>B732+1</f>
        <v>10</v>
      </c>
      <c r="C734" s="130">
        <v>64</v>
      </c>
      <c r="D734" s="196" t="str">
        <f t="shared" si="414"/>
        <v>III</v>
      </c>
      <c r="E734" s="131"/>
      <c r="F734" s="132"/>
      <c r="G734" s="132"/>
      <c r="H734" s="133"/>
      <c r="I734" s="133"/>
      <c r="J734" s="131"/>
      <c r="K734" s="134"/>
      <c r="L734" s="133"/>
      <c r="M734" s="133"/>
      <c r="N734" s="135"/>
      <c r="O734" s="136"/>
      <c r="P734" s="137"/>
      <c r="Q734" s="138"/>
      <c r="R734" s="139"/>
      <c r="S734" s="140"/>
      <c r="T734" s="203">
        <f t="shared" si="439"/>
        <v>43647</v>
      </c>
      <c r="U734" s="204">
        <f t="shared" si="440"/>
        <v>43677</v>
      </c>
      <c r="V734" s="207">
        <f>IF(G734-F734+1-IF(G734-U734&gt;0,G734-U734,0)-IF(T734-F734&gt;0,T734-F734,0)&gt;0,G734-F734+1-IF(G734-U734&gt;0,G734-U734,0)-IF(T734-F734&gt;0,T734-F734,0),0)</f>
        <v>0</v>
      </c>
      <c r="W734" s="206" t="str">
        <f t="shared" ref="W734:W739" si="449">IF(V734&gt;0,H734,"")</f>
        <v/>
      </c>
      <c r="X734" s="206">
        <f t="shared" ref="X734:X739" si="450">IF(AND($V734&gt;0,$I734=1),P734/$E734*$V734,0)</f>
        <v>0</v>
      </c>
      <c r="Y734" s="209">
        <f t="shared" ref="Y734:Y739" si="451">IF(AND($V734&gt;0,$I734&lt;&gt;1),Q734/$E734*$V734,0)</f>
        <v>0</v>
      </c>
    </row>
    <row r="735" spans="2:25" ht="16.5" hidden="1" thickTop="1" thickBot="1" x14ac:dyDescent="0.3">
      <c r="B735" s="60">
        <f>B734</f>
        <v>10</v>
      </c>
      <c r="C735" s="102">
        <v>65</v>
      </c>
      <c r="D735" s="192" t="str">
        <f t="shared" si="414"/>
        <v>III</v>
      </c>
      <c r="E735" s="62"/>
      <c r="F735" s="105"/>
      <c r="G735" s="105"/>
      <c r="H735" s="61"/>
      <c r="I735" s="61"/>
      <c r="J735" s="62"/>
      <c r="K735" s="63"/>
      <c r="L735" s="61"/>
      <c r="M735" s="61"/>
      <c r="N735" s="111"/>
      <c r="O735" s="112"/>
      <c r="P735" s="113"/>
      <c r="Q735" s="114"/>
      <c r="R735" s="64"/>
      <c r="S735" s="108"/>
      <c r="T735" s="203">
        <f t="shared" si="439"/>
        <v>43647</v>
      </c>
      <c r="U735" s="204">
        <f t="shared" si="440"/>
        <v>43677</v>
      </c>
      <c r="V735" s="207">
        <f t="shared" ref="V735:V740" si="452">IF(G735-F735+1-IF(G735-U735&gt;0,G735-U735,0)-IF(T735-F735&gt;0,T735-F735,0)&gt;0,G735-F735+1-IF(G735-U735&gt;0,G735-U735,0)-IF(T735-F735&gt;0,T735-F735,0),0)</f>
        <v>0</v>
      </c>
      <c r="W735" s="206" t="str">
        <f t="shared" si="449"/>
        <v/>
      </c>
      <c r="X735" s="206">
        <f t="shared" si="450"/>
        <v>0</v>
      </c>
      <c r="Y735" s="209">
        <f t="shared" si="451"/>
        <v>0</v>
      </c>
    </row>
    <row r="736" spans="2:25" ht="16.5" hidden="1" thickTop="1" thickBot="1" x14ac:dyDescent="0.3">
      <c r="B736" s="60">
        <f>B734</f>
        <v>10</v>
      </c>
      <c r="C736" s="102">
        <v>66</v>
      </c>
      <c r="D736" s="192" t="str">
        <f t="shared" si="414"/>
        <v>III</v>
      </c>
      <c r="E736" s="62"/>
      <c r="F736" s="105"/>
      <c r="G736" s="105"/>
      <c r="H736" s="61"/>
      <c r="I736" s="61"/>
      <c r="J736" s="62"/>
      <c r="K736" s="63"/>
      <c r="L736" s="61"/>
      <c r="M736" s="61"/>
      <c r="N736" s="111"/>
      <c r="O736" s="112"/>
      <c r="P736" s="113"/>
      <c r="Q736" s="114"/>
      <c r="R736" s="64"/>
      <c r="S736" s="108"/>
      <c r="T736" s="203">
        <f t="shared" si="439"/>
        <v>43647</v>
      </c>
      <c r="U736" s="204">
        <f t="shared" si="440"/>
        <v>43677</v>
      </c>
      <c r="V736" s="207">
        <f t="shared" si="452"/>
        <v>0</v>
      </c>
      <c r="W736" s="206" t="str">
        <f t="shared" si="449"/>
        <v/>
      </c>
      <c r="X736" s="206">
        <f t="shared" si="450"/>
        <v>0</v>
      </c>
      <c r="Y736" s="209">
        <f t="shared" si="451"/>
        <v>0</v>
      </c>
    </row>
    <row r="737" spans="2:25" ht="16.5" hidden="1" thickTop="1" thickBot="1" x14ac:dyDescent="0.3">
      <c r="B737" s="60">
        <f>B734</f>
        <v>10</v>
      </c>
      <c r="C737" s="102">
        <v>67</v>
      </c>
      <c r="D737" s="192" t="str">
        <f t="shared" ref="D737:D800" si="453">D736</f>
        <v>III</v>
      </c>
      <c r="E737" s="62"/>
      <c r="F737" s="105"/>
      <c r="G737" s="105"/>
      <c r="H737" s="61"/>
      <c r="I737" s="61"/>
      <c r="J737" s="62"/>
      <c r="K737" s="63"/>
      <c r="L737" s="61"/>
      <c r="M737" s="61"/>
      <c r="N737" s="111"/>
      <c r="O737" s="112"/>
      <c r="P737" s="113"/>
      <c r="Q737" s="114"/>
      <c r="R737" s="64"/>
      <c r="S737" s="108"/>
      <c r="T737" s="203">
        <f t="shared" si="439"/>
        <v>43647</v>
      </c>
      <c r="U737" s="204">
        <f t="shared" si="440"/>
        <v>43677</v>
      </c>
      <c r="V737" s="207">
        <f t="shared" si="452"/>
        <v>0</v>
      </c>
      <c r="W737" s="206" t="str">
        <f t="shared" si="449"/>
        <v/>
      </c>
      <c r="X737" s="206">
        <f t="shared" si="450"/>
        <v>0</v>
      </c>
      <c r="Y737" s="209">
        <f t="shared" si="451"/>
        <v>0</v>
      </c>
    </row>
    <row r="738" spans="2:25" ht="16.5" hidden="1" thickTop="1" thickBot="1" x14ac:dyDescent="0.3">
      <c r="B738" s="60">
        <f>B734</f>
        <v>10</v>
      </c>
      <c r="C738" s="102">
        <v>68</v>
      </c>
      <c r="D738" s="192" t="str">
        <f t="shared" si="453"/>
        <v>III</v>
      </c>
      <c r="E738" s="62"/>
      <c r="F738" s="105"/>
      <c r="G738" s="105"/>
      <c r="H738" s="61"/>
      <c r="I738" s="61"/>
      <c r="J738" s="62"/>
      <c r="K738" s="63"/>
      <c r="L738" s="61"/>
      <c r="M738" s="61"/>
      <c r="N738" s="111"/>
      <c r="O738" s="112"/>
      <c r="P738" s="113"/>
      <c r="Q738" s="114"/>
      <c r="R738" s="64"/>
      <c r="S738" s="108"/>
      <c r="T738" s="203">
        <f t="shared" si="439"/>
        <v>43647</v>
      </c>
      <c r="U738" s="204">
        <f t="shared" si="440"/>
        <v>43677</v>
      </c>
      <c r="V738" s="207">
        <f t="shared" si="452"/>
        <v>0</v>
      </c>
      <c r="W738" s="206" t="str">
        <f t="shared" si="449"/>
        <v/>
      </c>
      <c r="X738" s="206">
        <f t="shared" si="450"/>
        <v>0</v>
      </c>
      <c r="Y738" s="209">
        <f t="shared" si="451"/>
        <v>0</v>
      </c>
    </row>
    <row r="739" spans="2:25" ht="16.5" hidden="1" thickTop="1" thickBot="1" x14ac:dyDescent="0.3">
      <c r="B739" s="60">
        <f>B734</f>
        <v>10</v>
      </c>
      <c r="C739" s="102">
        <v>69</v>
      </c>
      <c r="D739" s="192" t="str">
        <f t="shared" si="453"/>
        <v>III</v>
      </c>
      <c r="E739" s="62"/>
      <c r="F739" s="105"/>
      <c r="G739" s="105"/>
      <c r="H739" s="61"/>
      <c r="I739" s="61"/>
      <c r="J739" s="62"/>
      <c r="K739" s="63"/>
      <c r="L739" s="61"/>
      <c r="M739" s="61"/>
      <c r="N739" s="111"/>
      <c r="O739" s="112"/>
      <c r="P739" s="113"/>
      <c r="Q739" s="114"/>
      <c r="R739" s="64"/>
      <c r="S739" s="108"/>
      <c r="T739" s="203">
        <f t="shared" si="439"/>
        <v>43647</v>
      </c>
      <c r="U739" s="204">
        <f t="shared" si="440"/>
        <v>43677</v>
      </c>
      <c r="V739" s="207">
        <f t="shared" si="452"/>
        <v>0</v>
      </c>
      <c r="W739" s="206" t="str">
        <f t="shared" si="449"/>
        <v/>
      </c>
      <c r="X739" s="206">
        <f t="shared" si="450"/>
        <v>0</v>
      </c>
      <c r="Y739" s="209">
        <f t="shared" si="451"/>
        <v>0</v>
      </c>
    </row>
    <row r="740" spans="2:25" ht="16.5" hidden="1" thickTop="1" thickBot="1" x14ac:dyDescent="0.3">
      <c r="B740" s="141">
        <f>B734</f>
        <v>10</v>
      </c>
      <c r="C740" s="142">
        <v>70</v>
      </c>
      <c r="D740" s="194" t="str">
        <f t="shared" si="453"/>
        <v>III</v>
      </c>
      <c r="E740" s="143"/>
      <c r="F740" s="144"/>
      <c r="G740" s="144"/>
      <c r="H740" s="145"/>
      <c r="I740" s="145"/>
      <c r="J740" s="436" t="s">
        <v>181</v>
      </c>
      <c r="K740" s="437"/>
      <c r="L740" s="438"/>
      <c r="M740" s="145"/>
      <c r="N740" s="146"/>
      <c r="O740" s="147"/>
      <c r="P740" s="148"/>
      <c r="Q740" s="149"/>
      <c r="R740" s="150"/>
      <c r="S740" s="151"/>
      <c r="T740" s="213">
        <f t="shared" si="439"/>
        <v>43647</v>
      </c>
      <c r="U740" s="214">
        <f t="shared" si="440"/>
        <v>43677</v>
      </c>
      <c r="V740" s="210">
        <f t="shared" si="452"/>
        <v>0</v>
      </c>
      <c r="W740" s="211"/>
      <c r="X740" s="211">
        <f>IF(AND($V740&gt;0,$I740=1),IF($E740=10,P740/10,P740/$V740),0)</f>
        <v>0</v>
      </c>
      <c r="Y740" s="212">
        <f>IF(AND($V734&gt;0,$I740&lt;&gt;1),Q740/E734*V734,0)</f>
        <v>0</v>
      </c>
    </row>
    <row r="741" spans="2:25" ht="16.5" hidden="1" thickTop="1" thickBot="1" x14ac:dyDescent="0.3">
      <c r="B741" s="129">
        <f>B739+1</f>
        <v>11</v>
      </c>
      <c r="C741" s="130">
        <v>71</v>
      </c>
      <c r="D741" s="196" t="str">
        <f t="shared" si="453"/>
        <v>III</v>
      </c>
      <c r="E741" s="152"/>
      <c r="F741" s="153"/>
      <c r="G741" s="153"/>
      <c r="H741" s="154"/>
      <c r="I741" s="154"/>
      <c r="J741" s="152"/>
      <c r="K741" s="155"/>
      <c r="L741" s="154"/>
      <c r="M741" s="154"/>
      <c r="N741" s="156"/>
      <c r="O741" s="157"/>
      <c r="P741" s="158"/>
      <c r="Q741" s="159"/>
      <c r="R741" s="160"/>
      <c r="S741" s="161"/>
      <c r="T741" s="203">
        <f t="shared" si="439"/>
        <v>43647</v>
      </c>
      <c r="U741" s="204">
        <f t="shared" si="440"/>
        <v>43677</v>
      </c>
      <c r="V741" s="207">
        <f>IF(G741-F741+1-IF(G741-U741&gt;0,G741-U741,0)-IF(T741-F741&gt;0,T741-F741,0)&gt;0,G741-F741+1-IF(G741-U741&gt;0,G741-U741,0)-IF(T741-F741&gt;0,T741-F741,0),0)</f>
        <v>0</v>
      </c>
      <c r="W741" s="206" t="str">
        <f t="shared" ref="W741:W746" si="454">IF(V741&gt;0,H741,"")</f>
        <v/>
      </c>
      <c r="X741" s="206">
        <f t="shared" ref="X741:X746" si="455">IF(AND($V741&gt;0,$I741=1),P741/$E741*$V741,0)</f>
        <v>0</v>
      </c>
      <c r="Y741" s="209">
        <f t="shared" ref="Y741:Y746" si="456">IF(AND($V741&gt;0,$I741&lt;&gt;1),Q741/$E741*$V741,0)</f>
        <v>0</v>
      </c>
    </row>
    <row r="742" spans="2:25" ht="16.5" hidden="1" thickTop="1" thickBot="1" x14ac:dyDescent="0.3">
      <c r="B742" s="60">
        <f>B741</f>
        <v>11</v>
      </c>
      <c r="C742" s="102">
        <v>72</v>
      </c>
      <c r="D742" s="192" t="str">
        <f t="shared" si="453"/>
        <v>III</v>
      </c>
      <c r="E742" s="162"/>
      <c r="F742" s="163"/>
      <c r="G742" s="163"/>
      <c r="H742" s="164"/>
      <c r="I742" s="164"/>
      <c r="J742" s="162"/>
      <c r="K742" s="165"/>
      <c r="L742" s="164"/>
      <c r="M742" s="164"/>
      <c r="N742" s="166"/>
      <c r="O742" s="167"/>
      <c r="P742" s="168"/>
      <c r="Q742" s="169"/>
      <c r="R742" s="170"/>
      <c r="S742" s="171"/>
      <c r="T742" s="203">
        <f t="shared" si="439"/>
        <v>43647</v>
      </c>
      <c r="U742" s="204">
        <f t="shared" si="440"/>
        <v>43677</v>
      </c>
      <c r="V742" s="207">
        <f t="shared" ref="V742:V747" si="457">IF(G742-F742+1-IF(G742-U742&gt;0,G742-U742,0)-IF(T742-F742&gt;0,T742-F742,0)&gt;0,G742-F742+1-IF(G742-U742&gt;0,G742-U742,0)-IF(T742-F742&gt;0,T742-F742,0),0)</f>
        <v>0</v>
      </c>
      <c r="W742" s="206" t="str">
        <f t="shared" si="454"/>
        <v/>
      </c>
      <c r="X742" s="206">
        <f t="shared" si="455"/>
        <v>0</v>
      </c>
      <c r="Y742" s="209">
        <f t="shared" si="456"/>
        <v>0</v>
      </c>
    </row>
    <row r="743" spans="2:25" ht="16.5" hidden="1" thickTop="1" thickBot="1" x14ac:dyDescent="0.3">
      <c r="B743" s="60">
        <f>B741</f>
        <v>11</v>
      </c>
      <c r="C743" s="102">
        <v>73</v>
      </c>
      <c r="D743" s="192" t="str">
        <f t="shared" si="453"/>
        <v>III</v>
      </c>
      <c r="E743" s="162"/>
      <c r="F743" s="163"/>
      <c r="G743" s="163"/>
      <c r="H743" s="164"/>
      <c r="I743" s="164"/>
      <c r="J743" s="162"/>
      <c r="K743" s="165"/>
      <c r="L743" s="164"/>
      <c r="M743" s="164"/>
      <c r="N743" s="166"/>
      <c r="O743" s="167"/>
      <c r="P743" s="168"/>
      <c r="Q743" s="169"/>
      <c r="R743" s="170"/>
      <c r="S743" s="171"/>
      <c r="T743" s="203">
        <f t="shared" si="439"/>
        <v>43647</v>
      </c>
      <c r="U743" s="204">
        <f t="shared" si="440"/>
        <v>43677</v>
      </c>
      <c r="V743" s="207">
        <f t="shared" si="457"/>
        <v>0</v>
      </c>
      <c r="W743" s="206" t="str">
        <f t="shared" si="454"/>
        <v/>
      </c>
      <c r="X743" s="206">
        <f t="shared" si="455"/>
        <v>0</v>
      </c>
      <c r="Y743" s="209">
        <f t="shared" si="456"/>
        <v>0</v>
      </c>
    </row>
    <row r="744" spans="2:25" ht="16.5" hidden="1" thickTop="1" thickBot="1" x14ac:dyDescent="0.3">
      <c r="B744" s="60">
        <f>B741</f>
        <v>11</v>
      </c>
      <c r="C744" s="102">
        <v>74</v>
      </c>
      <c r="D744" s="192" t="str">
        <f t="shared" si="453"/>
        <v>III</v>
      </c>
      <c r="E744" s="162"/>
      <c r="F744" s="163"/>
      <c r="G744" s="163"/>
      <c r="H744" s="164"/>
      <c r="I744" s="164"/>
      <c r="J744" s="162"/>
      <c r="K744" s="165"/>
      <c r="L744" s="164"/>
      <c r="M744" s="164"/>
      <c r="N744" s="166"/>
      <c r="O744" s="167"/>
      <c r="P744" s="168"/>
      <c r="Q744" s="169"/>
      <c r="R744" s="170"/>
      <c r="S744" s="171"/>
      <c r="T744" s="203">
        <f t="shared" si="439"/>
        <v>43647</v>
      </c>
      <c r="U744" s="204">
        <f t="shared" si="440"/>
        <v>43677</v>
      </c>
      <c r="V744" s="207">
        <f t="shared" si="457"/>
        <v>0</v>
      </c>
      <c r="W744" s="206" t="str">
        <f t="shared" si="454"/>
        <v/>
      </c>
      <c r="X744" s="206">
        <f t="shared" si="455"/>
        <v>0</v>
      </c>
      <c r="Y744" s="209">
        <f t="shared" si="456"/>
        <v>0</v>
      </c>
    </row>
    <row r="745" spans="2:25" ht="16.5" hidden="1" thickTop="1" thickBot="1" x14ac:dyDescent="0.3">
      <c r="B745" s="60">
        <f>B741</f>
        <v>11</v>
      </c>
      <c r="C745" s="102">
        <v>75</v>
      </c>
      <c r="D745" s="192" t="str">
        <f t="shared" si="453"/>
        <v>III</v>
      </c>
      <c r="E745" s="162"/>
      <c r="F745" s="163"/>
      <c r="G745" s="163"/>
      <c r="H745" s="164"/>
      <c r="I745" s="164"/>
      <c r="J745" s="162"/>
      <c r="K745" s="165"/>
      <c r="L745" s="164"/>
      <c r="M745" s="164"/>
      <c r="N745" s="166"/>
      <c r="O745" s="167"/>
      <c r="P745" s="168"/>
      <c r="Q745" s="169"/>
      <c r="R745" s="170"/>
      <c r="S745" s="171"/>
      <c r="T745" s="203">
        <f t="shared" si="439"/>
        <v>43647</v>
      </c>
      <c r="U745" s="204">
        <f t="shared" si="440"/>
        <v>43677</v>
      </c>
      <c r="V745" s="207">
        <f t="shared" si="457"/>
        <v>0</v>
      </c>
      <c r="W745" s="206" t="str">
        <f t="shared" si="454"/>
        <v/>
      </c>
      <c r="X745" s="206">
        <f t="shared" si="455"/>
        <v>0</v>
      </c>
      <c r="Y745" s="209">
        <f t="shared" si="456"/>
        <v>0</v>
      </c>
    </row>
    <row r="746" spans="2:25" ht="16.5" hidden="1" thickTop="1" thickBot="1" x14ac:dyDescent="0.3">
      <c r="B746" s="60">
        <f>B741</f>
        <v>11</v>
      </c>
      <c r="C746" s="102">
        <v>76</v>
      </c>
      <c r="D746" s="192" t="str">
        <f t="shared" si="453"/>
        <v>III</v>
      </c>
      <c r="E746" s="172"/>
      <c r="F746" s="173"/>
      <c r="G746" s="173"/>
      <c r="H746" s="174"/>
      <c r="I746" s="174"/>
      <c r="J746" s="172"/>
      <c r="K746" s="175"/>
      <c r="L746" s="174"/>
      <c r="M746" s="174"/>
      <c r="N746" s="176"/>
      <c r="O746" s="177"/>
      <c r="P746" s="178"/>
      <c r="Q746" s="179"/>
      <c r="R746" s="180"/>
      <c r="S746" s="181"/>
      <c r="T746" s="203">
        <f t="shared" si="439"/>
        <v>43647</v>
      </c>
      <c r="U746" s="204">
        <f t="shared" si="440"/>
        <v>43677</v>
      </c>
      <c r="V746" s="207">
        <f t="shared" si="457"/>
        <v>0</v>
      </c>
      <c r="W746" s="206" t="str">
        <f t="shared" si="454"/>
        <v/>
      </c>
      <c r="X746" s="206">
        <f t="shared" si="455"/>
        <v>0</v>
      </c>
      <c r="Y746" s="209">
        <f t="shared" si="456"/>
        <v>0</v>
      </c>
    </row>
    <row r="747" spans="2:25" ht="16.5" hidden="1" thickTop="1" thickBot="1" x14ac:dyDescent="0.3">
      <c r="B747" s="141">
        <f>B741</f>
        <v>11</v>
      </c>
      <c r="C747" s="142">
        <v>77</v>
      </c>
      <c r="D747" s="194" t="str">
        <f t="shared" si="453"/>
        <v>III</v>
      </c>
      <c r="E747" s="189"/>
      <c r="F747" s="190"/>
      <c r="G747" s="190"/>
      <c r="H747" s="182"/>
      <c r="I747" s="182"/>
      <c r="J747" s="436" t="s">
        <v>181</v>
      </c>
      <c r="K747" s="437"/>
      <c r="L747" s="438"/>
      <c r="M747" s="182"/>
      <c r="N747" s="183"/>
      <c r="O747" s="184"/>
      <c r="P747" s="185"/>
      <c r="Q747" s="186"/>
      <c r="R747" s="187"/>
      <c r="S747" s="188"/>
      <c r="T747" s="213">
        <f t="shared" si="439"/>
        <v>43647</v>
      </c>
      <c r="U747" s="214">
        <f t="shared" si="440"/>
        <v>43677</v>
      </c>
      <c r="V747" s="210">
        <f t="shared" si="457"/>
        <v>0</v>
      </c>
      <c r="W747" s="211"/>
      <c r="X747" s="211">
        <f>IF(AND($V747&gt;0,$I747=1),IF($E747=10,P747/10,P747/$V747),0)</f>
        <v>0</v>
      </c>
      <c r="Y747" s="212">
        <f>IF(AND($V741&gt;0,$I747&lt;&gt;1),Q747/E741*V741,0)</f>
        <v>0</v>
      </c>
    </row>
    <row r="748" spans="2:25" ht="16.5" hidden="1" thickTop="1" thickBot="1" x14ac:dyDescent="0.3">
      <c r="B748" s="129">
        <f>B746+1</f>
        <v>12</v>
      </c>
      <c r="C748" s="130">
        <v>78</v>
      </c>
      <c r="D748" s="196" t="str">
        <f t="shared" si="453"/>
        <v>III</v>
      </c>
      <c r="E748" s="131"/>
      <c r="F748" s="132"/>
      <c r="G748" s="132"/>
      <c r="H748" s="133"/>
      <c r="I748" s="133"/>
      <c r="J748" s="131"/>
      <c r="K748" s="134"/>
      <c r="L748" s="133"/>
      <c r="M748" s="133"/>
      <c r="N748" s="135"/>
      <c r="O748" s="136"/>
      <c r="P748" s="137"/>
      <c r="Q748" s="138"/>
      <c r="R748" s="139"/>
      <c r="S748" s="140"/>
      <c r="T748" s="203">
        <f t="shared" si="439"/>
        <v>43647</v>
      </c>
      <c r="U748" s="204">
        <f t="shared" si="440"/>
        <v>43677</v>
      </c>
      <c r="V748" s="207">
        <f>IF(G748-F748+1-IF(G748-U748&gt;0,G748-U748,0)-IF(T748-F748&gt;0,T748-F748,0)&gt;0,G748-F748+1-IF(G748-U748&gt;0,G748-U748,0)-IF(T748-F748&gt;0,T748-F748,0),0)</f>
        <v>0</v>
      </c>
      <c r="W748" s="206" t="str">
        <f t="shared" ref="W748:W753" si="458">IF(V748&gt;0,H748,"")</f>
        <v/>
      </c>
      <c r="X748" s="206">
        <f t="shared" ref="X748:X753" si="459">IF(AND($V748&gt;0,$I748=1),P748/$E748*$V748,0)</f>
        <v>0</v>
      </c>
      <c r="Y748" s="209">
        <f t="shared" ref="Y748:Y753" si="460">IF(AND($V748&gt;0,$I748&lt;&gt;1),Q748/$E748*$V748,0)</f>
        <v>0</v>
      </c>
    </row>
    <row r="749" spans="2:25" ht="16.5" hidden="1" thickTop="1" thickBot="1" x14ac:dyDescent="0.3">
      <c r="B749" s="60">
        <f>B748</f>
        <v>12</v>
      </c>
      <c r="C749" s="102">
        <v>79</v>
      </c>
      <c r="D749" s="192" t="str">
        <f t="shared" si="453"/>
        <v>III</v>
      </c>
      <c r="E749" s="62"/>
      <c r="F749" s="105"/>
      <c r="G749" s="105"/>
      <c r="H749" s="61"/>
      <c r="I749" s="61"/>
      <c r="J749" s="62"/>
      <c r="K749" s="63"/>
      <c r="L749" s="61"/>
      <c r="M749" s="61"/>
      <c r="N749" s="111"/>
      <c r="O749" s="112"/>
      <c r="P749" s="113"/>
      <c r="Q749" s="114"/>
      <c r="R749" s="64"/>
      <c r="S749" s="108"/>
      <c r="T749" s="203">
        <f t="shared" si="439"/>
        <v>43647</v>
      </c>
      <c r="U749" s="204">
        <f t="shared" si="440"/>
        <v>43677</v>
      </c>
      <c r="V749" s="207">
        <f t="shared" ref="V749:V754" si="461">IF(G749-F749+1-IF(G749-U749&gt;0,G749-U749,0)-IF(T749-F749&gt;0,T749-F749,0)&gt;0,G749-F749+1-IF(G749-U749&gt;0,G749-U749,0)-IF(T749-F749&gt;0,T749-F749,0),0)</f>
        <v>0</v>
      </c>
      <c r="W749" s="206" t="str">
        <f t="shared" si="458"/>
        <v/>
      </c>
      <c r="X749" s="206">
        <f t="shared" si="459"/>
        <v>0</v>
      </c>
      <c r="Y749" s="209">
        <f t="shared" si="460"/>
        <v>0</v>
      </c>
    </row>
    <row r="750" spans="2:25" ht="16.5" hidden="1" thickTop="1" thickBot="1" x14ac:dyDescent="0.3">
      <c r="B750" s="60">
        <f>B748</f>
        <v>12</v>
      </c>
      <c r="C750" s="102">
        <v>80</v>
      </c>
      <c r="D750" s="192" t="str">
        <f t="shared" si="453"/>
        <v>III</v>
      </c>
      <c r="E750" s="62"/>
      <c r="F750" s="105"/>
      <c r="G750" s="105"/>
      <c r="H750" s="61"/>
      <c r="I750" s="61"/>
      <c r="J750" s="62"/>
      <c r="K750" s="63"/>
      <c r="L750" s="61"/>
      <c r="M750" s="61"/>
      <c r="N750" s="111"/>
      <c r="O750" s="112"/>
      <c r="P750" s="113"/>
      <c r="Q750" s="114"/>
      <c r="R750" s="64"/>
      <c r="S750" s="108"/>
      <c r="T750" s="203">
        <f t="shared" si="439"/>
        <v>43647</v>
      </c>
      <c r="U750" s="204">
        <f t="shared" si="440"/>
        <v>43677</v>
      </c>
      <c r="V750" s="207">
        <f t="shared" si="461"/>
        <v>0</v>
      </c>
      <c r="W750" s="206" t="str">
        <f t="shared" si="458"/>
        <v/>
      </c>
      <c r="X750" s="206">
        <f t="shared" si="459"/>
        <v>0</v>
      </c>
      <c r="Y750" s="209">
        <f t="shared" si="460"/>
        <v>0</v>
      </c>
    </row>
    <row r="751" spans="2:25" ht="16.5" hidden="1" thickTop="1" thickBot="1" x14ac:dyDescent="0.3">
      <c r="B751" s="60">
        <f>B748</f>
        <v>12</v>
      </c>
      <c r="C751" s="102">
        <v>81</v>
      </c>
      <c r="D751" s="192" t="str">
        <f t="shared" si="453"/>
        <v>III</v>
      </c>
      <c r="E751" s="62"/>
      <c r="F751" s="105"/>
      <c r="G751" s="105"/>
      <c r="H751" s="61"/>
      <c r="I751" s="61"/>
      <c r="J751" s="62"/>
      <c r="K751" s="63"/>
      <c r="L751" s="61"/>
      <c r="M751" s="61"/>
      <c r="N751" s="111"/>
      <c r="O751" s="112"/>
      <c r="P751" s="113"/>
      <c r="Q751" s="114"/>
      <c r="R751" s="64"/>
      <c r="S751" s="108"/>
      <c r="T751" s="203">
        <f t="shared" si="439"/>
        <v>43647</v>
      </c>
      <c r="U751" s="204">
        <f t="shared" si="440"/>
        <v>43677</v>
      </c>
      <c r="V751" s="207">
        <f t="shared" si="461"/>
        <v>0</v>
      </c>
      <c r="W751" s="206" t="str">
        <f t="shared" si="458"/>
        <v/>
      </c>
      <c r="X751" s="206">
        <f t="shared" si="459"/>
        <v>0</v>
      </c>
      <c r="Y751" s="209">
        <f t="shared" si="460"/>
        <v>0</v>
      </c>
    </row>
    <row r="752" spans="2:25" ht="16.5" hidden="1" thickTop="1" thickBot="1" x14ac:dyDescent="0.3">
      <c r="B752" s="60">
        <f>B748</f>
        <v>12</v>
      </c>
      <c r="C752" s="102">
        <v>82</v>
      </c>
      <c r="D752" s="192" t="str">
        <f t="shared" si="453"/>
        <v>III</v>
      </c>
      <c r="E752" s="62"/>
      <c r="F752" s="105"/>
      <c r="G752" s="105"/>
      <c r="H752" s="61"/>
      <c r="I752" s="61"/>
      <c r="J752" s="62"/>
      <c r="K752" s="63"/>
      <c r="L752" s="61"/>
      <c r="M752" s="61"/>
      <c r="N752" s="111"/>
      <c r="O752" s="112"/>
      <c r="P752" s="113"/>
      <c r="Q752" s="114"/>
      <c r="R752" s="64"/>
      <c r="S752" s="108"/>
      <c r="T752" s="203">
        <f t="shared" si="439"/>
        <v>43647</v>
      </c>
      <c r="U752" s="204">
        <f t="shared" si="440"/>
        <v>43677</v>
      </c>
      <c r="V752" s="207">
        <f t="shared" si="461"/>
        <v>0</v>
      </c>
      <c r="W752" s="206" t="str">
        <f t="shared" si="458"/>
        <v/>
      </c>
      <c r="X752" s="206">
        <f t="shared" si="459"/>
        <v>0</v>
      </c>
      <c r="Y752" s="209">
        <f t="shared" si="460"/>
        <v>0</v>
      </c>
    </row>
    <row r="753" spans="2:25" ht="16.5" hidden="1" thickTop="1" thickBot="1" x14ac:dyDescent="0.3">
      <c r="B753" s="60">
        <f>B748</f>
        <v>12</v>
      </c>
      <c r="C753" s="102">
        <v>83</v>
      </c>
      <c r="D753" s="192" t="str">
        <f t="shared" si="453"/>
        <v>III</v>
      </c>
      <c r="E753" s="62"/>
      <c r="F753" s="105"/>
      <c r="G753" s="105"/>
      <c r="H753" s="61"/>
      <c r="I753" s="61"/>
      <c r="J753" s="62"/>
      <c r="K753" s="63"/>
      <c r="L753" s="61"/>
      <c r="M753" s="61"/>
      <c r="N753" s="111"/>
      <c r="O753" s="112"/>
      <c r="P753" s="113"/>
      <c r="Q753" s="114"/>
      <c r="R753" s="64"/>
      <c r="S753" s="108"/>
      <c r="T753" s="203">
        <f t="shared" si="439"/>
        <v>43647</v>
      </c>
      <c r="U753" s="204">
        <f t="shared" si="440"/>
        <v>43677</v>
      </c>
      <c r="V753" s="207">
        <f t="shared" si="461"/>
        <v>0</v>
      </c>
      <c r="W753" s="206" t="str">
        <f t="shared" si="458"/>
        <v/>
      </c>
      <c r="X753" s="206">
        <f t="shared" si="459"/>
        <v>0</v>
      </c>
      <c r="Y753" s="209">
        <f t="shared" si="460"/>
        <v>0</v>
      </c>
    </row>
    <row r="754" spans="2:25" ht="16.5" hidden="1" thickTop="1" thickBot="1" x14ac:dyDescent="0.3">
      <c r="B754" s="141">
        <f>B748</f>
        <v>12</v>
      </c>
      <c r="C754" s="142">
        <v>84</v>
      </c>
      <c r="D754" s="194" t="str">
        <f t="shared" si="453"/>
        <v>III</v>
      </c>
      <c r="E754" s="143"/>
      <c r="F754" s="144"/>
      <c r="G754" s="144"/>
      <c r="H754" s="145"/>
      <c r="I754" s="145"/>
      <c r="J754" s="436" t="s">
        <v>181</v>
      </c>
      <c r="K754" s="437"/>
      <c r="L754" s="438"/>
      <c r="M754" s="145"/>
      <c r="N754" s="146"/>
      <c r="O754" s="147"/>
      <c r="P754" s="148"/>
      <c r="Q754" s="149"/>
      <c r="R754" s="150"/>
      <c r="S754" s="151"/>
      <c r="T754" s="213">
        <f t="shared" si="439"/>
        <v>43647</v>
      </c>
      <c r="U754" s="214">
        <f t="shared" si="440"/>
        <v>43677</v>
      </c>
      <c r="V754" s="210">
        <f t="shared" si="461"/>
        <v>0</v>
      </c>
      <c r="W754" s="211"/>
      <c r="X754" s="211">
        <f>IF(AND($V754&gt;0,$I754=1),IF($E754=10,P754/10,P754/$V754),0)</f>
        <v>0</v>
      </c>
      <c r="Y754" s="212">
        <f>IF(AND($V748&gt;0,$I754&lt;&gt;1),Q754/E748*V748,0)</f>
        <v>0</v>
      </c>
    </row>
    <row r="755" spans="2:25" ht="16.5" hidden="1" thickTop="1" thickBot="1" x14ac:dyDescent="0.3">
      <c r="B755" s="129">
        <f>B753+1</f>
        <v>13</v>
      </c>
      <c r="C755" s="130">
        <v>85</v>
      </c>
      <c r="D755" s="196" t="str">
        <f t="shared" si="453"/>
        <v>III</v>
      </c>
      <c r="E755" s="152"/>
      <c r="F755" s="153"/>
      <c r="G755" s="153"/>
      <c r="H755" s="154"/>
      <c r="I755" s="154"/>
      <c r="J755" s="152"/>
      <c r="K755" s="155"/>
      <c r="L755" s="154"/>
      <c r="M755" s="154"/>
      <c r="N755" s="156"/>
      <c r="O755" s="157"/>
      <c r="P755" s="158"/>
      <c r="Q755" s="159"/>
      <c r="R755" s="160"/>
      <c r="S755" s="161"/>
      <c r="T755" s="203">
        <f t="shared" si="439"/>
        <v>43647</v>
      </c>
      <c r="U755" s="204">
        <f t="shared" si="440"/>
        <v>43677</v>
      </c>
      <c r="V755" s="207">
        <f>IF(G755-F755+1-IF(G755-U755&gt;0,G755-U755,0)-IF(T755-F755&gt;0,T755-F755,0)&gt;0,G755-F755+1-IF(G755-U755&gt;0,G755-U755,0)-IF(T755-F755&gt;0,T755-F755,0),0)</f>
        <v>0</v>
      </c>
      <c r="W755" s="206" t="str">
        <f t="shared" ref="W755:W760" si="462">IF(V755&gt;0,H755,"")</f>
        <v/>
      </c>
      <c r="X755" s="206">
        <f t="shared" ref="X755:X760" si="463">IF(AND($V755&gt;0,$I755=1),P755/$E755*$V755,0)</f>
        <v>0</v>
      </c>
      <c r="Y755" s="209">
        <f t="shared" ref="Y755:Y760" si="464">IF(AND($V755&gt;0,$I755&lt;&gt;1),Q755/$E755*$V755,0)</f>
        <v>0</v>
      </c>
    </row>
    <row r="756" spans="2:25" ht="16.5" hidden="1" thickTop="1" thickBot="1" x14ac:dyDescent="0.3">
      <c r="B756" s="60">
        <f>B755</f>
        <v>13</v>
      </c>
      <c r="C756" s="102">
        <v>86</v>
      </c>
      <c r="D756" s="192" t="str">
        <f t="shared" si="453"/>
        <v>III</v>
      </c>
      <c r="E756" s="162"/>
      <c r="F756" s="163"/>
      <c r="G756" s="163"/>
      <c r="H756" s="164"/>
      <c r="I756" s="164"/>
      <c r="J756" s="162"/>
      <c r="K756" s="165"/>
      <c r="L756" s="164"/>
      <c r="M756" s="164"/>
      <c r="N756" s="166"/>
      <c r="O756" s="167"/>
      <c r="P756" s="168"/>
      <c r="Q756" s="169"/>
      <c r="R756" s="170"/>
      <c r="S756" s="171"/>
      <c r="T756" s="203">
        <f t="shared" si="439"/>
        <v>43647</v>
      </c>
      <c r="U756" s="204">
        <f t="shared" si="440"/>
        <v>43677</v>
      </c>
      <c r="V756" s="207">
        <f t="shared" ref="V756:V761" si="465">IF(G756-F756+1-IF(G756-U756&gt;0,G756-U756,0)-IF(T756-F756&gt;0,T756-F756,0)&gt;0,G756-F756+1-IF(G756-U756&gt;0,G756-U756,0)-IF(T756-F756&gt;0,T756-F756,0),0)</f>
        <v>0</v>
      </c>
      <c r="W756" s="206" t="str">
        <f t="shared" si="462"/>
        <v/>
      </c>
      <c r="X756" s="206">
        <f t="shared" si="463"/>
        <v>0</v>
      </c>
      <c r="Y756" s="209">
        <f t="shared" si="464"/>
        <v>0</v>
      </c>
    </row>
    <row r="757" spans="2:25" ht="16.5" hidden="1" thickTop="1" thickBot="1" x14ac:dyDescent="0.3">
      <c r="B757" s="60">
        <f>B755</f>
        <v>13</v>
      </c>
      <c r="C757" s="102">
        <v>87</v>
      </c>
      <c r="D757" s="192" t="str">
        <f t="shared" si="453"/>
        <v>III</v>
      </c>
      <c r="E757" s="162"/>
      <c r="F757" s="163"/>
      <c r="G757" s="163"/>
      <c r="H757" s="164"/>
      <c r="I757" s="164"/>
      <c r="J757" s="162"/>
      <c r="K757" s="165"/>
      <c r="L757" s="164"/>
      <c r="M757" s="164"/>
      <c r="N757" s="166"/>
      <c r="O757" s="167"/>
      <c r="P757" s="168"/>
      <c r="Q757" s="169"/>
      <c r="R757" s="170"/>
      <c r="S757" s="171"/>
      <c r="T757" s="203">
        <f t="shared" si="439"/>
        <v>43647</v>
      </c>
      <c r="U757" s="204">
        <f t="shared" si="440"/>
        <v>43677</v>
      </c>
      <c r="V757" s="207">
        <f t="shared" si="465"/>
        <v>0</v>
      </c>
      <c r="W757" s="206" t="str">
        <f t="shared" si="462"/>
        <v/>
      </c>
      <c r="X757" s="206">
        <f t="shared" si="463"/>
        <v>0</v>
      </c>
      <c r="Y757" s="209">
        <f t="shared" si="464"/>
        <v>0</v>
      </c>
    </row>
    <row r="758" spans="2:25" ht="16.5" hidden="1" thickTop="1" thickBot="1" x14ac:dyDescent="0.3">
      <c r="B758" s="60">
        <f>B755</f>
        <v>13</v>
      </c>
      <c r="C758" s="102">
        <v>88</v>
      </c>
      <c r="D758" s="192" t="str">
        <f t="shared" si="453"/>
        <v>III</v>
      </c>
      <c r="E758" s="162"/>
      <c r="F758" s="163"/>
      <c r="G758" s="163"/>
      <c r="H758" s="164"/>
      <c r="I758" s="164"/>
      <c r="J758" s="162"/>
      <c r="K758" s="165"/>
      <c r="L758" s="164"/>
      <c r="M758" s="164"/>
      <c r="N758" s="166"/>
      <c r="O758" s="167"/>
      <c r="P758" s="168"/>
      <c r="Q758" s="169"/>
      <c r="R758" s="170"/>
      <c r="S758" s="171"/>
      <c r="T758" s="203">
        <f t="shared" si="439"/>
        <v>43647</v>
      </c>
      <c r="U758" s="204">
        <f t="shared" si="440"/>
        <v>43677</v>
      </c>
      <c r="V758" s="207">
        <f t="shared" si="465"/>
        <v>0</v>
      </c>
      <c r="W758" s="206" t="str">
        <f t="shared" si="462"/>
        <v/>
      </c>
      <c r="X758" s="206">
        <f t="shared" si="463"/>
        <v>0</v>
      </c>
      <c r="Y758" s="209">
        <f t="shared" si="464"/>
        <v>0</v>
      </c>
    </row>
    <row r="759" spans="2:25" ht="16.5" hidden="1" thickTop="1" thickBot="1" x14ac:dyDescent="0.3">
      <c r="B759" s="60">
        <f>B755</f>
        <v>13</v>
      </c>
      <c r="C759" s="102">
        <v>89</v>
      </c>
      <c r="D759" s="192" t="str">
        <f t="shared" si="453"/>
        <v>III</v>
      </c>
      <c r="E759" s="162"/>
      <c r="F759" s="163"/>
      <c r="G759" s="163"/>
      <c r="H759" s="164"/>
      <c r="I759" s="164"/>
      <c r="J759" s="162"/>
      <c r="K759" s="165"/>
      <c r="L759" s="164"/>
      <c r="M759" s="164"/>
      <c r="N759" s="166"/>
      <c r="O759" s="167"/>
      <c r="P759" s="168"/>
      <c r="Q759" s="169"/>
      <c r="R759" s="170"/>
      <c r="S759" s="171"/>
      <c r="T759" s="203">
        <f t="shared" si="439"/>
        <v>43647</v>
      </c>
      <c r="U759" s="204">
        <f t="shared" si="440"/>
        <v>43677</v>
      </c>
      <c r="V759" s="207">
        <f t="shared" si="465"/>
        <v>0</v>
      </c>
      <c r="W759" s="206" t="str">
        <f t="shared" si="462"/>
        <v/>
      </c>
      <c r="X759" s="206">
        <f t="shared" si="463"/>
        <v>0</v>
      </c>
      <c r="Y759" s="209">
        <f t="shared" si="464"/>
        <v>0</v>
      </c>
    </row>
    <row r="760" spans="2:25" ht="16.5" hidden="1" thickTop="1" thickBot="1" x14ac:dyDescent="0.3">
      <c r="B760" s="60">
        <f>B755</f>
        <v>13</v>
      </c>
      <c r="C760" s="102">
        <v>90</v>
      </c>
      <c r="D760" s="192" t="str">
        <f t="shared" si="453"/>
        <v>III</v>
      </c>
      <c r="E760" s="172"/>
      <c r="F760" s="173"/>
      <c r="G760" s="173"/>
      <c r="H760" s="174"/>
      <c r="I760" s="174"/>
      <c r="J760" s="172"/>
      <c r="K760" s="175"/>
      <c r="L760" s="174"/>
      <c r="M760" s="174"/>
      <c r="N760" s="176"/>
      <c r="O760" s="177"/>
      <c r="P760" s="178"/>
      <c r="Q760" s="179"/>
      <c r="R760" s="180"/>
      <c r="S760" s="181"/>
      <c r="T760" s="203">
        <f t="shared" si="439"/>
        <v>43647</v>
      </c>
      <c r="U760" s="204">
        <f t="shared" si="440"/>
        <v>43677</v>
      </c>
      <c r="V760" s="207">
        <f t="shared" si="465"/>
        <v>0</v>
      </c>
      <c r="W760" s="206" t="str">
        <f t="shared" si="462"/>
        <v/>
      </c>
      <c r="X760" s="206">
        <f t="shared" si="463"/>
        <v>0</v>
      </c>
      <c r="Y760" s="209">
        <f t="shared" si="464"/>
        <v>0</v>
      </c>
    </row>
    <row r="761" spans="2:25" ht="16.5" hidden="1" thickTop="1" thickBot="1" x14ac:dyDescent="0.3">
      <c r="B761" s="141">
        <f>B755</f>
        <v>13</v>
      </c>
      <c r="C761" s="142">
        <v>91</v>
      </c>
      <c r="D761" s="194" t="str">
        <f t="shared" si="453"/>
        <v>III</v>
      </c>
      <c r="E761" s="189"/>
      <c r="F761" s="190"/>
      <c r="G761" s="190"/>
      <c r="H761" s="182"/>
      <c r="I761" s="182"/>
      <c r="J761" s="436" t="s">
        <v>181</v>
      </c>
      <c r="K761" s="437"/>
      <c r="L761" s="438"/>
      <c r="M761" s="182"/>
      <c r="N761" s="183"/>
      <c r="O761" s="184"/>
      <c r="P761" s="185"/>
      <c r="Q761" s="186"/>
      <c r="R761" s="187"/>
      <c r="S761" s="188"/>
      <c r="T761" s="213">
        <f t="shared" si="439"/>
        <v>43647</v>
      </c>
      <c r="U761" s="214">
        <f t="shared" si="440"/>
        <v>43677</v>
      </c>
      <c r="V761" s="210">
        <f t="shared" si="465"/>
        <v>0</v>
      </c>
      <c r="W761" s="211"/>
      <c r="X761" s="211">
        <f>IF(AND($V761&gt;0,$I761=1),IF($E761=10,P761/10,P761/$V761),0)</f>
        <v>0</v>
      </c>
      <c r="Y761" s="212">
        <f>IF(AND($V755&gt;0,$I761&lt;&gt;1),Q761/E755*V755,0)</f>
        <v>0</v>
      </c>
    </row>
    <row r="762" spans="2:25" ht="16.5" hidden="1" thickTop="1" thickBot="1" x14ac:dyDescent="0.3">
      <c r="B762" s="129">
        <f>B760+1</f>
        <v>14</v>
      </c>
      <c r="C762" s="130">
        <v>92</v>
      </c>
      <c r="D762" s="196" t="str">
        <f t="shared" si="453"/>
        <v>III</v>
      </c>
      <c r="E762" s="131"/>
      <c r="F762" s="132"/>
      <c r="G762" s="132"/>
      <c r="H762" s="133"/>
      <c r="I762" s="133"/>
      <c r="J762" s="131"/>
      <c r="K762" s="134"/>
      <c r="L762" s="133"/>
      <c r="M762" s="133"/>
      <c r="N762" s="135"/>
      <c r="O762" s="136"/>
      <c r="P762" s="137"/>
      <c r="Q762" s="138"/>
      <c r="R762" s="139"/>
      <c r="S762" s="140"/>
      <c r="T762" s="203">
        <f t="shared" si="439"/>
        <v>43647</v>
      </c>
      <c r="U762" s="204">
        <f t="shared" si="440"/>
        <v>43677</v>
      </c>
      <c r="V762" s="207">
        <f>IF(G762-F762+1-IF(G762-U762&gt;0,G762-U762,0)-IF(T762-F762&gt;0,T762-F762,0)&gt;0,G762-F762+1-IF(G762-U762&gt;0,G762-U762,0)-IF(T762-F762&gt;0,T762-F762,0),0)</f>
        <v>0</v>
      </c>
      <c r="W762" s="206" t="str">
        <f t="shared" ref="W762:W767" si="466">IF(V762&gt;0,H762,"")</f>
        <v/>
      </c>
      <c r="X762" s="206">
        <f t="shared" ref="X762:X767" si="467">IF(AND($V762&gt;0,$I762=1),P762/$E762*$V762,0)</f>
        <v>0</v>
      </c>
      <c r="Y762" s="209">
        <f t="shared" ref="Y762:Y767" si="468">IF(AND($V762&gt;0,$I762&lt;&gt;1),Q762/$E762*$V762,0)</f>
        <v>0</v>
      </c>
    </row>
    <row r="763" spans="2:25" ht="16.5" hidden="1" thickTop="1" thickBot="1" x14ac:dyDescent="0.3">
      <c r="B763" s="60">
        <f>B762</f>
        <v>14</v>
      </c>
      <c r="C763" s="102">
        <v>93</v>
      </c>
      <c r="D763" s="192" t="str">
        <f t="shared" si="453"/>
        <v>III</v>
      </c>
      <c r="E763" s="62"/>
      <c r="F763" s="105"/>
      <c r="G763" s="105"/>
      <c r="H763" s="61"/>
      <c r="I763" s="61"/>
      <c r="J763" s="62"/>
      <c r="K763" s="63"/>
      <c r="L763" s="61"/>
      <c r="M763" s="61"/>
      <c r="N763" s="111"/>
      <c r="O763" s="112"/>
      <c r="P763" s="113"/>
      <c r="Q763" s="114"/>
      <c r="R763" s="64"/>
      <c r="S763" s="108"/>
      <c r="T763" s="203">
        <f t="shared" si="439"/>
        <v>43647</v>
      </c>
      <c r="U763" s="204">
        <f t="shared" si="440"/>
        <v>43677</v>
      </c>
      <c r="V763" s="207">
        <f t="shared" ref="V763:V768" si="469">IF(G763-F763+1-IF(G763-U763&gt;0,G763-U763,0)-IF(T763-F763&gt;0,T763-F763,0)&gt;0,G763-F763+1-IF(G763-U763&gt;0,G763-U763,0)-IF(T763-F763&gt;0,T763-F763,0),0)</f>
        <v>0</v>
      </c>
      <c r="W763" s="206" t="str">
        <f t="shared" si="466"/>
        <v/>
      </c>
      <c r="X763" s="206">
        <f t="shared" si="467"/>
        <v>0</v>
      </c>
      <c r="Y763" s="209">
        <f t="shared" si="468"/>
        <v>0</v>
      </c>
    </row>
    <row r="764" spans="2:25" ht="16.5" hidden="1" thickTop="1" thickBot="1" x14ac:dyDescent="0.3">
      <c r="B764" s="60">
        <f>B762</f>
        <v>14</v>
      </c>
      <c r="C764" s="102">
        <v>94</v>
      </c>
      <c r="D764" s="192" t="str">
        <f t="shared" si="453"/>
        <v>III</v>
      </c>
      <c r="E764" s="62"/>
      <c r="F764" s="105"/>
      <c r="G764" s="105"/>
      <c r="H764" s="61"/>
      <c r="I764" s="61"/>
      <c r="J764" s="62"/>
      <c r="K764" s="63"/>
      <c r="L764" s="61"/>
      <c r="M764" s="61"/>
      <c r="N764" s="111"/>
      <c r="O764" s="112"/>
      <c r="P764" s="113"/>
      <c r="Q764" s="114"/>
      <c r="R764" s="64"/>
      <c r="S764" s="108"/>
      <c r="T764" s="203">
        <f t="shared" si="439"/>
        <v>43647</v>
      </c>
      <c r="U764" s="204">
        <f t="shared" si="440"/>
        <v>43677</v>
      </c>
      <c r="V764" s="207">
        <f t="shared" si="469"/>
        <v>0</v>
      </c>
      <c r="W764" s="206" t="str">
        <f t="shared" si="466"/>
        <v/>
      </c>
      <c r="X764" s="206">
        <f t="shared" si="467"/>
        <v>0</v>
      </c>
      <c r="Y764" s="209">
        <f t="shared" si="468"/>
        <v>0</v>
      </c>
    </row>
    <row r="765" spans="2:25" ht="16.5" hidden="1" thickTop="1" thickBot="1" x14ac:dyDescent="0.3">
      <c r="B765" s="60">
        <f>B762</f>
        <v>14</v>
      </c>
      <c r="C765" s="102">
        <v>95</v>
      </c>
      <c r="D765" s="192" t="str">
        <f t="shared" si="453"/>
        <v>III</v>
      </c>
      <c r="E765" s="62"/>
      <c r="F765" s="105"/>
      <c r="G765" s="105"/>
      <c r="H765" s="61"/>
      <c r="I765" s="61"/>
      <c r="J765" s="62"/>
      <c r="K765" s="63"/>
      <c r="L765" s="61"/>
      <c r="M765" s="61"/>
      <c r="N765" s="111"/>
      <c r="O765" s="112"/>
      <c r="P765" s="113"/>
      <c r="Q765" s="114"/>
      <c r="R765" s="64"/>
      <c r="S765" s="108"/>
      <c r="T765" s="203">
        <f t="shared" si="439"/>
        <v>43647</v>
      </c>
      <c r="U765" s="204">
        <f t="shared" si="440"/>
        <v>43677</v>
      </c>
      <c r="V765" s="207">
        <f t="shared" si="469"/>
        <v>0</v>
      </c>
      <c r="W765" s="206" t="str">
        <f t="shared" si="466"/>
        <v/>
      </c>
      <c r="X765" s="206">
        <f t="shared" si="467"/>
        <v>0</v>
      </c>
      <c r="Y765" s="209">
        <f t="shared" si="468"/>
        <v>0</v>
      </c>
    </row>
    <row r="766" spans="2:25" ht="16.5" hidden="1" thickTop="1" thickBot="1" x14ac:dyDescent="0.3">
      <c r="B766" s="60">
        <f>B762</f>
        <v>14</v>
      </c>
      <c r="C766" s="102">
        <v>96</v>
      </c>
      <c r="D766" s="192" t="str">
        <f t="shared" si="453"/>
        <v>III</v>
      </c>
      <c r="E766" s="62"/>
      <c r="F766" s="105"/>
      <c r="G766" s="105"/>
      <c r="H766" s="61"/>
      <c r="I766" s="61"/>
      <c r="J766" s="62"/>
      <c r="K766" s="63"/>
      <c r="L766" s="61"/>
      <c r="M766" s="61"/>
      <c r="N766" s="111"/>
      <c r="O766" s="112"/>
      <c r="P766" s="113"/>
      <c r="Q766" s="114"/>
      <c r="R766" s="64"/>
      <c r="S766" s="108"/>
      <c r="T766" s="203">
        <f t="shared" si="439"/>
        <v>43647</v>
      </c>
      <c r="U766" s="204">
        <f t="shared" si="440"/>
        <v>43677</v>
      </c>
      <c r="V766" s="207">
        <f t="shared" si="469"/>
        <v>0</v>
      </c>
      <c r="W766" s="206" t="str">
        <f t="shared" si="466"/>
        <v/>
      </c>
      <c r="X766" s="206">
        <f t="shared" si="467"/>
        <v>0</v>
      </c>
      <c r="Y766" s="209">
        <f t="shared" si="468"/>
        <v>0</v>
      </c>
    </row>
    <row r="767" spans="2:25" ht="16.5" hidden="1" thickTop="1" thickBot="1" x14ac:dyDescent="0.3">
      <c r="B767" s="60">
        <f>B762</f>
        <v>14</v>
      </c>
      <c r="C767" s="102">
        <v>97</v>
      </c>
      <c r="D767" s="192" t="str">
        <f t="shared" si="453"/>
        <v>III</v>
      </c>
      <c r="E767" s="62"/>
      <c r="F767" s="105"/>
      <c r="G767" s="105"/>
      <c r="H767" s="61"/>
      <c r="I767" s="61"/>
      <c r="J767" s="62"/>
      <c r="K767" s="63"/>
      <c r="L767" s="61"/>
      <c r="M767" s="61"/>
      <c r="N767" s="111"/>
      <c r="O767" s="112"/>
      <c r="P767" s="113"/>
      <c r="Q767" s="114"/>
      <c r="R767" s="64"/>
      <c r="S767" s="108"/>
      <c r="T767" s="203">
        <f t="shared" si="439"/>
        <v>43647</v>
      </c>
      <c r="U767" s="204">
        <f t="shared" si="440"/>
        <v>43677</v>
      </c>
      <c r="V767" s="207">
        <f t="shared" si="469"/>
        <v>0</v>
      </c>
      <c r="W767" s="206" t="str">
        <f t="shared" si="466"/>
        <v/>
      </c>
      <c r="X767" s="206">
        <f t="shared" si="467"/>
        <v>0</v>
      </c>
      <c r="Y767" s="209">
        <f t="shared" si="468"/>
        <v>0</v>
      </c>
    </row>
    <row r="768" spans="2:25" ht="16.5" hidden="1" thickTop="1" thickBot="1" x14ac:dyDescent="0.3">
      <c r="B768" s="141">
        <f>B762</f>
        <v>14</v>
      </c>
      <c r="C768" s="142">
        <v>98</v>
      </c>
      <c r="D768" s="194" t="str">
        <f t="shared" si="453"/>
        <v>III</v>
      </c>
      <c r="E768" s="143"/>
      <c r="F768" s="144"/>
      <c r="G768" s="144"/>
      <c r="H768" s="145"/>
      <c r="I768" s="145"/>
      <c r="J768" s="436" t="s">
        <v>181</v>
      </c>
      <c r="K768" s="437"/>
      <c r="L768" s="438"/>
      <c r="M768" s="145"/>
      <c r="N768" s="146"/>
      <c r="O768" s="147"/>
      <c r="P768" s="148"/>
      <c r="Q768" s="149"/>
      <c r="R768" s="150"/>
      <c r="S768" s="151"/>
      <c r="T768" s="213">
        <f t="shared" si="439"/>
        <v>43647</v>
      </c>
      <c r="U768" s="214">
        <f t="shared" si="440"/>
        <v>43677</v>
      </c>
      <c r="V768" s="210">
        <f t="shared" si="469"/>
        <v>0</v>
      </c>
      <c r="W768" s="211"/>
      <c r="X768" s="211">
        <f>IF(AND($V768&gt;0,$I768=1),IF($E768=10,P768/10,P768/$V768),0)</f>
        <v>0</v>
      </c>
      <c r="Y768" s="212">
        <f>IF(AND($V762&gt;0,$I768&lt;&gt;1),Q768/E762*V762,0)</f>
        <v>0</v>
      </c>
    </row>
    <row r="769" spans="2:25" ht="16.5" hidden="1" thickTop="1" thickBot="1" x14ac:dyDescent="0.3">
      <c r="B769" s="129">
        <f>B767+1</f>
        <v>15</v>
      </c>
      <c r="C769" s="130">
        <v>99</v>
      </c>
      <c r="D769" s="196" t="str">
        <f t="shared" si="453"/>
        <v>III</v>
      </c>
      <c r="E769" s="152"/>
      <c r="F769" s="153"/>
      <c r="G769" s="153"/>
      <c r="H769" s="154"/>
      <c r="I769" s="154"/>
      <c r="J769" s="152"/>
      <c r="K769" s="155"/>
      <c r="L769" s="154"/>
      <c r="M769" s="154"/>
      <c r="N769" s="156"/>
      <c r="O769" s="157"/>
      <c r="P769" s="158"/>
      <c r="Q769" s="159"/>
      <c r="R769" s="160"/>
      <c r="S769" s="161"/>
      <c r="T769" s="203">
        <f t="shared" si="439"/>
        <v>43647</v>
      </c>
      <c r="U769" s="204">
        <f t="shared" si="440"/>
        <v>43677</v>
      </c>
      <c r="V769" s="207">
        <f>IF(G769-F769+1-IF(G769-U769&gt;0,G769-U769,0)-IF(T769-F769&gt;0,T769-F769,0)&gt;0,G769-F769+1-IF(G769-U769&gt;0,G769-U769,0)-IF(T769-F769&gt;0,T769-F769,0),0)</f>
        <v>0</v>
      </c>
      <c r="W769" s="206" t="str">
        <f t="shared" ref="W769:W774" si="470">IF(V769&gt;0,H769,"")</f>
        <v/>
      </c>
      <c r="X769" s="206">
        <f t="shared" ref="X769:X774" si="471">IF(AND($V769&gt;0,$I769=1),P769/$E769*$V769,0)</f>
        <v>0</v>
      </c>
      <c r="Y769" s="209">
        <f t="shared" ref="Y769:Y774" si="472">IF(AND($V769&gt;0,$I769&lt;&gt;1),Q769/$E769*$V769,0)</f>
        <v>0</v>
      </c>
    </row>
    <row r="770" spans="2:25" ht="16.5" hidden="1" thickTop="1" thickBot="1" x14ac:dyDescent="0.3">
      <c r="B770" s="60">
        <f>B769</f>
        <v>15</v>
      </c>
      <c r="C770" s="102">
        <v>100</v>
      </c>
      <c r="D770" s="192" t="str">
        <f t="shared" si="453"/>
        <v>III</v>
      </c>
      <c r="E770" s="162"/>
      <c r="F770" s="163"/>
      <c r="G770" s="163"/>
      <c r="H770" s="164"/>
      <c r="I770" s="164"/>
      <c r="J770" s="162"/>
      <c r="K770" s="165"/>
      <c r="L770" s="164"/>
      <c r="M770" s="164"/>
      <c r="N770" s="166"/>
      <c r="O770" s="167"/>
      <c r="P770" s="168"/>
      <c r="Q770" s="169"/>
      <c r="R770" s="170"/>
      <c r="S770" s="171"/>
      <c r="T770" s="203">
        <f t="shared" si="439"/>
        <v>43647</v>
      </c>
      <c r="U770" s="204">
        <f t="shared" si="440"/>
        <v>43677</v>
      </c>
      <c r="V770" s="207">
        <f t="shared" ref="V770:V775" si="473">IF(G770-F770+1-IF(G770-U770&gt;0,G770-U770,0)-IF(T770-F770&gt;0,T770-F770,0)&gt;0,G770-F770+1-IF(G770-U770&gt;0,G770-U770,0)-IF(T770-F770&gt;0,T770-F770,0),0)</f>
        <v>0</v>
      </c>
      <c r="W770" s="206" t="str">
        <f t="shared" si="470"/>
        <v/>
      </c>
      <c r="X770" s="206">
        <f t="shared" si="471"/>
        <v>0</v>
      </c>
      <c r="Y770" s="209">
        <f t="shared" si="472"/>
        <v>0</v>
      </c>
    </row>
    <row r="771" spans="2:25" ht="16.5" hidden="1" thickTop="1" thickBot="1" x14ac:dyDescent="0.3">
      <c r="B771" s="60">
        <f>B769</f>
        <v>15</v>
      </c>
      <c r="C771" s="102">
        <v>101</v>
      </c>
      <c r="D771" s="192" t="str">
        <f t="shared" si="453"/>
        <v>III</v>
      </c>
      <c r="E771" s="162"/>
      <c r="F771" s="163"/>
      <c r="G771" s="163"/>
      <c r="H771" s="164"/>
      <c r="I771" s="164"/>
      <c r="J771" s="162"/>
      <c r="K771" s="165"/>
      <c r="L771" s="164"/>
      <c r="M771" s="164"/>
      <c r="N771" s="166"/>
      <c r="O771" s="167"/>
      <c r="P771" s="168"/>
      <c r="Q771" s="169"/>
      <c r="R771" s="170"/>
      <c r="S771" s="171"/>
      <c r="T771" s="203">
        <f t="shared" si="439"/>
        <v>43647</v>
      </c>
      <c r="U771" s="204">
        <f t="shared" si="440"/>
        <v>43677</v>
      </c>
      <c r="V771" s="207">
        <f t="shared" si="473"/>
        <v>0</v>
      </c>
      <c r="W771" s="206" t="str">
        <f t="shared" si="470"/>
        <v/>
      </c>
      <c r="X771" s="206">
        <f t="shared" si="471"/>
        <v>0</v>
      </c>
      <c r="Y771" s="209">
        <f t="shared" si="472"/>
        <v>0</v>
      </c>
    </row>
    <row r="772" spans="2:25" ht="16.5" hidden="1" thickTop="1" thickBot="1" x14ac:dyDescent="0.3">
      <c r="B772" s="60">
        <f>B769</f>
        <v>15</v>
      </c>
      <c r="C772" s="102">
        <v>102</v>
      </c>
      <c r="D772" s="192" t="str">
        <f t="shared" si="453"/>
        <v>III</v>
      </c>
      <c r="E772" s="162"/>
      <c r="F772" s="163"/>
      <c r="G772" s="163"/>
      <c r="H772" s="164"/>
      <c r="I772" s="164"/>
      <c r="J772" s="162"/>
      <c r="K772" s="165"/>
      <c r="L772" s="164"/>
      <c r="M772" s="164"/>
      <c r="N772" s="166"/>
      <c r="O772" s="167"/>
      <c r="P772" s="168"/>
      <c r="Q772" s="169"/>
      <c r="R772" s="170"/>
      <c r="S772" s="171"/>
      <c r="T772" s="203">
        <f t="shared" si="439"/>
        <v>43647</v>
      </c>
      <c r="U772" s="204">
        <f t="shared" si="440"/>
        <v>43677</v>
      </c>
      <c r="V772" s="207">
        <f t="shared" si="473"/>
        <v>0</v>
      </c>
      <c r="W772" s="206" t="str">
        <f t="shared" si="470"/>
        <v/>
      </c>
      <c r="X772" s="206">
        <f t="shared" si="471"/>
        <v>0</v>
      </c>
      <c r="Y772" s="209">
        <f t="shared" si="472"/>
        <v>0</v>
      </c>
    </row>
    <row r="773" spans="2:25" ht="16.5" hidden="1" thickTop="1" thickBot="1" x14ac:dyDescent="0.3">
      <c r="B773" s="60">
        <f>B769</f>
        <v>15</v>
      </c>
      <c r="C773" s="102">
        <v>103</v>
      </c>
      <c r="D773" s="192" t="str">
        <f t="shared" si="453"/>
        <v>III</v>
      </c>
      <c r="E773" s="162"/>
      <c r="F773" s="163"/>
      <c r="G773" s="163"/>
      <c r="H773" s="164"/>
      <c r="I773" s="164"/>
      <c r="J773" s="162"/>
      <c r="K773" s="165"/>
      <c r="L773" s="164"/>
      <c r="M773" s="164"/>
      <c r="N773" s="166"/>
      <c r="O773" s="167"/>
      <c r="P773" s="168"/>
      <c r="Q773" s="169"/>
      <c r="R773" s="170"/>
      <c r="S773" s="171"/>
      <c r="T773" s="203">
        <f t="shared" si="439"/>
        <v>43647</v>
      </c>
      <c r="U773" s="204">
        <f t="shared" si="440"/>
        <v>43677</v>
      </c>
      <c r="V773" s="207">
        <f t="shared" si="473"/>
        <v>0</v>
      </c>
      <c r="W773" s="206" t="str">
        <f t="shared" si="470"/>
        <v/>
      </c>
      <c r="X773" s="206">
        <f t="shared" si="471"/>
        <v>0</v>
      </c>
      <c r="Y773" s="209">
        <f t="shared" si="472"/>
        <v>0</v>
      </c>
    </row>
    <row r="774" spans="2:25" ht="16.5" hidden="1" thickTop="1" thickBot="1" x14ac:dyDescent="0.3">
      <c r="B774" s="60">
        <f>B769</f>
        <v>15</v>
      </c>
      <c r="C774" s="102">
        <v>104</v>
      </c>
      <c r="D774" s="192" t="str">
        <f t="shared" si="453"/>
        <v>III</v>
      </c>
      <c r="E774" s="172"/>
      <c r="F774" s="173"/>
      <c r="G774" s="173"/>
      <c r="H774" s="174"/>
      <c r="I774" s="174"/>
      <c r="J774" s="172"/>
      <c r="K774" s="175"/>
      <c r="L774" s="174"/>
      <c r="M774" s="174"/>
      <c r="N774" s="176"/>
      <c r="O774" s="177"/>
      <c r="P774" s="178"/>
      <c r="Q774" s="179"/>
      <c r="R774" s="180"/>
      <c r="S774" s="181"/>
      <c r="T774" s="203">
        <f t="shared" si="439"/>
        <v>43647</v>
      </c>
      <c r="U774" s="204">
        <f t="shared" si="440"/>
        <v>43677</v>
      </c>
      <c r="V774" s="207">
        <f t="shared" si="473"/>
        <v>0</v>
      </c>
      <c r="W774" s="206" t="str">
        <f t="shared" si="470"/>
        <v/>
      </c>
      <c r="X774" s="206">
        <f t="shared" si="471"/>
        <v>0</v>
      </c>
      <c r="Y774" s="209">
        <f t="shared" si="472"/>
        <v>0</v>
      </c>
    </row>
    <row r="775" spans="2:25" ht="16.5" hidden="1" thickTop="1" thickBot="1" x14ac:dyDescent="0.3">
      <c r="B775" s="141">
        <f>B769</f>
        <v>15</v>
      </c>
      <c r="C775" s="142">
        <v>105</v>
      </c>
      <c r="D775" s="194" t="str">
        <f t="shared" si="453"/>
        <v>III</v>
      </c>
      <c r="E775" s="189"/>
      <c r="F775" s="190"/>
      <c r="G775" s="190"/>
      <c r="H775" s="182"/>
      <c r="I775" s="182"/>
      <c r="J775" s="436" t="s">
        <v>181</v>
      </c>
      <c r="K775" s="437"/>
      <c r="L775" s="438"/>
      <c r="M775" s="182"/>
      <c r="N775" s="183"/>
      <c r="O775" s="184"/>
      <c r="P775" s="185"/>
      <c r="Q775" s="186"/>
      <c r="R775" s="187"/>
      <c r="S775" s="188"/>
      <c r="T775" s="213">
        <f t="shared" si="439"/>
        <v>43647</v>
      </c>
      <c r="U775" s="214">
        <f t="shared" si="440"/>
        <v>43677</v>
      </c>
      <c r="V775" s="210">
        <f t="shared" si="473"/>
        <v>0</v>
      </c>
      <c r="W775" s="211"/>
      <c r="X775" s="211">
        <f>IF(AND($V775&gt;0,$I775=1),IF($E775=10,P775/10,P775/$V775),0)</f>
        <v>0</v>
      </c>
      <c r="Y775" s="212">
        <f>IF(AND($V769&gt;0,$I775&lt;&gt;1),Q775/E769*V769,0)</f>
        <v>0</v>
      </c>
    </row>
    <row r="776" spans="2:25" ht="16.5" hidden="1" thickTop="1" thickBot="1" x14ac:dyDescent="0.3">
      <c r="B776" s="129">
        <f>B774+1</f>
        <v>16</v>
      </c>
      <c r="C776" s="130">
        <v>106</v>
      </c>
      <c r="D776" s="196" t="str">
        <f t="shared" si="453"/>
        <v>III</v>
      </c>
      <c r="E776" s="131"/>
      <c r="F776" s="132"/>
      <c r="G776" s="132"/>
      <c r="H776" s="133"/>
      <c r="I776" s="133"/>
      <c r="J776" s="131"/>
      <c r="K776" s="134"/>
      <c r="L776" s="133"/>
      <c r="M776" s="133"/>
      <c r="N776" s="135"/>
      <c r="O776" s="136"/>
      <c r="P776" s="137"/>
      <c r="Q776" s="138"/>
      <c r="R776" s="139"/>
      <c r="S776" s="140"/>
      <c r="T776" s="203">
        <f t="shared" si="439"/>
        <v>43647</v>
      </c>
      <c r="U776" s="204">
        <f t="shared" si="440"/>
        <v>43677</v>
      </c>
      <c r="V776" s="207">
        <f>IF(G776-F776+1-IF(G776-U776&gt;0,G776-U776,0)-IF(T776-F776&gt;0,T776-F776,0)&gt;0,G776-F776+1-IF(G776-U776&gt;0,G776-U776,0)-IF(T776-F776&gt;0,T776-F776,0),0)</f>
        <v>0</v>
      </c>
      <c r="W776" s="206" t="str">
        <f t="shared" ref="W776:W781" si="474">IF(V776&gt;0,H776,"")</f>
        <v/>
      </c>
      <c r="X776" s="206">
        <f t="shared" ref="X776:X781" si="475">IF(AND($V776&gt;0,$I776=1),P776/$E776*$V776,0)</f>
        <v>0</v>
      </c>
      <c r="Y776" s="209">
        <f t="shared" ref="Y776:Y781" si="476">IF(AND($V776&gt;0,$I776&lt;&gt;1),Q776/$E776*$V776,0)</f>
        <v>0</v>
      </c>
    </row>
    <row r="777" spans="2:25" ht="16.5" hidden="1" thickTop="1" thickBot="1" x14ac:dyDescent="0.3">
      <c r="B777" s="60">
        <f>B776</f>
        <v>16</v>
      </c>
      <c r="C777" s="102">
        <v>107</v>
      </c>
      <c r="D777" s="192" t="str">
        <f t="shared" si="453"/>
        <v>III</v>
      </c>
      <c r="E777" s="62"/>
      <c r="F777" s="105"/>
      <c r="G777" s="105"/>
      <c r="H777" s="61"/>
      <c r="I777" s="61"/>
      <c r="J777" s="62"/>
      <c r="K777" s="63"/>
      <c r="L777" s="61"/>
      <c r="M777" s="61"/>
      <c r="N777" s="111"/>
      <c r="O777" s="112"/>
      <c r="P777" s="113"/>
      <c r="Q777" s="114"/>
      <c r="R777" s="64"/>
      <c r="S777" s="108"/>
      <c r="T777" s="203">
        <f t="shared" si="439"/>
        <v>43647</v>
      </c>
      <c r="U777" s="204">
        <f t="shared" si="440"/>
        <v>43677</v>
      </c>
      <c r="V777" s="207">
        <f t="shared" ref="V777:V782" si="477">IF(G777-F777+1-IF(G777-U777&gt;0,G777-U777,0)-IF(T777-F777&gt;0,T777-F777,0)&gt;0,G777-F777+1-IF(G777-U777&gt;0,G777-U777,0)-IF(T777-F777&gt;0,T777-F777,0),0)</f>
        <v>0</v>
      </c>
      <c r="W777" s="206" t="str">
        <f t="shared" si="474"/>
        <v/>
      </c>
      <c r="X777" s="206">
        <f t="shared" si="475"/>
        <v>0</v>
      </c>
      <c r="Y777" s="209">
        <f t="shared" si="476"/>
        <v>0</v>
      </c>
    </row>
    <row r="778" spans="2:25" ht="16.5" hidden="1" thickTop="1" thickBot="1" x14ac:dyDescent="0.3">
      <c r="B778" s="60">
        <f>B776</f>
        <v>16</v>
      </c>
      <c r="C778" s="102">
        <v>108</v>
      </c>
      <c r="D778" s="192" t="str">
        <f t="shared" si="453"/>
        <v>III</v>
      </c>
      <c r="E778" s="62"/>
      <c r="F778" s="105"/>
      <c r="G778" s="105"/>
      <c r="H778" s="61"/>
      <c r="I778" s="61"/>
      <c r="J778" s="62"/>
      <c r="K778" s="63"/>
      <c r="L778" s="61"/>
      <c r="M778" s="61"/>
      <c r="N778" s="111"/>
      <c r="O778" s="112"/>
      <c r="P778" s="113"/>
      <c r="Q778" s="114"/>
      <c r="R778" s="64"/>
      <c r="S778" s="108"/>
      <c r="T778" s="203">
        <f t="shared" si="439"/>
        <v>43647</v>
      </c>
      <c r="U778" s="204">
        <f t="shared" si="440"/>
        <v>43677</v>
      </c>
      <c r="V778" s="207">
        <f t="shared" si="477"/>
        <v>0</v>
      </c>
      <c r="W778" s="206" t="str">
        <f t="shared" si="474"/>
        <v/>
      </c>
      <c r="X778" s="206">
        <f t="shared" si="475"/>
        <v>0</v>
      </c>
      <c r="Y778" s="209">
        <f t="shared" si="476"/>
        <v>0</v>
      </c>
    </row>
    <row r="779" spans="2:25" ht="16.5" hidden="1" thickTop="1" thickBot="1" x14ac:dyDescent="0.3">
      <c r="B779" s="60">
        <f>B776</f>
        <v>16</v>
      </c>
      <c r="C779" s="102">
        <v>109</v>
      </c>
      <c r="D779" s="192" t="str">
        <f t="shared" si="453"/>
        <v>III</v>
      </c>
      <c r="E779" s="62"/>
      <c r="F779" s="105"/>
      <c r="G779" s="105"/>
      <c r="H779" s="61"/>
      <c r="I779" s="61"/>
      <c r="J779" s="62"/>
      <c r="K779" s="63"/>
      <c r="L779" s="61"/>
      <c r="M779" s="61"/>
      <c r="N779" s="111"/>
      <c r="O779" s="112"/>
      <c r="P779" s="113"/>
      <c r="Q779" s="114"/>
      <c r="R779" s="64"/>
      <c r="S779" s="108"/>
      <c r="T779" s="203">
        <f t="shared" si="439"/>
        <v>43647</v>
      </c>
      <c r="U779" s="204">
        <f t="shared" si="440"/>
        <v>43677</v>
      </c>
      <c r="V779" s="207">
        <f t="shared" si="477"/>
        <v>0</v>
      </c>
      <c r="W779" s="206" t="str">
        <f t="shared" si="474"/>
        <v/>
      </c>
      <c r="X779" s="206">
        <f t="shared" si="475"/>
        <v>0</v>
      </c>
      <c r="Y779" s="209">
        <f t="shared" si="476"/>
        <v>0</v>
      </c>
    </row>
    <row r="780" spans="2:25" ht="16.5" hidden="1" thickTop="1" thickBot="1" x14ac:dyDescent="0.3">
      <c r="B780" s="60">
        <f>B776</f>
        <v>16</v>
      </c>
      <c r="C780" s="102">
        <v>110</v>
      </c>
      <c r="D780" s="192" t="str">
        <f t="shared" si="453"/>
        <v>III</v>
      </c>
      <c r="E780" s="62"/>
      <c r="F780" s="105"/>
      <c r="G780" s="105"/>
      <c r="H780" s="61"/>
      <c r="I780" s="61"/>
      <c r="J780" s="62"/>
      <c r="K780" s="63"/>
      <c r="L780" s="61"/>
      <c r="M780" s="61"/>
      <c r="N780" s="111"/>
      <c r="O780" s="112"/>
      <c r="P780" s="113"/>
      <c r="Q780" s="114"/>
      <c r="R780" s="64"/>
      <c r="S780" s="108"/>
      <c r="T780" s="203">
        <f t="shared" si="439"/>
        <v>43647</v>
      </c>
      <c r="U780" s="204">
        <f t="shared" si="440"/>
        <v>43677</v>
      </c>
      <c r="V780" s="207">
        <f t="shared" si="477"/>
        <v>0</v>
      </c>
      <c r="W780" s="206" t="str">
        <f t="shared" si="474"/>
        <v/>
      </c>
      <c r="X780" s="206">
        <f t="shared" si="475"/>
        <v>0</v>
      </c>
      <c r="Y780" s="209">
        <f t="shared" si="476"/>
        <v>0</v>
      </c>
    </row>
    <row r="781" spans="2:25" ht="16.5" hidden="1" thickTop="1" thickBot="1" x14ac:dyDescent="0.3">
      <c r="B781" s="60">
        <f>B776</f>
        <v>16</v>
      </c>
      <c r="C781" s="102">
        <v>111</v>
      </c>
      <c r="D781" s="192" t="str">
        <f t="shared" si="453"/>
        <v>III</v>
      </c>
      <c r="E781" s="62"/>
      <c r="F781" s="105"/>
      <c r="G781" s="105"/>
      <c r="H781" s="61"/>
      <c r="I781" s="61"/>
      <c r="J781" s="62"/>
      <c r="K781" s="63"/>
      <c r="L781" s="61"/>
      <c r="M781" s="61"/>
      <c r="N781" s="111"/>
      <c r="O781" s="112"/>
      <c r="P781" s="113"/>
      <c r="Q781" s="114"/>
      <c r="R781" s="64"/>
      <c r="S781" s="108"/>
      <c r="T781" s="203">
        <f t="shared" ref="T781:T844" si="478">$F$4</f>
        <v>43647</v>
      </c>
      <c r="U781" s="204">
        <f t="shared" ref="U781:U844" si="479">$G$4</f>
        <v>43677</v>
      </c>
      <c r="V781" s="207">
        <f t="shared" si="477"/>
        <v>0</v>
      </c>
      <c r="W781" s="206" t="str">
        <f t="shared" si="474"/>
        <v/>
      </c>
      <c r="X781" s="206">
        <f t="shared" si="475"/>
        <v>0</v>
      </c>
      <c r="Y781" s="209">
        <f t="shared" si="476"/>
        <v>0</v>
      </c>
    </row>
    <row r="782" spans="2:25" ht="16.5" hidden="1" thickTop="1" thickBot="1" x14ac:dyDescent="0.3">
      <c r="B782" s="141">
        <f>B776</f>
        <v>16</v>
      </c>
      <c r="C782" s="142">
        <v>112</v>
      </c>
      <c r="D782" s="194" t="str">
        <f t="shared" si="453"/>
        <v>III</v>
      </c>
      <c r="E782" s="143"/>
      <c r="F782" s="144"/>
      <c r="G782" s="144"/>
      <c r="H782" s="145"/>
      <c r="I782" s="145"/>
      <c r="J782" s="436" t="s">
        <v>181</v>
      </c>
      <c r="K782" s="437"/>
      <c r="L782" s="438"/>
      <c r="M782" s="145"/>
      <c r="N782" s="146"/>
      <c r="O782" s="147"/>
      <c r="P782" s="148"/>
      <c r="Q782" s="149"/>
      <c r="R782" s="150"/>
      <c r="S782" s="151"/>
      <c r="T782" s="213">
        <f t="shared" si="478"/>
        <v>43647</v>
      </c>
      <c r="U782" s="214">
        <f t="shared" si="479"/>
        <v>43677</v>
      </c>
      <c r="V782" s="210">
        <f t="shared" si="477"/>
        <v>0</v>
      </c>
      <c r="W782" s="211"/>
      <c r="X782" s="211">
        <f>IF(AND($V782&gt;0,$I782=1),IF($E782=10,P782/10,P782/$V782),0)</f>
        <v>0</v>
      </c>
      <c r="Y782" s="212">
        <f>IF(AND($V776&gt;0,$I782&lt;&gt;1),Q782/E776*V776,0)</f>
        <v>0</v>
      </c>
    </row>
    <row r="783" spans="2:25" ht="16.5" hidden="1" thickTop="1" thickBot="1" x14ac:dyDescent="0.3">
      <c r="B783" s="129">
        <f>B781+1</f>
        <v>17</v>
      </c>
      <c r="C783" s="130">
        <v>113</v>
      </c>
      <c r="D783" s="196" t="str">
        <f t="shared" si="453"/>
        <v>III</v>
      </c>
      <c r="E783" s="152"/>
      <c r="F783" s="153"/>
      <c r="G783" s="153"/>
      <c r="H783" s="154"/>
      <c r="I783" s="154"/>
      <c r="J783" s="152"/>
      <c r="K783" s="155"/>
      <c r="L783" s="154"/>
      <c r="M783" s="154"/>
      <c r="N783" s="156"/>
      <c r="O783" s="157"/>
      <c r="P783" s="158"/>
      <c r="Q783" s="159"/>
      <c r="R783" s="160"/>
      <c r="S783" s="161"/>
      <c r="T783" s="203">
        <f t="shared" si="478"/>
        <v>43647</v>
      </c>
      <c r="U783" s="204">
        <f t="shared" si="479"/>
        <v>43677</v>
      </c>
      <c r="V783" s="207">
        <f>IF(G783-F783+1-IF(G783-U783&gt;0,G783-U783,0)-IF(T783-F783&gt;0,T783-F783,0)&gt;0,G783-F783+1-IF(G783-U783&gt;0,G783-U783,0)-IF(T783-F783&gt;0,T783-F783,0),0)</f>
        <v>0</v>
      </c>
      <c r="W783" s="206" t="str">
        <f t="shared" ref="W783:W788" si="480">IF(V783&gt;0,H783,"")</f>
        <v/>
      </c>
      <c r="X783" s="206">
        <f t="shared" ref="X783:X788" si="481">IF(AND($V783&gt;0,$I783=1),P783/$E783*$V783,0)</f>
        <v>0</v>
      </c>
      <c r="Y783" s="209">
        <f t="shared" ref="Y783:Y788" si="482">IF(AND($V783&gt;0,$I783&lt;&gt;1),Q783/$E783*$V783,0)</f>
        <v>0</v>
      </c>
    </row>
    <row r="784" spans="2:25" ht="16.5" hidden="1" thickTop="1" thickBot="1" x14ac:dyDescent="0.3">
      <c r="B784" s="60">
        <f>B783</f>
        <v>17</v>
      </c>
      <c r="C784" s="102">
        <v>114</v>
      </c>
      <c r="D784" s="192" t="str">
        <f t="shared" si="453"/>
        <v>III</v>
      </c>
      <c r="E784" s="162"/>
      <c r="F784" s="163"/>
      <c r="G784" s="163"/>
      <c r="H784" s="164"/>
      <c r="I784" s="164"/>
      <c r="J784" s="162"/>
      <c r="K784" s="165"/>
      <c r="L784" s="164"/>
      <c r="M784" s="164"/>
      <c r="N784" s="166"/>
      <c r="O784" s="167"/>
      <c r="P784" s="168"/>
      <c r="Q784" s="169"/>
      <c r="R784" s="170"/>
      <c r="S784" s="171"/>
      <c r="T784" s="203">
        <f t="shared" si="478"/>
        <v>43647</v>
      </c>
      <c r="U784" s="204">
        <f t="shared" si="479"/>
        <v>43677</v>
      </c>
      <c r="V784" s="207">
        <f t="shared" ref="V784:V789" si="483">IF(G784-F784+1-IF(G784-U784&gt;0,G784-U784,0)-IF(T784-F784&gt;0,T784-F784,0)&gt;0,G784-F784+1-IF(G784-U784&gt;0,G784-U784,0)-IF(T784-F784&gt;0,T784-F784,0),0)</f>
        <v>0</v>
      </c>
      <c r="W784" s="206" t="str">
        <f t="shared" si="480"/>
        <v/>
      </c>
      <c r="X784" s="206">
        <f t="shared" si="481"/>
        <v>0</v>
      </c>
      <c r="Y784" s="209">
        <f t="shared" si="482"/>
        <v>0</v>
      </c>
    </row>
    <row r="785" spans="2:25" ht="16.5" hidden="1" thickTop="1" thickBot="1" x14ac:dyDescent="0.3">
      <c r="B785" s="60">
        <f>B783</f>
        <v>17</v>
      </c>
      <c r="C785" s="102">
        <v>115</v>
      </c>
      <c r="D785" s="192" t="str">
        <f t="shared" si="453"/>
        <v>III</v>
      </c>
      <c r="E785" s="162"/>
      <c r="F785" s="163"/>
      <c r="G785" s="163"/>
      <c r="H785" s="164"/>
      <c r="I785" s="164"/>
      <c r="J785" s="162"/>
      <c r="K785" s="165"/>
      <c r="L785" s="164"/>
      <c r="M785" s="164"/>
      <c r="N785" s="166"/>
      <c r="O785" s="167"/>
      <c r="P785" s="168"/>
      <c r="Q785" s="169"/>
      <c r="R785" s="170"/>
      <c r="S785" s="171"/>
      <c r="T785" s="203">
        <f t="shared" si="478"/>
        <v>43647</v>
      </c>
      <c r="U785" s="204">
        <f t="shared" si="479"/>
        <v>43677</v>
      </c>
      <c r="V785" s="207">
        <f t="shared" si="483"/>
        <v>0</v>
      </c>
      <c r="W785" s="206" t="str">
        <f t="shared" si="480"/>
        <v/>
      </c>
      <c r="X785" s="206">
        <f t="shared" si="481"/>
        <v>0</v>
      </c>
      <c r="Y785" s="209">
        <f t="shared" si="482"/>
        <v>0</v>
      </c>
    </row>
    <row r="786" spans="2:25" ht="16.5" hidden="1" thickTop="1" thickBot="1" x14ac:dyDescent="0.3">
      <c r="B786" s="60">
        <f>B783</f>
        <v>17</v>
      </c>
      <c r="C786" s="102">
        <v>116</v>
      </c>
      <c r="D786" s="192" t="str">
        <f t="shared" si="453"/>
        <v>III</v>
      </c>
      <c r="E786" s="162"/>
      <c r="F786" s="163"/>
      <c r="G786" s="163"/>
      <c r="H786" s="164"/>
      <c r="I786" s="164"/>
      <c r="J786" s="162"/>
      <c r="K786" s="165"/>
      <c r="L786" s="164"/>
      <c r="M786" s="164"/>
      <c r="N786" s="166"/>
      <c r="O786" s="167"/>
      <c r="P786" s="168"/>
      <c r="Q786" s="169"/>
      <c r="R786" s="170"/>
      <c r="S786" s="171"/>
      <c r="T786" s="203">
        <f t="shared" si="478"/>
        <v>43647</v>
      </c>
      <c r="U786" s="204">
        <f t="shared" si="479"/>
        <v>43677</v>
      </c>
      <c r="V786" s="207">
        <f t="shared" si="483"/>
        <v>0</v>
      </c>
      <c r="W786" s="206" t="str">
        <f t="shared" si="480"/>
        <v/>
      </c>
      <c r="X786" s="206">
        <f t="shared" si="481"/>
        <v>0</v>
      </c>
      <c r="Y786" s="209">
        <f t="shared" si="482"/>
        <v>0</v>
      </c>
    </row>
    <row r="787" spans="2:25" ht="16.5" hidden="1" thickTop="1" thickBot="1" x14ac:dyDescent="0.3">
      <c r="B787" s="60">
        <f>B783</f>
        <v>17</v>
      </c>
      <c r="C787" s="102">
        <v>117</v>
      </c>
      <c r="D787" s="192" t="str">
        <f t="shared" si="453"/>
        <v>III</v>
      </c>
      <c r="E787" s="162"/>
      <c r="F787" s="163"/>
      <c r="G787" s="163"/>
      <c r="H787" s="164"/>
      <c r="I787" s="164"/>
      <c r="J787" s="162"/>
      <c r="K787" s="165"/>
      <c r="L787" s="164"/>
      <c r="M787" s="164"/>
      <c r="N787" s="166"/>
      <c r="O787" s="167"/>
      <c r="P787" s="168"/>
      <c r="Q787" s="169"/>
      <c r="R787" s="170"/>
      <c r="S787" s="171"/>
      <c r="T787" s="203">
        <f t="shared" si="478"/>
        <v>43647</v>
      </c>
      <c r="U787" s="204">
        <f t="shared" si="479"/>
        <v>43677</v>
      </c>
      <c r="V787" s="207">
        <f t="shared" si="483"/>
        <v>0</v>
      </c>
      <c r="W787" s="206" t="str">
        <f t="shared" si="480"/>
        <v/>
      </c>
      <c r="X787" s="206">
        <f t="shared" si="481"/>
        <v>0</v>
      </c>
      <c r="Y787" s="209">
        <f t="shared" si="482"/>
        <v>0</v>
      </c>
    </row>
    <row r="788" spans="2:25" ht="16.5" hidden="1" thickTop="1" thickBot="1" x14ac:dyDescent="0.3">
      <c r="B788" s="60">
        <f>B783</f>
        <v>17</v>
      </c>
      <c r="C788" s="102">
        <v>118</v>
      </c>
      <c r="D788" s="192" t="str">
        <f t="shared" si="453"/>
        <v>III</v>
      </c>
      <c r="E788" s="172"/>
      <c r="F788" s="173"/>
      <c r="G788" s="173"/>
      <c r="H788" s="174"/>
      <c r="I788" s="174"/>
      <c r="J788" s="172"/>
      <c r="K788" s="175"/>
      <c r="L788" s="174"/>
      <c r="M788" s="174"/>
      <c r="N788" s="176"/>
      <c r="O788" s="177"/>
      <c r="P788" s="178"/>
      <c r="Q788" s="179"/>
      <c r="R788" s="180"/>
      <c r="S788" s="181"/>
      <c r="T788" s="203">
        <f t="shared" si="478"/>
        <v>43647</v>
      </c>
      <c r="U788" s="204">
        <f t="shared" si="479"/>
        <v>43677</v>
      </c>
      <c r="V788" s="207">
        <f t="shared" si="483"/>
        <v>0</v>
      </c>
      <c r="W788" s="206" t="str">
        <f t="shared" si="480"/>
        <v/>
      </c>
      <c r="X788" s="206">
        <f t="shared" si="481"/>
        <v>0</v>
      </c>
      <c r="Y788" s="209">
        <f t="shared" si="482"/>
        <v>0</v>
      </c>
    </row>
    <row r="789" spans="2:25" ht="16.5" hidden="1" thickTop="1" thickBot="1" x14ac:dyDescent="0.3">
      <c r="B789" s="141">
        <f>B783</f>
        <v>17</v>
      </c>
      <c r="C789" s="142">
        <v>119</v>
      </c>
      <c r="D789" s="194" t="str">
        <f t="shared" si="453"/>
        <v>III</v>
      </c>
      <c r="E789" s="189"/>
      <c r="F789" s="190"/>
      <c r="G789" s="190"/>
      <c r="H789" s="182"/>
      <c r="I789" s="182"/>
      <c r="J789" s="436" t="s">
        <v>181</v>
      </c>
      <c r="K789" s="437"/>
      <c r="L789" s="438"/>
      <c r="M789" s="182"/>
      <c r="N789" s="183"/>
      <c r="O789" s="184"/>
      <c r="P789" s="185"/>
      <c r="Q789" s="186"/>
      <c r="R789" s="187"/>
      <c r="S789" s="188"/>
      <c r="T789" s="213">
        <f t="shared" si="478"/>
        <v>43647</v>
      </c>
      <c r="U789" s="214">
        <f t="shared" si="479"/>
        <v>43677</v>
      </c>
      <c r="V789" s="210">
        <f t="shared" si="483"/>
        <v>0</v>
      </c>
      <c r="W789" s="211"/>
      <c r="X789" s="211">
        <f>IF(AND($V789&gt;0,$I789=1),IF($E789=10,P789/10,P789/$V789),0)</f>
        <v>0</v>
      </c>
      <c r="Y789" s="212">
        <f>IF(AND($V783&gt;0,$I789&lt;&gt;1),Q789/E783*V783,0)</f>
        <v>0</v>
      </c>
    </row>
    <row r="790" spans="2:25" ht="16.5" hidden="1" thickTop="1" thickBot="1" x14ac:dyDescent="0.3">
      <c r="B790" s="129">
        <f>B788+1</f>
        <v>18</v>
      </c>
      <c r="C790" s="130">
        <v>120</v>
      </c>
      <c r="D790" s="196" t="str">
        <f t="shared" si="453"/>
        <v>III</v>
      </c>
      <c r="E790" s="131"/>
      <c r="F790" s="132"/>
      <c r="G790" s="132"/>
      <c r="H790" s="133"/>
      <c r="I790" s="133"/>
      <c r="J790" s="131"/>
      <c r="K790" s="134"/>
      <c r="L790" s="133"/>
      <c r="M790" s="133"/>
      <c r="N790" s="135"/>
      <c r="O790" s="136"/>
      <c r="P790" s="137"/>
      <c r="Q790" s="138"/>
      <c r="R790" s="139"/>
      <c r="S790" s="140"/>
      <c r="T790" s="203">
        <f t="shared" si="478"/>
        <v>43647</v>
      </c>
      <c r="U790" s="204">
        <f t="shared" si="479"/>
        <v>43677</v>
      </c>
      <c r="V790" s="207">
        <f>IF(G790-F790+1-IF(G790-U790&gt;0,G790-U790,0)-IF(T790-F790&gt;0,T790-F790,0)&gt;0,G790-F790+1-IF(G790-U790&gt;0,G790-U790,0)-IF(T790-F790&gt;0,T790-F790,0),0)</f>
        <v>0</v>
      </c>
      <c r="W790" s="206" t="str">
        <f t="shared" ref="W790:W795" si="484">IF(V790&gt;0,H790,"")</f>
        <v/>
      </c>
      <c r="X790" s="206">
        <f t="shared" ref="X790:X795" si="485">IF(AND($V790&gt;0,$I790=1),P790/$E790*$V790,0)</f>
        <v>0</v>
      </c>
      <c r="Y790" s="209">
        <f t="shared" ref="Y790:Y795" si="486">IF(AND($V790&gt;0,$I790&lt;&gt;1),Q790/$E790*$V790,0)</f>
        <v>0</v>
      </c>
    </row>
    <row r="791" spans="2:25" ht="16.5" hidden="1" thickTop="1" thickBot="1" x14ac:dyDescent="0.3">
      <c r="B791" s="60">
        <f>B790</f>
        <v>18</v>
      </c>
      <c r="C791" s="102">
        <v>121</v>
      </c>
      <c r="D791" s="192" t="str">
        <f t="shared" si="453"/>
        <v>III</v>
      </c>
      <c r="E791" s="62"/>
      <c r="F791" s="105"/>
      <c r="G791" s="105"/>
      <c r="H791" s="61"/>
      <c r="I791" s="61"/>
      <c r="J791" s="62"/>
      <c r="K791" s="63"/>
      <c r="L791" s="61"/>
      <c r="M791" s="61"/>
      <c r="N791" s="111"/>
      <c r="O791" s="112"/>
      <c r="P791" s="113"/>
      <c r="Q791" s="114"/>
      <c r="R791" s="64"/>
      <c r="S791" s="108"/>
      <c r="T791" s="203">
        <f t="shared" si="478"/>
        <v>43647</v>
      </c>
      <c r="U791" s="204">
        <f t="shared" si="479"/>
        <v>43677</v>
      </c>
      <c r="V791" s="207">
        <f t="shared" ref="V791:V796" si="487">IF(G791-F791+1-IF(G791-U791&gt;0,G791-U791,0)-IF(T791-F791&gt;0,T791-F791,0)&gt;0,G791-F791+1-IF(G791-U791&gt;0,G791-U791,0)-IF(T791-F791&gt;0,T791-F791,0),0)</f>
        <v>0</v>
      </c>
      <c r="W791" s="206" t="str">
        <f t="shared" si="484"/>
        <v/>
      </c>
      <c r="X791" s="206">
        <f t="shared" si="485"/>
        <v>0</v>
      </c>
      <c r="Y791" s="209">
        <f t="shared" si="486"/>
        <v>0</v>
      </c>
    </row>
    <row r="792" spans="2:25" ht="16.5" hidden="1" thickTop="1" thickBot="1" x14ac:dyDescent="0.3">
      <c r="B792" s="60">
        <f>B790</f>
        <v>18</v>
      </c>
      <c r="C792" s="102">
        <v>122</v>
      </c>
      <c r="D792" s="192" t="str">
        <f t="shared" si="453"/>
        <v>III</v>
      </c>
      <c r="E792" s="62"/>
      <c r="F792" s="105"/>
      <c r="G792" s="105"/>
      <c r="H792" s="61"/>
      <c r="I792" s="61"/>
      <c r="J792" s="62"/>
      <c r="K792" s="63"/>
      <c r="L792" s="61"/>
      <c r="M792" s="61"/>
      <c r="N792" s="111"/>
      <c r="O792" s="112"/>
      <c r="P792" s="113"/>
      <c r="Q792" s="114"/>
      <c r="R792" s="64"/>
      <c r="S792" s="108"/>
      <c r="T792" s="203">
        <f t="shared" si="478"/>
        <v>43647</v>
      </c>
      <c r="U792" s="204">
        <f t="shared" si="479"/>
        <v>43677</v>
      </c>
      <c r="V792" s="207">
        <f t="shared" si="487"/>
        <v>0</v>
      </c>
      <c r="W792" s="206" t="str">
        <f t="shared" si="484"/>
        <v/>
      </c>
      <c r="X792" s="206">
        <f t="shared" si="485"/>
        <v>0</v>
      </c>
      <c r="Y792" s="209">
        <f t="shared" si="486"/>
        <v>0</v>
      </c>
    </row>
    <row r="793" spans="2:25" ht="16.5" hidden="1" thickTop="1" thickBot="1" x14ac:dyDescent="0.3">
      <c r="B793" s="60">
        <f>B790</f>
        <v>18</v>
      </c>
      <c r="C793" s="102">
        <v>123</v>
      </c>
      <c r="D793" s="192" t="str">
        <f t="shared" si="453"/>
        <v>III</v>
      </c>
      <c r="E793" s="62"/>
      <c r="F793" s="105"/>
      <c r="G793" s="105"/>
      <c r="H793" s="61"/>
      <c r="I793" s="61"/>
      <c r="J793" s="62"/>
      <c r="K793" s="63"/>
      <c r="L793" s="61"/>
      <c r="M793" s="61"/>
      <c r="N793" s="111"/>
      <c r="O793" s="112"/>
      <c r="P793" s="113"/>
      <c r="Q793" s="114"/>
      <c r="R793" s="64"/>
      <c r="S793" s="108"/>
      <c r="T793" s="203">
        <f t="shared" si="478"/>
        <v>43647</v>
      </c>
      <c r="U793" s="204">
        <f t="shared" si="479"/>
        <v>43677</v>
      </c>
      <c r="V793" s="207">
        <f t="shared" si="487"/>
        <v>0</v>
      </c>
      <c r="W793" s="206" t="str">
        <f t="shared" si="484"/>
        <v/>
      </c>
      <c r="X793" s="206">
        <f t="shared" si="485"/>
        <v>0</v>
      </c>
      <c r="Y793" s="209">
        <f t="shared" si="486"/>
        <v>0</v>
      </c>
    </row>
    <row r="794" spans="2:25" ht="16.5" hidden="1" thickTop="1" thickBot="1" x14ac:dyDescent="0.3">
      <c r="B794" s="60">
        <f>B790</f>
        <v>18</v>
      </c>
      <c r="C794" s="102">
        <v>124</v>
      </c>
      <c r="D794" s="192" t="str">
        <f t="shared" si="453"/>
        <v>III</v>
      </c>
      <c r="E794" s="62"/>
      <c r="F794" s="105"/>
      <c r="G794" s="105"/>
      <c r="H794" s="61"/>
      <c r="I794" s="61"/>
      <c r="J794" s="62"/>
      <c r="K794" s="63"/>
      <c r="L794" s="61"/>
      <c r="M794" s="61"/>
      <c r="N794" s="111"/>
      <c r="O794" s="112"/>
      <c r="P794" s="113"/>
      <c r="Q794" s="114"/>
      <c r="R794" s="64"/>
      <c r="S794" s="108"/>
      <c r="T794" s="203">
        <f t="shared" si="478"/>
        <v>43647</v>
      </c>
      <c r="U794" s="204">
        <f t="shared" si="479"/>
        <v>43677</v>
      </c>
      <c r="V794" s="207">
        <f t="shared" si="487"/>
        <v>0</v>
      </c>
      <c r="W794" s="206" t="str">
        <f t="shared" si="484"/>
        <v/>
      </c>
      <c r="X794" s="206">
        <f t="shared" si="485"/>
        <v>0</v>
      </c>
      <c r="Y794" s="209">
        <f t="shared" si="486"/>
        <v>0</v>
      </c>
    </row>
    <row r="795" spans="2:25" ht="16.5" hidden="1" thickTop="1" thickBot="1" x14ac:dyDescent="0.3">
      <c r="B795" s="60">
        <f>B790</f>
        <v>18</v>
      </c>
      <c r="C795" s="102">
        <v>125</v>
      </c>
      <c r="D795" s="192" t="str">
        <f t="shared" si="453"/>
        <v>III</v>
      </c>
      <c r="E795" s="62"/>
      <c r="F795" s="105"/>
      <c r="G795" s="105"/>
      <c r="H795" s="61"/>
      <c r="I795" s="61"/>
      <c r="J795" s="62"/>
      <c r="K795" s="63"/>
      <c r="L795" s="61"/>
      <c r="M795" s="61"/>
      <c r="N795" s="111"/>
      <c r="O795" s="112"/>
      <c r="P795" s="113"/>
      <c r="Q795" s="114"/>
      <c r="R795" s="64"/>
      <c r="S795" s="108"/>
      <c r="T795" s="203">
        <f t="shared" si="478"/>
        <v>43647</v>
      </c>
      <c r="U795" s="204">
        <f t="shared" si="479"/>
        <v>43677</v>
      </c>
      <c r="V795" s="207">
        <f t="shared" si="487"/>
        <v>0</v>
      </c>
      <c r="W795" s="206" t="str">
        <f t="shared" si="484"/>
        <v/>
      </c>
      <c r="X795" s="206">
        <f t="shared" si="485"/>
        <v>0</v>
      </c>
      <c r="Y795" s="209">
        <f t="shared" si="486"/>
        <v>0</v>
      </c>
    </row>
    <row r="796" spans="2:25" ht="16.5" hidden="1" thickTop="1" thickBot="1" x14ac:dyDescent="0.3">
      <c r="B796" s="141">
        <f>B790</f>
        <v>18</v>
      </c>
      <c r="C796" s="142">
        <v>126</v>
      </c>
      <c r="D796" s="194" t="str">
        <f t="shared" si="453"/>
        <v>III</v>
      </c>
      <c r="E796" s="143"/>
      <c r="F796" s="144"/>
      <c r="G796" s="144"/>
      <c r="H796" s="145"/>
      <c r="I796" s="145"/>
      <c r="J796" s="436" t="s">
        <v>181</v>
      </c>
      <c r="K796" s="437"/>
      <c r="L796" s="438"/>
      <c r="M796" s="145"/>
      <c r="N796" s="146"/>
      <c r="O796" s="147"/>
      <c r="P796" s="148"/>
      <c r="Q796" s="149"/>
      <c r="R796" s="150"/>
      <c r="S796" s="151"/>
      <c r="T796" s="213">
        <f t="shared" si="478"/>
        <v>43647</v>
      </c>
      <c r="U796" s="214">
        <f t="shared" si="479"/>
        <v>43677</v>
      </c>
      <c r="V796" s="210">
        <f t="shared" si="487"/>
        <v>0</v>
      </c>
      <c r="W796" s="211"/>
      <c r="X796" s="211">
        <f>IF(AND($V796&gt;0,$I796=1),IF($E796=10,P796/10,P796/$V796),0)</f>
        <v>0</v>
      </c>
      <c r="Y796" s="212">
        <f>IF(AND($V790&gt;0,$I796&lt;&gt;1),Q796/E790*V790,0)</f>
        <v>0</v>
      </c>
    </row>
    <row r="797" spans="2:25" ht="16.5" hidden="1" thickTop="1" thickBot="1" x14ac:dyDescent="0.3">
      <c r="B797" s="129">
        <f>B795+1</f>
        <v>19</v>
      </c>
      <c r="C797" s="130">
        <v>127</v>
      </c>
      <c r="D797" s="196" t="str">
        <f t="shared" si="453"/>
        <v>III</v>
      </c>
      <c r="E797" s="152"/>
      <c r="F797" s="153"/>
      <c r="G797" s="153"/>
      <c r="H797" s="154"/>
      <c r="I797" s="154"/>
      <c r="J797" s="152"/>
      <c r="K797" s="155"/>
      <c r="L797" s="154"/>
      <c r="M797" s="154"/>
      <c r="N797" s="156"/>
      <c r="O797" s="157"/>
      <c r="P797" s="158"/>
      <c r="Q797" s="159"/>
      <c r="R797" s="160"/>
      <c r="S797" s="161"/>
      <c r="T797" s="203">
        <f t="shared" si="478"/>
        <v>43647</v>
      </c>
      <c r="U797" s="204">
        <f t="shared" si="479"/>
        <v>43677</v>
      </c>
      <c r="V797" s="207">
        <f>IF(G797-F797+1-IF(G797-U797&gt;0,G797-U797,0)-IF(T797-F797&gt;0,T797-F797,0)&gt;0,G797-F797+1-IF(G797-U797&gt;0,G797-U797,0)-IF(T797-F797&gt;0,T797-F797,0),0)</f>
        <v>0</v>
      </c>
      <c r="W797" s="206" t="str">
        <f t="shared" ref="W797:W802" si="488">IF(V797&gt;0,H797,"")</f>
        <v/>
      </c>
      <c r="X797" s="206">
        <f t="shared" ref="X797:X802" si="489">IF(AND($V797&gt;0,$I797=1),P797/$E797*$V797,0)</f>
        <v>0</v>
      </c>
      <c r="Y797" s="209">
        <f t="shared" ref="Y797:Y802" si="490">IF(AND($V797&gt;0,$I797&lt;&gt;1),Q797/$E797*$V797,0)</f>
        <v>0</v>
      </c>
    </row>
    <row r="798" spans="2:25" ht="16.5" hidden="1" thickTop="1" thickBot="1" x14ac:dyDescent="0.3">
      <c r="B798" s="60">
        <f>B797</f>
        <v>19</v>
      </c>
      <c r="C798" s="102">
        <v>128</v>
      </c>
      <c r="D798" s="192" t="str">
        <f t="shared" si="453"/>
        <v>III</v>
      </c>
      <c r="E798" s="162"/>
      <c r="F798" s="163"/>
      <c r="G798" s="163"/>
      <c r="H798" s="164"/>
      <c r="I798" s="164"/>
      <c r="J798" s="162"/>
      <c r="K798" s="165"/>
      <c r="L798" s="164"/>
      <c r="M798" s="164"/>
      <c r="N798" s="166"/>
      <c r="O798" s="167"/>
      <c r="P798" s="168"/>
      <c r="Q798" s="169"/>
      <c r="R798" s="170"/>
      <c r="S798" s="171"/>
      <c r="T798" s="203">
        <f t="shared" si="478"/>
        <v>43647</v>
      </c>
      <c r="U798" s="204">
        <f t="shared" si="479"/>
        <v>43677</v>
      </c>
      <c r="V798" s="207">
        <f t="shared" ref="V798:V803" si="491">IF(G798-F798+1-IF(G798-U798&gt;0,G798-U798,0)-IF(T798-F798&gt;0,T798-F798,0)&gt;0,G798-F798+1-IF(G798-U798&gt;0,G798-U798,0)-IF(T798-F798&gt;0,T798-F798,0),0)</f>
        <v>0</v>
      </c>
      <c r="W798" s="206" t="str">
        <f t="shared" si="488"/>
        <v/>
      </c>
      <c r="X798" s="206">
        <f t="shared" si="489"/>
        <v>0</v>
      </c>
      <c r="Y798" s="209">
        <f t="shared" si="490"/>
        <v>0</v>
      </c>
    </row>
    <row r="799" spans="2:25" ht="16.5" hidden="1" thickTop="1" thickBot="1" x14ac:dyDescent="0.3">
      <c r="B799" s="60">
        <f>B797</f>
        <v>19</v>
      </c>
      <c r="C799" s="102">
        <v>129</v>
      </c>
      <c r="D799" s="192" t="str">
        <f t="shared" si="453"/>
        <v>III</v>
      </c>
      <c r="E799" s="162"/>
      <c r="F799" s="163"/>
      <c r="G799" s="163"/>
      <c r="H799" s="164"/>
      <c r="I799" s="164"/>
      <c r="J799" s="162"/>
      <c r="K799" s="165"/>
      <c r="L799" s="164"/>
      <c r="M799" s="164"/>
      <c r="N799" s="166"/>
      <c r="O799" s="167"/>
      <c r="P799" s="168"/>
      <c r="Q799" s="169"/>
      <c r="R799" s="170"/>
      <c r="S799" s="171"/>
      <c r="T799" s="203">
        <f t="shared" si="478"/>
        <v>43647</v>
      </c>
      <c r="U799" s="204">
        <f t="shared" si="479"/>
        <v>43677</v>
      </c>
      <c r="V799" s="207">
        <f t="shared" si="491"/>
        <v>0</v>
      </c>
      <c r="W799" s="206" t="str">
        <f t="shared" si="488"/>
        <v/>
      </c>
      <c r="X799" s="206">
        <f t="shared" si="489"/>
        <v>0</v>
      </c>
      <c r="Y799" s="209">
        <f t="shared" si="490"/>
        <v>0</v>
      </c>
    </row>
    <row r="800" spans="2:25" ht="16.5" hidden="1" thickTop="1" thickBot="1" x14ac:dyDescent="0.3">
      <c r="B800" s="60">
        <f>B797</f>
        <v>19</v>
      </c>
      <c r="C800" s="102">
        <v>130</v>
      </c>
      <c r="D800" s="192" t="str">
        <f t="shared" si="453"/>
        <v>III</v>
      </c>
      <c r="E800" s="162"/>
      <c r="F800" s="163"/>
      <c r="G800" s="163"/>
      <c r="H800" s="164"/>
      <c r="I800" s="164"/>
      <c r="J800" s="162"/>
      <c r="K800" s="165"/>
      <c r="L800" s="164"/>
      <c r="M800" s="164"/>
      <c r="N800" s="166"/>
      <c r="O800" s="167"/>
      <c r="P800" s="168"/>
      <c r="Q800" s="169"/>
      <c r="R800" s="170"/>
      <c r="S800" s="171"/>
      <c r="T800" s="203">
        <f t="shared" si="478"/>
        <v>43647</v>
      </c>
      <c r="U800" s="204">
        <f t="shared" si="479"/>
        <v>43677</v>
      </c>
      <c r="V800" s="207">
        <f t="shared" si="491"/>
        <v>0</v>
      </c>
      <c r="W800" s="206" t="str">
        <f t="shared" si="488"/>
        <v/>
      </c>
      <c r="X800" s="206">
        <f t="shared" si="489"/>
        <v>0</v>
      </c>
      <c r="Y800" s="209">
        <f t="shared" si="490"/>
        <v>0</v>
      </c>
    </row>
    <row r="801" spans="2:25" ht="16.5" hidden="1" thickTop="1" thickBot="1" x14ac:dyDescent="0.3">
      <c r="B801" s="60">
        <f>B797</f>
        <v>19</v>
      </c>
      <c r="C801" s="102">
        <v>131</v>
      </c>
      <c r="D801" s="192" t="str">
        <f t="shared" ref="D801:D864" si="492">D800</f>
        <v>III</v>
      </c>
      <c r="E801" s="162"/>
      <c r="F801" s="163"/>
      <c r="G801" s="163"/>
      <c r="H801" s="164"/>
      <c r="I801" s="164"/>
      <c r="J801" s="162"/>
      <c r="K801" s="165"/>
      <c r="L801" s="164"/>
      <c r="M801" s="164"/>
      <c r="N801" s="166"/>
      <c r="O801" s="167"/>
      <c r="P801" s="168"/>
      <c r="Q801" s="169"/>
      <c r="R801" s="170"/>
      <c r="S801" s="171"/>
      <c r="T801" s="203">
        <f t="shared" si="478"/>
        <v>43647</v>
      </c>
      <c r="U801" s="204">
        <f t="shared" si="479"/>
        <v>43677</v>
      </c>
      <c r="V801" s="207">
        <f t="shared" si="491"/>
        <v>0</v>
      </c>
      <c r="W801" s="206" t="str">
        <f t="shared" si="488"/>
        <v/>
      </c>
      <c r="X801" s="206">
        <f t="shared" si="489"/>
        <v>0</v>
      </c>
      <c r="Y801" s="209">
        <f t="shared" si="490"/>
        <v>0</v>
      </c>
    </row>
    <row r="802" spans="2:25" ht="16.5" hidden="1" thickTop="1" thickBot="1" x14ac:dyDescent="0.3">
      <c r="B802" s="60">
        <f>B797</f>
        <v>19</v>
      </c>
      <c r="C802" s="102">
        <v>132</v>
      </c>
      <c r="D802" s="192" t="str">
        <f t="shared" si="492"/>
        <v>III</v>
      </c>
      <c r="E802" s="172"/>
      <c r="F802" s="173"/>
      <c r="G802" s="173"/>
      <c r="H802" s="174"/>
      <c r="I802" s="174"/>
      <c r="J802" s="172"/>
      <c r="K802" s="175"/>
      <c r="L802" s="174"/>
      <c r="M802" s="174"/>
      <c r="N802" s="176"/>
      <c r="O802" s="177"/>
      <c r="P802" s="178"/>
      <c r="Q802" s="179"/>
      <c r="R802" s="180"/>
      <c r="S802" s="181"/>
      <c r="T802" s="203">
        <f t="shared" si="478"/>
        <v>43647</v>
      </c>
      <c r="U802" s="204">
        <f t="shared" si="479"/>
        <v>43677</v>
      </c>
      <c r="V802" s="207">
        <f t="shared" si="491"/>
        <v>0</v>
      </c>
      <c r="W802" s="206" t="str">
        <f t="shared" si="488"/>
        <v/>
      </c>
      <c r="X802" s="206">
        <f t="shared" si="489"/>
        <v>0</v>
      </c>
      <c r="Y802" s="209">
        <f t="shared" si="490"/>
        <v>0</v>
      </c>
    </row>
    <row r="803" spans="2:25" ht="16.5" hidden="1" thickTop="1" thickBot="1" x14ac:dyDescent="0.3">
      <c r="B803" s="141">
        <f>B797</f>
        <v>19</v>
      </c>
      <c r="C803" s="142">
        <v>133</v>
      </c>
      <c r="D803" s="194" t="str">
        <f t="shared" si="492"/>
        <v>III</v>
      </c>
      <c r="E803" s="189"/>
      <c r="F803" s="190"/>
      <c r="G803" s="190"/>
      <c r="H803" s="182"/>
      <c r="I803" s="182"/>
      <c r="J803" s="436" t="s">
        <v>181</v>
      </c>
      <c r="K803" s="437"/>
      <c r="L803" s="438"/>
      <c r="M803" s="182"/>
      <c r="N803" s="183"/>
      <c r="O803" s="184"/>
      <c r="P803" s="185"/>
      <c r="Q803" s="186"/>
      <c r="R803" s="187"/>
      <c r="S803" s="188"/>
      <c r="T803" s="213">
        <f t="shared" si="478"/>
        <v>43647</v>
      </c>
      <c r="U803" s="214">
        <f t="shared" si="479"/>
        <v>43677</v>
      </c>
      <c r="V803" s="210">
        <f t="shared" si="491"/>
        <v>0</v>
      </c>
      <c r="W803" s="211"/>
      <c r="X803" s="211">
        <f>IF(AND($V803&gt;0,$I803=1),IF($E803=10,P803/10,P803/$V803),0)</f>
        <v>0</v>
      </c>
      <c r="Y803" s="212">
        <f>IF(AND($V797&gt;0,$I803&lt;&gt;1),Q803/E797*V797,0)</f>
        <v>0</v>
      </c>
    </row>
    <row r="804" spans="2:25" ht="16.5" hidden="1" thickTop="1" thickBot="1" x14ac:dyDescent="0.3">
      <c r="B804" s="129">
        <f>B802+1</f>
        <v>20</v>
      </c>
      <c r="C804" s="130">
        <v>134</v>
      </c>
      <c r="D804" s="196" t="str">
        <f t="shared" si="492"/>
        <v>III</v>
      </c>
      <c r="E804" s="131"/>
      <c r="F804" s="132"/>
      <c r="G804" s="132"/>
      <c r="H804" s="133"/>
      <c r="I804" s="133"/>
      <c r="J804" s="131"/>
      <c r="K804" s="134"/>
      <c r="L804" s="133"/>
      <c r="M804" s="133"/>
      <c r="N804" s="135"/>
      <c r="O804" s="136"/>
      <c r="P804" s="137"/>
      <c r="Q804" s="138"/>
      <c r="R804" s="139"/>
      <c r="S804" s="140"/>
      <c r="T804" s="203">
        <f t="shared" si="478"/>
        <v>43647</v>
      </c>
      <c r="U804" s="204">
        <f t="shared" si="479"/>
        <v>43677</v>
      </c>
      <c r="V804" s="207">
        <f>IF(G804-F804+1-IF(G804-U804&gt;0,G804-U804,0)-IF(T804-F804&gt;0,T804-F804,0)&gt;0,G804-F804+1-IF(G804-U804&gt;0,G804-U804,0)-IF(T804-F804&gt;0,T804-F804,0),0)</f>
        <v>0</v>
      </c>
      <c r="W804" s="206" t="str">
        <f t="shared" ref="W804:W809" si="493">IF(V804&gt;0,H804,"")</f>
        <v/>
      </c>
      <c r="X804" s="206">
        <f t="shared" ref="X804:X809" si="494">IF(AND($V804&gt;0,$I804=1),P804/$E804*$V804,0)</f>
        <v>0</v>
      </c>
      <c r="Y804" s="209">
        <f t="shared" ref="Y804:Y809" si="495">IF(AND($V804&gt;0,$I804&lt;&gt;1),Q804/$E804*$V804,0)</f>
        <v>0</v>
      </c>
    </row>
    <row r="805" spans="2:25" ht="16.5" hidden="1" thickTop="1" thickBot="1" x14ac:dyDescent="0.3">
      <c r="B805" s="60">
        <f>B804</f>
        <v>20</v>
      </c>
      <c r="C805" s="102">
        <v>135</v>
      </c>
      <c r="D805" s="192" t="str">
        <f t="shared" si="492"/>
        <v>III</v>
      </c>
      <c r="E805" s="62"/>
      <c r="F805" s="105"/>
      <c r="G805" s="105"/>
      <c r="H805" s="61"/>
      <c r="I805" s="61"/>
      <c r="J805" s="62"/>
      <c r="K805" s="63"/>
      <c r="L805" s="61"/>
      <c r="M805" s="61"/>
      <c r="N805" s="111"/>
      <c r="O805" s="112"/>
      <c r="P805" s="113"/>
      <c r="Q805" s="114"/>
      <c r="R805" s="64"/>
      <c r="S805" s="108"/>
      <c r="T805" s="203">
        <f t="shared" si="478"/>
        <v>43647</v>
      </c>
      <c r="U805" s="204">
        <f t="shared" si="479"/>
        <v>43677</v>
      </c>
      <c r="V805" s="207">
        <f t="shared" ref="V805:V810" si="496">IF(G805-F805+1-IF(G805-U805&gt;0,G805-U805,0)-IF(T805-F805&gt;0,T805-F805,0)&gt;0,G805-F805+1-IF(G805-U805&gt;0,G805-U805,0)-IF(T805-F805&gt;0,T805-F805,0),0)</f>
        <v>0</v>
      </c>
      <c r="W805" s="206" t="str">
        <f t="shared" si="493"/>
        <v/>
      </c>
      <c r="X805" s="206">
        <f t="shared" si="494"/>
        <v>0</v>
      </c>
      <c r="Y805" s="209">
        <f t="shared" si="495"/>
        <v>0</v>
      </c>
    </row>
    <row r="806" spans="2:25" ht="16.5" hidden="1" thickTop="1" thickBot="1" x14ac:dyDescent="0.3">
      <c r="B806" s="60">
        <f>B804</f>
        <v>20</v>
      </c>
      <c r="C806" s="102">
        <v>136</v>
      </c>
      <c r="D806" s="192" t="str">
        <f t="shared" si="492"/>
        <v>III</v>
      </c>
      <c r="E806" s="62"/>
      <c r="F806" s="105"/>
      <c r="G806" s="105"/>
      <c r="H806" s="61"/>
      <c r="I806" s="61"/>
      <c r="J806" s="62"/>
      <c r="K806" s="63"/>
      <c r="L806" s="61"/>
      <c r="M806" s="61"/>
      <c r="N806" s="111"/>
      <c r="O806" s="112"/>
      <c r="P806" s="113"/>
      <c r="Q806" s="114"/>
      <c r="R806" s="64"/>
      <c r="S806" s="108"/>
      <c r="T806" s="203">
        <f t="shared" si="478"/>
        <v>43647</v>
      </c>
      <c r="U806" s="204">
        <f t="shared" si="479"/>
        <v>43677</v>
      </c>
      <c r="V806" s="207">
        <f t="shared" si="496"/>
        <v>0</v>
      </c>
      <c r="W806" s="206" t="str">
        <f t="shared" si="493"/>
        <v/>
      </c>
      <c r="X806" s="206">
        <f t="shared" si="494"/>
        <v>0</v>
      </c>
      <c r="Y806" s="209">
        <f t="shared" si="495"/>
        <v>0</v>
      </c>
    </row>
    <row r="807" spans="2:25" ht="16.5" hidden="1" thickTop="1" thickBot="1" x14ac:dyDescent="0.3">
      <c r="B807" s="60">
        <f>B804</f>
        <v>20</v>
      </c>
      <c r="C807" s="102">
        <v>137</v>
      </c>
      <c r="D807" s="192" t="str">
        <f t="shared" si="492"/>
        <v>III</v>
      </c>
      <c r="E807" s="62"/>
      <c r="F807" s="105"/>
      <c r="G807" s="105"/>
      <c r="H807" s="61"/>
      <c r="I807" s="61"/>
      <c r="J807" s="62"/>
      <c r="K807" s="63"/>
      <c r="L807" s="61"/>
      <c r="M807" s="61"/>
      <c r="N807" s="111"/>
      <c r="O807" s="112"/>
      <c r="P807" s="113"/>
      <c r="Q807" s="114"/>
      <c r="R807" s="64"/>
      <c r="S807" s="108"/>
      <c r="T807" s="203">
        <f t="shared" si="478"/>
        <v>43647</v>
      </c>
      <c r="U807" s="204">
        <f t="shared" si="479"/>
        <v>43677</v>
      </c>
      <c r="V807" s="207">
        <f t="shared" si="496"/>
        <v>0</v>
      </c>
      <c r="W807" s="206" t="str">
        <f t="shared" si="493"/>
        <v/>
      </c>
      <c r="X807" s="206">
        <f t="shared" si="494"/>
        <v>0</v>
      </c>
      <c r="Y807" s="209">
        <f t="shared" si="495"/>
        <v>0</v>
      </c>
    </row>
    <row r="808" spans="2:25" ht="16.5" hidden="1" thickTop="1" thickBot="1" x14ac:dyDescent="0.3">
      <c r="B808" s="60">
        <f>B804</f>
        <v>20</v>
      </c>
      <c r="C808" s="102">
        <v>138</v>
      </c>
      <c r="D808" s="192" t="str">
        <f t="shared" si="492"/>
        <v>III</v>
      </c>
      <c r="E808" s="62"/>
      <c r="F808" s="105"/>
      <c r="G808" s="105"/>
      <c r="H808" s="61"/>
      <c r="I808" s="61"/>
      <c r="J808" s="62"/>
      <c r="K808" s="63"/>
      <c r="L808" s="61"/>
      <c r="M808" s="61"/>
      <c r="N808" s="111"/>
      <c r="O808" s="112"/>
      <c r="P808" s="113"/>
      <c r="Q808" s="114"/>
      <c r="R808" s="64"/>
      <c r="S808" s="108"/>
      <c r="T808" s="203">
        <f t="shared" si="478"/>
        <v>43647</v>
      </c>
      <c r="U808" s="204">
        <f t="shared" si="479"/>
        <v>43677</v>
      </c>
      <c r="V808" s="207">
        <f t="shared" si="496"/>
        <v>0</v>
      </c>
      <c r="W808" s="206" t="str">
        <f t="shared" si="493"/>
        <v/>
      </c>
      <c r="X808" s="206">
        <f t="shared" si="494"/>
        <v>0</v>
      </c>
      <c r="Y808" s="209">
        <f t="shared" si="495"/>
        <v>0</v>
      </c>
    </row>
    <row r="809" spans="2:25" ht="16.5" hidden="1" thickTop="1" thickBot="1" x14ac:dyDescent="0.3">
      <c r="B809" s="60">
        <f>B804</f>
        <v>20</v>
      </c>
      <c r="C809" s="102">
        <v>139</v>
      </c>
      <c r="D809" s="192" t="str">
        <f t="shared" si="492"/>
        <v>III</v>
      </c>
      <c r="E809" s="62"/>
      <c r="F809" s="105"/>
      <c r="G809" s="105"/>
      <c r="H809" s="61"/>
      <c r="I809" s="61"/>
      <c r="J809" s="62"/>
      <c r="K809" s="63"/>
      <c r="L809" s="61"/>
      <c r="M809" s="61"/>
      <c r="N809" s="111"/>
      <c r="O809" s="112"/>
      <c r="P809" s="113"/>
      <c r="Q809" s="114"/>
      <c r="R809" s="64"/>
      <c r="S809" s="108"/>
      <c r="T809" s="203">
        <f t="shared" si="478"/>
        <v>43647</v>
      </c>
      <c r="U809" s="204">
        <f t="shared" si="479"/>
        <v>43677</v>
      </c>
      <c r="V809" s="207">
        <f t="shared" si="496"/>
        <v>0</v>
      </c>
      <c r="W809" s="206" t="str">
        <f t="shared" si="493"/>
        <v/>
      </c>
      <c r="X809" s="206">
        <f t="shared" si="494"/>
        <v>0</v>
      </c>
      <c r="Y809" s="209">
        <f t="shared" si="495"/>
        <v>0</v>
      </c>
    </row>
    <row r="810" spans="2:25" ht="16.5" hidden="1" thickTop="1" thickBot="1" x14ac:dyDescent="0.3">
      <c r="B810" s="141">
        <f>B804</f>
        <v>20</v>
      </c>
      <c r="C810" s="142">
        <v>140</v>
      </c>
      <c r="D810" s="194" t="str">
        <f t="shared" si="492"/>
        <v>III</v>
      </c>
      <c r="E810" s="143"/>
      <c r="F810" s="144"/>
      <c r="G810" s="144"/>
      <c r="H810" s="145"/>
      <c r="I810" s="145"/>
      <c r="J810" s="436" t="s">
        <v>181</v>
      </c>
      <c r="K810" s="437"/>
      <c r="L810" s="438"/>
      <c r="M810" s="145"/>
      <c r="N810" s="146"/>
      <c r="O810" s="147"/>
      <c r="P810" s="148"/>
      <c r="Q810" s="149"/>
      <c r="R810" s="150"/>
      <c r="S810" s="151"/>
      <c r="T810" s="213">
        <f t="shared" si="478"/>
        <v>43647</v>
      </c>
      <c r="U810" s="214">
        <f t="shared" si="479"/>
        <v>43677</v>
      </c>
      <c r="V810" s="210">
        <f t="shared" si="496"/>
        <v>0</v>
      </c>
      <c r="W810" s="211"/>
      <c r="X810" s="211">
        <f>IF(AND($V810&gt;0,$I810=1),IF($E810=10,P810/10,P810/$V810),0)</f>
        <v>0</v>
      </c>
      <c r="Y810" s="212">
        <f>IF(AND($V804&gt;0,$I810&lt;&gt;1),Q810/E804*V804,0)</f>
        <v>0</v>
      </c>
    </row>
    <row r="811" spans="2:25" ht="16.5" hidden="1" thickTop="1" thickBot="1" x14ac:dyDescent="0.3">
      <c r="B811" s="129">
        <f>B809+1</f>
        <v>21</v>
      </c>
      <c r="C811" s="130">
        <v>141</v>
      </c>
      <c r="D811" s="196" t="str">
        <f t="shared" si="492"/>
        <v>III</v>
      </c>
      <c r="E811" s="152"/>
      <c r="F811" s="153"/>
      <c r="G811" s="153"/>
      <c r="H811" s="154"/>
      <c r="I811" s="154"/>
      <c r="J811" s="152"/>
      <c r="K811" s="155"/>
      <c r="L811" s="154"/>
      <c r="M811" s="154"/>
      <c r="N811" s="156"/>
      <c r="O811" s="157"/>
      <c r="P811" s="158"/>
      <c r="Q811" s="159"/>
      <c r="R811" s="160"/>
      <c r="S811" s="161"/>
      <c r="T811" s="203">
        <f t="shared" si="478"/>
        <v>43647</v>
      </c>
      <c r="U811" s="204">
        <f t="shared" si="479"/>
        <v>43677</v>
      </c>
      <c r="V811" s="207">
        <f>IF(G811-F811+1-IF(G811-U811&gt;0,G811-U811,0)-IF(T811-F811&gt;0,T811-F811,0)&gt;0,G811-F811+1-IF(G811-U811&gt;0,G811-U811,0)-IF(T811-F811&gt;0,T811-F811,0),0)</f>
        <v>0</v>
      </c>
      <c r="W811" s="206" t="str">
        <f t="shared" ref="W811:W816" si="497">IF(V811&gt;0,H811,"")</f>
        <v/>
      </c>
      <c r="X811" s="206">
        <f t="shared" ref="X811:X816" si="498">IF(AND($V811&gt;0,$I811=1),P811/$E811*$V811,0)</f>
        <v>0</v>
      </c>
      <c r="Y811" s="209">
        <f t="shared" ref="Y811:Y816" si="499">IF(AND($V811&gt;0,$I811&lt;&gt;1),Q811/$E811*$V811,0)</f>
        <v>0</v>
      </c>
    </row>
    <row r="812" spans="2:25" ht="16.5" hidden="1" thickTop="1" thickBot="1" x14ac:dyDescent="0.3">
      <c r="B812" s="60">
        <f>B811</f>
        <v>21</v>
      </c>
      <c r="C812" s="102">
        <v>142</v>
      </c>
      <c r="D812" s="192" t="str">
        <f t="shared" si="492"/>
        <v>III</v>
      </c>
      <c r="E812" s="162"/>
      <c r="F812" s="163"/>
      <c r="G812" s="163"/>
      <c r="H812" s="164"/>
      <c r="I812" s="164"/>
      <c r="J812" s="162"/>
      <c r="K812" s="165"/>
      <c r="L812" s="164"/>
      <c r="M812" s="164"/>
      <c r="N812" s="166"/>
      <c r="O812" s="167"/>
      <c r="P812" s="168"/>
      <c r="Q812" s="169"/>
      <c r="R812" s="170"/>
      <c r="S812" s="171"/>
      <c r="T812" s="203">
        <f t="shared" si="478"/>
        <v>43647</v>
      </c>
      <c r="U812" s="204">
        <f t="shared" si="479"/>
        <v>43677</v>
      </c>
      <c r="V812" s="207">
        <f t="shared" ref="V812:V817" si="500">IF(G812-F812+1-IF(G812-U812&gt;0,G812-U812,0)-IF(T812-F812&gt;0,T812-F812,0)&gt;0,G812-F812+1-IF(G812-U812&gt;0,G812-U812,0)-IF(T812-F812&gt;0,T812-F812,0),0)</f>
        <v>0</v>
      </c>
      <c r="W812" s="206" t="str">
        <f t="shared" si="497"/>
        <v/>
      </c>
      <c r="X812" s="206">
        <f t="shared" si="498"/>
        <v>0</v>
      </c>
      <c r="Y812" s="209">
        <f t="shared" si="499"/>
        <v>0</v>
      </c>
    </row>
    <row r="813" spans="2:25" ht="16.5" hidden="1" thickTop="1" thickBot="1" x14ac:dyDescent="0.3">
      <c r="B813" s="60">
        <f>B811</f>
        <v>21</v>
      </c>
      <c r="C813" s="102">
        <v>143</v>
      </c>
      <c r="D813" s="192" t="str">
        <f t="shared" si="492"/>
        <v>III</v>
      </c>
      <c r="E813" s="162"/>
      <c r="F813" s="163"/>
      <c r="G813" s="163"/>
      <c r="H813" s="164"/>
      <c r="I813" s="164"/>
      <c r="J813" s="162"/>
      <c r="K813" s="165"/>
      <c r="L813" s="164"/>
      <c r="M813" s="164"/>
      <c r="N813" s="166"/>
      <c r="O813" s="167"/>
      <c r="P813" s="168"/>
      <c r="Q813" s="169"/>
      <c r="R813" s="170"/>
      <c r="S813" s="171"/>
      <c r="T813" s="203">
        <f t="shared" si="478"/>
        <v>43647</v>
      </c>
      <c r="U813" s="204">
        <f t="shared" si="479"/>
        <v>43677</v>
      </c>
      <c r="V813" s="207">
        <f t="shared" si="500"/>
        <v>0</v>
      </c>
      <c r="W813" s="206" t="str">
        <f t="shared" si="497"/>
        <v/>
      </c>
      <c r="X813" s="206">
        <f t="shared" si="498"/>
        <v>0</v>
      </c>
      <c r="Y813" s="209">
        <f t="shared" si="499"/>
        <v>0</v>
      </c>
    </row>
    <row r="814" spans="2:25" ht="16.5" hidden="1" thickTop="1" thickBot="1" x14ac:dyDescent="0.3">
      <c r="B814" s="60">
        <f>B811</f>
        <v>21</v>
      </c>
      <c r="C814" s="102">
        <v>144</v>
      </c>
      <c r="D814" s="192" t="str">
        <f t="shared" si="492"/>
        <v>III</v>
      </c>
      <c r="E814" s="162"/>
      <c r="F814" s="163"/>
      <c r="G814" s="163"/>
      <c r="H814" s="164"/>
      <c r="I814" s="164"/>
      <c r="J814" s="162"/>
      <c r="K814" s="165"/>
      <c r="L814" s="164"/>
      <c r="M814" s="164"/>
      <c r="N814" s="166"/>
      <c r="O814" s="167"/>
      <c r="P814" s="168"/>
      <c r="Q814" s="169"/>
      <c r="R814" s="170"/>
      <c r="S814" s="171"/>
      <c r="T814" s="203">
        <f t="shared" si="478"/>
        <v>43647</v>
      </c>
      <c r="U814" s="204">
        <f t="shared" si="479"/>
        <v>43677</v>
      </c>
      <c r="V814" s="207">
        <f t="shared" si="500"/>
        <v>0</v>
      </c>
      <c r="W814" s="206" t="str">
        <f t="shared" si="497"/>
        <v/>
      </c>
      <c r="X814" s="206">
        <f t="shared" si="498"/>
        <v>0</v>
      </c>
      <c r="Y814" s="209">
        <f t="shared" si="499"/>
        <v>0</v>
      </c>
    </row>
    <row r="815" spans="2:25" ht="16.5" hidden="1" thickTop="1" thickBot="1" x14ac:dyDescent="0.3">
      <c r="B815" s="60">
        <f>B811</f>
        <v>21</v>
      </c>
      <c r="C815" s="102">
        <v>145</v>
      </c>
      <c r="D815" s="192" t="str">
        <f t="shared" si="492"/>
        <v>III</v>
      </c>
      <c r="E815" s="162"/>
      <c r="F815" s="163"/>
      <c r="G815" s="163"/>
      <c r="H815" s="164"/>
      <c r="I815" s="164"/>
      <c r="J815" s="162"/>
      <c r="K815" s="165"/>
      <c r="L815" s="164"/>
      <c r="M815" s="164"/>
      <c r="N815" s="166"/>
      <c r="O815" s="167"/>
      <c r="P815" s="168"/>
      <c r="Q815" s="169"/>
      <c r="R815" s="170"/>
      <c r="S815" s="171"/>
      <c r="T815" s="203">
        <f t="shared" si="478"/>
        <v>43647</v>
      </c>
      <c r="U815" s="204">
        <f t="shared" si="479"/>
        <v>43677</v>
      </c>
      <c r="V815" s="207">
        <f t="shared" si="500"/>
        <v>0</v>
      </c>
      <c r="W815" s="206" t="str">
        <f t="shared" si="497"/>
        <v/>
      </c>
      <c r="X815" s="206">
        <f t="shared" si="498"/>
        <v>0</v>
      </c>
      <c r="Y815" s="209">
        <f t="shared" si="499"/>
        <v>0</v>
      </c>
    </row>
    <row r="816" spans="2:25" ht="16.5" hidden="1" thickTop="1" thickBot="1" x14ac:dyDescent="0.3">
      <c r="B816" s="60">
        <f>B811</f>
        <v>21</v>
      </c>
      <c r="C816" s="102">
        <v>146</v>
      </c>
      <c r="D816" s="192" t="str">
        <f t="shared" si="492"/>
        <v>III</v>
      </c>
      <c r="E816" s="172"/>
      <c r="F816" s="173"/>
      <c r="G816" s="173"/>
      <c r="H816" s="174"/>
      <c r="I816" s="174"/>
      <c r="J816" s="172"/>
      <c r="K816" s="175"/>
      <c r="L816" s="174"/>
      <c r="M816" s="174"/>
      <c r="N816" s="176"/>
      <c r="O816" s="177"/>
      <c r="P816" s="178"/>
      <c r="Q816" s="179"/>
      <c r="R816" s="180"/>
      <c r="S816" s="181"/>
      <c r="T816" s="203">
        <f t="shared" si="478"/>
        <v>43647</v>
      </c>
      <c r="U816" s="204">
        <f t="shared" si="479"/>
        <v>43677</v>
      </c>
      <c r="V816" s="207">
        <f t="shared" si="500"/>
        <v>0</v>
      </c>
      <c r="W816" s="206" t="str">
        <f t="shared" si="497"/>
        <v/>
      </c>
      <c r="X816" s="206">
        <f t="shared" si="498"/>
        <v>0</v>
      </c>
      <c r="Y816" s="209">
        <f t="shared" si="499"/>
        <v>0</v>
      </c>
    </row>
    <row r="817" spans="2:25" ht="16.5" hidden="1" thickTop="1" thickBot="1" x14ac:dyDescent="0.3">
      <c r="B817" s="141">
        <f>B811</f>
        <v>21</v>
      </c>
      <c r="C817" s="142">
        <v>147</v>
      </c>
      <c r="D817" s="194" t="str">
        <f t="shared" si="492"/>
        <v>III</v>
      </c>
      <c r="E817" s="189"/>
      <c r="F817" s="190"/>
      <c r="G817" s="190"/>
      <c r="H817" s="182"/>
      <c r="I817" s="182"/>
      <c r="J817" s="436" t="s">
        <v>181</v>
      </c>
      <c r="K817" s="437"/>
      <c r="L817" s="438"/>
      <c r="M817" s="182"/>
      <c r="N817" s="183"/>
      <c r="O817" s="184"/>
      <c r="P817" s="185"/>
      <c r="Q817" s="186"/>
      <c r="R817" s="187"/>
      <c r="S817" s="188"/>
      <c r="T817" s="213">
        <f t="shared" si="478"/>
        <v>43647</v>
      </c>
      <c r="U817" s="214">
        <f t="shared" si="479"/>
        <v>43677</v>
      </c>
      <c r="V817" s="210">
        <f t="shared" si="500"/>
        <v>0</v>
      </c>
      <c r="W817" s="211"/>
      <c r="X817" s="211">
        <f>IF(AND($V817&gt;0,$I817=1),IF($E817=10,P817/10,P817/$V817),0)</f>
        <v>0</v>
      </c>
      <c r="Y817" s="212">
        <f>IF(AND($V811&gt;0,$I817&lt;&gt;1),Q817/E811*V811,0)</f>
        <v>0</v>
      </c>
    </row>
    <row r="818" spans="2:25" ht="16.5" hidden="1" thickTop="1" thickBot="1" x14ac:dyDescent="0.3">
      <c r="B818" s="129">
        <f>B816+1</f>
        <v>22</v>
      </c>
      <c r="C818" s="130">
        <v>148</v>
      </c>
      <c r="D818" s="196" t="str">
        <f t="shared" si="492"/>
        <v>III</v>
      </c>
      <c r="E818" s="131"/>
      <c r="F818" s="132"/>
      <c r="G818" s="132"/>
      <c r="H818" s="133"/>
      <c r="I818" s="133"/>
      <c r="J818" s="131"/>
      <c r="K818" s="134"/>
      <c r="L818" s="133"/>
      <c r="M818" s="133"/>
      <c r="N818" s="135"/>
      <c r="O818" s="136"/>
      <c r="P818" s="137"/>
      <c r="Q818" s="138"/>
      <c r="R818" s="139"/>
      <c r="S818" s="140"/>
      <c r="T818" s="203">
        <f t="shared" si="478"/>
        <v>43647</v>
      </c>
      <c r="U818" s="204">
        <f t="shared" si="479"/>
        <v>43677</v>
      </c>
      <c r="V818" s="207">
        <f>IF(G818-F818+1-IF(G818-U818&gt;0,G818-U818,0)-IF(T818-F818&gt;0,T818-F818,0)&gt;0,G818-F818+1-IF(G818-U818&gt;0,G818-U818,0)-IF(T818-F818&gt;0,T818-F818,0),0)</f>
        <v>0</v>
      </c>
      <c r="W818" s="206" t="str">
        <f t="shared" ref="W818:W823" si="501">IF(V818&gt;0,H818,"")</f>
        <v/>
      </c>
      <c r="X818" s="206">
        <f t="shared" ref="X818:X823" si="502">IF(AND($V818&gt;0,$I818=1),P818/$E818*$V818,0)</f>
        <v>0</v>
      </c>
      <c r="Y818" s="209">
        <f t="shared" ref="Y818:Y823" si="503">IF(AND($V818&gt;0,$I818&lt;&gt;1),Q818/$E818*$V818,0)</f>
        <v>0</v>
      </c>
    </row>
    <row r="819" spans="2:25" ht="16.5" hidden="1" thickTop="1" thickBot="1" x14ac:dyDescent="0.3">
      <c r="B819" s="60">
        <f>B818</f>
        <v>22</v>
      </c>
      <c r="C819" s="102">
        <v>149</v>
      </c>
      <c r="D819" s="192" t="str">
        <f t="shared" si="492"/>
        <v>III</v>
      </c>
      <c r="E819" s="62"/>
      <c r="F819" s="105"/>
      <c r="G819" s="105"/>
      <c r="H819" s="61"/>
      <c r="I819" s="61"/>
      <c r="J819" s="62"/>
      <c r="K819" s="63"/>
      <c r="L819" s="61"/>
      <c r="M819" s="61"/>
      <c r="N819" s="111"/>
      <c r="O819" s="112"/>
      <c r="P819" s="113"/>
      <c r="Q819" s="114"/>
      <c r="R819" s="64"/>
      <c r="S819" s="108"/>
      <c r="T819" s="203">
        <f t="shared" si="478"/>
        <v>43647</v>
      </c>
      <c r="U819" s="204">
        <f t="shared" si="479"/>
        <v>43677</v>
      </c>
      <c r="V819" s="207">
        <f t="shared" ref="V819:V824" si="504">IF(G819-F819+1-IF(G819-U819&gt;0,G819-U819,0)-IF(T819-F819&gt;0,T819-F819,0)&gt;0,G819-F819+1-IF(G819-U819&gt;0,G819-U819,0)-IF(T819-F819&gt;0,T819-F819,0),0)</f>
        <v>0</v>
      </c>
      <c r="W819" s="206" t="str">
        <f t="shared" si="501"/>
        <v/>
      </c>
      <c r="X819" s="206">
        <f t="shared" si="502"/>
        <v>0</v>
      </c>
      <c r="Y819" s="209">
        <f t="shared" si="503"/>
        <v>0</v>
      </c>
    </row>
    <row r="820" spans="2:25" ht="16.5" hidden="1" thickTop="1" thickBot="1" x14ac:dyDescent="0.3">
      <c r="B820" s="60">
        <f>B818</f>
        <v>22</v>
      </c>
      <c r="C820" s="102">
        <v>150</v>
      </c>
      <c r="D820" s="192" t="str">
        <f t="shared" si="492"/>
        <v>III</v>
      </c>
      <c r="E820" s="62"/>
      <c r="F820" s="105"/>
      <c r="G820" s="105"/>
      <c r="H820" s="61"/>
      <c r="I820" s="61"/>
      <c r="J820" s="62"/>
      <c r="K820" s="63"/>
      <c r="L820" s="61"/>
      <c r="M820" s="61"/>
      <c r="N820" s="111"/>
      <c r="O820" s="112"/>
      <c r="P820" s="113"/>
      <c r="Q820" s="114"/>
      <c r="R820" s="64"/>
      <c r="S820" s="108"/>
      <c r="T820" s="203">
        <f t="shared" si="478"/>
        <v>43647</v>
      </c>
      <c r="U820" s="204">
        <f t="shared" si="479"/>
        <v>43677</v>
      </c>
      <c r="V820" s="207">
        <f t="shared" si="504"/>
        <v>0</v>
      </c>
      <c r="W820" s="206" t="str">
        <f t="shared" si="501"/>
        <v/>
      </c>
      <c r="X820" s="206">
        <f t="shared" si="502"/>
        <v>0</v>
      </c>
      <c r="Y820" s="209">
        <f t="shared" si="503"/>
        <v>0</v>
      </c>
    </row>
    <row r="821" spans="2:25" ht="16.5" hidden="1" thickTop="1" thickBot="1" x14ac:dyDescent="0.3">
      <c r="B821" s="60">
        <f>B818</f>
        <v>22</v>
      </c>
      <c r="C821" s="102">
        <v>151</v>
      </c>
      <c r="D821" s="192" t="str">
        <f t="shared" si="492"/>
        <v>III</v>
      </c>
      <c r="E821" s="62"/>
      <c r="F821" s="105"/>
      <c r="G821" s="105"/>
      <c r="H821" s="61"/>
      <c r="I821" s="61"/>
      <c r="J821" s="62"/>
      <c r="K821" s="63"/>
      <c r="L821" s="61"/>
      <c r="M821" s="61"/>
      <c r="N821" s="111"/>
      <c r="O821" s="112"/>
      <c r="P821" s="113"/>
      <c r="Q821" s="114"/>
      <c r="R821" s="64"/>
      <c r="S821" s="108"/>
      <c r="T821" s="203">
        <f t="shared" si="478"/>
        <v>43647</v>
      </c>
      <c r="U821" s="204">
        <f t="shared" si="479"/>
        <v>43677</v>
      </c>
      <c r="V821" s="207">
        <f t="shared" si="504"/>
        <v>0</v>
      </c>
      <c r="W821" s="206" t="str">
        <f t="shared" si="501"/>
        <v/>
      </c>
      <c r="X821" s="206">
        <f t="shared" si="502"/>
        <v>0</v>
      </c>
      <c r="Y821" s="209">
        <f t="shared" si="503"/>
        <v>0</v>
      </c>
    </row>
    <row r="822" spans="2:25" ht="16.5" hidden="1" thickTop="1" thickBot="1" x14ac:dyDescent="0.3">
      <c r="B822" s="60">
        <f>B818</f>
        <v>22</v>
      </c>
      <c r="C822" s="102">
        <v>152</v>
      </c>
      <c r="D822" s="192" t="str">
        <f t="shared" si="492"/>
        <v>III</v>
      </c>
      <c r="E822" s="62"/>
      <c r="F822" s="105"/>
      <c r="G822" s="105"/>
      <c r="H822" s="61"/>
      <c r="I822" s="61"/>
      <c r="J822" s="62"/>
      <c r="K822" s="63"/>
      <c r="L822" s="61"/>
      <c r="M822" s="61"/>
      <c r="N822" s="111"/>
      <c r="O822" s="112"/>
      <c r="P822" s="113"/>
      <c r="Q822" s="114"/>
      <c r="R822" s="64"/>
      <c r="S822" s="108"/>
      <c r="T822" s="203">
        <f t="shared" si="478"/>
        <v>43647</v>
      </c>
      <c r="U822" s="204">
        <f t="shared" si="479"/>
        <v>43677</v>
      </c>
      <c r="V822" s="207">
        <f t="shared" si="504"/>
        <v>0</v>
      </c>
      <c r="W822" s="206" t="str">
        <f t="shared" si="501"/>
        <v/>
      </c>
      <c r="X822" s="206">
        <f t="shared" si="502"/>
        <v>0</v>
      </c>
      <c r="Y822" s="209">
        <f t="shared" si="503"/>
        <v>0</v>
      </c>
    </row>
    <row r="823" spans="2:25" ht="16.5" hidden="1" thickTop="1" thickBot="1" x14ac:dyDescent="0.3">
      <c r="B823" s="60">
        <f>B818</f>
        <v>22</v>
      </c>
      <c r="C823" s="102">
        <v>153</v>
      </c>
      <c r="D823" s="192" t="str">
        <f t="shared" si="492"/>
        <v>III</v>
      </c>
      <c r="E823" s="62"/>
      <c r="F823" s="105"/>
      <c r="G823" s="105"/>
      <c r="H823" s="61"/>
      <c r="I823" s="61"/>
      <c r="J823" s="62"/>
      <c r="K823" s="63"/>
      <c r="L823" s="61"/>
      <c r="M823" s="61"/>
      <c r="N823" s="111"/>
      <c r="O823" s="112"/>
      <c r="P823" s="113"/>
      <c r="Q823" s="114"/>
      <c r="R823" s="64"/>
      <c r="S823" s="108"/>
      <c r="T823" s="203">
        <f t="shared" si="478"/>
        <v>43647</v>
      </c>
      <c r="U823" s="204">
        <f t="shared" si="479"/>
        <v>43677</v>
      </c>
      <c r="V823" s="207">
        <f t="shared" si="504"/>
        <v>0</v>
      </c>
      <c r="W823" s="206" t="str">
        <f t="shared" si="501"/>
        <v/>
      </c>
      <c r="X823" s="206">
        <f t="shared" si="502"/>
        <v>0</v>
      </c>
      <c r="Y823" s="209">
        <f t="shared" si="503"/>
        <v>0</v>
      </c>
    </row>
    <row r="824" spans="2:25" ht="16.5" hidden="1" thickTop="1" thickBot="1" x14ac:dyDescent="0.3">
      <c r="B824" s="141">
        <f>B818</f>
        <v>22</v>
      </c>
      <c r="C824" s="142">
        <v>154</v>
      </c>
      <c r="D824" s="194" t="str">
        <f t="shared" si="492"/>
        <v>III</v>
      </c>
      <c r="E824" s="143"/>
      <c r="F824" s="144"/>
      <c r="G824" s="144"/>
      <c r="H824" s="145"/>
      <c r="I824" s="145"/>
      <c r="J824" s="436" t="s">
        <v>181</v>
      </c>
      <c r="K824" s="437"/>
      <c r="L824" s="438"/>
      <c r="M824" s="145"/>
      <c r="N824" s="146"/>
      <c r="O824" s="147"/>
      <c r="P824" s="148"/>
      <c r="Q824" s="149"/>
      <c r="R824" s="150"/>
      <c r="S824" s="151"/>
      <c r="T824" s="213">
        <f t="shared" si="478"/>
        <v>43647</v>
      </c>
      <c r="U824" s="214">
        <f t="shared" si="479"/>
        <v>43677</v>
      </c>
      <c r="V824" s="210">
        <f t="shared" si="504"/>
        <v>0</v>
      </c>
      <c r="W824" s="211"/>
      <c r="X824" s="211">
        <f>IF(AND($V824&gt;0,$I824=1),IF($E824=10,P824/10,P824/$V824),0)</f>
        <v>0</v>
      </c>
      <c r="Y824" s="212">
        <f>IF(AND($V818&gt;0,$I824&lt;&gt;1),Q824/E818*V818,0)</f>
        <v>0</v>
      </c>
    </row>
    <row r="825" spans="2:25" ht="16.5" hidden="1" thickTop="1" thickBot="1" x14ac:dyDescent="0.3">
      <c r="B825" s="129">
        <f>B823+1</f>
        <v>23</v>
      </c>
      <c r="C825" s="130">
        <v>155</v>
      </c>
      <c r="D825" s="196" t="str">
        <f t="shared" si="492"/>
        <v>III</v>
      </c>
      <c r="E825" s="152"/>
      <c r="F825" s="153"/>
      <c r="G825" s="153"/>
      <c r="H825" s="154"/>
      <c r="I825" s="154"/>
      <c r="J825" s="152"/>
      <c r="K825" s="155"/>
      <c r="L825" s="154"/>
      <c r="M825" s="154"/>
      <c r="N825" s="156"/>
      <c r="O825" s="157"/>
      <c r="P825" s="158"/>
      <c r="Q825" s="159"/>
      <c r="R825" s="160"/>
      <c r="S825" s="161"/>
      <c r="T825" s="203">
        <f t="shared" si="478"/>
        <v>43647</v>
      </c>
      <c r="U825" s="204">
        <f t="shared" si="479"/>
        <v>43677</v>
      </c>
      <c r="V825" s="207">
        <f>IF(G825-F825+1-IF(G825-U825&gt;0,G825-U825,0)-IF(T825-F825&gt;0,T825-F825,0)&gt;0,G825-F825+1-IF(G825-U825&gt;0,G825-U825,0)-IF(T825-F825&gt;0,T825-F825,0),0)</f>
        <v>0</v>
      </c>
      <c r="W825" s="206" t="str">
        <f t="shared" ref="W825:W830" si="505">IF(V825&gt;0,H825,"")</f>
        <v/>
      </c>
      <c r="X825" s="206">
        <f t="shared" ref="X825:X830" si="506">IF(AND($V825&gt;0,$I825=1),P825/$E825*$V825,0)</f>
        <v>0</v>
      </c>
      <c r="Y825" s="209">
        <f t="shared" ref="Y825:Y830" si="507">IF(AND($V825&gt;0,$I825&lt;&gt;1),Q825/$E825*$V825,0)</f>
        <v>0</v>
      </c>
    </row>
    <row r="826" spans="2:25" ht="16.5" hidden="1" thickTop="1" thickBot="1" x14ac:dyDescent="0.3">
      <c r="B826" s="60">
        <f>B825</f>
        <v>23</v>
      </c>
      <c r="C826" s="102">
        <v>156</v>
      </c>
      <c r="D826" s="192" t="str">
        <f t="shared" si="492"/>
        <v>III</v>
      </c>
      <c r="E826" s="162"/>
      <c r="F826" s="163"/>
      <c r="G826" s="163"/>
      <c r="H826" s="164"/>
      <c r="I826" s="164"/>
      <c r="J826" s="162"/>
      <c r="K826" s="165"/>
      <c r="L826" s="164"/>
      <c r="M826" s="164"/>
      <c r="N826" s="166"/>
      <c r="O826" s="167"/>
      <c r="P826" s="168"/>
      <c r="Q826" s="169"/>
      <c r="R826" s="170"/>
      <c r="S826" s="171"/>
      <c r="T826" s="203">
        <f t="shared" si="478"/>
        <v>43647</v>
      </c>
      <c r="U826" s="204">
        <f t="shared" si="479"/>
        <v>43677</v>
      </c>
      <c r="V826" s="207">
        <f t="shared" ref="V826:V831" si="508">IF(G826-F826+1-IF(G826-U826&gt;0,G826-U826,0)-IF(T826-F826&gt;0,T826-F826,0)&gt;0,G826-F826+1-IF(G826-U826&gt;0,G826-U826,0)-IF(T826-F826&gt;0,T826-F826,0),0)</f>
        <v>0</v>
      </c>
      <c r="W826" s="206" t="str">
        <f t="shared" si="505"/>
        <v/>
      </c>
      <c r="X826" s="206">
        <f t="shared" si="506"/>
        <v>0</v>
      </c>
      <c r="Y826" s="209">
        <f t="shared" si="507"/>
        <v>0</v>
      </c>
    </row>
    <row r="827" spans="2:25" ht="16.5" hidden="1" thickTop="1" thickBot="1" x14ac:dyDescent="0.3">
      <c r="B827" s="60">
        <f>B825</f>
        <v>23</v>
      </c>
      <c r="C827" s="102">
        <v>157</v>
      </c>
      <c r="D827" s="192" t="str">
        <f t="shared" si="492"/>
        <v>III</v>
      </c>
      <c r="E827" s="162"/>
      <c r="F827" s="163"/>
      <c r="G827" s="163"/>
      <c r="H827" s="164"/>
      <c r="I827" s="164"/>
      <c r="J827" s="162"/>
      <c r="K827" s="165"/>
      <c r="L827" s="164"/>
      <c r="M827" s="164"/>
      <c r="N827" s="166"/>
      <c r="O827" s="167"/>
      <c r="P827" s="168"/>
      <c r="Q827" s="169"/>
      <c r="R827" s="170"/>
      <c r="S827" s="171"/>
      <c r="T827" s="203">
        <f t="shared" si="478"/>
        <v>43647</v>
      </c>
      <c r="U827" s="204">
        <f t="shared" si="479"/>
        <v>43677</v>
      </c>
      <c r="V827" s="207">
        <f t="shared" si="508"/>
        <v>0</v>
      </c>
      <c r="W827" s="206" t="str">
        <f t="shared" si="505"/>
        <v/>
      </c>
      <c r="X827" s="206">
        <f t="shared" si="506"/>
        <v>0</v>
      </c>
      <c r="Y827" s="209">
        <f t="shared" si="507"/>
        <v>0</v>
      </c>
    </row>
    <row r="828" spans="2:25" ht="16.5" hidden="1" thickTop="1" thickBot="1" x14ac:dyDescent="0.3">
      <c r="B828" s="60">
        <f>B825</f>
        <v>23</v>
      </c>
      <c r="C828" s="102">
        <v>158</v>
      </c>
      <c r="D828" s="192" t="str">
        <f t="shared" si="492"/>
        <v>III</v>
      </c>
      <c r="E828" s="162"/>
      <c r="F828" s="163"/>
      <c r="G828" s="163"/>
      <c r="H828" s="164"/>
      <c r="I828" s="164"/>
      <c r="J828" s="162"/>
      <c r="K828" s="165"/>
      <c r="L828" s="164"/>
      <c r="M828" s="164"/>
      <c r="N828" s="166"/>
      <c r="O828" s="167"/>
      <c r="P828" s="168"/>
      <c r="Q828" s="169"/>
      <c r="R828" s="170"/>
      <c r="S828" s="171"/>
      <c r="T828" s="203">
        <f t="shared" si="478"/>
        <v>43647</v>
      </c>
      <c r="U828" s="204">
        <f t="shared" si="479"/>
        <v>43677</v>
      </c>
      <c r="V828" s="207">
        <f t="shared" si="508"/>
        <v>0</v>
      </c>
      <c r="W828" s="206" t="str">
        <f t="shared" si="505"/>
        <v/>
      </c>
      <c r="X828" s="206">
        <f t="shared" si="506"/>
        <v>0</v>
      </c>
      <c r="Y828" s="209">
        <f t="shared" si="507"/>
        <v>0</v>
      </c>
    </row>
    <row r="829" spans="2:25" ht="16.5" hidden="1" thickTop="1" thickBot="1" x14ac:dyDescent="0.3">
      <c r="B829" s="60">
        <f>B825</f>
        <v>23</v>
      </c>
      <c r="C829" s="102">
        <v>159</v>
      </c>
      <c r="D829" s="192" t="str">
        <f t="shared" si="492"/>
        <v>III</v>
      </c>
      <c r="E829" s="162"/>
      <c r="F829" s="163"/>
      <c r="G829" s="163"/>
      <c r="H829" s="164"/>
      <c r="I829" s="164"/>
      <c r="J829" s="162"/>
      <c r="K829" s="165"/>
      <c r="L829" s="164"/>
      <c r="M829" s="164"/>
      <c r="N829" s="166"/>
      <c r="O829" s="167"/>
      <c r="P829" s="168"/>
      <c r="Q829" s="169"/>
      <c r="R829" s="170"/>
      <c r="S829" s="171"/>
      <c r="T829" s="203">
        <f t="shared" si="478"/>
        <v>43647</v>
      </c>
      <c r="U829" s="204">
        <f t="shared" si="479"/>
        <v>43677</v>
      </c>
      <c r="V829" s="207">
        <f t="shared" si="508"/>
        <v>0</v>
      </c>
      <c r="W829" s="206" t="str">
        <f t="shared" si="505"/>
        <v/>
      </c>
      <c r="X829" s="206">
        <f t="shared" si="506"/>
        <v>0</v>
      </c>
      <c r="Y829" s="209">
        <f t="shared" si="507"/>
        <v>0</v>
      </c>
    </row>
    <row r="830" spans="2:25" ht="16.5" hidden="1" thickTop="1" thickBot="1" x14ac:dyDescent="0.3">
      <c r="B830" s="60">
        <f>B825</f>
        <v>23</v>
      </c>
      <c r="C830" s="102">
        <v>160</v>
      </c>
      <c r="D830" s="192" t="str">
        <f t="shared" si="492"/>
        <v>III</v>
      </c>
      <c r="E830" s="172"/>
      <c r="F830" s="173"/>
      <c r="G830" s="173"/>
      <c r="H830" s="174"/>
      <c r="I830" s="174"/>
      <c r="J830" s="172"/>
      <c r="K830" s="175"/>
      <c r="L830" s="174"/>
      <c r="M830" s="174"/>
      <c r="N830" s="176"/>
      <c r="O830" s="177"/>
      <c r="P830" s="178"/>
      <c r="Q830" s="179"/>
      <c r="R830" s="180"/>
      <c r="S830" s="181"/>
      <c r="T830" s="203">
        <f t="shared" si="478"/>
        <v>43647</v>
      </c>
      <c r="U830" s="204">
        <f t="shared" si="479"/>
        <v>43677</v>
      </c>
      <c r="V830" s="207">
        <f t="shared" si="508"/>
        <v>0</v>
      </c>
      <c r="W830" s="206" t="str">
        <f t="shared" si="505"/>
        <v/>
      </c>
      <c r="X830" s="206">
        <f t="shared" si="506"/>
        <v>0</v>
      </c>
      <c r="Y830" s="209">
        <f t="shared" si="507"/>
        <v>0</v>
      </c>
    </row>
    <row r="831" spans="2:25" ht="16.5" hidden="1" thickTop="1" thickBot="1" x14ac:dyDescent="0.3">
      <c r="B831" s="141">
        <f>B825</f>
        <v>23</v>
      </c>
      <c r="C831" s="142">
        <v>161</v>
      </c>
      <c r="D831" s="194" t="str">
        <f t="shared" si="492"/>
        <v>III</v>
      </c>
      <c r="E831" s="189"/>
      <c r="F831" s="190"/>
      <c r="G831" s="190"/>
      <c r="H831" s="182"/>
      <c r="I831" s="182"/>
      <c r="J831" s="436" t="s">
        <v>181</v>
      </c>
      <c r="K831" s="437"/>
      <c r="L831" s="438"/>
      <c r="M831" s="182"/>
      <c r="N831" s="183"/>
      <c r="O831" s="184"/>
      <c r="P831" s="185"/>
      <c r="Q831" s="186"/>
      <c r="R831" s="187"/>
      <c r="S831" s="188"/>
      <c r="T831" s="213">
        <f t="shared" si="478"/>
        <v>43647</v>
      </c>
      <c r="U831" s="214">
        <f t="shared" si="479"/>
        <v>43677</v>
      </c>
      <c r="V831" s="210">
        <f t="shared" si="508"/>
        <v>0</v>
      </c>
      <c r="W831" s="211"/>
      <c r="X831" s="211">
        <f>IF(AND($V831&gt;0,$I831=1),IF($E831=10,P831/10,P831/$V831),0)</f>
        <v>0</v>
      </c>
      <c r="Y831" s="212">
        <f>IF(AND($V825&gt;0,$I831&lt;&gt;1),Q831/E825*V825,0)</f>
        <v>0</v>
      </c>
    </row>
    <row r="832" spans="2:25" ht="16.5" hidden="1" thickTop="1" thickBot="1" x14ac:dyDescent="0.3">
      <c r="B832" s="129">
        <f>B830+1</f>
        <v>24</v>
      </c>
      <c r="C832" s="130">
        <v>162</v>
      </c>
      <c r="D832" s="196" t="str">
        <f t="shared" si="492"/>
        <v>III</v>
      </c>
      <c r="E832" s="131"/>
      <c r="F832" s="132"/>
      <c r="G832" s="132"/>
      <c r="H832" s="133"/>
      <c r="I832" s="133"/>
      <c r="J832" s="131"/>
      <c r="K832" s="134"/>
      <c r="L832" s="133"/>
      <c r="M832" s="133"/>
      <c r="N832" s="135"/>
      <c r="O832" s="136"/>
      <c r="P832" s="137"/>
      <c r="Q832" s="138"/>
      <c r="R832" s="139"/>
      <c r="S832" s="140"/>
      <c r="T832" s="203">
        <f t="shared" si="478"/>
        <v>43647</v>
      </c>
      <c r="U832" s="204">
        <f t="shared" si="479"/>
        <v>43677</v>
      </c>
      <c r="V832" s="207">
        <f>IF(G832-F832+1-IF(G832-U832&gt;0,G832-U832,0)-IF(T832-F832&gt;0,T832-F832,0)&gt;0,G832-F832+1-IF(G832-U832&gt;0,G832-U832,0)-IF(T832-F832&gt;0,T832-F832,0),0)</f>
        <v>0</v>
      </c>
      <c r="W832" s="206" t="str">
        <f t="shared" ref="W832:W837" si="509">IF(V832&gt;0,H832,"")</f>
        <v/>
      </c>
      <c r="X832" s="206">
        <f t="shared" ref="X832:X837" si="510">IF(AND($V832&gt;0,$I832=1),P832/$E832*$V832,0)</f>
        <v>0</v>
      </c>
      <c r="Y832" s="209">
        <f t="shared" ref="Y832:Y837" si="511">IF(AND($V832&gt;0,$I832&lt;&gt;1),Q832/$E832*$V832,0)</f>
        <v>0</v>
      </c>
    </row>
    <row r="833" spans="2:25" ht="16.5" hidden="1" thickTop="1" thickBot="1" x14ac:dyDescent="0.3">
      <c r="B833" s="60">
        <f>B832</f>
        <v>24</v>
      </c>
      <c r="C833" s="102">
        <v>163</v>
      </c>
      <c r="D833" s="192" t="str">
        <f t="shared" si="492"/>
        <v>III</v>
      </c>
      <c r="E833" s="62"/>
      <c r="F833" s="105"/>
      <c r="G833" s="105"/>
      <c r="H833" s="61"/>
      <c r="I833" s="61"/>
      <c r="J833" s="62"/>
      <c r="K833" s="63"/>
      <c r="L833" s="61"/>
      <c r="M833" s="61"/>
      <c r="N833" s="111"/>
      <c r="O833" s="112"/>
      <c r="P833" s="113"/>
      <c r="Q833" s="114"/>
      <c r="R833" s="64"/>
      <c r="S833" s="108"/>
      <c r="T833" s="203">
        <f t="shared" si="478"/>
        <v>43647</v>
      </c>
      <c r="U833" s="204">
        <f t="shared" si="479"/>
        <v>43677</v>
      </c>
      <c r="V833" s="207">
        <f t="shared" ref="V833:V838" si="512">IF(G833-F833+1-IF(G833-U833&gt;0,G833-U833,0)-IF(T833-F833&gt;0,T833-F833,0)&gt;0,G833-F833+1-IF(G833-U833&gt;0,G833-U833,0)-IF(T833-F833&gt;0,T833-F833,0),0)</f>
        <v>0</v>
      </c>
      <c r="W833" s="206" t="str">
        <f t="shared" si="509"/>
        <v/>
      </c>
      <c r="X833" s="206">
        <f t="shared" si="510"/>
        <v>0</v>
      </c>
      <c r="Y833" s="209">
        <f t="shared" si="511"/>
        <v>0</v>
      </c>
    </row>
    <row r="834" spans="2:25" ht="16.5" hidden="1" thickTop="1" thickBot="1" x14ac:dyDescent="0.3">
      <c r="B834" s="60">
        <f>B832</f>
        <v>24</v>
      </c>
      <c r="C834" s="102">
        <v>164</v>
      </c>
      <c r="D834" s="192" t="str">
        <f t="shared" si="492"/>
        <v>III</v>
      </c>
      <c r="E834" s="62"/>
      <c r="F834" s="105"/>
      <c r="G834" s="105"/>
      <c r="H834" s="61"/>
      <c r="I834" s="61"/>
      <c r="J834" s="62"/>
      <c r="K834" s="63"/>
      <c r="L834" s="61"/>
      <c r="M834" s="61"/>
      <c r="N834" s="111"/>
      <c r="O834" s="112"/>
      <c r="P834" s="113"/>
      <c r="Q834" s="114"/>
      <c r="R834" s="64"/>
      <c r="S834" s="108"/>
      <c r="T834" s="203">
        <f t="shared" si="478"/>
        <v>43647</v>
      </c>
      <c r="U834" s="204">
        <f t="shared" si="479"/>
        <v>43677</v>
      </c>
      <c r="V834" s="207">
        <f t="shared" si="512"/>
        <v>0</v>
      </c>
      <c r="W834" s="206" t="str">
        <f t="shared" si="509"/>
        <v/>
      </c>
      <c r="X834" s="206">
        <f t="shared" si="510"/>
        <v>0</v>
      </c>
      <c r="Y834" s="209">
        <f t="shared" si="511"/>
        <v>0</v>
      </c>
    </row>
    <row r="835" spans="2:25" ht="16.5" hidden="1" thickTop="1" thickBot="1" x14ac:dyDescent="0.3">
      <c r="B835" s="60">
        <f>B832</f>
        <v>24</v>
      </c>
      <c r="C835" s="102">
        <v>165</v>
      </c>
      <c r="D835" s="192" t="str">
        <f t="shared" si="492"/>
        <v>III</v>
      </c>
      <c r="E835" s="62"/>
      <c r="F835" s="105"/>
      <c r="G835" s="105"/>
      <c r="H835" s="61"/>
      <c r="I835" s="61"/>
      <c r="J835" s="62"/>
      <c r="K835" s="63"/>
      <c r="L835" s="61"/>
      <c r="M835" s="61"/>
      <c r="N835" s="111"/>
      <c r="O835" s="112"/>
      <c r="P835" s="113"/>
      <c r="Q835" s="114"/>
      <c r="R835" s="64"/>
      <c r="S835" s="108"/>
      <c r="T835" s="203">
        <f t="shared" si="478"/>
        <v>43647</v>
      </c>
      <c r="U835" s="204">
        <f t="shared" si="479"/>
        <v>43677</v>
      </c>
      <c r="V835" s="207">
        <f t="shared" si="512"/>
        <v>0</v>
      </c>
      <c r="W835" s="206" t="str">
        <f t="shared" si="509"/>
        <v/>
      </c>
      <c r="X835" s="206">
        <f t="shared" si="510"/>
        <v>0</v>
      </c>
      <c r="Y835" s="209">
        <f t="shared" si="511"/>
        <v>0</v>
      </c>
    </row>
    <row r="836" spans="2:25" ht="16.5" hidden="1" thickTop="1" thickBot="1" x14ac:dyDescent="0.3">
      <c r="B836" s="60">
        <f>B832</f>
        <v>24</v>
      </c>
      <c r="C836" s="102">
        <v>166</v>
      </c>
      <c r="D836" s="192" t="str">
        <f t="shared" si="492"/>
        <v>III</v>
      </c>
      <c r="E836" s="62"/>
      <c r="F836" s="105"/>
      <c r="G836" s="105"/>
      <c r="H836" s="61"/>
      <c r="I836" s="61"/>
      <c r="J836" s="62"/>
      <c r="K836" s="63"/>
      <c r="L836" s="61"/>
      <c r="M836" s="61"/>
      <c r="N836" s="111"/>
      <c r="O836" s="112"/>
      <c r="P836" s="113"/>
      <c r="Q836" s="114"/>
      <c r="R836" s="64"/>
      <c r="S836" s="108"/>
      <c r="T836" s="203">
        <f t="shared" si="478"/>
        <v>43647</v>
      </c>
      <c r="U836" s="204">
        <f t="shared" si="479"/>
        <v>43677</v>
      </c>
      <c r="V836" s="207">
        <f t="shared" si="512"/>
        <v>0</v>
      </c>
      <c r="W836" s="206" t="str">
        <f t="shared" si="509"/>
        <v/>
      </c>
      <c r="X836" s="206">
        <f t="shared" si="510"/>
        <v>0</v>
      </c>
      <c r="Y836" s="209">
        <f t="shared" si="511"/>
        <v>0</v>
      </c>
    </row>
    <row r="837" spans="2:25" ht="16.5" hidden="1" thickTop="1" thickBot="1" x14ac:dyDescent="0.3">
      <c r="B837" s="60">
        <f>B832</f>
        <v>24</v>
      </c>
      <c r="C837" s="102">
        <v>167</v>
      </c>
      <c r="D837" s="192" t="str">
        <f t="shared" si="492"/>
        <v>III</v>
      </c>
      <c r="E837" s="62"/>
      <c r="F837" s="105"/>
      <c r="G837" s="105"/>
      <c r="H837" s="61"/>
      <c r="I837" s="61"/>
      <c r="J837" s="62"/>
      <c r="K837" s="63"/>
      <c r="L837" s="61"/>
      <c r="M837" s="61"/>
      <c r="N837" s="111"/>
      <c r="O837" s="112"/>
      <c r="P837" s="113"/>
      <c r="Q837" s="114"/>
      <c r="R837" s="64"/>
      <c r="S837" s="108"/>
      <c r="T837" s="203">
        <f t="shared" si="478"/>
        <v>43647</v>
      </c>
      <c r="U837" s="204">
        <f t="shared" si="479"/>
        <v>43677</v>
      </c>
      <c r="V837" s="207">
        <f t="shared" si="512"/>
        <v>0</v>
      </c>
      <c r="W837" s="206" t="str">
        <f t="shared" si="509"/>
        <v/>
      </c>
      <c r="X837" s="206">
        <f t="shared" si="510"/>
        <v>0</v>
      </c>
      <c r="Y837" s="209">
        <f t="shared" si="511"/>
        <v>0</v>
      </c>
    </row>
    <row r="838" spans="2:25" ht="16.5" hidden="1" thickTop="1" thickBot="1" x14ac:dyDescent="0.3">
      <c r="B838" s="141">
        <f>B832</f>
        <v>24</v>
      </c>
      <c r="C838" s="142">
        <v>168</v>
      </c>
      <c r="D838" s="194" t="str">
        <f t="shared" si="492"/>
        <v>III</v>
      </c>
      <c r="E838" s="143"/>
      <c r="F838" s="144"/>
      <c r="G838" s="144"/>
      <c r="H838" s="145"/>
      <c r="I838" s="145"/>
      <c r="J838" s="436" t="s">
        <v>181</v>
      </c>
      <c r="K838" s="437"/>
      <c r="L838" s="438"/>
      <c r="M838" s="145"/>
      <c r="N838" s="146"/>
      <c r="O838" s="147"/>
      <c r="P838" s="148"/>
      <c r="Q838" s="149"/>
      <c r="R838" s="150"/>
      <c r="S838" s="151"/>
      <c r="T838" s="213">
        <f t="shared" si="478"/>
        <v>43647</v>
      </c>
      <c r="U838" s="214">
        <f t="shared" si="479"/>
        <v>43677</v>
      </c>
      <c r="V838" s="210">
        <f t="shared" si="512"/>
        <v>0</v>
      </c>
      <c r="W838" s="211"/>
      <c r="X838" s="211">
        <f>IF(AND($V838&gt;0,$I838=1),IF($E838=10,P838/10,P838/$V838),0)</f>
        <v>0</v>
      </c>
      <c r="Y838" s="212">
        <f>IF(AND($V832&gt;0,$I838&lt;&gt;1),Q838/E832*V832,0)</f>
        <v>0</v>
      </c>
    </row>
    <row r="839" spans="2:25" ht="16.5" hidden="1" thickTop="1" thickBot="1" x14ac:dyDescent="0.3">
      <c r="B839" s="129">
        <f>B837+1</f>
        <v>25</v>
      </c>
      <c r="C839" s="130">
        <v>169</v>
      </c>
      <c r="D839" s="196" t="str">
        <f t="shared" si="492"/>
        <v>III</v>
      </c>
      <c r="E839" s="152"/>
      <c r="F839" s="153"/>
      <c r="G839" s="153"/>
      <c r="H839" s="154"/>
      <c r="I839" s="154"/>
      <c r="J839" s="152"/>
      <c r="K839" s="155"/>
      <c r="L839" s="154"/>
      <c r="M839" s="154"/>
      <c r="N839" s="156"/>
      <c r="O839" s="157"/>
      <c r="P839" s="158"/>
      <c r="Q839" s="159"/>
      <c r="R839" s="160"/>
      <c r="S839" s="161"/>
      <c r="T839" s="203">
        <f t="shared" si="478"/>
        <v>43647</v>
      </c>
      <c r="U839" s="204">
        <f t="shared" si="479"/>
        <v>43677</v>
      </c>
      <c r="V839" s="207">
        <f>IF(G839-F839+1-IF(G839-U839&gt;0,G839-U839,0)-IF(T839-F839&gt;0,T839-F839,0)&gt;0,G839-F839+1-IF(G839-U839&gt;0,G839-U839,0)-IF(T839-F839&gt;0,T839-F839,0),0)</f>
        <v>0</v>
      </c>
      <c r="W839" s="206" t="str">
        <f t="shared" ref="W839:W844" si="513">IF(V839&gt;0,H839,"")</f>
        <v/>
      </c>
      <c r="X839" s="206">
        <f t="shared" ref="X839:X844" si="514">IF(AND($V839&gt;0,$I839=1),P839/$E839*$V839,0)</f>
        <v>0</v>
      </c>
      <c r="Y839" s="209">
        <f t="shared" ref="Y839:Y844" si="515">IF(AND($V839&gt;0,$I839&lt;&gt;1),Q839/$E839*$V839,0)</f>
        <v>0</v>
      </c>
    </row>
    <row r="840" spans="2:25" ht="16.5" hidden="1" thickTop="1" thickBot="1" x14ac:dyDescent="0.3">
      <c r="B840" s="60">
        <f>B839</f>
        <v>25</v>
      </c>
      <c r="C840" s="102">
        <v>170</v>
      </c>
      <c r="D840" s="192" t="str">
        <f t="shared" si="492"/>
        <v>III</v>
      </c>
      <c r="E840" s="162"/>
      <c r="F840" s="163"/>
      <c r="G840" s="163"/>
      <c r="H840" s="164"/>
      <c r="I840" s="164"/>
      <c r="J840" s="162"/>
      <c r="K840" s="165"/>
      <c r="L840" s="164"/>
      <c r="M840" s="164"/>
      <c r="N840" s="166"/>
      <c r="O840" s="167"/>
      <c r="P840" s="168"/>
      <c r="Q840" s="169"/>
      <c r="R840" s="170"/>
      <c r="S840" s="171"/>
      <c r="T840" s="203">
        <f t="shared" si="478"/>
        <v>43647</v>
      </c>
      <c r="U840" s="204">
        <f t="shared" si="479"/>
        <v>43677</v>
      </c>
      <c r="V840" s="207">
        <f t="shared" ref="V840:V845" si="516">IF(G840-F840+1-IF(G840-U840&gt;0,G840-U840,0)-IF(T840-F840&gt;0,T840-F840,0)&gt;0,G840-F840+1-IF(G840-U840&gt;0,G840-U840,0)-IF(T840-F840&gt;0,T840-F840,0),0)</f>
        <v>0</v>
      </c>
      <c r="W840" s="206" t="str">
        <f t="shared" si="513"/>
        <v/>
      </c>
      <c r="X840" s="206">
        <f t="shared" si="514"/>
        <v>0</v>
      </c>
      <c r="Y840" s="209">
        <f t="shared" si="515"/>
        <v>0</v>
      </c>
    </row>
    <row r="841" spans="2:25" ht="16.5" hidden="1" thickTop="1" thickBot="1" x14ac:dyDescent="0.3">
      <c r="B841" s="60">
        <f>B839</f>
        <v>25</v>
      </c>
      <c r="C841" s="102">
        <v>171</v>
      </c>
      <c r="D841" s="192" t="str">
        <f t="shared" si="492"/>
        <v>III</v>
      </c>
      <c r="E841" s="162"/>
      <c r="F841" s="163"/>
      <c r="G841" s="163"/>
      <c r="H841" s="164"/>
      <c r="I841" s="164"/>
      <c r="J841" s="162"/>
      <c r="K841" s="165"/>
      <c r="L841" s="164"/>
      <c r="M841" s="164"/>
      <c r="N841" s="166"/>
      <c r="O841" s="167"/>
      <c r="P841" s="168"/>
      <c r="Q841" s="169"/>
      <c r="R841" s="170"/>
      <c r="S841" s="171"/>
      <c r="T841" s="203">
        <f t="shared" si="478"/>
        <v>43647</v>
      </c>
      <c r="U841" s="204">
        <f t="shared" si="479"/>
        <v>43677</v>
      </c>
      <c r="V841" s="207">
        <f t="shared" si="516"/>
        <v>0</v>
      </c>
      <c r="W841" s="206" t="str">
        <f t="shared" si="513"/>
        <v/>
      </c>
      <c r="X841" s="206">
        <f t="shared" si="514"/>
        <v>0</v>
      </c>
      <c r="Y841" s="209">
        <f t="shared" si="515"/>
        <v>0</v>
      </c>
    </row>
    <row r="842" spans="2:25" ht="16.5" hidden="1" thickTop="1" thickBot="1" x14ac:dyDescent="0.3">
      <c r="B842" s="60">
        <f>B839</f>
        <v>25</v>
      </c>
      <c r="C842" s="102">
        <v>172</v>
      </c>
      <c r="D842" s="192" t="str">
        <f t="shared" si="492"/>
        <v>III</v>
      </c>
      <c r="E842" s="162"/>
      <c r="F842" s="163"/>
      <c r="G842" s="163"/>
      <c r="H842" s="164"/>
      <c r="I842" s="164"/>
      <c r="J842" s="162"/>
      <c r="K842" s="165"/>
      <c r="L842" s="164"/>
      <c r="M842" s="164"/>
      <c r="N842" s="166"/>
      <c r="O842" s="167"/>
      <c r="P842" s="168"/>
      <c r="Q842" s="169"/>
      <c r="R842" s="170"/>
      <c r="S842" s="171"/>
      <c r="T842" s="203">
        <f t="shared" si="478"/>
        <v>43647</v>
      </c>
      <c r="U842" s="204">
        <f t="shared" si="479"/>
        <v>43677</v>
      </c>
      <c r="V842" s="207">
        <f t="shared" si="516"/>
        <v>0</v>
      </c>
      <c r="W842" s="206" t="str">
        <f t="shared" si="513"/>
        <v/>
      </c>
      <c r="X842" s="206">
        <f t="shared" si="514"/>
        <v>0</v>
      </c>
      <c r="Y842" s="209">
        <f t="shared" si="515"/>
        <v>0</v>
      </c>
    </row>
    <row r="843" spans="2:25" ht="16.5" hidden="1" thickTop="1" thickBot="1" x14ac:dyDescent="0.3">
      <c r="B843" s="60">
        <f>B839</f>
        <v>25</v>
      </c>
      <c r="C843" s="102">
        <v>173</v>
      </c>
      <c r="D843" s="192" t="str">
        <f t="shared" si="492"/>
        <v>III</v>
      </c>
      <c r="E843" s="162"/>
      <c r="F843" s="163"/>
      <c r="G843" s="163"/>
      <c r="H843" s="164"/>
      <c r="I843" s="164"/>
      <c r="J843" s="162"/>
      <c r="K843" s="165"/>
      <c r="L843" s="164"/>
      <c r="M843" s="164"/>
      <c r="N843" s="166"/>
      <c r="O843" s="167"/>
      <c r="P843" s="168"/>
      <c r="Q843" s="169"/>
      <c r="R843" s="170"/>
      <c r="S843" s="171"/>
      <c r="T843" s="203">
        <f t="shared" si="478"/>
        <v>43647</v>
      </c>
      <c r="U843" s="204">
        <f t="shared" si="479"/>
        <v>43677</v>
      </c>
      <c r="V843" s="207">
        <f t="shared" si="516"/>
        <v>0</v>
      </c>
      <c r="W843" s="206" t="str">
        <f t="shared" si="513"/>
        <v/>
      </c>
      <c r="X843" s="206">
        <f t="shared" si="514"/>
        <v>0</v>
      </c>
      <c r="Y843" s="209">
        <f t="shared" si="515"/>
        <v>0</v>
      </c>
    </row>
    <row r="844" spans="2:25" ht="16.5" hidden="1" thickTop="1" thickBot="1" x14ac:dyDescent="0.3">
      <c r="B844" s="60">
        <f>B839</f>
        <v>25</v>
      </c>
      <c r="C844" s="102">
        <v>174</v>
      </c>
      <c r="D844" s="192" t="str">
        <f t="shared" si="492"/>
        <v>III</v>
      </c>
      <c r="E844" s="172"/>
      <c r="F844" s="173"/>
      <c r="G844" s="173"/>
      <c r="H844" s="174"/>
      <c r="I844" s="174"/>
      <c r="J844" s="172"/>
      <c r="K844" s="175"/>
      <c r="L844" s="174"/>
      <c r="M844" s="174"/>
      <c r="N844" s="176"/>
      <c r="O844" s="177"/>
      <c r="P844" s="178"/>
      <c r="Q844" s="179"/>
      <c r="R844" s="180"/>
      <c r="S844" s="181"/>
      <c r="T844" s="203">
        <f t="shared" si="478"/>
        <v>43647</v>
      </c>
      <c r="U844" s="204">
        <f t="shared" si="479"/>
        <v>43677</v>
      </c>
      <c r="V844" s="207">
        <f t="shared" si="516"/>
        <v>0</v>
      </c>
      <c r="W844" s="206" t="str">
        <f t="shared" si="513"/>
        <v/>
      </c>
      <c r="X844" s="206">
        <f t="shared" si="514"/>
        <v>0</v>
      </c>
      <c r="Y844" s="209">
        <f t="shared" si="515"/>
        <v>0</v>
      </c>
    </row>
    <row r="845" spans="2:25" ht="16.5" hidden="1" thickTop="1" thickBot="1" x14ac:dyDescent="0.3">
      <c r="B845" s="141">
        <f>B839</f>
        <v>25</v>
      </c>
      <c r="C845" s="142">
        <v>175</v>
      </c>
      <c r="D845" s="194" t="str">
        <f t="shared" si="492"/>
        <v>III</v>
      </c>
      <c r="E845" s="189"/>
      <c r="F845" s="190"/>
      <c r="G845" s="190"/>
      <c r="H845" s="182"/>
      <c r="I845" s="182"/>
      <c r="J845" s="436" t="s">
        <v>181</v>
      </c>
      <c r="K845" s="437"/>
      <c r="L845" s="438"/>
      <c r="M845" s="182"/>
      <c r="N845" s="183"/>
      <c r="O845" s="184"/>
      <c r="P845" s="185"/>
      <c r="Q845" s="186"/>
      <c r="R845" s="187"/>
      <c r="S845" s="188"/>
      <c r="T845" s="213">
        <f t="shared" ref="T845:T908" si="517">$F$4</f>
        <v>43647</v>
      </c>
      <c r="U845" s="214">
        <f t="shared" ref="U845:U908" si="518">$G$4</f>
        <v>43677</v>
      </c>
      <c r="V845" s="210">
        <f t="shared" si="516"/>
        <v>0</v>
      </c>
      <c r="W845" s="211"/>
      <c r="X845" s="211">
        <f>IF(AND($V845&gt;0,$I845=1),IF($E845=10,P845/10,P845/$V845),0)</f>
        <v>0</v>
      </c>
      <c r="Y845" s="212">
        <f>IF(AND($V839&gt;0,$I845&lt;&gt;1),Q845/E839*V839,0)</f>
        <v>0</v>
      </c>
    </row>
    <row r="846" spans="2:25" ht="15.75" thickTop="1" x14ac:dyDescent="0.25">
      <c r="B846" s="129">
        <f>B844+1</f>
        <v>26</v>
      </c>
      <c r="C846" s="130">
        <v>176</v>
      </c>
      <c r="D846" s="196" t="str">
        <f t="shared" si="492"/>
        <v>III</v>
      </c>
      <c r="E846" s="131">
        <v>10</v>
      </c>
      <c r="F846" s="132">
        <v>43653</v>
      </c>
      <c r="G846" s="132">
        <v>43662</v>
      </c>
      <c r="H846" s="133" t="s">
        <v>304</v>
      </c>
      <c r="I846" s="133">
        <v>6</v>
      </c>
      <c r="J846" s="131" t="s">
        <v>166</v>
      </c>
      <c r="K846" s="134" t="s">
        <v>16</v>
      </c>
      <c r="L846" s="133">
        <v>1</v>
      </c>
      <c r="M846" s="133">
        <v>7</v>
      </c>
      <c r="N846" s="135">
        <v>120</v>
      </c>
      <c r="O846" s="136">
        <v>120</v>
      </c>
      <c r="P846" s="137"/>
      <c r="Q846" s="138">
        <v>120</v>
      </c>
      <c r="R846" s="139" t="s">
        <v>4</v>
      </c>
      <c r="S846" s="140">
        <v>43654</v>
      </c>
      <c r="T846" s="203">
        <f t="shared" si="517"/>
        <v>43647</v>
      </c>
      <c r="U846" s="204">
        <f t="shared" si="518"/>
        <v>43677</v>
      </c>
      <c r="V846" s="207">
        <f>IF(G846-F846+1-IF(G846-U846&gt;0,G846-U846,0)-IF(T846-F846&gt;0,T846-F846,0)&gt;0,G846-F846+1-IF(G846-U846&gt;0,G846-U846,0)-IF(T846-F846&gt;0,T846-F846,0),0)</f>
        <v>10</v>
      </c>
      <c r="W846" s="206" t="str">
        <f t="shared" ref="W846:W851" si="519">IF(V846&gt;0,H846,"")</f>
        <v>Инес Василева</v>
      </c>
      <c r="X846" s="206">
        <f t="shared" ref="X846:X851" si="520">IF(AND($V846&gt;0,$I846=1),P846/$E846*$V846,0)</f>
        <v>0</v>
      </c>
      <c r="Y846" s="209">
        <f t="shared" ref="Y846:Y851" si="521">IF(AND($V846&gt;0,$I846&lt;&gt;1),Q846/$E846*$V846,0)</f>
        <v>120</v>
      </c>
    </row>
    <row r="847" spans="2:25" hidden="1" x14ac:dyDescent="0.25">
      <c r="B847" s="60">
        <f>B846</f>
        <v>26</v>
      </c>
      <c r="C847" s="102">
        <v>177</v>
      </c>
      <c r="D847" s="192" t="str">
        <f t="shared" si="492"/>
        <v>III</v>
      </c>
      <c r="E847" s="62"/>
      <c r="F847" s="105"/>
      <c r="G847" s="105"/>
      <c r="H847" s="61"/>
      <c r="I847" s="61"/>
      <c r="J847" s="62"/>
      <c r="K847" s="63"/>
      <c r="L847" s="61"/>
      <c r="M847" s="61"/>
      <c r="N847" s="111"/>
      <c r="O847" s="112"/>
      <c r="P847" s="113"/>
      <c r="Q847" s="114"/>
      <c r="R847" s="64"/>
      <c r="S847" s="108"/>
      <c r="T847" s="203">
        <f t="shared" si="517"/>
        <v>43647</v>
      </c>
      <c r="U847" s="204">
        <f t="shared" si="518"/>
        <v>43677</v>
      </c>
      <c r="V847" s="207">
        <f t="shared" ref="V847:V852" si="522">IF(G847-F847+1-IF(G847-U847&gt;0,G847-U847,0)-IF(T847-F847&gt;0,T847-F847,0)&gt;0,G847-F847+1-IF(G847-U847&gt;0,G847-U847,0)-IF(T847-F847&gt;0,T847-F847,0),0)</f>
        <v>0</v>
      </c>
      <c r="W847" s="206" t="str">
        <f t="shared" si="519"/>
        <v/>
      </c>
      <c r="X847" s="206">
        <f t="shared" si="520"/>
        <v>0</v>
      </c>
      <c r="Y847" s="209">
        <f t="shared" si="521"/>
        <v>0</v>
      </c>
    </row>
    <row r="848" spans="2:25" hidden="1" x14ac:dyDescent="0.25">
      <c r="B848" s="60">
        <f>B846</f>
        <v>26</v>
      </c>
      <c r="C848" s="102">
        <v>178</v>
      </c>
      <c r="D848" s="192" t="str">
        <f t="shared" si="492"/>
        <v>III</v>
      </c>
      <c r="E848" s="62"/>
      <c r="F848" s="105"/>
      <c r="G848" s="105"/>
      <c r="H848" s="61"/>
      <c r="I848" s="61"/>
      <c r="J848" s="62"/>
      <c r="K848" s="63"/>
      <c r="L848" s="61"/>
      <c r="M848" s="61"/>
      <c r="N848" s="111"/>
      <c r="O848" s="112"/>
      <c r="P848" s="113"/>
      <c r="Q848" s="114"/>
      <c r="R848" s="64"/>
      <c r="S848" s="108"/>
      <c r="T848" s="203">
        <f t="shared" si="517"/>
        <v>43647</v>
      </c>
      <c r="U848" s="204">
        <f t="shared" si="518"/>
        <v>43677</v>
      </c>
      <c r="V848" s="207">
        <f t="shared" si="522"/>
        <v>0</v>
      </c>
      <c r="W848" s="206" t="str">
        <f t="shared" si="519"/>
        <v/>
      </c>
      <c r="X848" s="206">
        <f t="shared" si="520"/>
        <v>0</v>
      </c>
      <c r="Y848" s="209">
        <f t="shared" si="521"/>
        <v>0</v>
      </c>
    </row>
    <row r="849" spans="2:25" hidden="1" x14ac:dyDescent="0.25">
      <c r="B849" s="60">
        <f>B846</f>
        <v>26</v>
      </c>
      <c r="C849" s="102">
        <v>179</v>
      </c>
      <c r="D849" s="192" t="str">
        <f t="shared" si="492"/>
        <v>III</v>
      </c>
      <c r="E849" s="62"/>
      <c r="F849" s="105"/>
      <c r="G849" s="105"/>
      <c r="H849" s="61"/>
      <c r="I849" s="61"/>
      <c r="J849" s="62"/>
      <c r="K849" s="63"/>
      <c r="L849" s="61"/>
      <c r="M849" s="61"/>
      <c r="N849" s="111"/>
      <c r="O849" s="112"/>
      <c r="P849" s="113"/>
      <c r="Q849" s="114"/>
      <c r="R849" s="64"/>
      <c r="S849" s="108"/>
      <c r="T849" s="203">
        <f t="shared" si="517"/>
        <v>43647</v>
      </c>
      <c r="U849" s="204">
        <f t="shared" si="518"/>
        <v>43677</v>
      </c>
      <c r="V849" s="207">
        <f t="shared" si="522"/>
        <v>0</v>
      </c>
      <c r="W849" s="206" t="str">
        <f t="shared" si="519"/>
        <v/>
      </c>
      <c r="X849" s="206">
        <f t="shared" si="520"/>
        <v>0</v>
      </c>
      <c r="Y849" s="209">
        <f t="shared" si="521"/>
        <v>0</v>
      </c>
    </row>
    <row r="850" spans="2:25" hidden="1" x14ac:dyDescent="0.25">
      <c r="B850" s="60">
        <f>B846</f>
        <v>26</v>
      </c>
      <c r="C850" s="102">
        <v>180</v>
      </c>
      <c r="D850" s="192" t="str">
        <f t="shared" si="492"/>
        <v>III</v>
      </c>
      <c r="E850" s="62"/>
      <c r="F850" s="105"/>
      <c r="G850" s="105"/>
      <c r="H850" s="61"/>
      <c r="I850" s="61"/>
      <c r="J850" s="62"/>
      <c r="K850" s="63"/>
      <c r="L850" s="61"/>
      <c r="M850" s="61"/>
      <c r="N850" s="111"/>
      <c r="O850" s="112"/>
      <c r="P850" s="113"/>
      <c r="Q850" s="114"/>
      <c r="R850" s="64"/>
      <c r="S850" s="108"/>
      <c r="T850" s="203">
        <f t="shared" si="517"/>
        <v>43647</v>
      </c>
      <c r="U850" s="204">
        <f t="shared" si="518"/>
        <v>43677</v>
      </c>
      <c r="V850" s="207">
        <f t="shared" si="522"/>
        <v>0</v>
      </c>
      <c r="W850" s="206" t="str">
        <f t="shared" si="519"/>
        <v/>
      </c>
      <c r="X850" s="206">
        <f t="shared" si="520"/>
        <v>0</v>
      </c>
      <c r="Y850" s="209">
        <f t="shared" si="521"/>
        <v>0</v>
      </c>
    </row>
    <row r="851" spans="2:25" hidden="1" x14ac:dyDescent="0.25">
      <c r="B851" s="60">
        <f>B846</f>
        <v>26</v>
      </c>
      <c r="C851" s="102">
        <v>181</v>
      </c>
      <c r="D851" s="192" t="str">
        <f t="shared" si="492"/>
        <v>III</v>
      </c>
      <c r="E851" s="62"/>
      <c r="F851" s="105"/>
      <c r="G851" s="105"/>
      <c r="H851" s="61"/>
      <c r="I851" s="61"/>
      <c r="J851" s="62"/>
      <c r="K851" s="63"/>
      <c r="L851" s="61"/>
      <c r="M851" s="61"/>
      <c r="N851" s="111"/>
      <c r="O851" s="112"/>
      <c r="P851" s="113"/>
      <c r="Q851" s="114"/>
      <c r="R851" s="64"/>
      <c r="S851" s="108"/>
      <c r="T851" s="203">
        <f t="shared" si="517"/>
        <v>43647</v>
      </c>
      <c r="U851" s="204">
        <f t="shared" si="518"/>
        <v>43677</v>
      </c>
      <c r="V851" s="207">
        <f t="shared" si="522"/>
        <v>0</v>
      </c>
      <c r="W851" s="206" t="str">
        <f t="shared" si="519"/>
        <v/>
      </c>
      <c r="X851" s="206">
        <f t="shared" si="520"/>
        <v>0</v>
      </c>
      <c r="Y851" s="209">
        <f t="shared" si="521"/>
        <v>0</v>
      </c>
    </row>
    <row r="852" spans="2:25" ht="15.75" thickBot="1" x14ac:dyDescent="0.3">
      <c r="B852" s="141">
        <f>B846</f>
        <v>26</v>
      </c>
      <c r="C852" s="142">
        <v>182</v>
      </c>
      <c r="D852" s="194" t="str">
        <f t="shared" si="492"/>
        <v>III</v>
      </c>
      <c r="E852" s="143"/>
      <c r="F852" s="144"/>
      <c r="G852" s="144"/>
      <c r="H852" s="145"/>
      <c r="I852" s="145"/>
      <c r="J852" s="436" t="s">
        <v>181</v>
      </c>
      <c r="K852" s="437"/>
      <c r="L852" s="438"/>
      <c r="M852" s="145"/>
      <c r="N852" s="146">
        <v>10</v>
      </c>
      <c r="O852" s="147">
        <v>10</v>
      </c>
      <c r="P852" s="148"/>
      <c r="Q852" s="149">
        <v>10</v>
      </c>
      <c r="R852" s="150" t="s">
        <v>4</v>
      </c>
      <c r="S852" s="151">
        <v>43654</v>
      </c>
      <c r="T852" s="213">
        <f t="shared" si="517"/>
        <v>43647</v>
      </c>
      <c r="U852" s="214">
        <f t="shared" si="518"/>
        <v>43677</v>
      </c>
      <c r="V852" s="210">
        <f t="shared" si="522"/>
        <v>0</v>
      </c>
      <c r="W852" s="211"/>
      <c r="X852" s="211">
        <f>IF(AND($V852&gt;0,$I852=1),IF($E852=10,P852/10,P852/$V852),0)</f>
        <v>0</v>
      </c>
      <c r="Y852" s="212">
        <f>IF(AND($V846&gt;0,$I852&lt;&gt;1),Q852/E846*V846,0)</f>
        <v>10</v>
      </c>
    </row>
    <row r="853" spans="2:25" ht="16.5" hidden="1" thickTop="1" thickBot="1" x14ac:dyDescent="0.3">
      <c r="B853" s="129">
        <f>B851+1</f>
        <v>27</v>
      </c>
      <c r="C853" s="130">
        <v>183</v>
      </c>
      <c r="D853" s="196" t="str">
        <f t="shared" si="492"/>
        <v>III</v>
      </c>
      <c r="E853" s="152"/>
      <c r="F853" s="153"/>
      <c r="G853" s="153"/>
      <c r="H853" s="154"/>
      <c r="I853" s="154"/>
      <c r="J853" s="152"/>
      <c r="K853" s="155"/>
      <c r="L853" s="154"/>
      <c r="M853" s="154"/>
      <c r="N853" s="156"/>
      <c r="O853" s="157"/>
      <c r="P853" s="158"/>
      <c r="Q853" s="159"/>
      <c r="R853" s="160"/>
      <c r="S853" s="161"/>
      <c r="T853" s="203">
        <f t="shared" si="517"/>
        <v>43647</v>
      </c>
      <c r="U853" s="204">
        <f t="shared" si="518"/>
        <v>43677</v>
      </c>
      <c r="V853" s="207">
        <f>IF(G853-F853+1-IF(G853-U853&gt;0,G853-U853,0)-IF(T853-F853&gt;0,T853-F853,0)&gt;0,G853-F853+1-IF(G853-U853&gt;0,G853-U853,0)-IF(T853-F853&gt;0,T853-F853,0),0)</f>
        <v>0</v>
      </c>
      <c r="W853" s="206" t="str">
        <f t="shared" ref="W853:W858" si="523">IF(V853&gt;0,H853,"")</f>
        <v/>
      </c>
      <c r="X853" s="206">
        <f t="shared" ref="X853:X858" si="524">IF(AND($V853&gt;0,$I853=1),P853/$E853*$V853,0)</f>
        <v>0</v>
      </c>
      <c r="Y853" s="209">
        <f t="shared" ref="Y853:Y858" si="525">IF(AND($V853&gt;0,$I853&lt;&gt;1),Q853/$E853*$V853,0)</f>
        <v>0</v>
      </c>
    </row>
    <row r="854" spans="2:25" ht="16.5" hidden="1" thickTop="1" thickBot="1" x14ac:dyDescent="0.3">
      <c r="B854" s="60">
        <f>B853</f>
        <v>27</v>
      </c>
      <c r="C854" s="102">
        <v>184</v>
      </c>
      <c r="D854" s="192" t="str">
        <f t="shared" si="492"/>
        <v>III</v>
      </c>
      <c r="E854" s="162"/>
      <c r="F854" s="163"/>
      <c r="G854" s="163"/>
      <c r="H854" s="164"/>
      <c r="I854" s="164"/>
      <c r="J854" s="162"/>
      <c r="K854" s="165"/>
      <c r="L854" s="164"/>
      <c r="M854" s="164"/>
      <c r="N854" s="166"/>
      <c r="O854" s="167"/>
      <c r="P854" s="168"/>
      <c r="Q854" s="169"/>
      <c r="R854" s="170"/>
      <c r="S854" s="171"/>
      <c r="T854" s="203">
        <f t="shared" si="517"/>
        <v>43647</v>
      </c>
      <c r="U854" s="204">
        <f t="shared" si="518"/>
        <v>43677</v>
      </c>
      <c r="V854" s="207">
        <f t="shared" ref="V854:V859" si="526">IF(G854-F854+1-IF(G854-U854&gt;0,G854-U854,0)-IF(T854-F854&gt;0,T854-F854,0)&gt;0,G854-F854+1-IF(G854-U854&gt;0,G854-U854,0)-IF(T854-F854&gt;0,T854-F854,0),0)</f>
        <v>0</v>
      </c>
      <c r="W854" s="206" t="str">
        <f t="shared" si="523"/>
        <v/>
      </c>
      <c r="X854" s="206">
        <f t="shared" si="524"/>
        <v>0</v>
      </c>
      <c r="Y854" s="209">
        <f t="shared" si="525"/>
        <v>0</v>
      </c>
    </row>
    <row r="855" spans="2:25" ht="16.5" hidden="1" thickTop="1" thickBot="1" x14ac:dyDescent="0.3">
      <c r="B855" s="60">
        <f>B853</f>
        <v>27</v>
      </c>
      <c r="C855" s="102">
        <v>185</v>
      </c>
      <c r="D855" s="192" t="str">
        <f t="shared" si="492"/>
        <v>III</v>
      </c>
      <c r="E855" s="162"/>
      <c r="F855" s="163"/>
      <c r="G855" s="163"/>
      <c r="H855" s="164"/>
      <c r="I855" s="164"/>
      <c r="J855" s="162"/>
      <c r="K855" s="165"/>
      <c r="L855" s="164"/>
      <c r="M855" s="164"/>
      <c r="N855" s="166"/>
      <c r="O855" s="167"/>
      <c r="P855" s="168"/>
      <c r="Q855" s="169"/>
      <c r="R855" s="170"/>
      <c r="S855" s="171"/>
      <c r="T855" s="203">
        <f t="shared" si="517"/>
        <v>43647</v>
      </c>
      <c r="U855" s="204">
        <f t="shared" si="518"/>
        <v>43677</v>
      </c>
      <c r="V855" s="207">
        <f t="shared" si="526"/>
        <v>0</v>
      </c>
      <c r="W855" s="206" t="str">
        <f t="shared" si="523"/>
        <v/>
      </c>
      <c r="X855" s="206">
        <f t="shared" si="524"/>
        <v>0</v>
      </c>
      <c r="Y855" s="209">
        <f t="shared" si="525"/>
        <v>0</v>
      </c>
    </row>
    <row r="856" spans="2:25" ht="16.5" hidden="1" thickTop="1" thickBot="1" x14ac:dyDescent="0.3">
      <c r="B856" s="60">
        <f>B853</f>
        <v>27</v>
      </c>
      <c r="C856" s="102">
        <v>186</v>
      </c>
      <c r="D856" s="192" t="str">
        <f t="shared" si="492"/>
        <v>III</v>
      </c>
      <c r="E856" s="162"/>
      <c r="F856" s="163"/>
      <c r="G856" s="163"/>
      <c r="H856" s="164"/>
      <c r="I856" s="164"/>
      <c r="J856" s="162"/>
      <c r="K856" s="165"/>
      <c r="L856" s="164"/>
      <c r="M856" s="164"/>
      <c r="N856" s="166"/>
      <c r="O856" s="167"/>
      <c r="P856" s="168"/>
      <c r="Q856" s="169"/>
      <c r="R856" s="170"/>
      <c r="S856" s="171"/>
      <c r="T856" s="203">
        <f t="shared" si="517"/>
        <v>43647</v>
      </c>
      <c r="U856" s="204">
        <f t="shared" si="518"/>
        <v>43677</v>
      </c>
      <c r="V856" s="207">
        <f t="shared" si="526"/>
        <v>0</v>
      </c>
      <c r="W856" s="206" t="str">
        <f t="shared" si="523"/>
        <v/>
      </c>
      <c r="X856" s="206">
        <f t="shared" si="524"/>
        <v>0</v>
      </c>
      <c r="Y856" s="209">
        <f t="shared" si="525"/>
        <v>0</v>
      </c>
    </row>
    <row r="857" spans="2:25" ht="16.5" hidden="1" thickTop="1" thickBot="1" x14ac:dyDescent="0.3">
      <c r="B857" s="60">
        <f>B853</f>
        <v>27</v>
      </c>
      <c r="C857" s="102">
        <v>187</v>
      </c>
      <c r="D857" s="192" t="str">
        <f t="shared" si="492"/>
        <v>III</v>
      </c>
      <c r="E857" s="162"/>
      <c r="F857" s="163"/>
      <c r="G857" s="163"/>
      <c r="H857" s="164"/>
      <c r="I857" s="164"/>
      <c r="J857" s="162"/>
      <c r="K857" s="165"/>
      <c r="L857" s="164"/>
      <c r="M857" s="164"/>
      <c r="N857" s="166"/>
      <c r="O857" s="167"/>
      <c r="P857" s="168"/>
      <c r="Q857" s="169"/>
      <c r="R857" s="170"/>
      <c r="S857" s="171"/>
      <c r="T857" s="203">
        <f t="shared" si="517"/>
        <v>43647</v>
      </c>
      <c r="U857" s="204">
        <f t="shared" si="518"/>
        <v>43677</v>
      </c>
      <c r="V857" s="207">
        <f t="shared" si="526"/>
        <v>0</v>
      </c>
      <c r="W857" s="206" t="str">
        <f t="shared" si="523"/>
        <v/>
      </c>
      <c r="X857" s="206">
        <f t="shared" si="524"/>
        <v>0</v>
      </c>
      <c r="Y857" s="209">
        <f t="shared" si="525"/>
        <v>0</v>
      </c>
    </row>
    <row r="858" spans="2:25" ht="16.5" hidden="1" thickTop="1" thickBot="1" x14ac:dyDescent="0.3">
      <c r="B858" s="60">
        <f>B853</f>
        <v>27</v>
      </c>
      <c r="C858" s="102">
        <v>188</v>
      </c>
      <c r="D858" s="192" t="str">
        <f t="shared" si="492"/>
        <v>III</v>
      </c>
      <c r="E858" s="172"/>
      <c r="F858" s="173"/>
      <c r="G858" s="173"/>
      <c r="H858" s="174"/>
      <c r="I858" s="174"/>
      <c r="J858" s="172"/>
      <c r="K858" s="175"/>
      <c r="L858" s="174"/>
      <c r="M858" s="174"/>
      <c r="N858" s="176"/>
      <c r="O858" s="177"/>
      <c r="P858" s="178"/>
      <c r="Q858" s="179"/>
      <c r="R858" s="180"/>
      <c r="S858" s="181"/>
      <c r="T858" s="203">
        <f t="shared" si="517"/>
        <v>43647</v>
      </c>
      <c r="U858" s="204">
        <f t="shared" si="518"/>
        <v>43677</v>
      </c>
      <c r="V858" s="207">
        <f t="shared" si="526"/>
        <v>0</v>
      </c>
      <c r="W858" s="206" t="str">
        <f t="shared" si="523"/>
        <v/>
      </c>
      <c r="X858" s="206">
        <f t="shared" si="524"/>
        <v>0</v>
      </c>
      <c r="Y858" s="209">
        <f t="shared" si="525"/>
        <v>0</v>
      </c>
    </row>
    <row r="859" spans="2:25" ht="16.5" hidden="1" thickTop="1" thickBot="1" x14ac:dyDescent="0.3">
      <c r="B859" s="141">
        <f>B853</f>
        <v>27</v>
      </c>
      <c r="C859" s="142">
        <v>189</v>
      </c>
      <c r="D859" s="194" t="str">
        <f t="shared" si="492"/>
        <v>III</v>
      </c>
      <c r="E859" s="189"/>
      <c r="F859" s="190"/>
      <c r="G859" s="190"/>
      <c r="H859" s="182"/>
      <c r="I859" s="182"/>
      <c r="J859" s="436" t="s">
        <v>181</v>
      </c>
      <c r="K859" s="437"/>
      <c r="L859" s="438"/>
      <c r="M859" s="182"/>
      <c r="N859" s="183"/>
      <c r="O859" s="184"/>
      <c r="P859" s="185"/>
      <c r="Q859" s="186"/>
      <c r="R859" s="187"/>
      <c r="S859" s="188"/>
      <c r="T859" s="213">
        <f t="shared" si="517"/>
        <v>43647</v>
      </c>
      <c r="U859" s="214">
        <f t="shared" si="518"/>
        <v>43677</v>
      </c>
      <c r="V859" s="210">
        <f t="shared" si="526"/>
        <v>0</v>
      </c>
      <c r="W859" s="211"/>
      <c r="X859" s="211">
        <f>IF(AND($V859&gt;0,$I859=1),IF($E859=10,P859/10,P859/$V859),0)</f>
        <v>0</v>
      </c>
      <c r="Y859" s="212">
        <f>IF(AND($V853&gt;0,$I859&lt;&gt;1),Q859/E853*V853,0)</f>
        <v>0</v>
      </c>
    </row>
    <row r="860" spans="2:25" ht="30.75" thickTop="1" x14ac:dyDescent="0.25">
      <c r="B860" s="129">
        <f>B858+1</f>
        <v>28</v>
      </c>
      <c r="C860" s="130">
        <v>190</v>
      </c>
      <c r="D860" s="196" t="str">
        <f t="shared" si="492"/>
        <v>III</v>
      </c>
      <c r="E860" s="131">
        <v>10</v>
      </c>
      <c r="F860" s="132">
        <v>43653</v>
      </c>
      <c r="G860" s="132">
        <v>43662</v>
      </c>
      <c r="H860" s="133" t="s">
        <v>305</v>
      </c>
      <c r="I860" s="133">
        <v>1</v>
      </c>
      <c r="J860" s="131" t="s">
        <v>168</v>
      </c>
      <c r="K860" s="134" t="s">
        <v>61</v>
      </c>
      <c r="L860" s="133">
        <v>1.5</v>
      </c>
      <c r="M860" s="133">
        <v>8</v>
      </c>
      <c r="N860" s="135">
        <v>112.5</v>
      </c>
      <c r="O860" s="136">
        <v>112.5</v>
      </c>
      <c r="P860" s="137">
        <v>112.5</v>
      </c>
      <c r="Q860" s="138"/>
      <c r="R860" s="139" t="s">
        <v>4</v>
      </c>
      <c r="S860" s="140">
        <v>43620</v>
      </c>
      <c r="T860" s="203">
        <f t="shared" si="517"/>
        <v>43647</v>
      </c>
      <c r="U860" s="204">
        <f t="shared" si="518"/>
        <v>43677</v>
      </c>
      <c r="V860" s="207">
        <f>IF(G860-F860+1-IF(G860-U860&gt;0,G860-U860,0)-IF(T860-F860&gt;0,T860-F860,0)&gt;0,G860-F860+1-IF(G860-U860&gt;0,G860-U860,0)-IF(T860-F860&gt;0,T860-F860,0),0)</f>
        <v>10</v>
      </c>
      <c r="W860" s="206" t="str">
        <f t="shared" ref="W860:W865" si="527">IF(V860&gt;0,H860,"")</f>
        <v>Владимир Матеев</v>
      </c>
      <c r="X860" s="206">
        <f t="shared" ref="X860:X865" si="528">IF(AND($V860&gt;0,$I860=1),P860/$E860*$V860,0)</f>
        <v>112.5</v>
      </c>
      <c r="Y860" s="209">
        <f t="shared" ref="Y860:Y865" si="529">IF(AND($V860&gt;0,$I860&lt;&gt;1),Q860/$E860*$V860,0)</f>
        <v>0</v>
      </c>
    </row>
    <row r="861" spans="2:25" ht="45" x14ac:dyDescent="0.25">
      <c r="B861" s="60">
        <f>B860</f>
        <v>28</v>
      </c>
      <c r="C861" s="102">
        <v>191</v>
      </c>
      <c r="D861" s="192" t="str">
        <f t="shared" si="492"/>
        <v>III</v>
      </c>
      <c r="E861" s="62">
        <v>10</v>
      </c>
      <c r="F861" s="105">
        <v>43653</v>
      </c>
      <c r="G861" s="105">
        <v>43662</v>
      </c>
      <c r="H861" s="61" t="s">
        <v>306</v>
      </c>
      <c r="I861" s="61">
        <v>2</v>
      </c>
      <c r="J861" s="62" t="s">
        <v>167</v>
      </c>
      <c r="K861" s="63" t="s">
        <v>61</v>
      </c>
      <c r="L861" s="61">
        <v>1.5</v>
      </c>
      <c r="M861" s="61">
        <v>8</v>
      </c>
      <c r="N861" s="111">
        <v>135</v>
      </c>
      <c r="O861" s="112">
        <v>135</v>
      </c>
      <c r="P861" s="113"/>
      <c r="Q861" s="114">
        <v>135</v>
      </c>
      <c r="R861" s="64" t="s">
        <v>4</v>
      </c>
      <c r="S861" s="108">
        <v>43620</v>
      </c>
      <c r="T861" s="203">
        <f t="shared" si="517"/>
        <v>43647</v>
      </c>
      <c r="U861" s="204">
        <f t="shared" si="518"/>
        <v>43677</v>
      </c>
      <c r="V861" s="207">
        <f t="shared" ref="V861:V866" si="530">IF(G861-F861+1-IF(G861-U861&gt;0,G861-U861,0)-IF(T861-F861&gt;0,T861-F861,0)&gt;0,G861-F861+1-IF(G861-U861&gt;0,G861-U861,0)-IF(T861-F861&gt;0,T861-F861,0),0)</f>
        <v>10</v>
      </c>
      <c r="W861" s="206" t="str">
        <f t="shared" si="527"/>
        <v>Светослава Матеева</v>
      </c>
      <c r="X861" s="206">
        <f t="shared" si="528"/>
        <v>0</v>
      </c>
      <c r="Y861" s="209">
        <f t="shared" si="529"/>
        <v>135</v>
      </c>
    </row>
    <row r="862" spans="2:25" hidden="1" x14ac:dyDescent="0.25">
      <c r="B862" s="60">
        <f>B860</f>
        <v>28</v>
      </c>
      <c r="C862" s="102">
        <v>192</v>
      </c>
      <c r="D862" s="192" t="str">
        <f t="shared" si="492"/>
        <v>III</v>
      </c>
      <c r="E862" s="62"/>
      <c r="F862" s="105"/>
      <c r="G862" s="105"/>
      <c r="H862" s="61"/>
      <c r="I862" s="61"/>
      <c r="J862" s="62"/>
      <c r="K862" s="63"/>
      <c r="L862" s="61"/>
      <c r="M862" s="61"/>
      <c r="N862" s="111"/>
      <c r="O862" s="112"/>
      <c r="P862" s="113"/>
      <c r="Q862" s="114"/>
      <c r="R862" s="64"/>
      <c r="S862" s="108"/>
      <c r="T862" s="203">
        <f t="shared" si="517"/>
        <v>43647</v>
      </c>
      <c r="U862" s="204">
        <f t="shared" si="518"/>
        <v>43677</v>
      </c>
      <c r="V862" s="207">
        <f t="shared" si="530"/>
        <v>0</v>
      </c>
      <c r="W862" s="206" t="str">
        <f t="shared" si="527"/>
        <v/>
      </c>
      <c r="X862" s="206">
        <f t="shared" si="528"/>
        <v>0</v>
      </c>
      <c r="Y862" s="209">
        <f t="shared" si="529"/>
        <v>0</v>
      </c>
    </row>
    <row r="863" spans="2:25" hidden="1" x14ac:dyDescent="0.25">
      <c r="B863" s="60">
        <f>B860</f>
        <v>28</v>
      </c>
      <c r="C863" s="102">
        <v>193</v>
      </c>
      <c r="D863" s="192" t="str">
        <f t="shared" si="492"/>
        <v>III</v>
      </c>
      <c r="E863" s="62"/>
      <c r="F863" s="105"/>
      <c r="G863" s="105"/>
      <c r="H863" s="61"/>
      <c r="I863" s="61"/>
      <c r="J863" s="62"/>
      <c r="K863" s="63"/>
      <c r="L863" s="61"/>
      <c r="M863" s="61"/>
      <c r="N863" s="111"/>
      <c r="O863" s="112"/>
      <c r="P863" s="113"/>
      <c r="Q863" s="114"/>
      <c r="R863" s="64"/>
      <c r="S863" s="108"/>
      <c r="T863" s="203">
        <f t="shared" si="517"/>
        <v>43647</v>
      </c>
      <c r="U863" s="204">
        <f t="shared" si="518"/>
        <v>43677</v>
      </c>
      <c r="V863" s="207">
        <f t="shared" si="530"/>
        <v>0</v>
      </c>
      <c r="W863" s="206" t="str">
        <f t="shared" si="527"/>
        <v/>
      </c>
      <c r="X863" s="206">
        <f t="shared" si="528"/>
        <v>0</v>
      </c>
      <c r="Y863" s="209">
        <f t="shared" si="529"/>
        <v>0</v>
      </c>
    </row>
    <row r="864" spans="2:25" hidden="1" x14ac:dyDescent="0.25">
      <c r="B864" s="60">
        <f>B860</f>
        <v>28</v>
      </c>
      <c r="C864" s="102">
        <v>194</v>
      </c>
      <c r="D864" s="192" t="str">
        <f t="shared" si="492"/>
        <v>III</v>
      </c>
      <c r="E864" s="62"/>
      <c r="F864" s="105"/>
      <c r="G864" s="105"/>
      <c r="H864" s="61"/>
      <c r="I864" s="61"/>
      <c r="J864" s="62"/>
      <c r="K864" s="63"/>
      <c r="L864" s="61"/>
      <c r="M864" s="61"/>
      <c r="N864" s="111"/>
      <c r="O864" s="112"/>
      <c r="P864" s="113"/>
      <c r="Q864" s="114"/>
      <c r="R864" s="64"/>
      <c r="S864" s="108"/>
      <c r="T864" s="203">
        <f t="shared" si="517"/>
        <v>43647</v>
      </c>
      <c r="U864" s="204">
        <f t="shared" si="518"/>
        <v>43677</v>
      </c>
      <c r="V864" s="207">
        <f t="shared" si="530"/>
        <v>0</v>
      </c>
      <c r="W864" s="206" t="str">
        <f t="shared" si="527"/>
        <v/>
      </c>
      <c r="X864" s="206">
        <f t="shared" si="528"/>
        <v>0</v>
      </c>
      <c r="Y864" s="209">
        <f t="shared" si="529"/>
        <v>0</v>
      </c>
    </row>
    <row r="865" spans="2:25" hidden="1" x14ac:dyDescent="0.25">
      <c r="B865" s="60">
        <f>B860</f>
        <v>28</v>
      </c>
      <c r="C865" s="102">
        <v>195</v>
      </c>
      <c r="D865" s="192" t="str">
        <f t="shared" ref="D865:D928" si="531">D864</f>
        <v>III</v>
      </c>
      <c r="E865" s="62"/>
      <c r="F865" s="105"/>
      <c r="G865" s="105"/>
      <c r="H865" s="61"/>
      <c r="I865" s="61"/>
      <c r="J865" s="62"/>
      <c r="K865" s="63"/>
      <c r="L865" s="61"/>
      <c r="M865" s="61"/>
      <c r="N865" s="111"/>
      <c r="O865" s="112"/>
      <c r="P865" s="113"/>
      <c r="Q865" s="114"/>
      <c r="R865" s="64"/>
      <c r="S865" s="108"/>
      <c r="T865" s="203">
        <f t="shared" si="517"/>
        <v>43647</v>
      </c>
      <c r="U865" s="204">
        <f t="shared" si="518"/>
        <v>43677</v>
      </c>
      <c r="V865" s="207">
        <f t="shared" si="530"/>
        <v>0</v>
      </c>
      <c r="W865" s="206" t="str">
        <f t="shared" si="527"/>
        <v/>
      </c>
      <c r="X865" s="206">
        <f t="shared" si="528"/>
        <v>0</v>
      </c>
      <c r="Y865" s="209">
        <f t="shared" si="529"/>
        <v>0</v>
      </c>
    </row>
    <row r="866" spans="2:25" ht="15.75" thickBot="1" x14ac:dyDescent="0.3">
      <c r="B866" s="141">
        <f>B860</f>
        <v>28</v>
      </c>
      <c r="C866" s="142">
        <v>196</v>
      </c>
      <c r="D866" s="194" t="str">
        <f t="shared" si="531"/>
        <v>III</v>
      </c>
      <c r="E866" s="143"/>
      <c r="F866" s="144"/>
      <c r="G866" s="144"/>
      <c r="H866" s="145"/>
      <c r="I866" s="145"/>
      <c r="J866" s="436" t="s">
        <v>181</v>
      </c>
      <c r="K866" s="437"/>
      <c r="L866" s="438"/>
      <c r="M866" s="145"/>
      <c r="N866" s="146">
        <v>10</v>
      </c>
      <c r="O866" s="147">
        <v>10</v>
      </c>
      <c r="P866" s="148"/>
      <c r="Q866" s="149">
        <v>10</v>
      </c>
      <c r="R866" s="150" t="s">
        <v>4</v>
      </c>
      <c r="S866" s="151">
        <v>43620</v>
      </c>
      <c r="T866" s="213">
        <f t="shared" si="517"/>
        <v>43647</v>
      </c>
      <c r="U866" s="214">
        <f t="shared" si="518"/>
        <v>43677</v>
      </c>
      <c r="V866" s="210">
        <f t="shared" si="530"/>
        <v>0</v>
      </c>
      <c r="W866" s="211"/>
      <c r="X866" s="211">
        <f>IF(AND($V866&gt;0,$I866=1),IF($E866=10,P866/10,P866/$V866),0)</f>
        <v>0</v>
      </c>
      <c r="Y866" s="212">
        <f>IF(AND($V860&gt;0,$I866&lt;&gt;1),Q866/E860*V860,0)</f>
        <v>10</v>
      </c>
    </row>
    <row r="867" spans="2:25" ht="16.5" hidden="1" thickTop="1" thickBot="1" x14ac:dyDescent="0.3">
      <c r="B867" s="129">
        <f>B865+1</f>
        <v>29</v>
      </c>
      <c r="C867" s="130">
        <v>197</v>
      </c>
      <c r="D867" s="196" t="str">
        <f t="shared" si="531"/>
        <v>III</v>
      </c>
      <c r="E867" s="152"/>
      <c r="F867" s="153"/>
      <c r="G867" s="153"/>
      <c r="H867" s="154"/>
      <c r="I867" s="154"/>
      <c r="J867" s="152"/>
      <c r="K867" s="155"/>
      <c r="L867" s="154"/>
      <c r="M867" s="154"/>
      <c r="N867" s="156"/>
      <c r="O867" s="157"/>
      <c r="P867" s="158"/>
      <c r="Q867" s="159"/>
      <c r="R867" s="160"/>
      <c r="S867" s="161"/>
      <c r="T867" s="203">
        <f t="shared" si="517"/>
        <v>43647</v>
      </c>
      <c r="U867" s="204">
        <f t="shared" si="518"/>
        <v>43677</v>
      </c>
      <c r="V867" s="207">
        <f>IF(G867-F867+1-IF(G867-U867&gt;0,G867-U867,0)-IF(T867-F867&gt;0,T867-F867,0)&gt;0,G867-F867+1-IF(G867-U867&gt;0,G867-U867,0)-IF(T867-F867&gt;0,T867-F867,0),0)</f>
        <v>0</v>
      </c>
      <c r="W867" s="206" t="str">
        <f t="shared" ref="W867:W872" si="532">IF(V867&gt;0,H867,"")</f>
        <v/>
      </c>
      <c r="X867" s="206">
        <f t="shared" ref="X867:X872" si="533">IF(AND($V867&gt;0,$I867=1),P867/$E867*$V867,0)</f>
        <v>0</v>
      </c>
      <c r="Y867" s="209">
        <f t="shared" ref="Y867:Y872" si="534">IF(AND($V867&gt;0,$I867&lt;&gt;1),Q867/$E867*$V867,0)</f>
        <v>0</v>
      </c>
    </row>
    <row r="868" spans="2:25" ht="16.5" hidden="1" thickTop="1" thickBot="1" x14ac:dyDescent="0.3">
      <c r="B868" s="60">
        <f>B867</f>
        <v>29</v>
      </c>
      <c r="C868" s="102">
        <v>198</v>
      </c>
      <c r="D868" s="192" t="str">
        <f t="shared" si="531"/>
        <v>III</v>
      </c>
      <c r="E868" s="162"/>
      <c r="F868" s="163"/>
      <c r="G868" s="163"/>
      <c r="H868" s="164"/>
      <c r="I868" s="164"/>
      <c r="J868" s="162"/>
      <c r="K868" s="165"/>
      <c r="L868" s="164"/>
      <c r="M868" s="164"/>
      <c r="N868" s="166"/>
      <c r="O868" s="167"/>
      <c r="P868" s="168"/>
      <c r="Q868" s="169"/>
      <c r="R868" s="170"/>
      <c r="S868" s="171"/>
      <c r="T868" s="203">
        <f t="shared" si="517"/>
        <v>43647</v>
      </c>
      <c r="U868" s="204">
        <f t="shared" si="518"/>
        <v>43677</v>
      </c>
      <c r="V868" s="207">
        <f t="shared" ref="V868:V873" si="535">IF(G868-F868+1-IF(G868-U868&gt;0,G868-U868,0)-IF(T868-F868&gt;0,T868-F868,0)&gt;0,G868-F868+1-IF(G868-U868&gt;0,G868-U868,0)-IF(T868-F868&gt;0,T868-F868,0),0)</f>
        <v>0</v>
      </c>
      <c r="W868" s="206" t="str">
        <f t="shared" si="532"/>
        <v/>
      </c>
      <c r="X868" s="206">
        <f t="shared" si="533"/>
        <v>0</v>
      </c>
      <c r="Y868" s="209">
        <f t="shared" si="534"/>
        <v>0</v>
      </c>
    </row>
    <row r="869" spans="2:25" ht="16.5" hidden="1" thickTop="1" thickBot="1" x14ac:dyDescent="0.3">
      <c r="B869" s="60">
        <f>B867</f>
        <v>29</v>
      </c>
      <c r="C869" s="102">
        <v>199</v>
      </c>
      <c r="D869" s="192" t="str">
        <f t="shared" si="531"/>
        <v>III</v>
      </c>
      <c r="E869" s="162"/>
      <c r="F869" s="163"/>
      <c r="G869" s="163"/>
      <c r="H869" s="164"/>
      <c r="I869" s="164"/>
      <c r="J869" s="162"/>
      <c r="K869" s="165"/>
      <c r="L869" s="164"/>
      <c r="M869" s="164"/>
      <c r="N869" s="166"/>
      <c r="O869" s="167"/>
      <c r="P869" s="168"/>
      <c r="Q869" s="169"/>
      <c r="R869" s="170"/>
      <c r="S869" s="171"/>
      <c r="T869" s="203">
        <f t="shared" si="517"/>
        <v>43647</v>
      </c>
      <c r="U869" s="204">
        <f t="shared" si="518"/>
        <v>43677</v>
      </c>
      <c r="V869" s="207">
        <f t="shared" si="535"/>
        <v>0</v>
      </c>
      <c r="W869" s="206" t="str">
        <f t="shared" si="532"/>
        <v/>
      </c>
      <c r="X869" s="206">
        <f t="shared" si="533"/>
        <v>0</v>
      </c>
      <c r="Y869" s="209">
        <f t="shared" si="534"/>
        <v>0</v>
      </c>
    </row>
    <row r="870" spans="2:25" ht="16.5" hidden="1" thickTop="1" thickBot="1" x14ac:dyDescent="0.3">
      <c r="B870" s="60">
        <f>B867</f>
        <v>29</v>
      </c>
      <c r="C870" s="102">
        <v>200</v>
      </c>
      <c r="D870" s="192" t="str">
        <f t="shared" si="531"/>
        <v>III</v>
      </c>
      <c r="E870" s="162"/>
      <c r="F870" s="163"/>
      <c r="G870" s="163"/>
      <c r="H870" s="164"/>
      <c r="I870" s="164"/>
      <c r="J870" s="162"/>
      <c r="K870" s="165"/>
      <c r="L870" s="164"/>
      <c r="M870" s="164"/>
      <c r="N870" s="166"/>
      <c r="O870" s="167"/>
      <c r="P870" s="168"/>
      <c r="Q870" s="169"/>
      <c r="R870" s="170"/>
      <c r="S870" s="171"/>
      <c r="T870" s="203">
        <f t="shared" si="517"/>
        <v>43647</v>
      </c>
      <c r="U870" s="204">
        <f t="shared" si="518"/>
        <v>43677</v>
      </c>
      <c r="V870" s="207">
        <f t="shared" si="535"/>
        <v>0</v>
      </c>
      <c r="W870" s="206" t="str">
        <f t="shared" si="532"/>
        <v/>
      </c>
      <c r="X870" s="206">
        <f t="shared" si="533"/>
        <v>0</v>
      </c>
      <c r="Y870" s="209">
        <f t="shared" si="534"/>
        <v>0</v>
      </c>
    </row>
    <row r="871" spans="2:25" ht="16.5" hidden="1" thickTop="1" thickBot="1" x14ac:dyDescent="0.3">
      <c r="B871" s="60">
        <f>B867</f>
        <v>29</v>
      </c>
      <c r="C871" s="102">
        <v>201</v>
      </c>
      <c r="D871" s="192" t="str">
        <f t="shared" si="531"/>
        <v>III</v>
      </c>
      <c r="E871" s="162"/>
      <c r="F871" s="163"/>
      <c r="G871" s="163"/>
      <c r="H871" s="164"/>
      <c r="I871" s="164"/>
      <c r="J871" s="162"/>
      <c r="K871" s="165"/>
      <c r="L871" s="164"/>
      <c r="M871" s="164"/>
      <c r="N871" s="166"/>
      <c r="O871" s="167"/>
      <c r="P871" s="168"/>
      <c r="Q871" s="169"/>
      <c r="R871" s="170"/>
      <c r="S871" s="171"/>
      <c r="T871" s="203">
        <f t="shared" si="517"/>
        <v>43647</v>
      </c>
      <c r="U871" s="204">
        <f t="shared" si="518"/>
        <v>43677</v>
      </c>
      <c r="V871" s="207">
        <f t="shared" si="535"/>
        <v>0</v>
      </c>
      <c r="W871" s="206" t="str">
        <f t="shared" si="532"/>
        <v/>
      </c>
      <c r="X871" s="206">
        <f t="shared" si="533"/>
        <v>0</v>
      </c>
      <c r="Y871" s="209">
        <f t="shared" si="534"/>
        <v>0</v>
      </c>
    </row>
    <row r="872" spans="2:25" ht="16.5" hidden="1" thickTop="1" thickBot="1" x14ac:dyDescent="0.3">
      <c r="B872" s="60">
        <f>B867</f>
        <v>29</v>
      </c>
      <c r="C872" s="102">
        <v>202</v>
      </c>
      <c r="D872" s="192" t="str">
        <f t="shared" si="531"/>
        <v>III</v>
      </c>
      <c r="E872" s="172"/>
      <c r="F872" s="173"/>
      <c r="G872" s="173"/>
      <c r="H872" s="174"/>
      <c r="I872" s="174"/>
      <c r="J872" s="172"/>
      <c r="K872" s="175"/>
      <c r="L872" s="174"/>
      <c r="M872" s="174"/>
      <c r="N872" s="176"/>
      <c r="O872" s="177"/>
      <c r="P872" s="178"/>
      <c r="Q872" s="179"/>
      <c r="R872" s="180"/>
      <c r="S872" s="181"/>
      <c r="T872" s="203">
        <f t="shared" si="517"/>
        <v>43647</v>
      </c>
      <c r="U872" s="204">
        <f t="shared" si="518"/>
        <v>43677</v>
      </c>
      <c r="V872" s="207">
        <f t="shared" si="535"/>
        <v>0</v>
      </c>
      <c r="W872" s="206" t="str">
        <f t="shared" si="532"/>
        <v/>
      </c>
      <c r="X872" s="206">
        <f t="shared" si="533"/>
        <v>0</v>
      </c>
      <c r="Y872" s="209">
        <f t="shared" si="534"/>
        <v>0</v>
      </c>
    </row>
    <row r="873" spans="2:25" ht="16.5" hidden="1" thickTop="1" thickBot="1" x14ac:dyDescent="0.3">
      <c r="B873" s="141">
        <f>B867</f>
        <v>29</v>
      </c>
      <c r="C873" s="142">
        <v>203</v>
      </c>
      <c r="D873" s="194" t="str">
        <f t="shared" si="531"/>
        <v>III</v>
      </c>
      <c r="E873" s="189"/>
      <c r="F873" s="190"/>
      <c r="G873" s="190"/>
      <c r="H873" s="182"/>
      <c r="I873" s="182"/>
      <c r="J873" s="436" t="s">
        <v>181</v>
      </c>
      <c r="K873" s="437"/>
      <c r="L873" s="438"/>
      <c r="M873" s="182"/>
      <c r="N873" s="183"/>
      <c r="O873" s="184"/>
      <c r="P873" s="185"/>
      <c r="Q873" s="186"/>
      <c r="R873" s="187"/>
      <c r="S873" s="188"/>
      <c r="T873" s="213">
        <f t="shared" si="517"/>
        <v>43647</v>
      </c>
      <c r="U873" s="214">
        <f t="shared" si="518"/>
        <v>43677</v>
      </c>
      <c r="V873" s="210">
        <f t="shared" si="535"/>
        <v>0</v>
      </c>
      <c r="W873" s="211"/>
      <c r="X873" s="211">
        <f>IF(AND($V873&gt;0,$I873=1),IF($E873=10,P873/10,P873/$V873),0)</f>
        <v>0</v>
      </c>
      <c r="Y873" s="212">
        <f>IF(AND($V867&gt;0,$I873&lt;&gt;1),Q873/E867*V867,0)</f>
        <v>0</v>
      </c>
    </row>
    <row r="874" spans="2:25" ht="16.5" hidden="1" thickTop="1" thickBot="1" x14ac:dyDescent="0.3">
      <c r="B874" s="129">
        <f>B872+1</f>
        <v>30</v>
      </c>
      <c r="C874" s="130">
        <v>204</v>
      </c>
      <c r="D874" s="196" t="str">
        <f t="shared" si="531"/>
        <v>III</v>
      </c>
      <c r="E874" s="131"/>
      <c r="F874" s="132"/>
      <c r="G874" s="132"/>
      <c r="H874" s="133"/>
      <c r="I874" s="133"/>
      <c r="J874" s="131"/>
      <c r="K874" s="134"/>
      <c r="L874" s="133"/>
      <c r="M874" s="133"/>
      <c r="N874" s="135"/>
      <c r="O874" s="136"/>
      <c r="P874" s="137"/>
      <c r="Q874" s="138"/>
      <c r="R874" s="139"/>
      <c r="S874" s="140"/>
      <c r="T874" s="203">
        <f t="shared" si="517"/>
        <v>43647</v>
      </c>
      <c r="U874" s="204">
        <f t="shared" si="518"/>
        <v>43677</v>
      </c>
      <c r="V874" s="207">
        <f>IF(G874-F874+1-IF(G874-U874&gt;0,G874-U874,0)-IF(T874-F874&gt;0,T874-F874,0)&gt;0,G874-F874+1-IF(G874-U874&gt;0,G874-U874,0)-IF(T874-F874&gt;0,T874-F874,0),0)</f>
        <v>0</v>
      </c>
      <c r="W874" s="206" t="str">
        <f t="shared" ref="W874:W879" si="536">IF(V874&gt;0,H874,"")</f>
        <v/>
      </c>
      <c r="X874" s="206">
        <f t="shared" ref="X874:X879" si="537">IF(AND($V874&gt;0,$I874=1),P874/$E874*$V874,0)</f>
        <v>0</v>
      </c>
      <c r="Y874" s="209">
        <f t="shared" ref="Y874:Y879" si="538">IF(AND($V874&gt;0,$I874&lt;&gt;1),Q874/$E874*$V874,0)</f>
        <v>0</v>
      </c>
    </row>
    <row r="875" spans="2:25" ht="16.5" hidden="1" thickTop="1" thickBot="1" x14ac:dyDescent="0.3">
      <c r="B875" s="60">
        <f>B874</f>
        <v>30</v>
      </c>
      <c r="C875" s="102">
        <v>205</v>
      </c>
      <c r="D875" s="192" t="str">
        <f t="shared" si="531"/>
        <v>III</v>
      </c>
      <c r="E875" s="62"/>
      <c r="F875" s="105"/>
      <c r="G875" s="105"/>
      <c r="H875" s="61"/>
      <c r="I875" s="61"/>
      <c r="J875" s="62"/>
      <c r="K875" s="63"/>
      <c r="L875" s="61"/>
      <c r="M875" s="61"/>
      <c r="N875" s="111"/>
      <c r="O875" s="112"/>
      <c r="P875" s="113"/>
      <c r="Q875" s="114"/>
      <c r="R875" s="64"/>
      <c r="S875" s="108"/>
      <c r="T875" s="203">
        <f t="shared" si="517"/>
        <v>43647</v>
      </c>
      <c r="U875" s="204">
        <f t="shared" si="518"/>
        <v>43677</v>
      </c>
      <c r="V875" s="207">
        <f t="shared" ref="V875:V880" si="539">IF(G875-F875+1-IF(G875-U875&gt;0,G875-U875,0)-IF(T875-F875&gt;0,T875-F875,0)&gt;0,G875-F875+1-IF(G875-U875&gt;0,G875-U875,0)-IF(T875-F875&gt;0,T875-F875,0),0)</f>
        <v>0</v>
      </c>
      <c r="W875" s="206" t="str">
        <f t="shared" si="536"/>
        <v/>
      </c>
      <c r="X875" s="206">
        <f t="shared" si="537"/>
        <v>0</v>
      </c>
      <c r="Y875" s="209">
        <f t="shared" si="538"/>
        <v>0</v>
      </c>
    </row>
    <row r="876" spans="2:25" ht="16.5" hidden="1" thickTop="1" thickBot="1" x14ac:dyDescent="0.3">
      <c r="B876" s="60">
        <f>B874</f>
        <v>30</v>
      </c>
      <c r="C876" s="102">
        <v>206</v>
      </c>
      <c r="D876" s="192" t="str">
        <f t="shared" si="531"/>
        <v>III</v>
      </c>
      <c r="E876" s="62"/>
      <c r="F876" s="105"/>
      <c r="G876" s="105"/>
      <c r="H876" s="61"/>
      <c r="I876" s="61"/>
      <c r="J876" s="62"/>
      <c r="K876" s="63"/>
      <c r="L876" s="61"/>
      <c r="M876" s="61"/>
      <c r="N876" s="111"/>
      <c r="O876" s="112"/>
      <c r="P876" s="113"/>
      <c r="Q876" s="114"/>
      <c r="R876" s="64"/>
      <c r="S876" s="108"/>
      <c r="T876" s="203">
        <f t="shared" si="517"/>
        <v>43647</v>
      </c>
      <c r="U876" s="204">
        <f t="shared" si="518"/>
        <v>43677</v>
      </c>
      <c r="V876" s="207">
        <f t="shared" si="539"/>
        <v>0</v>
      </c>
      <c r="W876" s="206" t="str">
        <f t="shared" si="536"/>
        <v/>
      </c>
      <c r="X876" s="206">
        <f t="shared" si="537"/>
        <v>0</v>
      </c>
      <c r="Y876" s="209">
        <f t="shared" si="538"/>
        <v>0</v>
      </c>
    </row>
    <row r="877" spans="2:25" ht="16.5" hidden="1" thickTop="1" thickBot="1" x14ac:dyDescent="0.3">
      <c r="B877" s="60">
        <f>B874</f>
        <v>30</v>
      </c>
      <c r="C877" s="102">
        <v>207</v>
      </c>
      <c r="D877" s="192" t="str">
        <f t="shared" si="531"/>
        <v>III</v>
      </c>
      <c r="E877" s="62"/>
      <c r="F877" s="105"/>
      <c r="G877" s="105"/>
      <c r="H877" s="61"/>
      <c r="I877" s="61"/>
      <c r="J877" s="62"/>
      <c r="K877" s="63"/>
      <c r="L877" s="61"/>
      <c r="M877" s="61"/>
      <c r="N877" s="111"/>
      <c r="O877" s="112"/>
      <c r="P877" s="113"/>
      <c r="Q877" s="114"/>
      <c r="R877" s="64"/>
      <c r="S877" s="108"/>
      <c r="T877" s="203">
        <f t="shared" si="517"/>
        <v>43647</v>
      </c>
      <c r="U877" s="204">
        <f t="shared" si="518"/>
        <v>43677</v>
      </c>
      <c r="V877" s="207">
        <f t="shared" si="539"/>
        <v>0</v>
      </c>
      <c r="W877" s="206" t="str">
        <f t="shared" si="536"/>
        <v/>
      </c>
      <c r="X877" s="206">
        <f t="shared" si="537"/>
        <v>0</v>
      </c>
      <c r="Y877" s="209">
        <f t="shared" si="538"/>
        <v>0</v>
      </c>
    </row>
    <row r="878" spans="2:25" ht="16.5" hidden="1" thickTop="1" thickBot="1" x14ac:dyDescent="0.3">
      <c r="B878" s="60">
        <f>B874</f>
        <v>30</v>
      </c>
      <c r="C878" s="102">
        <v>208</v>
      </c>
      <c r="D878" s="192" t="str">
        <f t="shared" si="531"/>
        <v>III</v>
      </c>
      <c r="E878" s="62"/>
      <c r="F878" s="105"/>
      <c r="G878" s="105"/>
      <c r="H878" s="61"/>
      <c r="I878" s="61"/>
      <c r="J878" s="62"/>
      <c r="K878" s="63"/>
      <c r="L878" s="61"/>
      <c r="M878" s="61"/>
      <c r="N878" s="111"/>
      <c r="O878" s="112"/>
      <c r="P878" s="113"/>
      <c r="Q878" s="114"/>
      <c r="R878" s="64"/>
      <c r="S878" s="108"/>
      <c r="T878" s="203">
        <f t="shared" si="517"/>
        <v>43647</v>
      </c>
      <c r="U878" s="204">
        <f t="shared" si="518"/>
        <v>43677</v>
      </c>
      <c r="V878" s="207">
        <f t="shared" si="539"/>
        <v>0</v>
      </c>
      <c r="W878" s="206" t="str">
        <f t="shared" si="536"/>
        <v/>
      </c>
      <c r="X878" s="206">
        <f t="shared" si="537"/>
        <v>0</v>
      </c>
      <c r="Y878" s="209">
        <f t="shared" si="538"/>
        <v>0</v>
      </c>
    </row>
    <row r="879" spans="2:25" ht="16.5" hidden="1" thickTop="1" thickBot="1" x14ac:dyDescent="0.3">
      <c r="B879" s="60">
        <f>B874</f>
        <v>30</v>
      </c>
      <c r="C879" s="102">
        <v>209</v>
      </c>
      <c r="D879" s="192" t="str">
        <f t="shared" si="531"/>
        <v>III</v>
      </c>
      <c r="E879" s="62"/>
      <c r="F879" s="105"/>
      <c r="G879" s="105"/>
      <c r="H879" s="61"/>
      <c r="I879" s="61"/>
      <c r="J879" s="62"/>
      <c r="K879" s="63"/>
      <c r="L879" s="61"/>
      <c r="M879" s="61"/>
      <c r="N879" s="111"/>
      <c r="O879" s="112"/>
      <c r="P879" s="113"/>
      <c r="Q879" s="114"/>
      <c r="R879" s="64"/>
      <c r="S879" s="108"/>
      <c r="T879" s="203">
        <f t="shared" si="517"/>
        <v>43647</v>
      </c>
      <c r="U879" s="204">
        <f t="shared" si="518"/>
        <v>43677</v>
      </c>
      <c r="V879" s="207">
        <f t="shared" si="539"/>
        <v>0</v>
      </c>
      <c r="W879" s="206" t="str">
        <f t="shared" si="536"/>
        <v/>
      </c>
      <c r="X879" s="206">
        <f t="shared" si="537"/>
        <v>0</v>
      </c>
      <c r="Y879" s="209">
        <f t="shared" si="538"/>
        <v>0</v>
      </c>
    </row>
    <row r="880" spans="2:25" ht="16.5" hidden="1" thickTop="1" thickBot="1" x14ac:dyDescent="0.3">
      <c r="B880" s="141">
        <f>B874</f>
        <v>30</v>
      </c>
      <c r="C880" s="142">
        <v>210</v>
      </c>
      <c r="D880" s="194" t="str">
        <f t="shared" si="531"/>
        <v>III</v>
      </c>
      <c r="E880" s="143"/>
      <c r="F880" s="144"/>
      <c r="G880" s="144"/>
      <c r="H880" s="145"/>
      <c r="I880" s="145"/>
      <c r="J880" s="436" t="s">
        <v>181</v>
      </c>
      <c r="K880" s="437"/>
      <c r="L880" s="438"/>
      <c r="M880" s="145"/>
      <c r="N880" s="146"/>
      <c r="O880" s="147"/>
      <c r="P880" s="148"/>
      <c r="Q880" s="149"/>
      <c r="R880" s="150"/>
      <c r="S880" s="151"/>
      <c r="T880" s="213">
        <f t="shared" si="517"/>
        <v>43647</v>
      </c>
      <c r="U880" s="214">
        <f t="shared" si="518"/>
        <v>43677</v>
      </c>
      <c r="V880" s="210">
        <f t="shared" si="539"/>
        <v>0</v>
      </c>
      <c r="W880" s="211"/>
      <c r="X880" s="211">
        <f>IF(AND($V880&gt;0,$I880=1),IF($E880=10,P880/10,P880/$V880),0)</f>
        <v>0</v>
      </c>
      <c r="Y880" s="212">
        <f>IF(AND($V874&gt;0,$I880&lt;&gt;1),Q880/E874*V874,0)</f>
        <v>0</v>
      </c>
    </row>
    <row r="881" spans="2:25" ht="30.75" thickTop="1" x14ac:dyDescent="0.25">
      <c r="B881" s="129">
        <f>B879+1</f>
        <v>31</v>
      </c>
      <c r="C881" s="130">
        <v>211</v>
      </c>
      <c r="D881" s="196" t="str">
        <f t="shared" si="531"/>
        <v>III</v>
      </c>
      <c r="E881" s="152">
        <v>5</v>
      </c>
      <c r="F881" s="153">
        <v>43653</v>
      </c>
      <c r="G881" s="153">
        <v>43657</v>
      </c>
      <c r="H881" s="154" t="s">
        <v>294</v>
      </c>
      <c r="I881" s="154">
        <v>1</v>
      </c>
      <c r="J881" s="152" t="s">
        <v>168</v>
      </c>
      <c r="K881" s="155" t="s">
        <v>16</v>
      </c>
      <c r="L881" s="154">
        <v>1</v>
      </c>
      <c r="M881" s="154">
        <v>10</v>
      </c>
      <c r="N881" s="156">
        <v>11</v>
      </c>
      <c r="O881" s="157">
        <v>55</v>
      </c>
      <c r="P881" s="158">
        <v>55</v>
      </c>
      <c r="Q881" s="159"/>
      <c r="R881" s="160" t="s">
        <v>4</v>
      </c>
      <c r="S881" s="161">
        <v>43650</v>
      </c>
      <c r="T881" s="203">
        <f t="shared" si="517"/>
        <v>43647</v>
      </c>
      <c r="U881" s="204">
        <f t="shared" si="518"/>
        <v>43677</v>
      </c>
      <c r="V881" s="207">
        <f>IF(G881-F881+1-IF(G881-U881&gt;0,G881-U881,0)-IF(T881-F881&gt;0,T881-F881,0)&gt;0,G881-F881+1-IF(G881-U881&gt;0,G881-U881,0)-IF(T881-F881&gt;0,T881-F881,0),0)</f>
        <v>5</v>
      </c>
      <c r="W881" s="206" t="str">
        <f t="shared" ref="W881:W886" si="540">IF(V881&gt;0,H881,"")</f>
        <v>Даниела Йорданова</v>
      </c>
      <c r="X881" s="206">
        <f t="shared" ref="X881:X886" si="541">IF(AND($V881&gt;0,$I881=1),P881/$E881*$V881,0)</f>
        <v>55</v>
      </c>
      <c r="Y881" s="209">
        <f t="shared" ref="Y881:Y886" si="542">IF(AND($V881&gt;0,$I881&lt;&gt;1),Q881/$E881*$V881,0)</f>
        <v>0</v>
      </c>
    </row>
    <row r="882" spans="2:25" hidden="1" x14ac:dyDescent="0.25">
      <c r="B882" s="60">
        <f>B881</f>
        <v>31</v>
      </c>
      <c r="C882" s="102">
        <v>212</v>
      </c>
      <c r="D882" s="192" t="str">
        <f t="shared" si="531"/>
        <v>III</v>
      </c>
      <c r="E882" s="162"/>
      <c r="F882" s="163"/>
      <c r="G882" s="163"/>
      <c r="H882" s="164"/>
      <c r="I882" s="164"/>
      <c r="J882" s="162"/>
      <c r="K882" s="165"/>
      <c r="L882" s="164"/>
      <c r="M882" s="164"/>
      <c r="N882" s="166"/>
      <c r="O882" s="167"/>
      <c r="P882" s="168"/>
      <c r="Q882" s="169"/>
      <c r="R882" s="170"/>
      <c r="S882" s="171"/>
      <c r="T882" s="203">
        <f t="shared" si="517"/>
        <v>43647</v>
      </c>
      <c r="U882" s="204">
        <f t="shared" si="518"/>
        <v>43677</v>
      </c>
      <c r="V882" s="207">
        <f t="shared" ref="V882:V887" si="543">IF(G882-F882+1-IF(G882-U882&gt;0,G882-U882,0)-IF(T882-F882&gt;0,T882-F882,0)&gt;0,G882-F882+1-IF(G882-U882&gt;0,G882-U882,0)-IF(T882-F882&gt;0,T882-F882,0),0)</f>
        <v>0</v>
      </c>
      <c r="W882" s="206" t="str">
        <f t="shared" si="540"/>
        <v/>
      </c>
      <c r="X882" s="206">
        <f t="shared" si="541"/>
        <v>0</v>
      </c>
      <c r="Y882" s="209">
        <f t="shared" si="542"/>
        <v>0</v>
      </c>
    </row>
    <row r="883" spans="2:25" hidden="1" x14ac:dyDescent="0.25">
      <c r="B883" s="60">
        <f>B881</f>
        <v>31</v>
      </c>
      <c r="C883" s="102">
        <v>213</v>
      </c>
      <c r="D883" s="192" t="str">
        <f t="shared" si="531"/>
        <v>III</v>
      </c>
      <c r="E883" s="162"/>
      <c r="F883" s="163"/>
      <c r="G883" s="163"/>
      <c r="H883" s="164"/>
      <c r="I883" s="164"/>
      <c r="J883" s="162"/>
      <c r="K883" s="165"/>
      <c r="L883" s="164"/>
      <c r="M883" s="164"/>
      <c r="N883" s="166"/>
      <c r="O883" s="167"/>
      <c r="P883" s="168"/>
      <c r="Q883" s="169"/>
      <c r="R883" s="170"/>
      <c r="S883" s="171"/>
      <c r="T883" s="203">
        <f t="shared" si="517"/>
        <v>43647</v>
      </c>
      <c r="U883" s="204">
        <f t="shared" si="518"/>
        <v>43677</v>
      </c>
      <c r="V883" s="207">
        <f t="shared" si="543"/>
        <v>0</v>
      </c>
      <c r="W883" s="206" t="str">
        <f t="shared" si="540"/>
        <v/>
      </c>
      <c r="X883" s="206">
        <f t="shared" si="541"/>
        <v>0</v>
      </c>
      <c r="Y883" s="209">
        <f t="shared" si="542"/>
        <v>0</v>
      </c>
    </row>
    <row r="884" spans="2:25" hidden="1" x14ac:dyDescent="0.25">
      <c r="B884" s="60">
        <f>B881</f>
        <v>31</v>
      </c>
      <c r="C884" s="102">
        <v>214</v>
      </c>
      <c r="D884" s="192" t="str">
        <f t="shared" si="531"/>
        <v>III</v>
      </c>
      <c r="E884" s="162"/>
      <c r="F884" s="163"/>
      <c r="G884" s="163"/>
      <c r="H884" s="164"/>
      <c r="I884" s="164"/>
      <c r="J884" s="162"/>
      <c r="K884" s="165"/>
      <c r="L884" s="164"/>
      <c r="M884" s="164"/>
      <c r="N884" s="166"/>
      <c r="O884" s="167"/>
      <c r="P884" s="168"/>
      <c r="Q884" s="169"/>
      <c r="R884" s="170"/>
      <c r="S884" s="171"/>
      <c r="T884" s="203">
        <f t="shared" si="517"/>
        <v>43647</v>
      </c>
      <c r="U884" s="204">
        <f t="shared" si="518"/>
        <v>43677</v>
      </c>
      <c r="V884" s="207">
        <f t="shared" si="543"/>
        <v>0</v>
      </c>
      <c r="W884" s="206" t="str">
        <f t="shared" si="540"/>
        <v/>
      </c>
      <c r="X884" s="206">
        <f t="shared" si="541"/>
        <v>0</v>
      </c>
      <c r="Y884" s="209">
        <f t="shared" si="542"/>
        <v>0</v>
      </c>
    </row>
    <row r="885" spans="2:25" hidden="1" x14ac:dyDescent="0.25">
      <c r="B885" s="60">
        <f>B881</f>
        <v>31</v>
      </c>
      <c r="C885" s="102">
        <v>215</v>
      </c>
      <c r="D885" s="192" t="str">
        <f t="shared" si="531"/>
        <v>III</v>
      </c>
      <c r="E885" s="162"/>
      <c r="F885" s="163"/>
      <c r="G885" s="163"/>
      <c r="H885" s="164"/>
      <c r="I885" s="164"/>
      <c r="J885" s="162"/>
      <c r="K885" s="165"/>
      <c r="L885" s="164"/>
      <c r="M885" s="164"/>
      <c r="N885" s="166"/>
      <c r="O885" s="167"/>
      <c r="P885" s="168"/>
      <c r="Q885" s="169"/>
      <c r="R885" s="170"/>
      <c r="S885" s="171"/>
      <c r="T885" s="203">
        <f t="shared" si="517"/>
        <v>43647</v>
      </c>
      <c r="U885" s="204">
        <f t="shared" si="518"/>
        <v>43677</v>
      </c>
      <c r="V885" s="207">
        <f t="shared" si="543"/>
        <v>0</v>
      </c>
      <c r="W885" s="206" t="str">
        <f t="shared" si="540"/>
        <v/>
      </c>
      <c r="X885" s="206">
        <f t="shared" si="541"/>
        <v>0</v>
      </c>
      <c r="Y885" s="209">
        <f t="shared" si="542"/>
        <v>0</v>
      </c>
    </row>
    <row r="886" spans="2:25" hidden="1" x14ac:dyDescent="0.25">
      <c r="B886" s="60">
        <f>B881</f>
        <v>31</v>
      </c>
      <c r="C886" s="102">
        <v>216</v>
      </c>
      <c r="D886" s="192" t="str">
        <f t="shared" si="531"/>
        <v>III</v>
      </c>
      <c r="E886" s="172"/>
      <c r="F886" s="173"/>
      <c r="G886" s="173"/>
      <c r="H886" s="174"/>
      <c r="I886" s="174"/>
      <c r="J886" s="172"/>
      <c r="K886" s="175"/>
      <c r="L886" s="174"/>
      <c r="M886" s="174"/>
      <c r="N886" s="176"/>
      <c r="O886" s="177"/>
      <c r="P886" s="178"/>
      <c r="Q886" s="179"/>
      <c r="R886" s="180"/>
      <c r="S886" s="181"/>
      <c r="T886" s="203">
        <f t="shared" si="517"/>
        <v>43647</v>
      </c>
      <c r="U886" s="204">
        <f t="shared" si="518"/>
        <v>43677</v>
      </c>
      <c r="V886" s="207">
        <f t="shared" si="543"/>
        <v>0</v>
      </c>
      <c r="W886" s="206" t="str">
        <f t="shared" si="540"/>
        <v/>
      </c>
      <c r="X886" s="206">
        <f t="shared" si="541"/>
        <v>0</v>
      </c>
      <c r="Y886" s="209">
        <f t="shared" si="542"/>
        <v>0</v>
      </c>
    </row>
    <row r="887" spans="2:25" ht="15.75" thickBot="1" x14ac:dyDescent="0.3">
      <c r="B887" s="141">
        <f>B881</f>
        <v>31</v>
      </c>
      <c r="C887" s="142">
        <v>217</v>
      </c>
      <c r="D887" s="194" t="str">
        <f t="shared" si="531"/>
        <v>III</v>
      </c>
      <c r="E887" s="189"/>
      <c r="F887" s="190"/>
      <c r="G887" s="190"/>
      <c r="H887" s="182"/>
      <c r="I887" s="182"/>
      <c r="J887" s="436" t="s">
        <v>181</v>
      </c>
      <c r="K887" s="437"/>
      <c r="L887" s="438"/>
      <c r="M887" s="182"/>
      <c r="N887" s="183">
        <v>10</v>
      </c>
      <c r="O887" s="184">
        <v>10</v>
      </c>
      <c r="P887" s="185"/>
      <c r="Q887" s="186">
        <v>10</v>
      </c>
      <c r="R887" s="187" t="s">
        <v>4</v>
      </c>
      <c r="S887" s="188">
        <v>43650</v>
      </c>
      <c r="T887" s="213">
        <f t="shared" si="517"/>
        <v>43647</v>
      </c>
      <c r="U887" s="214">
        <f t="shared" si="518"/>
        <v>43677</v>
      </c>
      <c r="V887" s="210">
        <f t="shared" si="543"/>
        <v>0</v>
      </c>
      <c r="W887" s="211"/>
      <c r="X887" s="211">
        <f>IF(AND($V887&gt;0,$I887=1),IF($E887=10,P887/10,P887/$V887),0)</f>
        <v>0</v>
      </c>
      <c r="Y887" s="212">
        <f>IF(AND($V881&gt;0,$I887&lt;&gt;1),Q887/E881*V881,0)</f>
        <v>10</v>
      </c>
    </row>
    <row r="888" spans="2:25" ht="45.75" thickTop="1" x14ac:dyDescent="0.25">
      <c r="B888" s="129">
        <f>B886+1</f>
        <v>32</v>
      </c>
      <c r="C888" s="130">
        <v>218</v>
      </c>
      <c r="D888" s="196" t="str">
        <f t="shared" si="531"/>
        <v>III</v>
      </c>
      <c r="E888" s="131">
        <v>10</v>
      </c>
      <c r="F888" s="132">
        <v>43653</v>
      </c>
      <c r="G888" s="132">
        <v>43662</v>
      </c>
      <c r="H888" s="133" t="s">
        <v>307</v>
      </c>
      <c r="I888" s="133">
        <v>2</v>
      </c>
      <c r="J888" s="131" t="s">
        <v>167</v>
      </c>
      <c r="K888" s="134" t="s">
        <v>16</v>
      </c>
      <c r="L888" s="133">
        <v>1</v>
      </c>
      <c r="M888" s="133">
        <v>8</v>
      </c>
      <c r="N888" s="135">
        <v>90</v>
      </c>
      <c r="O888" s="136">
        <v>90</v>
      </c>
      <c r="P888" s="137"/>
      <c r="Q888" s="138">
        <v>90</v>
      </c>
      <c r="R888" s="139" t="s">
        <v>4</v>
      </c>
      <c r="S888" s="140">
        <v>43634</v>
      </c>
      <c r="T888" s="203">
        <f t="shared" si="517"/>
        <v>43647</v>
      </c>
      <c r="U888" s="204">
        <f t="shared" si="518"/>
        <v>43677</v>
      </c>
      <c r="V888" s="207">
        <f>IF(G888-F888+1-IF(G888-U888&gt;0,G888-U888,0)-IF(T888-F888&gt;0,T888-F888,0)&gt;0,G888-F888+1-IF(G888-U888&gt;0,G888-U888,0)-IF(T888-F888&gt;0,T888-F888,0),0)</f>
        <v>10</v>
      </c>
      <c r="W888" s="206" t="str">
        <f t="shared" ref="W888:W893" si="544">IF(V888&gt;0,H888,"")</f>
        <v>Петър Петров</v>
      </c>
      <c r="X888" s="206">
        <f t="shared" ref="X888:X893" si="545">IF(AND($V888&gt;0,$I888=1),P888/$E888*$V888,0)</f>
        <v>0</v>
      </c>
      <c r="Y888" s="209">
        <f t="shared" ref="Y888:Y893" si="546">IF(AND($V888&gt;0,$I888&lt;&gt;1),Q888/$E888*$V888,0)</f>
        <v>90</v>
      </c>
    </row>
    <row r="889" spans="2:25" ht="45" x14ac:dyDescent="0.25">
      <c r="B889" s="60">
        <f>B888</f>
        <v>32</v>
      </c>
      <c r="C889" s="102">
        <v>219</v>
      </c>
      <c r="D889" s="192" t="str">
        <f t="shared" si="531"/>
        <v>III</v>
      </c>
      <c r="E889" s="62">
        <v>10</v>
      </c>
      <c r="F889" s="105">
        <v>43653</v>
      </c>
      <c r="G889" s="105">
        <v>43662</v>
      </c>
      <c r="H889" s="61" t="s">
        <v>308</v>
      </c>
      <c r="I889" s="61">
        <v>2</v>
      </c>
      <c r="J889" s="62" t="s">
        <v>167</v>
      </c>
      <c r="K889" s="63" t="s">
        <v>16</v>
      </c>
      <c r="L889" s="61">
        <v>1</v>
      </c>
      <c r="M889" s="61">
        <v>8</v>
      </c>
      <c r="N889" s="111">
        <v>90</v>
      </c>
      <c r="O889" s="112">
        <v>90</v>
      </c>
      <c r="P889" s="113"/>
      <c r="Q889" s="114">
        <v>90</v>
      </c>
      <c r="R889" s="64" t="s">
        <v>4</v>
      </c>
      <c r="S889" s="108">
        <v>43634</v>
      </c>
      <c r="T889" s="203">
        <f t="shared" si="517"/>
        <v>43647</v>
      </c>
      <c r="U889" s="204">
        <f t="shared" si="518"/>
        <v>43677</v>
      </c>
      <c r="V889" s="207">
        <f t="shared" ref="V889:V894" si="547">IF(G889-F889+1-IF(G889-U889&gt;0,G889-U889,0)-IF(T889-F889&gt;0,T889-F889,0)&gt;0,G889-F889+1-IF(G889-U889&gt;0,G889-U889,0)-IF(T889-F889&gt;0,T889-F889,0),0)</f>
        <v>10</v>
      </c>
      <c r="W889" s="206" t="str">
        <f t="shared" si="544"/>
        <v>Мариела Петрова</v>
      </c>
      <c r="X889" s="206">
        <f t="shared" si="545"/>
        <v>0</v>
      </c>
      <c r="Y889" s="209">
        <f t="shared" si="546"/>
        <v>90</v>
      </c>
    </row>
    <row r="890" spans="2:25" hidden="1" x14ac:dyDescent="0.25">
      <c r="B890" s="60">
        <f>B888</f>
        <v>32</v>
      </c>
      <c r="C890" s="102">
        <v>220</v>
      </c>
      <c r="D890" s="192" t="str">
        <f t="shared" si="531"/>
        <v>III</v>
      </c>
      <c r="E890" s="62"/>
      <c r="F890" s="105"/>
      <c r="G890" s="105"/>
      <c r="H890" s="61"/>
      <c r="I890" s="61"/>
      <c r="J890" s="62"/>
      <c r="K890" s="63"/>
      <c r="L890" s="61"/>
      <c r="M890" s="61"/>
      <c r="N890" s="111"/>
      <c r="O890" s="112"/>
      <c r="P890" s="113"/>
      <c r="Q890" s="114"/>
      <c r="R890" s="64"/>
      <c r="S890" s="108"/>
      <c r="T890" s="203">
        <f t="shared" si="517"/>
        <v>43647</v>
      </c>
      <c r="U890" s="204">
        <f t="shared" si="518"/>
        <v>43677</v>
      </c>
      <c r="V890" s="207">
        <f t="shared" si="547"/>
        <v>0</v>
      </c>
      <c r="W890" s="206" t="str">
        <f t="shared" si="544"/>
        <v/>
      </c>
      <c r="X890" s="206">
        <f t="shared" si="545"/>
        <v>0</v>
      </c>
      <c r="Y890" s="209">
        <f t="shared" si="546"/>
        <v>0</v>
      </c>
    </row>
    <row r="891" spans="2:25" hidden="1" x14ac:dyDescent="0.25">
      <c r="B891" s="60">
        <f>B888</f>
        <v>32</v>
      </c>
      <c r="C891" s="102">
        <v>221</v>
      </c>
      <c r="D891" s="192" t="str">
        <f t="shared" si="531"/>
        <v>III</v>
      </c>
      <c r="E891" s="62"/>
      <c r="F891" s="105"/>
      <c r="G891" s="105"/>
      <c r="H891" s="61"/>
      <c r="I891" s="61"/>
      <c r="J891" s="62"/>
      <c r="K891" s="63"/>
      <c r="L891" s="61"/>
      <c r="M891" s="61"/>
      <c r="N891" s="111"/>
      <c r="O891" s="112"/>
      <c r="P891" s="113"/>
      <c r="Q891" s="114"/>
      <c r="R891" s="64"/>
      <c r="S891" s="108"/>
      <c r="T891" s="203">
        <f t="shared" si="517"/>
        <v>43647</v>
      </c>
      <c r="U891" s="204">
        <f t="shared" si="518"/>
        <v>43677</v>
      </c>
      <c r="V891" s="207">
        <f t="shared" si="547"/>
        <v>0</v>
      </c>
      <c r="W891" s="206" t="str">
        <f t="shared" si="544"/>
        <v/>
      </c>
      <c r="X891" s="206">
        <f t="shared" si="545"/>
        <v>0</v>
      </c>
      <c r="Y891" s="209">
        <f t="shared" si="546"/>
        <v>0</v>
      </c>
    </row>
    <row r="892" spans="2:25" hidden="1" x14ac:dyDescent="0.25">
      <c r="B892" s="60">
        <f>B888</f>
        <v>32</v>
      </c>
      <c r="C892" s="102">
        <v>222</v>
      </c>
      <c r="D892" s="192" t="str">
        <f t="shared" si="531"/>
        <v>III</v>
      </c>
      <c r="E892" s="62"/>
      <c r="F892" s="105"/>
      <c r="G892" s="105"/>
      <c r="H892" s="61"/>
      <c r="I892" s="61"/>
      <c r="J892" s="62"/>
      <c r="K892" s="63"/>
      <c r="L892" s="61"/>
      <c r="M892" s="61"/>
      <c r="N892" s="111"/>
      <c r="O892" s="112"/>
      <c r="P892" s="113"/>
      <c r="Q892" s="114"/>
      <c r="R892" s="64"/>
      <c r="S892" s="108"/>
      <c r="T892" s="203">
        <f t="shared" si="517"/>
        <v>43647</v>
      </c>
      <c r="U892" s="204">
        <f t="shared" si="518"/>
        <v>43677</v>
      </c>
      <c r="V892" s="207">
        <f t="shared" si="547"/>
        <v>0</v>
      </c>
      <c r="W892" s="206" t="str">
        <f t="shared" si="544"/>
        <v/>
      </c>
      <c r="X892" s="206">
        <f t="shared" si="545"/>
        <v>0</v>
      </c>
      <c r="Y892" s="209">
        <f t="shared" si="546"/>
        <v>0</v>
      </c>
    </row>
    <row r="893" spans="2:25" hidden="1" x14ac:dyDescent="0.25">
      <c r="B893" s="60">
        <f>B888</f>
        <v>32</v>
      </c>
      <c r="C893" s="102">
        <v>223</v>
      </c>
      <c r="D893" s="192" t="str">
        <f t="shared" si="531"/>
        <v>III</v>
      </c>
      <c r="E893" s="62"/>
      <c r="F893" s="105"/>
      <c r="G893" s="105"/>
      <c r="H893" s="61"/>
      <c r="I893" s="61"/>
      <c r="J893" s="62"/>
      <c r="K893" s="63"/>
      <c r="L893" s="61"/>
      <c r="M893" s="61"/>
      <c r="N893" s="111"/>
      <c r="O893" s="112"/>
      <c r="P893" s="113"/>
      <c r="Q893" s="114"/>
      <c r="R893" s="64"/>
      <c r="S893" s="108"/>
      <c r="T893" s="203">
        <f t="shared" si="517"/>
        <v>43647</v>
      </c>
      <c r="U893" s="204">
        <f t="shared" si="518"/>
        <v>43677</v>
      </c>
      <c r="V893" s="207">
        <f t="shared" si="547"/>
        <v>0</v>
      </c>
      <c r="W893" s="206" t="str">
        <f t="shared" si="544"/>
        <v/>
      </c>
      <c r="X893" s="206">
        <f t="shared" si="545"/>
        <v>0</v>
      </c>
      <c r="Y893" s="209">
        <f t="shared" si="546"/>
        <v>0</v>
      </c>
    </row>
    <row r="894" spans="2:25" ht="15.75" thickBot="1" x14ac:dyDescent="0.3">
      <c r="B894" s="141">
        <f>B888</f>
        <v>32</v>
      </c>
      <c r="C894" s="142">
        <v>224</v>
      </c>
      <c r="D894" s="194" t="str">
        <f t="shared" si="531"/>
        <v>III</v>
      </c>
      <c r="E894" s="143"/>
      <c r="F894" s="144"/>
      <c r="G894" s="144"/>
      <c r="H894" s="145"/>
      <c r="I894" s="145"/>
      <c r="J894" s="436" t="s">
        <v>181</v>
      </c>
      <c r="K894" s="437"/>
      <c r="L894" s="438"/>
      <c r="M894" s="145"/>
      <c r="N894" s="146">
        <v>10</v>
      </c>
      <c r="O894" s="147">
        <v>10</v>
      </c>
      <c r="P894" s="148"/>
      <c r="Q894" s="149">
        <v>10</v>
      </c>
      <c r="R894" s="150" t="s">
        <v>4</v>
      </c>
      <c r="S894" s="151">
        <v>43634</v>
      </c>
      <c r="T894" s="213">
        <f t="shared" si="517"/>
        <v>43647</v>
      </c>
      <c r="U894" s="214">
        <f t="shared" si="518"/>
        <v>43677</v>
      </c>
      <c r="V894" s="210">
        <f t="shared" si="547"/>
        <v>0</v>
      </c>
      <c r="W894" s="211"/>
      <c r="X894" s="211">
        <f>IF(AND($V894&gt;0,$I894=1),IF($E894=10,P894/10,P894/$V894),0)</f>
        <v>0</v>
      </c>
      <c r="Y894" s="212">
        <f>IF(AND($V888&gt;0,$I894&lt;&gt;1),Q894/E888*V888,0)</f>
        <v>10</v>
      </c>
    </row>
    <row r="895" spans="2:25" ht="45.75" thickTop="1" x14ac:dyDescent="0.25">
      <c r="B895" s="129">
        <f>B893+1</f>
        <v>33</v>
      </c>
      <c r="C895" s="130">
        <v>225</v>
      </c>
      <c r="D895" s="196" t="str">
        <f t="shared" si="531"/>
        <v>III</v>
      </c>
      <c r="E895" s="152">
        <v>10</v>
      </c>
      <c r="F895" s="153">
        <v>43653</v>
      </c>
      <c r="G895" s="153">
        <v>43662</v>
      </c>
      <c r="H895" s="154" t="s">
        <v>309</v>
      </c>
      <c r="I895" s="154">
        <v>2</v>
      </c>
      <c r="J895" s="152" t="s">
        <v>167</v>
      </c>
      <c r="K895" s="155" t="s">
        <v>16</v>
      </c>
      <c r="L895" s="154">
        <v>1</v>
      </c>
      <c r="M895" s="154">
        <v>8</v>
      </c>
      <c r="N895" s="156">
        <v>90</v>
      </c>
      <c r="O895" s="157">
        <v>90</v>
      </c>
      <c r="P895" s="158"/>
      <c r="Q895" s="159">
        <v>90</v>
      </c>
      <c r="R895" s="160" t="s">
        <v>4</v>
      </c>
      <c r="S895" s="161">
        <v>43640</v>
      </c>
      <c r="T895" s="203">
        <f t="shared" si="517"/>
        <v>43647</v>
      </c>
      <c r="U895" s="204">
        <f t="shared" si="518"/>
        <v>43677</v>
      </c>
      <c r="V895" s="207">
        <f>IF(G895-F895+1-IF(G895-U895&gt;0,G895-U895,0)-IF(T895-F895&gt;0,T895-F895,0)&gt;0,G895-F895+1-IF(G895-U895&gt;0,G895-U895,0)-IF(T895-F895&gt;0,T895-F895,0),0)</f>
        <v>10</v>
      </c>
      <c r="W895" s="206" t="str">
        <f t="shared" ref="W895:W900" si="548">IF(V895&gt;0,H895,"")</f>
        <v>Маргарита Якимова</v>
      </c>
      <c r="X895" s="206">
        <f t="shared" ref="X895:X900" si="549">IF(AND($V895&gt;0,$I895=1),P895/$E895*$V895,0)</f>
        <v>0</v>
      </c>
      <c r="Y895" s="209">
        <f t="shared" ref="Y895:Y900" si="550">IF(AND($V895&gt;0,$I895&lt;&gt;1),Q895/$E895*$V895,0)</f>
        <v>90</v>
      </c>
    </row>
    <row r="896" spans="2:25" ht="45" x14ac:dyDescent="0.25">
      <c r="B896" s="60">
        <f>B895</f>
        <v>33</v>
      </c>
      <c r="C896" s="102">
        <v>226</v>
      </c>
      <c r="D896" s="192" t="str">
        <f t="shared" si="531"/>
        <v>III</v>
      </c>
      <c r="E896" s="162">
        <v>10</v>
      </c>
      <c r="F896" s="163">
        <v>43653</v>
      </c>
      <c r="G896" s="163">
        <v>43662</v>
      </c>
      <c r="H896" s="164" t="s">
        <v>310</v>
      </c>
      <c r="I896" s="164">
        <v>2</v>
      </c>
      <c r="J896" s="162" t="s">
        <v>167</v>
      </c>
      <c r="K896" s="165" t="s">
        <v>16</v>
      </c>
      <c r="L896" s="164">
        <v>1</v>
      </c>
      <c r="M896" s="164">
        <v>8</v>
      </c>
      <c r="N896" s="166">
        <v>90</v>
      </c>
      <c r="O896" s="167">
        <v>90</v>
      </c>
      <c r="P896" s="168"/>
      <c r="Q896" s="169">
        <v>90</v>
      </c>
      <c r="R896" s="170" t="s">
        <v>4</v>
      </c>
      <c r="S896" s="171">
        <v>43640</v>
      </c>
      <c r="T896" s="203">
        <f t="shared" si="517"/>
        <v>43647</v>
      </c>
      <c r="U896" s="204">
        <f t="shared" si="518"/>
        <v>43677</v>
      </c>
      <c r="V896" s="207">
        <f t="shared" ref="V896:V901" si="551">IF(G896-F896+1-IF(G896-U896&gt;0,G896-U896,0)-IF(T896-F896&gt;0,T896-F896,0)&gt;0,G896-F896+1-IF(G896-U896&gt;0,G896-U896,0)-IF(T896-F896&gt;0,T896-F896,0),0)</f>
        <v>10</v>
      </c>
      <c r="W896" s="206" t="str">
        <f t="shared" si="548"/>
        <v>Петя Якимова</v>
      </c>
      <c r="X896" s="206">
        <f t="shared" si="549"/>
        <v>0</v>
      </c>
      <c r="Y896" s="209">
        <f t="shared" si="550"/>
        <v>90</v>
      </c>
    </row>
    <row r="897" spans="2:25" x14ac:dyDescent="0.25">
      <c r="B897" s="60">
        <f>B895</f>
        <v>33</v>
      </c>
      <c r="C897" s="102">
        <v>227</v>
      </c>
      <c r="D897" s="192" t="str">
        <f t="shared" si="531"/>
        <v>III</v>
      </c>
      <c r="E897" s="162">
        <v>10</v>
      </c>
      <c r="F897" s="163">
        <v>43653</v>
      </c>
      <c r="G897" s="163">
        <v>43662</v>
      </c>
      <c r="H897" s="164" t="s">
        <v>311</v>
      </c>
      <c r="I897" s="164">
        <v>5</v>
      </c>
      <c r="J897" s="162" t="s">
        <v>172</v>
      </c>
      <c r="K897" s="165" t="s">
        <v>16</v>
      </c>
      <c r="L897" s="164">
        <v>1</v>
      </c>
      <c r="M897" s="164">
        <v>8</v>
      </c>
      <c r="N897" s="166">
        <v>90</v>
      </c>
      <c r="O897" s="167">
        <v>90</v>
      </c>
      <c r="P897" s="168"/>
      <c r="Q897" s="169">
        <v>90</v>
      </c>
      <c r="R897" s="170" t="s">
        <v>4</v>
      </c>
      <c r="S897" s="171">
        <v>43640</v>
      </c>
      <c r="T897" s="203">
        <f t="shared" si="517"/>
        <v>43647</v>
      </c>
      <c r="U897" s="204">
        <f t="shared" si="518"/>
        <v>43677</v>
      </c>
      <c r="V897" s="207">
        <f t="shared" si="551"/>
        <v>10</v>
      </c>
      <c r="W897" s="206" t="str">
        <f t="shared" si="548"/>
        <v>Никола Крумов</v>
      </c>
      <c r="X897" s="206">
        <f t="shared" si="549"/>
        <v>0</v>
      </c>
      <c r="Y897" s="209">
        <f t="shared" si="550"/>
        <v>90</v>
      </c>
    </row>
    <row r="898" spans="2:25" x14ac:dyDescent="0.25">
      <c r="B898" s="60">
        <f>B895</f>
        <v>33</v>
      </c>
      <c r="C898" s="102">
        <v>228</v>
      </c>
      <c r="D898" s="192" t="str">
        <f t="shared" si="531"/>
        <v>III</v>
      </c>
      <c r="E898" s="162">
        <v>10</v>
      </c>
      <c r="F898" s="163">
        <v>43653</v>
      </c>
      <c r="G898" s="163">
        <v>43662</v>
      </c>
      <c r="H898" s="164" t="s">
        <v>300</v>
      </c>
      <c r="I898" s="164">
        <v>4</v>
      </c>
      <c r="J898" s="162" t="s">
        <v>171</v>
      </c>
      <c r="K898" s="165" t="s">
        <v>16</v>
      </c>
      <c r="L898" s="164">
        <v>1</v>
      </c>
      <c r="M898" s="164">
        <v>8</v>
      </c>
      <c r="N898" s="166">
        <v>45</v>
      </c>
      <c r="O898" s="167">
        <v>45</v>
      </c>
      <c r="P898" s="168"/>
      <c r="Q898" s="169">
        <v>45</v>
      </c>
      <c r="R898" s="170" t="s">
        <v>4</v>
      </c>
      <c r="S898" s="171">
        <v>43640</v>
      </c>
      <c r="T898" s="203">
        <f t="shared" si="517"/>
        <v>43647</v>
      </c>
      <c r="U898" s="204">
        <f t="shared" si="518"/>
        <v>43677</v>
      </c>
      <c r="V898" s="207">
        <f t="shared" si="551"/>
        <v>10</v>
      </c>
      <c r="W898" s="206" t="str">
        <f t="shared" si="548"/>
        <v>Виктор Крумов</v>
      </c>
      <c r="X898" s="206">
        <f t="shared" si="549"/>
        <v>0</v>
      </c>
      <c r="Y898" s="209">
        <f t="shared" si="550"/>
        <v>45</v>
      </c>
    </row>
    <row r="899" spans="2:25" hidden="1" x14ac:dyDescent="0.25">
      <c r="B899" s="60">
        <f>B895</f>
        <v>33</v>
      </c>
      <c r="C899" s="102">
        <v>229</v>
      </c>
      <c r="D899" s="192" t="str">
        <f t="shared" si="531"/>
        <v>III</v>
      </c>
      <c r="E899" s="162"/>
      <c r="F899" s="163"/>
      <c r="G899" s="163"/>
      <c r="H899" s="164"/>
      <c r="I899" s="164"/>
      <c r="J899" s="162"/>
      <c r="K899" s="165"/>
      <c r="L899" s="164"/>
      <c r="M899" s="164"/>
      <c r="N899" s="166"/>
      <c r="O899" s="167"/>
      <c r="P899" s="168"/>
      <c r="Q899" s="169"/>
      <c r="R899" s="170"/>
      <c r="S899" s="171"/>
      <c r="T899" s="203">
        <f t="shared" si="517"/>
        <v>43647</v>
      </c>
      <c r="U899" s="204">
        <f t="shared" si="518"/>
        <v>43677</v>
      </c>
      <c r="V899" s="207">
        <f t="shared" si="551"/>
        <v>0</v>
      </c>
      <c r="W899" s="206" t="str">
        <f t="shared" si="548"/>
        <v/>
      </c>
      <c r="X899" s="206">
        <f t="shared" si="549"/>
        <v>0</v>
      </c>
      <c r="Y899" s="209">
        <f t="shared" si="550"/>
        <v>0</v>
      </c>
    </row>
    <row r="900" spans="2:25" hidden="1" x14ac:dyDescent="0.25">
      <c r="B900" s="60">
        <f>B895</f>
        <v>33</v>
      </c>
      <c r="C900" s="102">
        <v>230</v>
      </c>
      <c r="D900" s="192" t="str">
        <f t="shared" si="531"/>
        <v>III</v>
      </c>
      <c r="E900" s="172"/>
      <c r="F900" s="173"/>
      <c r="G900" s="173"/>
      <c r="H900" s="174"/>
      <c r="I900" s="174"/>
      <c r="J900" s="172"/>
      <c r="K900" s="175"/>
      <c r="L900" s="174"/>
      <c r="M900" s="174"/>
      <c r="N900" s="176"/>
      <c r="O900" s="177"/>
      <c r="P900" s="178"/>
      <c r="Q900" s="179"/>
      <c r="R900" s="180"/>
      <c r="S900" s="181"/>
      <c r="T900" s="203">
        <f t="shared" si="517"/>
        <v>43647</v>
      </c>
      <c r="U900" s="204">
        <f t="shared" si="518"/>
        <v>43677</v>
      </c>
      <c r="V900" s="207">
        <f t="shared" si="551"/>
        <v>0</v>
      </c>
      <c r="W900" s="206" t="str">
        <f t="shared" si="548"/>
        <v/>
      </c>
      <c r="X900" s="206">
        <f t="shared" si="549"/>
        <v>0</v>
      </c>
      <c r="Y900" s="209">
        <f t="shared" si="550"/>
        <v>0</v>
      </c>
    </row>
    <row r="901" spans="2:25" ht="15.75" thickBot="1" x14ac:dyDescent="0.3">
      <c r="B901" s="141">
        <f>B895</f>
        <v>33</v>
      </c>
      <c r="C901" s="142">
        <v>231</v>
      </c>
      <c r="D901" s="194" t="str">
        <f t="shared" si="531"/>
        <v>III</v>
      </c>
      <c r="E901" s="189"/>
      <c r="F901" s="190"/>
      <c r="G901" s="190"/>
      <c r="H901" s="182"/>
      <c r="I901" s="182"/>
      <c r="J901" s="436" t="s">
        <v>181</v>
      </c>
      <c r="K901" s="437"/>
      <c r="L901" s="438"/>
      <c r="M901" s="182"/>
      <c r="N901" s="183">
        <v>10</v>
      </c>
      <c r="O901" s="184">
        <v>10</v>
      </c>
      <c r="P901" s="185"/>
      <c r="Q901" s="186">
        <v>10</v>
      </c>
      <c r="R901" s="187" t="s">
        <v>4</v>
      </c>
      <c r="S901" s="188">
        <v>43640</v>
      </c>
      <c r="T901" s="213">
        <f t="shared" si="517"/>
        <v>43647</v>
      </c>
      <c r="U901" s="214">
        <f t="shared" si="518"/>
        <v>43677</v>
      </c>
      <c r="V901" s="210">
        <f t="shared" si="551"/>
        <v>0</v>
      </c>
      <c r="W901" s="211"/>
      <c r="X901" s="211">
        <f>IF(AND($V901&gt;0,$I901=1),IF($E901=10,P901/10,P901/$V901),0)</f>
        <v>0</v>
      </c>
      <c r="Y901" s="212">
        <f>IF(AND($V895&gt;0,$I901&lt;&gt;1),Q901/E895*V895,0)</f>
        <v>10</v>
      </c>
    </row>
    <row r="902" spans="2:25" ht="16.5" hidden="1" thickTop="1" thickBot="1" x14ac:dyDescent="0.3">
      <c r="B902" s="129">
        <f>B900+1</f>
        <v>34</v>
      </c>
      <c r="C902" s="130">
        <v>232</v>
      </c>
      <c r="D902" s="196" t="str">
        <f t="shared" si="531"/>
        <v>III</v>
      </c>
      <c r="E902" s="131"/>
      <c r="F902" s="132"/>
      <c r="G902" s="132"/>
      <c r="H902" s="133"/>
      <c r="I902" s="133"/>
      <c r="J902" s="131"/>
      <c r="K902" s="134"/>
      <c r="L902" s="133"/>
      <c r="M902" s="133"/>
      <c r="N902" s="135"/>
      <c r="O902" s="136"/>
      <c r="P902" s="137"/>
      <c r="Q902" s="138"/>
      <c r="R902" s="139"/>
      <c r="S902" s="140"/>
      <c r="T902" s="203">
        <f t="shared" si="517"/>
        <v>43647</v>
      </c>
      <c r="U902" s="204">
        <f t="shared" si="518"/>
        <v>43677</v>
      </c>
      <c r="V902" s="207">
        <f>IF(G902-F902+1-IF(G902-U902&gt;0,G902-U902,0)-IF(T902-F902&gt;0,T902-F902,0)&gt;0,G902-F902+1-IF(G902-U902&gt;0,G902-U902,0)-IF(T902-F902&gt;0,T902-F902,0),0)</f>
        <v>0</v>
      </c>
      <c r="W902" s="206" t="str">
        <f t="shared" ref="W902:W907" si="552">IF(V902&gt;0,H902,"")</f>
        <v/>
      </c>
      <c r="X902" s="206">
        <f t="shared" ref="X902:X907" si="553">IF(AND($V902&gt;0,$I902=1),P902/$E902*$V902,0)</f>
        <v>0</v>
      </c>
      <c r="Y902" s="209">
        <f t="shared" ref="Y902:Y907" si="554">IF(AND($V902&gt;0,$I902&lt;&gt;1),Q902/$E902*$V902,0)</f>
        <v>0</v>
      </c>
    </row>
    <row r="903" spans="2:25" ht="16.5" hidden="1" thickTop="1" thickBot="1" x14ac:dyDescent="0.3">
      <c r="B903" s="60">
        <f>B902</f>
        <v>34</v>
      </c>
      <c r="C903" s="102">
        <v>233</v>
      </c>
      <c r="D903" s="192" t="str">
        <f t="shared" si="531"/>
        <v>III</v>
      </c>
      <c r="E903" s="62"/>
      <c r="F903" s="105"/>
      <c r="G903" s="105"/>
      <c r="H903" s="61"/>
      <c r="I903" s="61"/>
      <c r="J903" s="62"/>
      <c r="K903" s="63"/>
      <c r="L903" s="61"/>
      <c r="M903" s="61"/>
      <c r="N903" s="111"/>
      <c r="O903" s="112"/>
      <c r="P903" s="113"/>
      <c r="Q903" s="114"/>
      <c r="R903" s="64"/>
      <c r="S903" s="108"/>
      <c r="T903" s="203">
        <f t="shared" si="517"/>
        <v>43647</v>
      </c>
      <c r="U903" s="204">
        <f t="shared" si="518"/>
        <v>43677</v>
      </c>
      <c r="V903" s="207">
        <f t="shared" ref="V903:V908" si="555">IF(G903-F903+1-IF(G903-U903&gt;0,G903-U903,0)-IF(T903-F903&gt;0,T903-F903,0)&gt;0,G903-F903+1-IF(G903-U903&gt;0,G903-U903,0)-IF(T903-F903&gt;0,T903-F903,0),0)</f>
        <v>0</v>
      </c>
      <c r="W903" s="206" t="str">
        <f t="shared" si="552"/>
        <v/>
      </c>
      <c r="X903" s="206">
        <f t="shared" si="553"/>
        <v>0</v>
      </c>
      <c r="Y903" s="209">
        <f t="shared" si="554"/>
        <v>0</v>
      </c>
    </row>
    <row r="904" spans="2:25" ht="16.5" hidden="1" thickTop="1" thickBot="1" x14ac:dyDescent="0.3">
      <c r="B904" s="60">
        <f>B902</f>
        <v>34</v>
      </c>
      <c r="C904" s="102">
        <v>234</v>
      </c>
      <c r="D904" s="192" t="str">
        <f t="shared" si="531"/>
        <v>III</v>
      </c>
      <c r="E904" s="62"/>
      <c r="F904" s="105"/>
      <c r="G904" s="105"/>
      <c r="H904" s="61"/>
      <c r="I904" s="61"/>
      <c r="J904" s="62"/>
      <c r="K904" s="63"/>
      <c r="L904" s="61"/>
      <c r="M904" s="61"/>
      <c r="N904" s="111"/>
      <c r="O904" s="112"/>
      <c r="P904" s="113"/>
      <c r="Q904" s="114"/>
      <c r="R904" s="64"/>
      <c r="S904" s="108"/>
      <c r="T904" s="203">
        <f t="shared" si="517"/>
        <v>43647</v>
      </c>
      <c r="U904" s="204">
        <f t="shared" si="518"/>
        <v>43677</v>
      </c>
      <c r="V904" s="207">
        <f t="shared" si="555"/>
        <v>0</v>
      </c>
      <c r="W904" s="206" t="str">
        <f t="shared" si="552"/>
        <v/>
      </c>
      <c r="X904" s="206">
        <f t="shared" si="553"/>
        <v>0</v>
      </c>
      <c r="Y904" s="209">
        <f t="shared" si="554"/>
        <v>0</v>
      </c>
    </row>
    <row r="905" spans="2:25" ht="16.5" hidden="1" thickTop="1" thickBot="1" x14ac:dyDescent="0.3">
      <c r="B905" s="60">
        <f>B902</f>
        <v>34</v>
      </c>
      <c r="C905" s="102">
        <v>235</v>
      </c>
      <c r="D905" s="192" t="str">
        <f t="shared" si="531"/>
        <v>III</v>
      </c>
      <c r="E905" s="62"/>
      <c r="F905" s="105"/>
      <c r="G905" s="105"/>
      <c r="H905" s="61"/>
      <c r="I905" s="61"/>
      <c r="J905" s="62"/>
      <c r="K905" s="63"/>
      <c r="L905" s="61"/>
      <c r="M905" s="61"/>
      <c r="N905" s="111"/>
      <c r="O905" s="112"/>
      <c r="P905" s="113"/>
      <c r="Q905" s="114"/>
      <c r="R905" s="64"/>
      <c r="S905" s="108"/>
      <c r="T905" s="203">
        <f t="shared" si="517"/>
        <v>43647</v>
      </c>
      <c r="U905" s="204">
        <f t="shared" si="518"/>
        <v>43677</v>
      </c>
      <c r="V905" s="207">
        <f t="shared" si="555"/>
        <v>0</v>
      </c>
      <c r="W905" s="206" t="str">
        <f t="shared" si="552"/>
        <v/>
      </c>
      <c r="X905" s="206">
        <f t="shared" si="553"/>
        <v>0</v>
      </c>
      <c r="Y905" s="209">
        <f t="shared" si="554"/>
        <v>0</v>
      </c>
    </row>
    <row r="906" spans="2:25" ht="16.5" hidden="1" thickTop="1" thickBot="1" x14ac:dyDescent="0.3">
      <c r="B906" s="60">
        <f>B902</f>
        <v>34</v>
      </c>
      <c r="C906" s="102">
        <v>236</v>
      </c>
      <c r="D906" s="192" t="str">
        <f t="shared" si="531"/>
        <v>III</v>
      </c>
      <c r="E906" s="62"/>
      <c r="F906" s="105"/>
      <c r="G906" s="105"/>
      <c r="H906" s="61"/>
      <c r="I906" s="61"/>
      <c r="J906" s="62"/>
      <c r="K906" s="63"/>
      <c r="L906" s="61"/>
      <c r="M906" s="61"/>
      <c r="N906" s="111"/>
      <c r="O906" s="112"/>
      <c r="P906" s="113"/>
      <c r="Q906" s="114"/>
      <c r="R906" s="64"/>
      <c r="S906" s="108"/>
      <c r="T906" s="203">
        <f t="shared" si="517"/>
        <v>43647</v>
      </c>
      <c r="U906" s="204">
        <f t="shared" si="518"/>
        <v>43677</v>
      </c>
      <c r="V906" s="207">
        <f t="shared" si="555"/>
        <v>0</v>
      </c>
      <c r="W906" s="206" t="str">
        <f t="shared" si="552"/>
        <v/>
      </c>
      <c r="X906" s="206">
        <f t="shared" si="553"/>
        <v>0</v>
      </c>
      <c r="Y906" s="209">
        <f t="shared" si="554"/>
        <v>0</v>
      </c>
    </row>
    <row r="907" spans="2:25" ht="16.5" hidden="1" thickTop="1" thickBot="1" x14ac:dyDescent="0.3">
      <c r="B907" s="60">
        <f>B902</f>
        <v>34</v>
      </c>
      <c r="C907" s="102">
        <v>237</v>
      </c>
      <c r="D907" s="192" t="str">
        <f t="shared" si="531"/>
        <v>III</v>
      </c>
      <c r="E907" s="62"/>
      <c r="F907" s="105"/>
      <c r="G907" s="105"/>
      <c r="H907" s="61"/>
      <c r="I907" s="61"/>
      <c r="J907" s="62"/>
      <c r="K907" s="63"/>
      <c r="L907" s="61"/>
      <c r="M907" s="61"/>
      <c r="N907" s="111"/>
      <c r="O907" s="112"/>
      <c r="P907" s="113"/>
      <c r="Q907" s="114"/>
      <c r="R907" s="64"/>
      <c r="S907" s="108"/>
      <c r="T907" s="203">
        <f t="shared" si="517"/>
        <v>43647</v>
      </c>
      <c r="U907" s="204">
        <f t="shared" si="518"/>
        <v>43677</v>
      </c>
      <c r="V907" s="207">
        <f t="shared" si="555"/>
        <v>0</v>
      </c>
      <c r="W907" s="206" t="str">
        <f t="shared" si="552"/>
        <v/>
      </c>
      <c r="X907" s="206">
        <f t="shared" si="553"/>
        <v>0</v>
      </c>
      <c r="Y907" s="209">
        <f t="shared" si="554"/>
        <v>0</v>
      </c>
    </row>
    <row r="908" spans="2:25" ht="16.5" hidden="1" thickTop="1" thickBot="1" x14ac:dyDescent="0.3">
      <c r="B908" s="141">
        <f>B902</f>
        <v>34</v>
      </c>
      <c r="C908" s="142">
        <v>238</v>
      </c>
      <c r="D908" s="194" t="str">
        <f t="shared" si="531"/>
        <v>III</v>
      </c>
      <c r="E908" s="143"/>
      <c r="F908" s="144"/>
      <c r="G908" s="144"/>
      <c r="H908" s="145"/>
      <c r="I908" s="145"/>
      <c r="J908" s="436" t="s">
        <v>181</v>
      </c>
      <c r="K908" s="437"/>
      <c r="L908" s="438"/>
      <c r="M908" s="145"/>
      <c r="N908" s="146"/>
      <c r="O908" s="147"/>
      <c r="P908" s="148"/>
      <c r="Q908" s="149"/>
      <c r="R908" s="150"/>
      <c r="S908" s="151"/>
      <c r="T908" s="213">
        <f t="shared" si="517"/>
        <v>43647</v>
      </c>
      <c r="U908" s="214">
        <f t="shared" si="518"/>
        <v>43677</v>
      </c>
      <c r="V908" s="210">
        <f t="shared" si="555"/>
        <v>0</v>
      </c>
      <c r="W908" s="211"/>
      <c r="X908" s="211">
        <f>IF(AND($V908&gt;0,$I908=1),IF($E908=10,P908/10,P908/$V908),0)</f>
        <v>0</v>
      </c>
      <c r="Y908" s="212">
        <f>IF(AND($V902&gt;0,$I908&lt;&gt;1),Q908/E902*V902,0)</f>
        <v>0</v>
      </c>
    </row>
    <row r="909" spans="2:25" ht="16.5" hidden="1" thickTop="1" thickBot="1" x14ac:dyDescent="0.3">
      <c r="B909" s="129">
        <f>B907+1</f>
        <v>35</v>
      </c>
      <c r="C909" s="130">
        <v>239</v>
      </c>
      <c r="D909" s="196" t="str">
        <f t="shared" si="531"/>
        <v>III</v>
      </c>
      <c r="E909" s="152"/>
      <c r="F909" s="153"/>
      <c r="G909" s="153"/>
      <c r="H909" s="154"/>
      <c r="I909" s="154"/>
      <c r="J909" s="152"/>
      <c r="K909" s="155"/>
      <c r="L909" s="154"/>
      <c r="M909" s="154"/>
      <c r="N909" s="156"/>
      <c r="O909" s="157"/>
      <c r="P909" s="158"/>
      <c r="Q909" s="159"/>
      <c r="R909" s="160"/>
      <c r="S909" s="161"/>
      <c r="T909" s="203">
        <f t="shared" ref="T909:T972" si="556">$F$4</f>
        <v>43647</v>
      </c>
      <c r="U909" s="204">
        <f t="shared" ref="U909:U972" si="557">$G$4</f>
        <v>43677</v>
      </c>
      <c r="V909" s="207">
        <f>IF(G909-F909+1-IF(G909-U909&gt;0,G909-U909,0)-IF(T909-F909&gt;0,T909-F909,0)&gt;0,G909-F909+1-IF(G909-U909&gt;0,G909-U909,0)-IF(T909-F909&gt;0,T909-F909,0),0)</f>
        <v>0</v>
      </c>
      <c r="W909" s="206" t="str">
        <f t="shared" ref="W909:W914" si="558">IF(V909&gt;0,H909,"")</f>
        <v/>
      </c>
      <c r="X909" s="206">
        <f t="shared" ref="X909:X914" si="559">IF(AND($V909&gt;0,$I909=1),P909/$E909*$V909,0)</f>
        <v>0</v>
      </c>
      <c r="Y909" s="209">
        <f t="shared" ref="Y909:Y914" si="560">IF(AND($V909&gt;0,$I909&lt;&gt;1),Q909/$E909*$V909,0)</f>
        <v>0</v>
      </c>
    </row>
    <row r="910" spans="2:25" ht="16.5" hidden="1" thickTop="1" thickBot="1" x14ac:dyDescent="0.3">
      <c r="B910" s="60">
        <f>B909</f>
        <v>35</v>
      </c>
      <c r="C910" s="102">
        <v>240</v>
      </c>
      <c r="D910" s="192" t="str">
        <f t="shared" si="531"/>
        <v>III</v>
      </c>
      <c r="E910" s="162"/>
      <c r="F910" s="163"/>
      <c r="G910" s="163"/>
      <c r="H910" s="164"/>
      <c r="I910" s="164"/>
      <c r="J910" s="162"/>
      <c r="K910" s="165"/>
      <c r="L910" s="164"/>
      <c r="M910" s="164"/>
      <c r="N910" s="166"/>
      <c r="O910" s="167"/>
      <c r="P910" s="168"/>
      <c r="Q910" s="169"/>
      <c r="R910" s="170"/>
      <c r="S910" s="171"/>
      <c r="T910" s="203">
        <f t="shared" si="556"/>
        <v>43647</v>
      </c>
      <c r="U910" s="204">
        <f t="shared" si="557"/>
        <v>43677</v>
      </c>
      <c r="V910" s="207">
        <f t="shared" ref="V910:V915" si="561">IF(G910-F910+1-IF(G910-U910&gt;0,G910-U910,0)-IF(T910-F910&gt;0,T910-F910,0)&gt;0,G910-F910+1-IF(G910-U910&gt;0,G910-U910,0)-IF(T910-F910&gt;0,T910-F910,0),0)</f>
        <v>0</v>
      </c>
      <c r="W910" s="206" t="str">
        <f t="shared" si="558"/>
        <v/>
      </c>
      <c r="X910" s="206">
        <f t="shared" si="559"/>
        <v>0</v>
      </c>
      <c r="Y910" s="209">
        <f t="shared" si="560"/>
        <v>0</v>
      </c>
    </row>
    <row r="911" spans="2:25" ht="16.5" hidden="1" thickTop="1" thickBot="1" x14ac:dyDescent="0.3">
      <c r="B911" s="60">
        <f>B909</f>
        <v>35</v>
      </c>
      <c r="C911" s="102">
        <v>241</v>
      </c>
      <c r="D911" s="192" t="str">
        <f t="shared" si="531"/>
        <v>III</v>
      </c>
      <c r="E911" s="162"/>
      <c r="F911" s="163"/>
      <c r="G911" s="163"/>
      <c r="H911" s="164"/>
      <c r="I911" s="164"/>
      <c r="J911" s="162"/>
      <c r="K911" s="165"/>
      <c r="L911" s="164"/>
      <c r="M911" s="164"/>
      <c r="N911" s="166"/>
      <c r="O911" s="167"/>
      <c r="P911" s="168"/>
      <c r="Q911" s="169"/>
      <c r="R911" s="170"/>
      <c r="S911" s="171"/>
      <c r="T911" s="203">
        <f t="shared" si="556"/>
        <v>43647</v>
      </c>
      <c r="U911" s="204">
        <f t="shared" si="557"/>
        <v>43677</v>
      </c>
      <c r="V911" s="207">
        <f t="shared" si="561"/>
        <v>0</v>
      </c>
      <c r="W911" s="206" t="str">
        <f t="shared" si="558"/>
        <v/>
      </c>
      <c r="X911" s="206">
        <f t="shared" si="559"/>
        <v>0</v>
      </c>
      <c r="Y911" s="209">
        <f t="shared" si="560"/>
        <v>0</v>
      </c>
    </row>
    <row r="912" spans="2:25" ht="16.5" hidden="1" thickTop="1" thickBot="1" x14ac:dyDescent="0.3">
      <c r="B912" s="60">
        <f>B909</f>
        <v>35</v>
      </c>
      <c r="C912" s="102">
        <v>242</v>
      </c>
      <c r="D912" s="192" t="str">
        <f t="shared" si="531"/>
        <v>III</v>
      </c>
      <c r="E912" s="162"/>
      <c r="F912" s="163"/>
      <c r="G912" s="163"/>
      <c r="H912" s="164"/>
      <c r="I912" s="164"/>
      <c r="J912" s="162"/>
      <c r="K912" s="165"/>
      <c r="L912" s="164"/>
      <c r="M912" s="164"/>
      <c r="N912" s="166"/>
      <c r="O912" s="167"/>
      <c r="P912" s="168"/>
      <c r="Q912" s="169"/>
      <c r="R912" s="170"/>
      <c r="S912" s="171"/>
      <c r="T912" s="203">
        <f t="shared" si="556"/>
        <v>43647</v>
      </c>
      <c r="U912" s="204">
        <f t="shared" si="557"/>
        <v>43677</v>
      </c>
      <c r="V912" s="207">
        <f t="shared" si="561"/>
        <v>0</v>
      </c>
      <c r="W912" s="206" t="str">
        <f t="shared" si="558"/>
        <v/>
      </c>
      <c r="X912" s="206">
        <f t="shared" si="559"/>
        <v>0</v>
      </c>
      <c r="Y912" s="209">
        <f t="shared" si="560"/>
        <v>0</v>
      </c>
    </row>
    <row r="913" spans="2:25" ht="16.5" hidden="1" thickTop="1" thickBot="1" x14ac:dyDescent="0.3">
      <c r="B913" s="60">
        <f>B909</f>
        <v>35</v>
      </c>
      <c r="C913" s="102">
        <v>243</v>
      </c>
      <c r="D913" s="192" t="str">
        <f t="shared" si="531"/>
        <v>III</v>
      </c>
      <c r="E913" s="162"/>
      <c r="F913" s="163"/>
      <c r="G913" s="163"/>
      <c r="H913" s="164"/>
      <c r="I913" s="164"/>
      <c r="J913" s="162"/>
      <c r="K913" s="165"/>
      <c r="L913" s="164"/>
      <c r="M913" s="164"/>
      <c r="N913" s="166"/>
      <c r="O913" s="167"/>
      <c r="P913" s="168"/>
      <c r="Q913" s="169"/>
      <c r="R913" s="170"/>
      <c r="S913" s="171"/>
      <c r="T913" s="203">
        <f t="shared" si="556"/>
        <v>43647</v>
      </c>
      <c r="U913" s="204">
        <f t="shared" si="557"/>
        <v>43677</v>
      </c>
      <c r="V913" s="207">
        <f t="shared" si="561"/>
        <v>0</v>
      </c>
      <c r="W913" s="206" t="str">
        <f t="shared" si="558"/>
        <v/>
      </c>
      <c r="X913" s="206">
        <f t="shared" si="559"/>
        <v>0</v>
      </c>
      <c r="Y913" s="209">
        <f t="shared" si="560"/>
        <v>0</v>
      </c>
    </row>
    <row r="914" spans="2:25" ht="16.5" hidden="1" thickTop="1" thickBot="1" x14ac:dyDescent="0.3">
      <c r="B914" s="60">
        <f>B909</f>
        <v>35</v>
      </c>
      <c r="C914" s="102">
        <v>244</v>
      </c>
      <c r="D914" s="192" t="str">
        <f t="shared" si="531"/>
        <v>III</v>
      </c>
      <c r="E914" s="172"/>
      <c r="F914" s="173"/>
      <c r="G914" s="173"/>
      <c r="H914" s="174"/>
      <c r="I914" s="174"/>
      <c r="J914" s="172"/>
      <c r="K914" s="175"/>
      <c r="L914" s="174"/>
      <c r="M914" s="174"/>
      <c r="N914" s="176"/>
      <c r="O914" s="177"/>
      <c r="P914" s="178"/>
      <c r="Q914" s="179"/>
      <c r="R914" s="180"/>
      <c r="S914" s="181"/>
      <c r="T914" s="203">
        <f t="shared" si="556"/>
        <v>43647</v>
      </c>
      <c r="U914" s="204">
        <f t="shared" si="557"/>
        <v>43677</v>
      </c>
      <c r="V914" s="207">
        <f t="shared" si="561"/>
        <v>0</v>
      </c>
      <c r="W914" s="206" t="str">
        <f t="shared" si="558"/>
        <v/>
      </c>
      <c r="X914" s="206">
        <f t="shared" si="559"/>
        <v>0</v>
      </c>
      <c r="Y914" s="209">
        <f t="shared" si="560"/>
        <v>0</v>
      </c>
    </row>
    <row r="915" spans="2:25" ht="16.5" hidden="1" thickTop="1" thickBot="1" x14ac:dyDescent="0.3">
      <c r="B915" s="141">
        <f>B909</f>
        <v>35</v>
      </c>
      <c r="C915" s="142">
        <v>245</v>
      </c>
      <c r="D915" s="194" t="str">
        <f t="shared" si="531"/>
        <v>III</v>
      </c>
      <c r="E915" s="189"/>
      <c r="F915" s="190"/>
      <c r="G915" s="190"/>
      <c r="H915" s="182"/>
      <c r="I915" s="182"/>
      <c r="J915" s="436" t="s">
        <v>181</v>
      </c>
      <c r="K915" s="437"/>
      <c r="L915" s="438"/>
      <c r="M915" s="182"/>
      <c r="N915" s="183"/>
      <c r="O915" s="184"/>
      <c r="P915" s="185"/>
      <c r="Q915" s="186"/>
      <c r="R915" s="187"/>
      <c r="S915" s="188"/>
      <c r="T915" s="213">
        <f t="shared" si="556"/>
        <v>43647</v>
      </c>
      <c r="U915" s="214">
        <f t="shared" si="557"/>
        <v>43677</v>
      </c>
      <c r="V915" s="210">
        <f t="shared" si="561"/>
        <v>0</v>
      </c>
      <c r="W915" s="211"/>
      <c r="X915" s="211">
        <f>IF(AND($V915&gt;0,$I915=1),IF($E915=10,P915/10,P915/$V915),0)</f>
        <v>0</v>
      </c>
      <c r="Y915" s="212">
        <f>IF(AND($V909&gt;0,$I915&lt;&gt;1),Q915/E909*V909,0)</f>
        <v>0</v>
      </c>
    </row>
    <row r="916" spans="2:25" ht="16.5" hidden="1" thickTop="1" thickBot="1" x14ac:dyDescent="0.3">
      <c r="B916" s="129">
        <f>B914+1</f>
        <v>36</v>
      </c>
      <c r="C916" s="130">
        <v>246</v>
      </c>
      <c r="D916" s="196" t="str">
        <f t="shared" si="531"/>
        <v>III</v>
      </c>
      <c r="E916" s="131"/>
      <c r="F916" s="132"/>
      <c r="G916" s="132"/>
      <c r="H916" s="133"/>
      <c r="I916" s="133"/>
      <c r="J916" s="131"/>
      <c r="K916" s="134"/>
      <c r="L916" s="133"/>
      <c r="M916" s="133"/>
      <c r="N916" s="135"/>
      <c r="O916" s="136"/>
      <c r="P916" s="137"/>
      <c r="Q916" s="138"/>
      <c r="R916" s="139"/>
      <c r="S916" s="140"/>
      <c r="T916" s="203">
        <f t="shared" si="556"/>
        <v>43647</v>
      </c>
      <c r="U916" s="204">
        <f t="shared" si="557"/>
        <v>43677</v>
      </c>
      <c r="V916" s="207">
        <f>IF(G916-F916+1-IF(G916-U916&gt;0,G916-U916,0)-IF(T916-F916&gt;0,T916-F916,0)&gt;0,G916-F916+1-IF(G916-U916&gt;0,G916-U916,0)-IF(T916-F916&gt;0,T916-F916,0),0)</f>
        <v>0</v>
      </c>
      <c r="W916" s="206" t="str">
        <f t="shared" ref="W916:W921" si="562">IF(V916&gt;0,H916,"")</f>
        <v/>
      </c>
      <c r="X916" s="206">
        <f t="shared" ref="X916:X921" si="563">IF(AND($V916&gt;0,$I916=1),P916/$E916*$V916,0)</f>
        <v>0</v>
      </c>
      <c r="Y916" s="209">
        <f t="shared" ref="Y916:Y921" si="564">IF(AND($V916&gt;0,$I916&lt;&gt;1),Q916/$E916*$V916,0)</f>
        <v>0</v>
      </c>
    </row>
    <row r="917" spans="2:25" ht="16.5" hidden="1" thickTop="1" thickBot="1" x14ac:dyDescent="0.3">
      <c r="B917" s="60">
        <f>B916</f>
        <v>36</v>
      </c>
      <c r="C917" s="102">
        <v>247</v>
      </c>
      <c r="D917" s="192" t="str">
        <f t="shared" si="531"/>
        <v>III</v>
      </c>
      <c r="E917" s="62"/>
      <c r="F917" s="105"/>
      <c r="G917" s="105"/>
      <c r="H917" s="61"/>
      <c r="I917" s="61"/>
      <c r="J917" s="62"/>
      <c r="K917" s="63"/>
      <c r="L917" s="61"/>
      <c r="M917" s="61"/>
      <c r="N917" s="111"/>
      <c r="O917" s="112"/>
      <c r="P917" s="113"/>
      <c r="Q917" s="114"/>
      <c r="R917" s="64"/>
      <c r="S917" s="108"/>
      <c r="T917" s="203">
        <f t="shared" si="556"/>
        <v>43647</v>
      </c>
      <c r="U917" s="204">
        <f t="shared" si="557"/>
        <v>43677</v>
      </c>
      <c r="V917" s="207">
        <f t="shared" ref="V917:V922" si="565">IF(G917-F917+1-IF(G917-U917&gt;0,G917-U917,0)-IF(T917-F917&gt;0,T917-F917,0)&gt;0,G917-F917+1-IF(G917-U917&gt;0,G917-U917,0)-IF(T917-F917&gt;0,T917-F917,0),0)</f>
        <v>0</v>
      </c>
      <c r="W917" s="206" t="str">
        <f t="shared" si="562"/>
        <v/>
      </c>
      <c r="X917" s="206">
        <f t="shared" si="563"/>
        <v>0</v>
      </c>
      <c r="Y917" s="209">
        <f t="shared" si="564"/>
        <v>0</v>
      </c>
    </row>
    <row r="918" spans="2:25" ht="16.5" hidden="1" thickTop="1" thickBot="1" x14ac:dyDescent="0.3">
      <c r="B918" s="60">
        <f>B916</f>
        <v>36</v>
      </c>
      <c r="C918" s="102">
        <v>248</v>
      </c>
      <c r="D918" s="192" t="str">
        <f t="shared" si="531"/>
        <v>III</v>
      </c>
      <c r="E918" s="62"/>
      <c r="F918" s="105"/>
      <c r="G918" s="105"/>
      <c r="H918" s="61"/>
      <c r="I918" s="61"/>
      <c r="J918" s="62"/>
      <c r="K918" s="63"/>
      <c r="L918" s="61"/>
      <c r="M918" s="61"/>
      <c r="N918" s="111"/>
      <c r="O918" s="112"/>
      <c r="P918" s="113"/>
      <c r="Q918" s="114"/>
      <c r="R918" s="64"/>
      <c r="S918" s="108"/>
      <c r="T918" s="203">
        <f t="shared" si="556"/>
        <v>43647</v>
      </c>
      <c r="U918" s="204">
        <f t="shared" si="557"/>
        <v>43677</v>
      </c>
      <c r="V918" s="207">
        <f t="shared" si="565"/>
        <v>0</v>
      </c>
      <c r="W918" s="206" t="str">
        <f t="shared" si="562"/>
        <v/>
      </c>
      <c r="X918" s="206">
        <f t="shared" si="563"/>
        <v>0</v>
      </c>
      <c r="Y918" s="209">
        <f t="shared" si="564"/>
        <v>0</v>
      </c>
    </row>
    <row r="919" spans="2:25" ht="16.5" hidden="1" thickTop="1" thickBot="1" x14ac:dyDescent="0.3">
      <c r="B919" s="60">
        <f>B916</f>
        <v>36</v>
      </c>
      <c r="C919" s="102">
        <v>249</v>
      </c>
      <c r="D919" s="192" t="str">
        <f t="shared" si="531"/>
        <v>III</v>
      </c>
      <c r="E919" s="62"/>
      <c r="F919" s="105"/>
      <c r="G919" s="105"/>
      <c r="H919" s="61"/>
      <c r="I919" s="61"/>
      <c r="J919" s="62"/>
      <c r="K919" s="63"/>
      <c r="L919" s="61"/>
      <c r="M919" s="61"/>
      <c r="N919" s="111"/>
      <c r="O919" s="112"/>
      <c r="P919" s="113"/>
      <c r="Q919" s="114"/>
      <c r="R919" s="64"/>
      <c r="S919" s="108"/>
      <c r="T919" s="203">
        <f t="shared" si="556"/>
        <v>43647</v>
      </c>
      <c r="U919" s="204">
        <f t="shared" si="557"/>
        <v>43677</v>
      </c>
      <c r="V919" s="207">
        <f t="shared" si="565"/>
        <v>0</v>
      </c>
      <c r="W919" s="206" t="str">
        <f t="shared" si="562"/>
        <v/>
      </c>
      <c r="X919" s="206">
        <f t="shared" si="563"/>
        <v>0</v>
      </c>
      <c r="Y919" s="209">
        <f t="shared" si="564"/>
        <v>0</v>
      </c>
    </row>
    <row r="920" spans="2:25" ht="16.5" hidden="1" thickTop="1" thickBot="1" x14ac:dyDescent="0.3">
      <c r="B920" s="60">
        <f>B916</f>
        <v>36</v>
      </c>
      <c r="C920" s="102">
        <v>250</v>
      </c>
      <c r="D920" s="192" t="str">
        <f t="shared" si="531"/>
        <v>III</v>
      </c>
      <c r="E920" s="62"/>
      <c r="F920" s="105"/>
      <c r="G920" s="105"/>
      <c r="H920" s="61"/>
      <c r="I920" s="61"/>
      <c r="J920" s="62"/>
      <c r="K920" s="63"/>
      <c r="L920" s="61"/>
      <c r="M920" s="61"/>
      <c r="N920" s="111"/>
      <c r="O920" s="112"/>
      <c r="P920" s="113"/>
      <c r="Q920" s="114"/>
      <c r="R920" s="64"/>
      <c r="S920" s="108"/>
      <c r="T920" s="203">
        <f t="shared" si="556"/>
        <v>43647</v>
      </c>
      <c r="U920" s="204">
        <f t="shared" si="557"/>
        <v>43677</v>
      </c>
      <c r="V920" s="207">
        <f t="shared" si="565"/>
        <v>0</v>
      </c>
      <c r="W920" s="206" t="str">
        <f t="shared" si="562"/>
        <v/>
      </c>
      <c r="X920" s="206">
        <f t="shared" si="563"/>
        <v>0</v>
      </c>
      <c r="Y920" s="209">
        <f t="shared" si="564"/>
        <v>0</v>
      </c>
    </row>
    <row r="921" spans="2:25" ht="16.5" hidden="1" thickTop="1" thickBot="1" x14ac:dyDescent="0.3">
      <c r="B921" s="60">
        <f>B916</f>
        <v>36</v>
      </c>
      <c r="C921" s="102">
        <v>251</v>
      </c>
      <c r="D921" s="192" t="str">
        <f t="shared" si="531"/>
        <v>III</v>
      </c>
      <c r="E921" s="62"/>
      <c r="F921" s="105"/>
      <c r="G921" s="105"/>
      <c r="H921" s="61"/>
      <c r="I921" s="61"/>
      <c r="J921" s="62"/>
      <c r="K921" s="63"/>
      <c r="L921" s="61"/>
      <c r="M921" s="61"/>
      <c r="N921" s="111"/>
      <c r="O921" s="112"/>
      <c r="P921" s="113"/>
      <c r="Q921" s="114"/>
      <c r="R921" s="64"/>
      <c r="S921" s="108"/>
      <c r="T921" s="203">
        <f t="shared" si="556"/>
        <v>43647</v>
      </c>
      <c r="U921" s="204">
        <f t="shared" si="557"/>
        <v>43677</v>
      </c>
      <c r="V921" s="207">
        <f t="shared" si="565"/>
        <v>0</v>
      </c>
      <c r="W921" s="206" t="str">
        <f t="shared" si="562"/>
        <v/>
      </c>
      <c r="X921" s="206">
        <f t="shared" si="563"/>
        <v>0</v>
      </c>
      <c r="Y921" s="209">
        <f t="shared" si="564"/>
        <v>0</v>
      </c>
    </row>
    <row r="922" spans="2:25" ht="16.5" hidden="1" thickTop="1" thickBot="1" x14ac:dyDescent="0.3">
      <c r="B922" s="141">
        <f>B916</f>
        <v>36</v>
      </c>
      <c r="C922" s="142">
        <v>252</v>
      </c>
      <c r="D922" s="194" t="str">
        <f t="shared" si="531"/>
        <v>III</v>
      </c>
      <c r="E922" s="143"/>
      <c r="F922" s="144"/>
      <c r="G922" s="144"/>
      <c r="H922" s="145"/>
      <c r="I922" s="145"/>
      <c r="J922" s="436" t="s">
        <v>181</v>
      </c>
      <c r="K922" s="437"/>
      <c r="L922" s="438"/>
      <c r="M922" s="145"/>
      <c r="N922" s="146"/>
      <c r="O922" s="147"/>
      <c r="P922" s="148"/>
      <c r="Q922" s="149"/>
      <c r="R922" s="150"/>
      <c r="S922" s="151"/>
      <c r="T922" s="213">
        <f t="shared" si="556"/>
        <v>43647</v>
      </c>
      <c r="U922" s="214">
        <f t="shared" si="557"/>
        <v>43677</v>
      </c>
      <c r="V922" s="210">
        <f t="shared" si="565"/>
        <v>0</v>
      </c>
      <c r="W922" s="211"/>
      <c r="X922" s="211">
        <f>IF(AND($V922&gt;0,$I922=1),IF($E922=10,P922/10,P922/$V922),0)</f>
        <v>0</v>
      </c>
      <c r="Y922" s="212">
        <f>IF(AND($V916&gt;0,$I922&lt;&gt;1),Q922/E916*V916,0)</f>
        <v>0</v>
      </c>
    </row>
    <row r="923" spans="2:25" ht="45.75" thickTop="1" x14ac:dyDescent="0.25">
      <c r="B923" s="129">
        <f>B921+1</f>
        <v>37</v>
      </c>
      <c r="C923" s="130">
        <v>253</v>
      </c>
      <c r="D923" s="196" t="str">
        <f t="shared" si="531"/>
        <v>III</v>
      </c>
      <c r="E923" s="152">
        <v>10</v>
      </c>
      <c r="F923" s="153">
        <v>43653</v>
      </c>
      <c r="G923" s="153">
        <v>43662</v>
      </c>
      <c r="H923" s="154" t="s">
        <v>312</v>
      </c>
      <c r="I923" s="154">
        <v>2</v>
      </c>
      <c r="J923" s="152" t="s">
        <v>167</v>
      </c>
      <c r="K923" s="155" t="s">
        <v>16</v>
      </c>
      <c r="L923" s="154">
        <v>1</v>
      </c>
      <c r="M923" s="154">
        <v>8</v>
      </c>
      <c r="N923" s="156">
        <v>90</v>
      </c>
      <c r="O923" s="157">
        <v>90</v>
      </c>
      <c r="P923" s="158"/>
      <c r="Q923" s="159">
        <v>90</v>
      </c>
      <c r="R923" s="160" t="s">
        <v>4</v>
      </c>
      <c r="S923" s="161">
        <v>43626</v>
      </c>
      <c r="T923" s="203">
        <f t="shared" si="556"/>
        <v>43647</v>
      </c>
      <c r="U923" s="204">
        <f t="shared" si="557"/>
        <v>43677</v>
      </c>
      <c r="V923" s="207">
        <f>IF(G923-F923+1-IF(G923-U923&gt;0,G923-U923,0)-IF(T923-F923&gt;0,T923-F923,0)&gt;0,G923-F923+1-IF(G923-U923&gt;0,G923-U923,0)-IF(T923-F923&gt;0,T923-F923,0),0)</f>
        <v>10</v>
      </c>
      <c r="W923" s="206" t="str">
        <f t="shared" ref="W923:W928" si="566">IF(V923&gt;0,H923,"")</f>
        <v>Христо Андреев</v>
      </c>
      <c r="X923" s="206">
        <f t="shared" ref="X923:X928" si="567">IF(AND($V923&gt;0,$I923=1),P923/$E923*$V923,0)</f>
        <v>0</v>
      </c>
      <c r="Y923" s="209">
        <f t="shared" ref="Y923:Y928" si="568">IF(AND($V923&gt;0,$I923&lt;&gt;1),Q923/$E923*$V923,0)</f>
        <v>90</v>
      </c>
    </row>
    <row r="924" spans="2:25" ht="45" x14ac:dyDescent="0.25">
      <c r="B924" s="60">
        <f>B923</f>
        <v>37</v>
      </c>
      <c r="C924" s="102">
        <v>254</v>
      </c>
      <c r="D924" s="192" t="str">
        <f t="shared" si="531"/>
        <v>III</v>
      </c>
      <c r="E924" s="162">
        <v>10</v>
      </c>
      <c r="F924" s="163">
        <v>43653</v>
      </c>
      <c r="G924" s="163">
        <v>43662</v>
      </c>
      <c r="H924" s="164" t="s">
        <v>313</v>
      </c>
      <c r="I924" s="164">
        <v>2</v>
      </c>
      <c r="J924" s="162" t="s">
        <v>167</v>
      </c>
      <c r="K924" s="165" t="s">
        <v>16</v>
      </c>
      <c r="L924" s="164">
        <v>1</v>
      </c>
      <c r="M924" s="164">
        <v>8</v>
      </c>
      <c r="N924" s="166">
        <v>90</v>
      </c>
      <c r="O924" s="167">
        <v>90</v>
      </c>
      <c r="P924" s="168"/>
      <c r="Q924" s="169">
        <v>90</v>
      </c>
      <c r="R924" s="170" t="s">
        <v>4</v>
      </c>
      <c r="S924" s="171">
        <v>43626</v>
      </c>
      <c r="T924" s="203">
        <f t="shared" si="556"/>
        <v>43647</v>
      </c>
      <c r="U924" s="204">
        <f t="shared" si="557"/>
        <v>43677</v>
      </c>
      <c r="V924" s="207">
        <f t="shared" ref="V924:V929" si="569">IF(G924-F924+1-IF(G924-U924&gt;0,G924-U924,0)-IF(T924-F924&gt;0,T924-F924,0)&gt;0,G924-F924+1-IF(G924-U924&gt;0,G924-U924,0)-IF(T924-F924&gt;0,T924-F924,0),0)</f>
        <v>10</v>
      </c>
      <c r="W924" s="206" t="str">
        <f t="shared" si="566"/>
        <v>Недялка Андреева</v>
      </c>
      <c r="X924" s="206">
        <f t="shared" si="567"/>
        <v>0</v>
      </c>
      <c r="Y924" s="209">
        <f t="shared" si="568"/>
        <v>90</v>
      </c>
    </row>
    <row r="925" spans="2:25" hidden="1" x14ac:dyDescent="0.25">
      <c r="B925" s="60">
        <f>B923</f>
        <v>37</v>
      </c>
      <c r="C925" s="102">
        <v>255</v>
      </c>
      <c r="D925" s="192" t="str">
        <f t="shared" si="531"/>
        <v>III</v>
      </c>
      <c r="E925" s="162"/>
      <c r="F925" s="163"/>
      <c r="G925" s="163"/>
      <c r="H925" s="164"/>
      <c r="I925" s="164"/>
      <c r="J925" s="162"/>
      <c r="K925" s="165"/>
      <c r="L925" s="164"/>
      <c r="M925" s="164"/>
      <c r="N925" s="166"/>
      <c r="O925" s="167"/>
      <c r="P925" s="168"/>
      <c r="Q925" s="169"/>
      <c r="R925" s="170"/>
      <c r="S925" s="171"/>
      <c r="T925" s="203">
        <f t="shared" si="556"/>
        <v>43647</v>
      </c>
      <c r="U925" s="204">
        <f t="shared" si="557"/>
        <v>43677</v>
      </c>
      <c r="V925" s="207">
        <f t="shared" si="569"/>
        <v>0</v>
      </c>
      <c r="W925" s="206" t="str">
        <f t="shared" si="566"/>
        <v/>
      </c>
      <c r="X925" s="206">
        <f t="shared" si="567"/>
        <v>0</v>
      </c>
      <c r="Y925" s="209">
        <f t="shared" si="568"/>
        <v>0</v>
      </c>
    </row>
    <row r="926" spans="2:25" hidden="1" x14ac:dyDescent="0.25">
      <c r="B926" s="60">
        <f>B923</f>
        <v>37</v>
      </c>
      <c r="C926" s="102">
        <v>256</v>
      </c>
      <c r="D926" s="192" t="str">
        <f t="shared" si="531"/>
        <v>III</v>
      </c>
      <c r="E926" s="162"/>
      <c r="F926" s="163"/>
      <c r="G926" s="163"/>
      <c r="H926" s="164"/>
      <c r="I926" s="164"/>
      <c r="J926" s="162"/>
      <c r="K926" s="165"/>
      <c r="L926" s="164"/>
      <c r="M926" s="164"/>
      <c r="N926" s="166"/>
      <c r="O926" s="167"/>
      <c r="P926" s="168"/>
      <c r="Q926" s="169"/>
      <c r="R926" s="170"/>
      <c r="S926" s="171"/>
      <c r="T926" s="203">
        <f t="shared" si="556"/>
        <v>43647</v>
      </c>
      <c r="U926" s="204">
        <f t="shared" si="557"/>
        <v>43677</v>
      </c>
      <c r="V926" s="207">
        <f t="shared" si="569"/>
        <v>0</v>
      </c>
      <c r="W926" s="206" t="str">
        <f t="shared" si="566"/>
        <v/>
      </c>
      <c r="X926" s="206">
        <f t="shared" si="567"/>
        <v>0</v>
      </c>
      <c r="Y926" s="209">
        <f t="shared" si="568"/>
        <v>0</v>
      </c>
    </row>
    <row r="927" spans="2:25" hidden="1" x14ac:dyDescent="0.25">
      <c r="B927" s="60">
        <f>B923</f>
        <v>37</v>
      </c>
      <c r="C927" s="102">
        <v>257</v>
      </c>
      <c r="D927" s="192" t="str">
        <f t="shared" si="531"/>
        <v>III</v>
      </c>
      <c r="E927" s="162"/>
      <c r="F927" s="163"/>
      <c r="G927" s="163"/>
      <c r="H927" s="164"/>
      <c r="I927" s="164"/>
      <c r="J927" s="162"/>
      <c r="K927" s="165"/>
      <c r="L927" s="164"/>
      <c r="M927" s="164"/>
      <c r="N927" s="166"/>
      <c r="O927" s="167"/>
      <c r="P927" s="168"/>
      <c r="Q927" s="169"/>
      <c r="R927" s="170"/>
      <c r="S927" s="171"/>
      <c r="T927" s="203">
        <f t="shared" si="556"/>
        <v>43647</v>
      </c>
      <c r="U927" s="204">
        <f t="shared" si="557"/>
        <v>43677</v>
      </c>
      <c r="V927" s="207">
        <f t="shared" si="569"/>
        <v>0</v>
      </c>
      <c r="W927" s="206" t="str">
        <f t="shared" si="566"/>
        <v/>
      </c>
      <c r="X927" s="206">
        <f t="shared" si="567"/>
        <v>0</v>
      </c>
      <c r="Y927" s="209">
        <f t="shared" si="568"/>
        <v>0</v>
      </c>
    </row>
    <row r="928" spans="2:25" hidden="1" x14ac:dyDescent="0.25">
      <c r="B928" s="60">
        <f>B923</f>
        <v>37</v>
      </c>
      <c r="C928" s="102">
        <v>258</v>
      </c>
      <c r="D928" s="192" t="str">
        <f t="shared" si="531"/>
        <v>III</v>
      </c>
      <c r="E928" s="172"/>
      <c r="F928" s="173"/>
      <c r="G928" s="173"/>
      <c r="H928" s="174"/>
      <c r="I928" s="174"/>
      <c r="J928" s="172"/>
      <c r="K928" s="175"/>
      <c r="L928" s="174"/>
      <c r="M928" s="174"/>
      <c r="N928" s="176"/>
      <c r="O928" s="177"/>
      <c r="P928" s="178"/>
      <c r="Q928" s="179"/>
      <c r="R928" s="180"/>
      <c r="S928" s="181"/>
      <c r="T928" s="203">
        <f t="shared" si="556"/>
        <v>43647</v>
      </c>
      <c r="U928" s="204">
        <f t="shared" si="557"/>
        <v>43677</v>
      </c>
      <c r="V928" s="207">
        <f t="shared" si="569"/>
        <v>0</v>
      </c>
      <c r="W928" s="206" t="str">
        <f t="shared" si="566"/>
        <v/>
      </c>
      <c r="X928" s="206">
        <f t="shared" si="567"/>
        <v>0</v>
      </c>
      <c r="Y928" s="209">
        <f t="shared" si="568"/>
        <v>0</v>
      </c>
    </row>
    <row r="929" spans="2:25" ht="15.75" thickBot="1" x14ac:dyDescent="0.3">
      <c r="B929" s="141">
        <f>B923</f>
        <v>37</v>
      </c>
      <c r="C929" s="142">
        <v>259</v>
      </c>
      <c r="D929" s="194" t="str">
        <f t="shared" ref="D929:D992" si="570">D928</f>
        <v>III</v>
      </c>
      <c r="E929" s="189"/>
      <c r="F929" s="190"/>
      <c r="G929" s="190"/>
      <c r="H929" s="182"/>
      <c r="I929" s="182"/>
      <c r="J929" s="436" t="s">
        <v>181</v>
      </c>
      <c r="K929" s="437"/>
      <c r="L929" s="438"/>
      <c r="M929" s="182"/>
      <c r="N929" s="183">
        <v>10</v>
      </c>
      <c r="O929" s="184">
        <v>10</v>
      </c>
      <c r="P929" s="185"/>
      <c r="Q929" s="186">
        <v>10</v>
      </c>
      <c r="R929" s="187" t="s">
        <v>4</v>
      </c>
      <c r="S929" s="188">
        <v>43626</v>
      </c>
      <c r="T929" s="213">
        <f t="shared" si="556"/>
        <v>43647</v>
      </c>
      <c r="U929" s="214">
        <f t="shared" si="557"/>
        <v>43677</v>
      </c>
      <c r="V929" s="210">
        <f t="shared" si="569"/>
        <v>0</v>
      </c>
      <c r="W929" s="211"/>
      <c r="X929" s="211">
        <f>IF(AND($V929&gt;0,$I929=1),IF($E929=10,P929/10,P929/$V929),0)</f>
        <v>0</v>
      </c>
      <c r="Y929" s="212">
        <f>IF(AND($V923&gt;0,$I929&lt;&gt;1),Q929/E923*V923,0)</f>
        <v>10</v>
      </c>
    </row>
    <row r="930" spans="2:25" ht="16.5" hidden="1" thickTop="1" thickBot="1" x14ac:dyDescent="0.3">
      <c r="B930" s="129">
        <f>B928+1</f>
        <v>38</v>
      </c>
      <c r="C930" s="130">
        <v>260</v>
      </c>
      <c r="D930" s="196" t="str">
        <f t="shared" si="570"/>
        <v>III</v>
      </c>
      <c r="E930" s="131"/>
      <c r="F930" s="132"/>
      <c r="G930" s="132"/>
      <c r="H930" s="133"/>
      <c r="I930" s="133"/>
      <c r="J930" s="131"/>
      <c r="K930" s="134"/>
      <c r="L930" s="133"/>
      <c r="M930" s="133"/>
      <c r="N930" s="135"/>
      <c r="O930" s="136"/>
      <c r="P930" s="137"/>
      <c r="Q930" s="138"/>
      <c r="R930" s="139"/>
      <c r="S930" s="140"/>
      <c r="T930" s="203">
        <f t="shared" si="556"/>
        <v>43647</v>
      </c>
      <c r="U930" s="204">
        <f t="shared" si="557"/>
        <v>43677</v>
      </c>
      <c r="V930" s="207">
        <f>IF(G930-F930+1-IF(G930-U930&gt;0,G930-U930,0)-IF(T930-F930&gt;0,T930-F930,0)&gt;0,G930-F930+1-IF(G930-U930&gt;0,G930-U930,0)-IF(T930-F930&gt;0,T930-F930,0),0)</f>
        <v>0</v>
      </c>
      <c r="W930" s="206" t="str">
        <f t="shared" ref="W930:W935" si="571">IF(V930&gt;0,H930,"")</f>
        <v/>
      </c>
      <c r="X930" s="206">
        <f t="shared" ref="X930:X935" si="572">IF(AND($V930&gt;0,$I930=1),P930/$E930*$V930,0)</f>
        <v>0</v>
      </c>
      <c r="Y930" s="209">
        <f t="shared" ref="Y930:Y935" si="573">IF(AND($V930&gt;0,$I930&lt;&gt;1),Q930/$E930*$V930,0)</f>
        <v>0</v>
      </c>
    </row>
    <row r="931" spans="2:25" ht="16.5" hidden="1" thickTop="1" thickBot="1" x14ac:dyDescent="0.3">
      <c r="B931" s="60">
        <f>B930</f>
        <v>38</v>
      </c>
      <c r="C931" s="102">
        <v>261</v>
      </c>
      <c r="D931" s="192" t="str">
        <f t="shared" si="570"/>
        <v>III</v>
      </c>
      <c r="E931" s="62"/>
      <c r="F931" s="105"/>
      <c r="G931" s="105"/>
      <c r="H931" s="61"/>
      <c r="I931" s="61"/>
      <c r="J931" s="62"/>
      <c r="K931" s="63"/>
      <c r="L931" s="61"/>
      <c r="M931" s="61"/>
      <c r="N931" s="111"/>
      <c r="O931" s="112"/>
      <c r="P931" s="113"/>
      <c r="Q931" s="114"/>
      <c r="R931" s="64"/>
      <c r="S931" s="108"/>
      <c r="T931" s="203">
        <f t="shared" si="556"/>
        <v>43647</v>
      </c>
      <c r="U931" s="204">
        <f t="shared" si="557"/>
        <v>43677</v>
      </c>
      <c r="V931" s="207">
        <f t="shared" ref="V931:V936" si="574">IF(G931-F931+1-IF(G931-U931&gt;0,G931-U931,0)-IF(T931-F931&gt;0,T931-F931,0)&gt;0,G931-F931+1-IF(G931-U931&gt;0,G931-U931,0)-IF(T931-F931&gt;0,T931-F931,0),0)</f>
        <v>0</v>
      </c>
      <c r="W931" s="206" t="str">
        <f t="shared" si="571"/>
        <v/>
      </c>
      <c r="X931" s="206">
        <f t="shared" si="572"/>
        <v>0</v>
      </c>
      <c r="Y931" s="209">
        <f t="shared" si="573"/>
        <v>0</v>
      </c>
    </row>
    <row r="932" spans="2:25" ht="16.5" hidden="1" thickTop="1" thickBot="1" x14ac:dyDescent="0.3">
      <c r="B932" s="60">
        <f>B930</f>
        <v>38</v>
      </c>
      <c r="C932" s="102">
        <v>262</v>
      </c>
      <c r="D932" s="192" t="str">
        <f t="shared" si="570"/>
        <v>III</v>
      </c>
      <c r="E932" s="62"/>
      <c r="F932" s="105"/>
      <c r="G932" s="105"/>
      <c r="H932" s="61"/>
      <c r="I932" s="61"/>
      <c r="J932" s="62"/>
      <c r="K932" s="63"/>
      <c r="L932" s="61"/>
      <c r="M932" s="61"/>
      <c r="N932" s="111"/>
      <c r="O932" s="112"/>
      <c r="P932" s="113"/>
      <c r="Q932" s="114"/>
      <c r="R932" s="64"/>
      <c r="S932" s="108"/>
      <c r="T932" s="203">
        <f t="shared" si="556"/>
        <v>43647</v>
      </c>
      <c r="U932" s="204">
        <f t="shared" si="557"/>
        <v>43677</v>
      </c>
      <c r="V932" s="207">
        <f t="shared" si="574"/>
        <v>0</v>
      </c>
      <c r="W932" s="206" t="str">
        <f t="shared" si="571"/>
        <v/>
      </c>
      <c r="X932" s="206">
        <f t="shared" si="572"/>
        <v>0</v>
      </c>
      <c r="Y932" s="209">
        <f t="shared" si="573"/>
        <v>0</v>
      </c>
    </row>
    <row r="933" spans="2:25" ht="16.5" hidden="1" thickTop="1" thickBot="1" x14ac:dyDescent="0.3">
      <c r="B933" s="60">
        <f>B930</f>
        <v>38</v>
      </c>
      <c r="C933" s="102">
        <v>263</v>
      </c>
      <c r="D933" s="192" t="str">
        <f t="shared" si="570"/>
        <v>III</v>
      </c>
      <c r="E933" s="62"/>
      <c r="F933" s="105"/>
      <c r="G933" s="105"/>
      <c r="H933" s="61"/>
      <c r="I933" s="61"/>
      <c r="J933" s="62"/>
      <c r="K933" s="63"/>
      <c r="L933" s="61"/>
      <c r="M933" s="61"/>
      <c r="N933" s="111"/>
      <c r="O933" s="112"/>
      <c r="P933" s="113"/>
      <c r="Q933" s="114"/>
      <c r="R933" s="64"/>
      <c r="S933" s="108"/>
      <c r="T933" s="203">
        <f t="shared" si="556"/>
        <v>43647</v>
      </c>
      <c r="U933" s="204">
        <f t="shared" si="557"/>
        <v>43677</v>
      </c>
      <c r="V933" s="207">
        <f t="shared" si="574"/>
        <v>0</v>
      </c>
      <c r="W933" s="206" t="str">
        <f t="shared" si="571"/>
        <v/>
      </c>
      <c r="X933" s="206">
        <f t="shared" si="572"/>
        <v>0</v>
      </c>
      <c r="Y933" s="209">
        <f t="shared" si="573"/>
        <v>0</v>
      </c>
    </row>
    <row r="934" spans="2:25" ht="16.5" hidden="1" thickTop="1" thickBot="1" x14ac:dyDescent="0.3">
      <c r="B934" s="60">
        <f>B930</f>
        <v>38</v>
      </c>
      <c r="C934" s="102">
        <v>264</v>
      </c>
      <c r="D934" s="192" t="str">
        <f t="shared" si="570"/>
        <v>III</v>
      </c>
      <c r="E934" s="62"/>
      <c r="F934" s="105"/>
      <c r="G934" s="105"/>
      <c r="H934" s="61"/>
      <c r="I934" s="61"/>
      <c r="J934" s="62"/>
      <c r="K934" s="63"/>
      <c r="L934" s="61"/>
      <c r="M934" s="61"/>
      <c r="N934" s="111"/>
      <c r="O934" s="112"/>
      <c r="P934" s="113"/>
      <c r="Q934" s="114"/>
      <c r="R934" s="64"/>
      <c r="S934" s="108"/>
      <c r="T934" s="203">
        <f t="shared" si="556"/>
        <v>43647</v>
      </c>
      <c r="U934" s="204">
        <f t="shared" si="557"/>
        <v>43677</v>
      </c>
      <c r="V934" s="207">
        <f t="shared" si="574"/>
        <v>0</v>
      </c>
      <c r="W934" s="206" t="str">
        <f t="shared" si="571"/>
        <v/>
      </c>
      <c r="X934" s="206">
        <f t="shared" si="572"/>
        <v>0</v>
      </c>
      <c r="Y934" s="209">
        <f t="shared" si="573"/>
        <v>0</v>
      </c>
    </row>
    <row r="935" spans="2:25" ht="16.5" hidden="1" thickTop="1" thickBot="1" x14ac:dyDescent="0.3">
      <c r="B935" s="60">
        <f>B930</f>
        <v>38</v>
      </c>
      <c r="C935" s="102">
        <v>265</v>
      </c>
      <c r="D935" s="192" t="str">
        <f t="shared" si="570"/>
        <v>III</v>
      </c>
      <c r="E935" s="62"/>
      <c r="F935" s="105"/>
      <c r="G935" s="105"/>
      <c r="H935" s="61"/>
      <c r="I935" s="61"/>
      <c r="J935" s="62"/>
      <c r="K935" s="63"/>
      <c r="L935" s="61"/>
      <c r="M935" s="61"/>
      <c r="N935" s="111"/>
      <c r="O935" s="112"/>
      <c r="P935" s="113"/>
      <c r="Q935" s="114"/>
      <c r="R935" s="64"/>
      <c r="S935" s="108"/>
      <c r="T935" s="203">
        <f t="shared" si="556"/>
        <v>43647</v>
      </c>
      <c r="U935" s="204">
        <f t="shared" si="557"/>
        <v>43677</v>
      </c>
      <c r="V935" s="207">
        <f t="shared" si="574"/>
        <v>0</v>
      </c>
      <c r="W935" s="206" t="str">
        <f t="shared" si="571"/>
        <v/>
      </c>
      <c r="X935" s="206">
        <f t="shared" si="572"/>
        <v>0</v>
      </c>
      <c r="Y935" s="209">
        <f t="shared" si="573"/>
        <v>0</v>
      </c>
    </row>
    <row r="936" spans="2:25" ht="16.5" hidden="1" thickTop="1" thickBot="1" x14ac:dyDescent="0.3">
      <c r="B936" s="141">
        <f>B930</f>
        <v>38</v>
      </c>
      <c r="C936" s="142">
        <v>266</v>
      </c>
      <c r="D936" s="194" t="str">
        <f t="shared" si="570"/>
        <v>III</v>
      </c>
      <c r="E936" s="143"/>
      <c r="F936" s="144"/>
      <c r="G936" s="144"/>
      <c r="H936" s="145"/>
      <c r="I936" s="145"/>
      <c r="J936" s="436" t="s">
        <v>181</v>
      </c>
      <c r="K936" s="437"/>
      <c r="L936" s="438"/>
      <c r="M936" s="145"/>
      <c r="N936" s="146"/>
      <c r="O936" s="147"/>
      <c r="P936" s="148"/>
      <c r="Q936" s="149"/>
      <c r="R936" s="150"/>
      <c r="S936" s="151"/>
      <c r="T936" s="213">
        <f t="shared" si="556"/>
        <v>43647</v>
      </c>
      <c r="U936" s="214">
        <f t="shared" si="557"/>
        <v>43677</v>
      </c>
      <c r="V936" s="210">
        <f t="shared" si="574"/>
        <v>0</v>
      </c>
      <c r="W936" s="211"/>
      <c r="X936" s="211">
        <f>IF(AND($V936&gt;0,$I936=1),IF($E936=10,P936/10,P936/$V936),0)</f>
        <v>0</v>
      </c>
      <c r="Y936" s="212">
        <f>IF(AND($V930&gt;0,$I936&lt;&gt;1),Q936/E930*V930,0)</f>
        <v>0</v>
      </c>
    </row>
    <row r="937" spans="2:25" ht="16.5" hidden="1" thickTop="1" thickBot="1" x14ac:dyDescent="0.3">
      <c r="B937" s="129">
        <f>B935+1</f>
        <v>39</v>
      </c>
      <c r="C937" s="130">
        <v>267</v>
      </c>
      <c r="D937" s="196" t="str">
        <f t="shared" si="570"/>
        <v>III</v>
      </c>
      <c r="E937" s="152"/>
      <c r="F937" s="153"/>
      <c r="G937" s="153"/>
      <c r="H937" s="154"/>
      <c r="I937" s="154"/>
      <c r="J937" s="152"/>
      <c r="K937" s="155"/>
      <c r="L937" s="154"/>
      <c r="M937" s="154"/>
      <c r="N937" s="156"/>
      <c r="O937" s="157"/>
      <c r="P937" s="158"/>
      <c r="Q937" s="159"/>
      <c r="R937" s="160"/>
      <c r="S937" s="161"/>
      <c r="T937" s="203">
        <f t="shared" si="556"/>
        <v>43647</v>
      </c>
      <c r="U937" s="204">
        <f t="shared" si="557"/>
        <v>43677</v>
      </c>
      <c r="V937" s="207">
        <f>IF(G937-F937+1-IF(G937-U937&gt;0,G937-U937,0)-IF(T937-F937&gt;0,T937-F937,0)&gt;0,G937-F937+1-IF(G937-U937&gt;0,G937-U937,0)-IF(T937-F937&gt;0,T937-F937,0),0)</f>
        <v>0</v>
      </c>
      <c r="W937" s="206" t="str">
        <f t="shared" ref="W937:W942" si="575">IF(V937&gt;0,H937,"")</f>
        <v/>
      </c>
      <c r="X937" s="206">
        <f t="shared" ref="X937:X942" si="576">IF(AND($V937&gt;0,$I937=1),P937/$E937*$V937,0)</f>
        <v>0</v>
      </c>
      <c r="Y937" s="209">
        <f t="shared" ref="Y937:Y942" si="577">IF(AND($V937&gt;0,$I937&lt;&gt;1),Q937/$E937*$V937,0)</f>
        <v>0</v>
      </c>
    </row>
    <row r="938" spans="2:25" ht="16.5" hidden="1" thickTop="1" thickBot="1" x14ac:dyDescent="0.3">
      <c r="B938" s="60">
        <f>B937</f>
        <v>39</v>
      </c>
      <c r="C938" s="102">
        <v>268</v>
      </c>
      <c r="D938" s="192" t="str">
        <f t="shared" si="570"/>
        <v>III</v>
      </c>
      <c r="E938" s="162"/>
      <c r="F938" s="163"/>
      <c r="G938" s="163"/>
      <c r="H938" s="164"/>
      <c r="I938" s="164"/>
      <c r="J938" s="162"/>
      <c r="K938" s="165"/>
      <c r="L938" s="164"/>
      <c r="M938" s="164"/>
      <c r="N938" s="166"/>
      <c r="O938" s="167"/>
      <c r="P938" s="168"/>
      <c r="Q938" s="169"/>
      <c r="R938" s="170"/>
      <c r="S938" s="171"/>
      <c r="T938" s="203">
        <f t="shared" si="556"/>
        <v>43647</v>
      </c>
      <c r="U938" s="204">
        <f t="shared" si="557"/>
        <v>43677</v>
      </c>
      <c r="V938" s="207">
        <f t="shared" ref="V938:V943" si="578">IF(G938-F938+1-IF(G938-U938&gt;0,G938-U938,0)-IF(T938-F938&gt;0,T938-F938,0)&gt;0,G938-F938+1-IF(G938-U938&gt;0,G938-U938,0)-IF(T938-F938&gt;0,T938-F938,0),0)</f>
        <v>0</v>
      </c>
      <c r="W938" s="206" t="str">
        <f t="shared" si="575"/>
        <v/>
      </c>
      <c r="X938" s="206">
        <f t="shared" si="576"/>
        <v>0</v>
      </c>
      <c r="Y938" s="209">
        <f t="shared" si="577"/>
        <v>0</v>
      </c>
    </row>
    <row r="939" spans="2:25" ht="16.5" hidden="1" thickTop="1" thickBot="1" x14ac:dyDescent="0.3">
      <c r="B939" s="60">
        <f>B937</f>
        <v>39</v>
      </c>
      <c r="C939" s="102">
        <v>269</v>
      </c>
      <c r="D939" s="192" t="str">
        <f t="shared" si="570"/>
        <v>III</v>
      </c>
      <c r="E939" s="162"/>
      <c r="F939" s="163"/>
      <c r="G939" s="163"/>
      <c r="H939" s="164"/>
      <c r="I939" s="164"/>
      <c r="J939" s="162"/>
      <c r="K939" s="165"/>
      <c r="L939" s="164"/>
      <c r="M939" s="164"/>
      <c r="N939" s="166"/>
      <c r="O939" s="167"/>
      <c r="P939" s="168"/>
      <c r="Q939" s="169"/>
      <c r="R939" s="170"/>
      <c r="S939" s="171"/>
      <c r="T939" s="203">
        <f t="shared" si="556"/>
        <v>43647</v>
      </c>
      <c r="U939" s="204">
        <f t="shared" si="557"/>
        <v>43677</v>
      </c>
      <c r="V939" s="207">
        <f t="shared" si="578"/>
        <v>0</v>
      </c>
      <c r="W939" s="206" t="str">
        <f t="shared" si="575"/>
        <v/>
      </c>
      <c r="X939" s="206">
        <f t="shared" si="576"/>
        <v>0</v>
      </c>
      <c r="Y939" s="209">
        <f t="shared" si="577"/>
        <v>0</v>
      </c>
    </row>
    <row r="940" spans="2:25" ht="16.5" hidden="1" thickTop="1" thickBot="1" x14ac:dyDescent="0.3">
      <c r="B940" s="60">
        <f>B937</f>
        <v>39</v>
      </c>
      <c r="C940" s="102">
        <v>270</v>
      </c>
      <c r="D940" s="192" t="str">
        <f t="shared" si="570"/>
        <v>III</v>
      </c>
      <c r="E940" s="162"/>
      <c r="F940" s="163"/>
      <c r="G940" s="163"/>
      <c r="H940" s="164"/>
      <c r="I940" s="164"/>
      <c r="J940" s="162"/>
      <c r="K940" s="165"/>
      <c r="L940" s="164"/>
      <c r="M940" s="164"/>
      <c r="N940" s="166"/>
      <c r="O940" s="167"/>
      <c r="P940" s="168"/>
      <c r="Q940" s="169"/>
      <c r="R940" s="170"/>
      <c r="S940" s="171"/>
      <c r="T940" s="203">
        <f t="shared" si="556"/>
        <v>43647</v>
      </c>
      <c r="U940" s="204">
        <f t="shared" si="557"/>
        <v>43677</v>
      </c>
      <c r="V940" s="207">
        <f t="shared" si="578"/>
        <v>0</v>
      </c>
      <c r="W940" s="206" t="str">
        <f t="shared" si="575"/>
        <v/>
      </c>
      <c r="X940" s="206">
        <f t="shared" si="576"/>
        <v>0</v>
      </c>
      <c r="Y940" s="209">
        <f t="shared" si="577"/>
        <v>0</v>
      </c>
    </row>
    <row r="941" spans="2:25" ht="16.5" hidden="1" thickTop="1" thickBot="1" x14ac:dyDescent="0.3">
      <c r="B941" s="60">
        <f>B937</f>
        <v>39</v>
      </c>
      <c r="C941" s="102">
        <v>271</v>
      </c>
      <c r="D941" s="192" t="str">
        <f t="shared" si="570"/>
        <v>III</v>
      </c>
      <c r="E941" s="162"/>
      <c r="F941" s="163"/>
      <c r="G941" s="163"/>
      <c r="H941" s="164"/>
      <c r="I941" s="164"/>
      <c r="J941" s="162"/>
      <c r="K941" s="165"/>
      <c r="L941" s="164"/>
      <c r="M941" s="164"/>
      <c r="N941" s="166"/>
      <c r="O941" s="167"/>
      <c r="P941" s="168"/>
      <c r="Q941" s="169"/>
      <c r="R941" s="170"/>
      <c r="S941" s="171"/>
      <c r="T941" s="203">
        <f t="shared" si="556"/>
        <v>43647</v>
      </c>
      <c r="U941" s="204">
        <f t="shared" si="557"/>
        <v>43677</v>
      </c>
      <c r="V941" s="207">
        <f t="shared" si="578"/>
        <v>0</v>
      </c>
      <c r="W941" s="206" t="str">
        <f t="shared" si="575"/>
        <v/>
      </c>
      <c r="X941" s="206">
        <f t="shared" si="576"/>
        <v>0</v>
      </c>
      <c r="Y941" s="209">
        <f t="shared" si="577"/>
        <v>0</v>
      </c>
    </row>
    <row r="942" spans="2:25" ht="16.5" hidden="1" thickTop="1" thickBot="1" x14ac:dyDescent="0.3">
      <c r="B942" s="60">
        <f>B937</f>
        <v>39</v>
      </c>
      <c r="C942" s="102">
        <v>272</v>
      </c>
      <c r="D942" s="192" t="str">
        <f t="shared" si="570"/>
        <v>III</v>
      </c>
      <c r="E942" s="172"/>
      <c r="F942" s="173"/>
      <c r="G942" s="173"/>
      <c r="H942" s="174"/>
      <c r="I942" s="174"/>
      <c r="J942" s="172"/>
      <c r="K942" s="175"/>
      <c r="L942" s="174"/>
      <c r="M942" s="174"/>
      <c r="N942" s="176"/>
      <c r="O942" s="177"/>
      <c r="P942" s="178"/>
      <c r="Q942" s="179"/>
      <c r="R942" s="180"/>
      <c r="S942" s="181"/>
      <c r="T942" s="203">
        <f t="shared" si="556"/>
        <v>43647</v>
      </c>
      <c r="U942" s="204">
        <f t="shared" si="557"/>
        <v>43677</v>
      </c>
      <c r="V942" s="207">
        <f t="shared" si="578"/>
        <v>0</v>
      </c>
      <c r="W942" s="206" t="str">
        <f t="shared" si="575"/>
        <v/>
      </c>
      <c r="X942" s="206">
        <f t="shared" si="576"/>
        <v>0</v>
      </c>
      <c r="Y942" s="209">
        <f t="shared" si="577"/>
        <v>0</v>
      </c>
    </row>
    <row r="943" spans="2:25" ht="16.5" hidden="1" thickTop="1" thickBot="1" x14ac:dyDescent="0.3">
      <c r="B943" s="141">
        <f>B937</f>
        <v>39</v>
      </c>
      <c r="C943" s="142">
        <v>273</v>
      </c>
      <c r="D943" s="194" t="str">
        <f t="shared" si="570"/>
        <v>III</v>
      </c>
      <c r="E943" s="189"/>
      <c r="F943" s="190"/>
      <c r="G943" s="190"/>
      <c r="H943" s="182"/>
      <c r="I943" s="182"/>
      <c r="J943" s="436" t="s">
        <v>181</v>
      </c>
      <c r="K943" s="437"/>
      <c r="L943" s="438"/>
      <c r="M943" s="182"/>
      <c r="N943" s="183"/>
      <c r="O943" s="184"/>
      <c r="P943" s="185"/>
      <c r="Q943" s="186"/>
      <c r="R943" s="187"/>
      <c r="S943" s="188"/>
      <c r="T943" s="213">
        <f t="shared" si="556"/>
        <v>43647</v>
      </c>
      <c r="U943" s="214">
        <f t="shared" si="557"/>
        <v>43677</v>
      </c>
      <c r="V943" s="210">
        <f t="shared" si="578"/>
        <v>0</v>
      </c>
      <c r="W943" s="211"/>
      <c r="X943" s="211">
        <f>IF(AND($V943&gt;0,$I943=1),IF($E943=10,P943/10,P943/$V943),0)</f>
        <v>0</v>
      </c>
      <c r="Y943" s="212">
        <f>IF(AND($V937&gt;0,$I943&lt;&gt;1),Q943/E937*V937,0)</f>
        <v>0</v>
      </c>
    </row>
    <row r="944" spans="2:25" ht="16.5" hidden="1" thickTop="1" thickBot="1" x14ac:dyDescent="0.3">
      <c r="B944" s="129">
        <f>B942+1</f>
        <v>40</v>
      </c>
      <c r="C944" s="130">
        <v>274</v>
      </c>
      <c r="D944" s="196" t="str">
        <f t="shared" si="570"/>
        <v>III</v>
      </c>
      <c r="E944" s="131"/>
      <c r="F944" s="132"/>
      <c r="G944" s="132"/>
      <c r="H944" s="133"/>
      <c r="I944" s="133"/>
      <c r="J944" s="131"/>
      <c r="K944" s="134"/>
      <c r="L944" s="133"/>
      <c r="M944" s="133"/>
      <c r="N944" s="135"/>
      <c r="O944" s="136"/>
      <c r="P944" s="137"/>
      <c r="Q944" s="138"/>
      <c r="R944" s="139"/>
      <c r="S944" s="140"/>
      <c r="T944" s="203">
        <f t="shared" si="556"/>
        <v>43647</v>
      </c>
      <c r="U944" s="204">
        <f t="shared" si="557"/>
        <v>43677</v>
      </c>
      <c r="V944" s="207">
        <f>IF(G944-F944+1-IF(G944-U944&gt;0,G944-U944,0)-IF(T944-F944&gt;0,T944-F944,0)&gt;0,G944-F944+1-IF(G944-U944&gt;0,G944-U944,0)-IF(T944-F944&gt;0,T944-F944,0),0)</f>
        <v>0</v>
      </c>
      <c r="W944" s="206" t="str">
        <f t="shared" ref="W944:W949" si="579">IF(V944&gt;0,H944,"")</f>
        <v/>
      </c>
      <c r="X944" s="206">
        <f t="shared" ref="X944:X949" si="580">IF(AND($V944&gt;0,$I944=1),P944/$E944*$V944,0)</f>
        <v>0</v>
      </c>
      <c r="Y944" s="209">
        <f t="shared" ref="Y944:Y949" si="581">IF(AND($V944&gt;0,$I944&lt;&gt;1),Q944/$E944*$V944,0)</f>
        <v>0</v>
      </c>
    </row>
    <row r="945" spans="2:25" ht="16.5" hidden="1" thickTop="1" thickBot="1" x14ac:dyDescent="0.3">
      <c r="B945" s="60">
        <f>B944</f>
        <v>40</v>
      </c>
      <c r="C945" s="102">
        <v>275</v>
      </c>
      <c r="D945" s="192" t="str">
        <f t="shared" si="570"/>
        <v>III</v>
      </c>
      <c r="E945" s="62"/>
      <c r="F945" s="105"/>
      <c r="G945" s="105"/>
      <c r="H945" s="61"/>
      <c r="I945" s="61"/>
      <c r="J945" s="62"/>
      <c r="K945" s="63"/>
      <c r="L945" s="61"/>
      <c r="M945" s="61"/>
      <c r="N945" s="111"/>
      <c r="O945" s="112"/>
      <c r="P945" s="113"/>
      <c r="Q945" s="114"/>
      <c r="R945" s="64"/>
      <c r="S945" s="108"/>
      <c r="T945" s="203">
        <f t="shared" si="556"/>
        <v>43647</v>
      </c>
      <c r="U945" s="204">
        <f t="shared" si="557"/>
        <v>43677</v>
      </c>
      <c r="V945" s="207">
        <f t="shared" ref="V945:V950" si="582">IF(G945-F945+1-IF(G945-U945&gt;0,G945-U945,0)-IF(T945-F945&gt;0,T945-F945,0)&gt;0,G945-F945+1-IF(G945-U945&gt;0,G945-U945,0)-IF(T945-F945&gt;0,T945-F945,0),0)</f>
        <v>0</v>
      </c>
      <c r="W945" s="206" t="str">
        <f t="shared" si="579"/>
        <v/>
      </c>
      <c r="X945" s="206">
        <f t="shared" si="580"/>
        <v>0</v>
      </c>
      <c r="Y945" s="209">
        <f t="shared" si="581"/>
        <v>0</v>
      </c>
    </row>
    <row r="946" spans="2:25" ht="16.5" hidden="1" thickTop="1" thickBot="1" x14ac:dyDescent="0.3">
      <c r="B946" s="60">
        <f>B944</f>
        <v>40</v>
      </c>
      <c r="C946" s="102">
        <v>276</v>
      </c>
      <c r="D946" s="192" t="str">
        <f t="shared" si="570"/>
        <v>III</v>
      </c>
      <c r="E946" s="62"/>
      <c r="F946" s="105"/>
      <c r="G946" s="105"/>
      <c r="H946" s="61"/>
      <c r="I946" s="61"/>
      <c r="J946" s="62"/>
      <c r="K946" s="63"/>
      <c r="L946" s="61"/>
      <c r="M946" s="61"/>
      <c r="N946" s="111"/>
      <c r="O946" s="112"/>
      <c r="P946" s="113"/>
      <c r="Q946" s="114"/>
      <c r="R946" s="64"/>
      <c r="S946" s="108"/>
      <c r="T946" s="203">
        <f t="shared" si="556"/>
        <v>43647</v>
      </c>
      <c r="U946" s="204">
        <f t="shared" si="557"/>
        <v>43677</v>
      </c>
      <c r="V946" s="207">
        <f t="shared" si="582"/>
        <v>0</v>
      </c>
      <c r="W946" s="206" t="str">
        <f t="shared" si="579"/>
        <v/>
      </c>
      <c r="X946" s="206">
        <f t="shared" si="580"/>
        <v>0</v>
      </c>
      <c r="Y946" s="209">
        <f t="shared" si="581"/>
        <v>0</v>
      </c>
    </row>
    <row r="947" spans="2:25" ht="16.5" hidden="1" thickTop="1" thickBot="1" x14ac:dyDescent="0.3">
      <c r="B947" s="60">
        <f>B944</f>
        <v>40</v>
      </c>
      <c r="C947" s="102">
        <v>277</v>
      </c>
      <c r="D947" s="192" t="str">
        <f t="shared" si="570"/>
        <v>III</v>
      </c>
      <c r="E947" s="62"/>
      <c r="F947" s="105"/>
      <c r="G947" s="105"/>
      <c r="H947" s="61"/>
      <c r="I947" s="61"/>
      <c r="J947" s="62"/>
      <c r="K947" s="63"/>
      <c r="L947" s="61"/>
      <c r="M947" s="61"/>
      <c r="N947" s="111"/>
      <c r="O947" s="112"/>
      <c r="P947" s="113"/>
      <c r="Q947" s="114"/>
      <c r="R947" s="64"/>
      <c r="S947" s="108"/>
      <c r="T947" s="203">
        <f t="shared" si="556"/>
        <v>43647</v>
      </c>
      <c r="U947" s="204">
        <f t="shared" si="557"/>
        <v>43677</v>
      </c>
      <c r="V947" s="207">
        <f t="shared" si="582"/>
        <v>0</v>
      </c>
      <c r="W947" s="206" t="str">
        <f t="shared" si="579"/>
        <v/>
      </c>
      <c r="X947" s="206">
        <f t="shared" si="580"/>
        <v>0</v>
      </c>
      <c r="Y947" s="209">
        <f t="shared" si="581"/>
        <v>0</v>
      </c>
    </row>
    <row r="948" spans="2:25" ht="16.5" hidden="1" thickTop="1" thickBot="1" x14ac:dyDescent="0.3">
      <c r="B948" s="60">
        <f>B944</f>
        <v>40</v>
      </c>
      <c r="C948" s="102">
        <v>278</v>
      </c>
      <c r="D948" s="192" t="str">
        <f t="shared" si="570"/>
        <v>III</v>
      </c>
      <c r="E948" s="62"/>
      <c r="F948" s="105"/>
      <c r="G948" s="105"/>
      <c r="H948" s="61"/>
      <c r="I948" s="61"/>
      <c r="J948" s="62"/>
      <c r="K948" s="63"/>
      <c r="L948" s="61"/>
      <c r="M948" s="61"/>
      <c r="N948" s="111"/>
      <c r="O948" s="112"/>
      <c r="P948" s="113"/>
      <c r="Q948" s="114"/>
      <c r="R948" s="64"/>
      <c r="S948" s="108"/>
      <c r="T948" s="203">
        <f t="shared" si="556"/>
        <v>43647</v>
      </c>
      <c r="U948" s="204">
        <f t="shared" si="557"/>
        <v>43677</v>
      </c>
      <c r="V948" s="207">
        <f t="shared" si="582"/>
        <v>0</v>
      </c>
      <c r="W948" s="206" t="str">
        <f t="shared" si="579"/>
        <v/>
      </c>
      <c r="X948" s="206">
        <f t="shared" si="580"/>
        <v>0</v>
      </c>
      <c r="Y948" s="209">
        <f t="shared" si="581"/>
        <v>0</v>
      </c>
    </row>
    <row r="949" spans="2:25" ht="16.5" hidden="1" thickTop="1" thickBot="1" x14ac:dyDescent="0.3">
      <c r="B949" s="60">
        <f>B944</f>
        <v>40</v>
      </c>
      <c r="C949" s="102">
        <v>279</v>
      </c>
      <c r="D949" s="192" t="str">
        <f t="shared" si="570"/>
        <v>III</v>
      </c>
      <c r="E949" s="62"/>
      <c r="F949" s="105"/>
      <c r="G949" s="105"/>
      <c r="H949" s="61"/>
      <c r="I949" s="61"/>
      <c r="J949" s="62"/>
      <c r="K949" s="63"/>
      <c r="L949" s="61"/>
      <c r="M949" s="61"/>
      <c r="N949" s="111"/>
      <c r="O949" s="112"/>
      <c r="P949" s="113"/>
      <c r="Q949" s="114"/>
      <c r="R949" s="64"/>
      <c r="S949" s="108"/>
      <c r="T949" s="203">
        <f t="shared" si="556"/>
        <v>43647</v>
      </c>
      <c r="U949" s="204">
        <f t="shared" si="557"/>
        <v>43677</v>
      </c>
      <c r="V949" s="207">
        <f t="shared" si="582"/>
        <v>0</v>
      </c>
      <c r="W949" s="206" t="str">
        <f t="shared" si="579"/>
        <v/>
      </c>
      <c r="X949" s="206">
        <f t="shared" si="580"/>
        <v>0</v>
      </c>
      <c r="Y949" s="209">
        <f t="shared" si="581"/>
        <v>0</v>
      </c>
    </row>
    <row r="950" spans="2:25" ht="16.5" hidden="1" thickTop="1" thickBot="1" x14ac:dyDescent="0.3">
      <c r="B950" s="141">
        <f>B944</f>
        <v>40</v>
      </c>
      <c r="C950" s="142">
        <v>280</v>
      </c>
      <c r="D950" s="194" t="str">
        <f t="shared" si="570"/>
        <v>III</v>
      </c>
      <c r="E950" s="143"/>
      <c r="F950" s="144"/>
      <c r="G950" s="144"/>
      <c r="H950" s="145"/>
      <c r="I950" s="145"/>
      <c r="J950" s="436" t="s">
        <v>181</v>
      </c>
      <c r="K950" s="437"/>
      <c r="L950" s="438"/>
      <c r="M950" s="145"/>
      <c r="N950" s="146"/>
      <c r="O950" s="147"/>
      <c r="P950" s="148"/>
      <c r="Q950" s="149"/>
      <c r="R950" s="150"/>
      <c r="S950" s="151"/>
      <c r="T950" s="213">
        <f t="shared" si="556"/>
        <v>43647</v>
      </c>
      <c r="U950" s="214">
        <f t="shared" si="557"/>
        <v>43677</v>
      </c>
      <c r="V950" s="210">
        <f t="shared" si="582"/>
        <v>0</v>
      </c>
      <c r="W950" s="211"/>
      <c r="X950" s="211">
        <f>IF(AND($V950&gt;0,$I950=1),IF($E950=10,P950/10,P950/$V950),0)</f>
        <v>0</v>
      </c>
      <c r="Y950" s="212">
        <f>IF(AND($V944&gt;0,$I950&lt;&gt;1),Q950/E944*V944,0)</f>
        <v>0</v>
      </c>
    </row>
    <row r="951" spans="2:25" ht="16.5" hidden="1" thickTop="1" thickBot="1" x14ac:dyDescent="0.3">
      <c r="B951" s="129">
        <f>B949+1</f>
        <v>41</v>
      </c>
      <c r="C951" s="130">
        <v>281</v>
      </c>
      <c r="D951" s="196" t="str">
        <f t="shared" si="570"/>
        <v>III</v>
      </c>
      <c r="E951" s="152"/>
      <c r="F951" s="153"/>
      <c r="G951" s="153"/>
      <c r="H951" s="154"/>
      <c r="I951" s="154"/>
      <c r="J951" s="152"/>
      <c r="K951" s="155"/>
      <c r="L951" s="154"/>
      <c r="M951" s="154"/>
      <c r="N951" s="156"/>
      <c r="O951" s="157"/>
      <c r="P951" s="158"/>
      <c r="Q951" s="159"/>
      <c r="R951" s="160"/>
      <c r="S951" s="161"/>
      <c r="T951" s="203">
        <f t="shared" si="556"/>
        <v>43647</v>
      </c>
      <c r="U951" s="204">
        <f t="shared" si="557"/>
        <v>43677</v>
      </c>
      <c r="V951" s="207">
        <f>IF(G951-F951+1-IF(G951-U951&gt;0,G951-U951,0)-IF(T951-F951&gt;0,T951-F951,0)&gt;0,G951-F951+1-IF(G951-U951&gt;0,G951-U951,0)-IF(T951-F951&gt;0,T951-F951,0),0)</f>
        <v>0</v>
      </c>
      <c r="W951" s="206" t="str">
        <f t="shared" ref="W951:W956" si="583">IF(V951&gt;0,H951,"")</f>
        <v/>
      </c>
      <c r="X951" s="206">
        <f t="shared" ref="X951:X956" si="584">IF(AND($V951&gt;0,$I951=1),P951/$E951*$V951,0)</f>
        <v>0</v>
      </c>
      <c r="Y951" s="209">
        <f t="shared" ref="Y951:Y956" si="585">IF(AND($V951&gt;0,$I951&lt;&gt;1),Q951/$E951*$V951,0)</f>
        <v>0</v>
      </c>
    </row>
    <row r="952" spans="2:25" ht="16.5" hidden="1" thickTop="1" thickBot="1" x14ac:dyDescent="0.3">
      <c r="B952" s="60">
        <f>B951</f>
        <v>41</v>
      </c>
      <c r="C952" s="102">
        <v>282</v>
      </c>
      <c r="D952" s="192" t="str">
        <f t="shared" si="570"/>
        <v>III</v>
      </c>
      <c r="E952" s="162"/>
      <c r="F952" s="163"/>
      <c r="G952" s="163"/>
      <c r="H952" s="164"/>
      <c r="I952" s="164"/>
      <c r="J952" s="162"/>
      <c r="K952" s="165"/>
      <c r="L952" s="164"/>
      <c r="M952" s="164"/>
      <c r="N952" s="166"/>
      <c r="O952" s="167"/>
      <c r="P952" s="168"/>
      <c r="Q952" s="169"/>
      <c r="R952" s="170"/>
      <c r="S952" s="171"/>
      <c r="T952" s="203">
        <f t="shared" si="556"/>
        <v>43647</v>
      </c>
      <c r="U952" s="204">
        <f t="shared" si="557"/>
        <v>43677</v>
      </c>
      <c r="V952" s="207">
        <f t="shared" ref="V952:V957" si="586">IF(G952-F952+1-IF(G952-U952&gt;0,G952-U952,0)-IF(T952-F952&gt;0,T952-F952,0)&gt;0,G952-F952+1-IF(G952-U952&gt;0,G952-U952,0)-IF(T952-F952&gt;0,T952-F952,0),0)</f>
        <v>0</v>
      </c>
      <c r="W952" s="206" t="str">
        <f t="shared" si="583"/>
        <v/>
      </c>
      <c r="X952" s="206">
        <f t="shared" si="584"/>
        <v>0</v>
      </c>
      <c r="Y952" s="209">
        <f t="shared" si="585"/>
        <v>0</v>
      </c>
    </row>
    <row r="953" spans="2:25" ht="16.5" hidden="1" thickTop="1" thickBot="1" x14ac:dyDescent="0.3">
      <c r="B953" s="60">
        <f>B951</f>
        <v>41</v>
      </c>
      <c r="C953" s="102">
        <v>283</v>
      </c>
      <c r="D953" s="192" t="str">
        <f t="shared" si="570"/>
        <v>III</v>
      </c>
      <c r="E953" s="162"/>
      <c r="F953" s="163"/>
      <c r="G953" s="163"/>
      <c r="H953" s="164"/>
      <c r="I953" s="164"/>
      <c r="J953" s="162"/>
      <c r="K953" s="165"/>
      <c r="L953" s="164"/>
      <c r="M953" s="164"/>
      <c r="N953" s="166"/>
      <c r="O953" s="167"/>
      <c r="P953" s="168"/>
      <c r="Q953" s="169"/>
      <c r="R953" s="170"/>
      <c r="S953" s="171"/>
      <c r="T953" s="203">
        <f t="shared" si="556"/>
        <v>43647</v>
      </c>
      <c r="U953" s="204">
        <f t="shared" si="557"/>
        <v>43677</v>
      </c>
      <c r="V953" s="207">
        <f t="shared" si="586"/>
        <v>0</v>
      </c>
      <c r="W953" s="206" t="str">
        <f t="shared" si="583"/>
        <v/>
      </c>
      <c r="X953" s="206">
        <f t="shared" si="584"/>
        <v>0</v>
      </c>
      <c r="Y953" s="209">
        <f t="shared" si="585"/>
        <v>0</v>
      </c>
    </row>
    <row r="954" spans="2:25" ht="16.5" hidden="1" thickTop="1" thickBot="1" x14ac:dyDescent="0.3">
      <c r="B954" s="60">
        <f>B951</f>
        <v>41</v>
      </c>
      <c r="C954" s="102">
        <v>284</v>
      </c>
      <c r="D954" s="192" t="str">
        <f t="shared" si="570"/>
        <v>III</v>
      </c>
      <c r="E954" s="162"/>
      <c r="F954" s="163"/>
      <c r="G954" s="163"/>
      <c r="H954" s="164"/>
      <c r="I954" s="164"/>
      <c r="J954" s="162"/>
      <c r="K954" s="165"/>
      <c r="L954" s="164"/>
      <c r="M954" s="164"/>
      <c r="N954" s="166"/>
      <c r="O954" s="167"/>
      <c r="P954" s="168"/>
      <c r="Q954" s="169"/>
      <c r="R954" s="170"/>
      <c r="S954" s="171"/>
      <c r="T954" s="203">
        <f t="shared" si="556"/>
        <v>43647</v>
      </c>
      <c r="U954" s="204">
        <f t="shared" si="557"/>
        <v>43677</v>
      </c>
      <c r="V954" s="207">
        <f t="shared" si="586"/>
        <v>0</v>
      </c>
      <c r="W954" s="206" t="str">
        <f t="shared" si="583"/>
        <v/>
      </c>
      <c r="X954" s="206">
        <f t="shared" si="584"/>
        <v>0</v>
      </c>
      <c r="Y954" s="209">
        <f t="shared" si="585"/>
        <v>0</v>
      </c>
    </row>
    <row r="955" spans="2:25" ht="16.5" hidden="1" thickTop="1" thickBot="1" x14ac:dyDescent="0.3">
      <c r="B955" s="60">
        <f>B951</f>
        <v>41</v>
      </c>
      <c r="C955" s="102">
        <v>285</v>
      </c>
      <c r="D955" s="192" t="str">
        <f t="shared" si="570"/>
        <v>III</v>
      </c>
      <c r="E955" s="162"/>
      <c r="F955" s="163"/>
      <c r="G955" s="163"/>
      <c r="H955" s="164"/>
      <c r="I955" s="164"/>
      <c r="J955" s="162"/>
      <c r="K955" s="165"/>
      <c r="L955" s="164"/>
      <c r="M955" s="164"/>
      <c r="N955" s="166"/>
      <c r="O955" s="167"/>
      <c r="P955" s="168"/>
      <c r="Q955" s="169"/>
      <c r="R955" s="170"/>
      <c r="S955" s="171"/>
      <c r="T955" s="203">
        <f t="shared" si="556"/>
        <v>43647</v>
      </c>
      <c r="U955" s="204">
        <f t="shared" si="557"/>
        <v>43677</v>
      </c>
      <c r="V955" s="207">
        <f t="shared" si="586"/>
        <v>0</v>
      </c>
      <c r="W955" s="206" t="str">
        <f t="shared" si="583"/>
        <v/>
      </c>
      <c r="X955" s="206">
        <f t="shared" si="584"/>
        <v>0</v>
      </c>
      <c r="Y955" s="209">
        <f t="shared" si="585"/>
        <v>0</v>
      </c>
    </row>
    <row r="956" spans="2:25" ht="16.5" hidden="1" thickTop="1" thickBot="1" x14ac:dyDescent="0.3">
      <c r="B956" s="60">
        <f>B951</f>
        <v>41</v>
      </c>
      <c r="C956" s="102">
        <v>286</v>
      </c>
      <c r="D956" s="192" t="str">
        <f t="shared" si="570"/>
        <v>III</v>
      </c>
      <c r="E956" s="172"/>
      <c r="F956" s="173"/>
      <c r="G956" s="173"/>
      <c r="H956" s="174"/>
      <c r="I956" s="174"/>
      <c r="J956" s="172"/>
      <c r="K956" s="175"/>
      <c r="L956" s="174"/>
      <c r="M956" s="174"/>
      <c r="N956" s="176"/>
      <c r="O956" s="177"/>
      <c r="P956" s="178"/>
      <c r="Q956" s="179"/>
      <c r="R956" s="180"/>
      <c r="S956" s="181"/>
      <c r="T956" s="203">
        <f t="shared" si="556"/>
        <v>43647</v>
      </c>
      <c r="U956" s="204">
        <f t="shared" si="557"/>
        <v>43677</v>
      </c>
      <c r="V956" s="207">
        <f t="shared" si="586"/>
        <v>0</v>
      </c>
      <c r="W956" s="206" t="str">
        <f t="shared" si="583"/>
        <v/>
      </c>
      <c r="X956" s="206">
        <f t="shared" si="584"/>
        <v>0</v>
      </c>
      <c r="Y956" s="209">
        <f t="shared" si="585"/>
        <v>0</v>
      </c>
    </row>
    <row r="957" spans="2:25" ht="16.5" hidden="1" thickTop="1" thickBot="1" x14ac:dyDescent="0.3">
      <c r="B957" s="141">
        <f>B951</f>
        <v>41</v>
      </c>
      <c r="C957" s="142">
        <v>287</v>
      </c>
      <c r="D957" s="194" t="str">
        <f t="shared" si="570"/>
        <v>III</v>
      </c>
      <c r="E957" s="189"/>
      <c r="F957" s="190"/>
      <c r="G957" s="190"/>
      <c r="H957" s="182"/>
      <c r="I957" s="182"/>
      <c r="J957" s="436" t="s">
        <v>181</v>
      </c>
      <c r="K957" s="437"/>
      <c r="L957" s="438"/>
      <c r="M957" s="182"/>
      <c r="N957" s="183"/>
      <c r="O957" s="184"/>
      <c r="P957" s="185"/>
      <c r="Q957" s="186"/>
      <c r="R957" s="187"/>
      <c r="S957" s="188"/>
      <c r="T957" s="213">
        <f t="shared" si="556"/>
        <v>43647</v>
      </c>
      <c r="U957" s="214">
        <f t="shared" si="557"/>
        <v>43677</v>
      </c>
      <c r="V957" s="210">
        <f t="shared" si="586"/>
        <v>0</v>
      </c>
      <c r="W957" s="211"/>
      <c r="X957" s="211">
        <f>IF(AND($V957&gt;0,$I957=1),IF($E957=10,P957/10,P957/$V957),0)</f>
        <v>0</v>
      </c>
      <c r="Y957" s="212">
        <f>IF(AND($V951&gt;0,$I957&lt;&gt;1),Q957/E951*V951,0)</f>
        <v>0</v>
      </c>
    </row>
    <row r="958" spans="2:25" ht="30.75" thickTop="1" x14ac:dyDescent="0.25">
      <c r="B958" s="129">
        <f>B956+1</f>
        <v>42</v>
      </c>
      <c r="C958" s="130">
        <v>288</v>
      </c>
      <c r="D958" s="196" t="str">
        <f t="shared" si="570"/>
        <v>III</v>
      </c>
      <c r="E958" s="131">
        <v>5</v>
      </c>
      <c r="F958" s="132">
        <v>43653</v>
      </c>
      <c r="G958" s="132">
        <v>43657</v>
      </c>
      <c r="H958" s="133" t="s">
        <v>294</v>
      </c>
      <c r="I958" s="133">
        <v>1</v>
      </c>
      <c r="J958" s="131" t="s">
        <v>168</v>
      </c>
      <c r="K958" s="134" t="s">
        <v>61</v>
      </c>
      <c r="L958" s="133">
        <v>1.5</v>
      </c>
      <c r="M958" s="133">
        <v>10</v>
      </c>
      <c r="N958" s="135">
        <v>16.5</v>
      </c>
      <c r="O958" s="136">
        <v>82.5</v>
      </c>
      <c r="P958" s="137">
        <v>82.5</v>
      </c>
      <c r="Q958" s="138"/>
      <c r="R958" s="139"/>
      <c r="S958" s="140"/>
      <c r="T958" s="203">
        <f t="shared" si="556"/>
        <v>43647</v>
      </c>
      <c r="U958" s="204">
        <f t="shared" si="557"/>
        <v>43677</v>
      </c>
      <c r="V958" s="207">
        <f>IF(G958-F958+1-IF(G958-U958&gt;0,G958-U958,0)-IF(T958-F958&gt;0,T958-F958,0)&gt;0,G958-F958+1-IF(G958-U958&gt;0,G958-U958,0)-IF(T958-F958&gt;0,T958-F958,0),0)</f>
        <v>5</v>
      </c>
      <c r="W958" s="206" t="str">
        <f t="shared" ref="W958:W963" si="587">IF(V958&gt;0,H958,"")</f>
        <v>Даниела Йорданова</v>
      </c>
      <c r="X958" s="206">
        <f t="shared" ref="X958:X963" si="588">IF(AND($V958&gt;0,$I958=1),P958/$E958*$V958,0)</f>
        <v>82.5</v>
      </c>
      <c r="Y958" s="209">
        <f t="shared" ref="Y958:Y963" si="589">IF(AND($V958&gt;0,$I958&lt;&gt;1),Q958/$E958*$V958,0)</f>
        <v>0</v>
      </c>
    </row>
    <row r="959" spans="2:25" hidden="1" x14ac:dyDescent="0.25">
      <c r="B959" s="60">
        <f>B958</f>
        <v>42</v>
      </c>
      <c r="C959" s="102">
        <v>289</v>
      </c>
      <c r="D959" s="192" t="str">
        <f t="shared" si="570"/>
        <v>III</v>
      </c>
      <c r="E959" s="62"/>
      <c r="F959" s="105"/>
      <c r="G959" s="105"/>
      <c r="H959" s="61"/>
      <c r="I959" s="61"/>
      <c r="J959" s="62"/>
      <c r="K959" s="63"/>
      <c r="L959" s="61"/>
      <c r="M959" s="61"/>
      <c r="N959" s="111"/>
      <c r="O959" s="112"/>
      <c r="P959" s="113"/>
      <c r="Q959" s="114"/>
      <c r="R959" s="64"/>
      <c r="S959" s="108"/>
      <c r="T959" s="203">
        <f t="shared" si="556"/>
        <v>43647</v>
      </c>
      <c r="U959" s="204">
        <f t="shared" si="557"/>
        <v>43677</v>
      </c>
      <c r="V959" s="207">
        <f t="shared" ref="V959:V964" si="590">IF(G959-F959+1-IF(G959-U959&gt;0,G959-U959,0)-IF(T959-F959&gt;0,T959-F959,0)&gt;0,G959-F959+1-IF(G959-U959&gt;0,G959-U959,0)-IF(T959-F959&gt;0,T959-F959,0),0)</f>
        <v>0</v>
      </c>
      <c r="W959" s="206" t="str">
        <f t="shared" si="587"/>
        <v/>
      </c>
      <c r="X959" s="206">
        <f t="shared" si="588"/>
        <v>0</v>
      </c>
      <c r="Y959" s="209">
        <f t="shared" si="589"/>
        <v>0</v>
      </c>
    </row>
    <row r="960" spans="2:25" hidden="1" x14ac:dyDescent="0.25">
      <c r="B960" s="60">
        <f>B958</f>
        <v>42</v>
      </c>
      <c r="C960" s="102">
        <v>290</v>
      </c>
      <c r="D960" s="192" t="str">
        <f t="shared" si="570"/>
        <v>III</v>
      </c>
      <c r="E960" s="62"/>
      <c r="F960" s="105"/>
      <c r="G960" s="105"/>
      <c r="H960" s="61"/>
      <c r="I960" s="61"/>
      <c r="J960" s="62"/>
      <c r="K960" s="63"/>
      <c r="L960" s="61"/>
      <c r="M960" s="61"/>
      <c r="N960" s="111"/>
      <c r="O960" s="112"/>
      <c r="P960" s="113"/>
      <c r="Q960" s="114"/>
      <c r="R960" s="64"/>
      <c r="S960" s="108"/>
      <c r="T960" s="203">
        <f t="shared" si="556"/>
        <v>43647</v>
      </c>
      <c r="U960" s="204">
        <f t="shared" si="557"/>
        <v>43677</v>
      </c>
      <c r="V960" s="207">
        <f t="shared" si="590"/>
        <v>0</v>
      </c>
      <c r="W960" s="206" t="str">
        <f t="shared" si="587"/>
        <v/>
      </c>
      <c r="X960" s="206">
        <f t="shared" si="588"/>
        <v>0</v>
      </c>
      <c r="Y960" s="209">
        <f t="shared" si="589"/>
        <v>0</v>
      </c>
    </row>
    <row r="961" spans="2:25" hidden="1" x14ac:dyDescent="0.25">
      <c r="B961" s="60">
        <f>B958</f>
        <v>42</v>
      </c>
      <c r="C961" s="102">
        <v>291</v>
      </c>
      <c r="D961" s="192" t="str">
        <f t="shared" si="570"/>
        <v>III</v>
      </c>
      <c r="E961" s="62"/>
      <c r="F961" s="105"/>
      <c r="G961" s="105"/>
      <c r="H961" s="61"/>
      <c r="I961" s="61"/>
      <c r="J961" s="62"/>
      <c r="K961" s="63"/>
      <c r="L961" s="61"/>
      <c r="M961" s="61"/>
      <c r="N961" s="111"/>
      <c r="O961" s="112"/>
      <c r="P961" s="113"/>
      <c r="Q961" s="114"/>
      <c r="R961" s="64"/>
      <c r="S961" s="108"/>
      <c r="T961" s="203">
        <f t="shared" si="556"/>
        <v>43647</v>
      </c>
      <c r="U961" s="204">
        <f t="shared" si="557"/>
        <v>43677</v>
      </c>
      <c r="V961" s="207">
        <f t="shared" si="590"/>
        <v>0</v>
      </c>
      <c r="W961" s="206" t="str">
        <f t="shared" si="587"/>
        <v/>
      </c>
      <c r="X961" s="206">
        <f t="shared" si="588"/>
        <v>0</v>
      </c>
      <c r="Y961" s="209">
        <f t="shared" si="589"/>
        <v>0</v>
      </c>
    </row>
    <row r="962" spans="2:25" hidden="1" x14ac:dyDescent="0.25">
      <c r="B962" s="60">
        <f>B958</f>
        <v>42</v>
      </c>
      <c r="C962" s="102">
        <v>292</v>
      </c>
      <c r="D962" s="192" t="str">
        <f t="shared" si="570"/>
        <v>III</v>
      </c>
      <c r="E962" s="62"/>
      <c r="F962" s="105"/>
      <c r="G962" s="105"/>
      <c r="H962" s="61"/>
      <c r="I962" s="61"/>
      <c r="J962" s="62"/>
      <c r="K962" s="63"/>
      <c r="L962" s="61"/>
      <c r="M962" s="61"/>
      <c r="N962" s="111"/>
      <c r="O962" s="112"/>
      <c r="P962" s="113"/>
      <c r="Q962" s="114"/>
      <c r="R962" s="64"/>
      <c r="S962" s="108"/>
      <c r="T962" s="203">
        <f t="shared" si="556"/>
        <v>43647</v>
      </c>
      <c r="U962" s="204">
        <f t="shared" si="557"/>
        <v>43677</v>
      </c>
      <c r="V962" s="207">
        <f t="shared" si="590"/>
        <v>0</v>
      </c>
      <c r="W962" s="206" t="str">
        <f t="shared" si="587"/>
        <v/>
      </c>
      <c r="X962" s="206">
        <f t="shared" si="588"/>
        <v>0</v>
      </c>
      <c r="Y962" s="209">
        <f t="shared" si="589"/>
        <v>0</v>
      </c>
    </row>
    <row r="963" spans="2:25" hidden="1" x14ac:dyDescent="0.25">
      <c r="B963" s="60">
        <f>B958</f>
        <v>42</v>
      </c>
      <c r="C963" s="102">
        <v>293</v>
      </c>
      <c r="D963" s="192" t="str">
        <f t="shared" si="570"/>
        <v>III</v>
      </c>
      <c r="E963" s="62"/>
      <c r="F963" s="105"/>
      <c r="G963" s="105"/>
      <c r="H963" s="61"/>
      <c r="I963" s="61"/>
      <c r="J963" s="62"/>
      <c r="K963" s="63"/>
      <c r="L963" s="61"/>
      <c r="M963" s="61"/>
      <c r="N963" s="111"/>
      <c r="O963" s="112"/>
      <c r="P963" s="113"/>
      <c r="Q963" s="114"/>
      <c r="R963" s="64"/>
      <c r="S963" s="108"/>
      <c r="T963" s="203">
        <f t="shared" si="556"/>
        <v>43647</v>
      </c>
      <c r="U963" s="204">
        <f t="shared" si="557"/>
        <v>43677</v>
      </c>
      <c r="V963" s="207">
        <f t="shared" si="590"/>
        <v>0</v>
      </c>
      <c r="W963" s="206" t="str">
        <f t="shared" si="587"/>
        <v/>
      </c>
      <c r="X963" s="206">
        <f t="shared" si="588"/>
        <v>0</v>
      </c>
      <c r="Y963" s="209">
        <f t="shared" si="589"/>
        <v>0</v>
      </c>
    </row>
    <row r="964" spans="2:25" ht="15.75" thickBot="1" x14ac:dyDescent="0.3">
      <c r="B964" s="141">
        <f>B958</f>
        <v>42</v>
      </c>
      <c r="C964" s="142">
        <v>294</v>
      </c>
      <c r="D964" s="194" t="str">
        <f t="shared" si="570"/>
        <v>III</v>
      </c>
      <c r="E964" s="143"/>
      <c r="F964" s="144"/>
      <c r="G964" s="144"/>
      <c r="H964" s="145"/>
      <c r="I964" s="145"/>
      <c r="J964" s="436" t="s">
        <v>181</v>
      </c>
      <c r="K964" s="437"/>
      <c r="L964" s="438"/>
      <c r="M964" s="145"/>
      <c r="N964" s="146">
        <v>10</v>
      </c>
      <c r="O964" s="147">
        <v>10</v>
      </c>
      <c r="P964" s="148"/>
      <c r="Q964" s="149">
        <v>10</v>
      </c>
      <c r="R964" s="150"/>
      <c r="S964" s="151"/>
      <c r="T964" s="213">
        <f t="shared" si="556"/>
        <v>43647</v>
      </c>
      <c r="U964" s="214">
        <f t="shared" si="557"/>
        <v>43677</v>
      </c>
      <c r="V964" s="210">
        <f t="shared" si="590"/>
        <v>0</v>
      </c>
      <c r="W964" s="211"/>
      <c r="X964" s="211">
        <f>IF(AND($V964&gt;0,$I964=1),IF($E964=10,P964/10,P964/$V964),0)</f>
        <v>0</v>
      </c>
      <c r="Y964" s="212">
        <f>IF(AND($V958&gt;0,$I964&lt;&gt;1),Q964/E958*V958,0)</f>
        <v>10</v>
      </c>
    </row>
    <row r="965" spans="2:25" ht="16.5" hidden="1" thickTop="1" thickBot="1" x14ac:dyDescent="0.3">
      <c r="B965" s="129">
        <f>B963+1</f>
        <v>43</v>
      </c>
      <c r="C965" s="130">
        <v>295</v>
      </c>
      <c r="D965" s="196" t="str">
        <f t="shared" si="570"/>
        <v>III</v>
      </c>
      <c r="E965" s="152"/>
      <c r="F965" s="153"/>
      <c r="G965" s="153"/>
      <c r="H965" s="154"/>
      <c r="I965" s="154"/>
      <c r="J965" s="152"/>
      <c r="K965" s="155"/>
      <c r="L965" s="154"/>
      <c r="M965" s="154"/>
      <c r="N965" s="156"/>
      <c r="O965" s="157"/>
      <c r="P965" s="158"/>
      <c r="Q965" s="159"/>
      <c r="R965" s="160"/>
      <c r="S965" s="161"/>
      <c r="T965" s="203">
        <f t="shared" si="556"/>
        <v>43647</v>
      </c>
      <c r="U965" s="204">
        <f t="shared" si="557"/>
        <v>43677</v>
      </c>
      <c r="V965" s="207">
        <f>IF(G965-F965+1-IF(G965-U965&gt;0,G965-U965,0)-IF(T965-F965&gt;0,T965-F965,0)&gt;0,G965-F965+1-IF(G965-U965&gt;0,G965-U965,0)-IF(T965-F965&gt;0,T965-F965,0),0)</f>
        <v>0</v>
      </c>
      <c r="W965" s="206" t="str">
        <f t="shared" ref="W965:W970" si="591">IF(V965&gt;0,H965,"")</f>
        <v/>
      </c>
      <c r="X965" s="206">
        <f t="shared" ref="X965:X970" si="592">IF(AND($V965&gt;0,$I965=1),P965/$E965*$V965,0)</f>
        <v>0</v>
      </c>
      <c r="Y965" s="209">
        <f t="shared" ref="Y965:Y970" si="593">IF(AND($V965&gt;0,$I965&lt;&gt;1),Q965/$E965*$V965,0)</f>
        <v>0</v>
      </c>
    </row>
    <row r="966" spans="2:25" ht="16.5" hidden="1" thickTop="1" thickBot="1" x14ac:dyDescent="0.3">
      <c r="B966" s="60">
        <f>B965</f>
        <v>43</v>
      </c>
      <c r="C966" s="102">
        <v>296</v>
      </c>
      <c r="D966" s="192" t="str">
        <f t="shared" si="570"/>
        <v>III</v>
      </c>
      <c r="E966" s="162"/>
      <c r="F966" s="163"/>
      <c r="G966" s="163"/>
      <c r="H966" s="164"/>
      <c r="I966" s="164"/>
      <c r="J966" s="162"/>
      <c r="K966" s="165"/>
      <c r="L966" s="164"/>
      <c r="M966" s="164"/>
      <c r="N966" s="166"/>
      <c r="O966" s="167"/>
      <c r="P966" s="168"/>
      <c r="Q966" s="169"/>
      <c r="R966" s="170"/>
      <c r="S966" s="171"/>
      <c r="T966" s="203">
        <f t="shared" si="556"/>
        <v>43647</v>
      </c>
      <c r="U966" s="204">
        <f t="shared" si="557"/>
        <v>43677</v>
      </c>
      <c r="V966" s="207">
        <f t="shared" ref="V966:V971" si="594">IF(G966-F966+1-IF(G966-U966&gt;0,G966-U966,0)-IF(T966-F966&gt;0,T966-F966,0)&gt;0,G966-F966+1-IF(G966-U966&gt;0,G966-U966,0)-IF(T966-F966&gt;0,T966-F966,0),0)</f>
        <v>0</v>
      </c>
      <c r="W966" s="206" t="str">
        <f t="shared" si="591"/>
        <v/>
      </c>
      <c r="X966" s="206">
        <f t="shared" si="592"/>
        <v>0</v>
      </c>
      <c r="Y966" s="209">
        <f t="shared" si="593"/>
        <v>0</v>
      </c>
    </row>
    <row r="967" spans="2:25" ht="16.5" hidden="1" thickTop="1" thickBot="1" x14ac:dyDescent="0.3">
      <c r="B967" s="60">
        <f>B965</f>
        <v>43</v>
      </c>
      <c r="C967" s="102">
        <v>297</v>
      </c>
      <c r="D967" s="192" t="str">
        <f t="shared" si="570"/>
        <v>III</v>
      </c>
      <c r="E967" s="162"/>
      <c r="F967" s="163"/>
      <c r="G967" s="163"/>
      <c r="H967" s="164"/>
      <c r="I967" s="164"/>
      <c r="J967" s="162"/>
      <c r="K967" s="165"/>
      <c r="L967" s="164"/>
      <c r="M967" s="164"/>
      <c r="N967" s="166"/>
      <c r="O967" s="167"/>
      <c r="P967" s="168"/>
      <c r="Q967" s="169"/>
      <c r="R967" s="170"/>
      <c r="S967" s="171"/>
      <c r="T967" s="203">
        <f t="shared" si="556"/>
        <v>43647</v>
      </c>
      <c r="U967" s="204">
        <f t="shared" si="557"/>
        <v>43677</v>
      </c>
      <c r="V967" s="207">
        <f t="shared" si="594"/>
        <v>0</v>
      </c>
      <c r="W967" s="206" t="str">
        <f t="shared" si="591"/>
        <v/>
      </c>
      <c r="X967" s="206">
        <f t="shared" si="592"/>
        <v>0</v>
      </c>
      <c r="Y967" s="209">
        <f t="shared" si="593"/>
        <v>0</v>
      </c>
    </row>
    <row r="968" spans="2:25" ht="16.5" hidden="1" thickTop="1" thickBot="1" x14ac:dyDescent="0.3">
      <c r="B968" s="60">
        <f>B965</f>
        <v>43</v>
      </c>
      <c r="C968" s="102">
        <v>298</v>
      </c>
      <c r="D968" s="192" t="str">
        <f t="shared" si="570"/>
        <v>III</v>
      </c>
      <c r="E968" s="162"/>
      <c r="F968" s="163"/>
      <c r="G968" s="163"/>
      <c r="H968" s="164"/>
      <c r="I968" s="164"/>
      <c r="J968" s="162"/>
      <c r="K968" s="165"/>
      <c r="L968" s="164"/>
      <c r="M968" s="164"/>
      <c r="N968" s="166"/>
      <c r="O968" s="167"/>
      <c r="P968" s="168"/>
      <c r="Q968" s="169"/>
      <c r="R968" s="170"/>
      <c r="S968" s="171"/>
      <c r="T968" s="203">
        <f t="shared" si="556"/>
        <v>43647</v>
      </c>
      <c r="U968" s="204">
        <f t="shared" si="557"/>
        <v>43677</v>
      </c>
      <c r="V968" s="207">
        <f t="shared" si="594"/>
        <v>0</v>
      </c>
      <c r="W968" s="206" t="str">
        <f t="shared" si="591"/>
        <v/>
      </c>
      <c r="X968" s="206">
        <f t="shared" si="592"/>
        <v>0</v>
      </c>
      <c r="Y968" s="209">
        <f t="shared" si="593"/>
        <v>0</v>
      </c>
    </row>
    <row r="969" spans="2:25" ht="16.5" hidden="1" thickTop="1" thickBot="1" x14ac:dyDescent="0.3">
      <c r="B969" s="60">
        <f>B965</f>
        <v>43</v>
      </c>
      <c r="C969" s="102">
        <v>299</v>
      </c>
      <c r="D969" s="192" t="str">
        <f t="shared" si="570"/>
        <v>III</v>
      </c>
      <c r="E969" s="162"/>
      <c r="F969" s="163"/>
      <c r="G969" s="163"/>
      <c r="H969" s="164"/>
      <c r="I969" s="164"/>
      <c r="J969" s="162"/>
      <c r="K969" s="165"/>
      <c r="L969" s="164"/>
      <c r="M969" s="164"/>
      <c r="N969" s="166"/>
      <c r="O969" s="167"/>
      <c r="P969" s="168"/>
      <c r="Q969" s="169"/>
      <c r="R969" s="170"/>
      <c r="S969" s="171"/>
      <c r="T969" s="203">
        <f t="shared" si="556"/>
        <v>43647</v>
      </c>
      <c r="U969" s="204">
        <f t="shared" si="557"/>
        <v>43677</v>
      </c>
      <c r="V969" s="207">
        <f t="shared" si="594"/>
        <v>0</v>
      </c>
      <c r="W969" s="206" t="str">
        <f t="shared" si="591"/>
        <v/>
      </c>
      <c r="X969" s="206">
        <f t="shared" si="592"/>
        <v>0</v>
      </c>
      <c r="Y969" s="209">
        <f t="shared" si="593"/>
        <v>0</v>
      </c>
    </row>
    <row r="970" spans="2:25" ht="16.5" hidden="1" thickTop="1" thickBot="1" x14ac:dyDescent="0.3">
      <c r="B970" s="60">
        <f>B965</f>
        <v>43</v>
      </c>
      <c r="C970" s="102">
        <v>300</v>
      </c>
      <c r="D970" s="192" t="str">
        <f t="shared" si="570"/>
        <v>III</v>
      </c>
      <c r="E970" s="172"/>
      <c r="F970" s="173"/>
      <c r="G970" s="173"/>
      <c r="H970" s="174"/>
      <c r="I970" s="174"/>
      <c r="J970" s="172"/>
      <c r="K970" s="175"/>
      <c r="L970" s="174"/>
      <c r="M970" s="174"/>
      <c r="N970" s="176"/>
      <c r="O970" s="177"/>
      <c r="P970" s="178"/>
      <c r="Q970" s="179"/>
      <c r="R970" s="180"/>
      <c r="S970" s="181"/>
      <c r="T970" s="203">
        <f t="shared" si="556"/>
        <v>43647</v>
      </c>
      <c r="U970" s="204">
        <f t="shared" si="557"/>
        <v>43677</v>
      </c>
      <c r="V970" s="207">
        <f t="shared" si="594"/>
        <v>0</v>
      </c>
      <c r="W970" s="206" t="str">
        <f t="shared" si="591"/>
        <v/>
      </c>
      <c r="X970" s="206">
        <f t="shared" si="592"/>
        <v>0</v>
      </c>
      <c r="Y970" s="209">
        <f t="shared" si="593"/>
        <v>0</v>
      </c>
    </row>
    <row r="971" spans="2:25" ht="16.5" hidden="1" thickTop="1" thickBot="1" x14ac:dyDescent="0.3">
      <c r="B971" s="141">
        <f>B965</f>
        <v>43</v>
      </c>
      <c r="C971" s="142">
        <v>301</v>
      </c>
      <c r="D971" s="194" t="str">
        <f t="shared" si="570"/>
        <v>III</v>
      </c>
      <c r="E971" s="189"/>
      <c r="F971" s="190"/>
      <c r="G971" s="190"/>
      <c r="H971" s="182"/>
      <c r="I971" s="182"/>
      <c r="J971" s="436" t="s">
        <v>181</v>
      </c>
      <c r="K971" s="437"/>
      <c r="L971" s="438"/>
      <c r="M971" s="182"/>
      <c r="N971" s="183"/>
      <c r="O971" s="184"/>
      <c r="P971" s="185"/>
      <c r="Q971" s="186"/>
      <c r="R971" s="187"/>
      <c r="S971" s="188"/>
      <c r="T971" s="213">
        <f t="shared" si="556"/>
        <v>43647</v>
      </c>
      <c r="U971" s="214">
        <f t="shared" si="557"/>
        <v>43677</v>
      </c>
      <c r="V971" s="210">
        <f t="shared" si="594"/>
        <v>0</v>
      </c>
      <c r="W971" s="211"/>
      <c r="X971" s="211">
        <f>IF(AND($V971&gt;0,$I971=1),IF($E971=10,P971/10,P971/$V971),0)</f>
        <v>0</v>
      </c>
      <c r="Y971" s="212">
        <f>IF(AND($V965&gt;0,$I971&lt;&gt;1),Q971/E965*V965,0)</f>
        <v>0</v>
      </c>
    </row>
    <row r="972" spans="2:25" ht="16.5" hidden="1" thickTop="1" thickBot="1" x14ac:dyDescent="0.3">
      <c r="B972" s="129">
        <f>B970+1</f>
        <v>44</v>
      </c>
      <c r="C972" s="130">
        <v>302</v>
      </c>
      <c r="D972" s="196" t="str">
        <f t="shared" si="570"/>
        <v>III</v>
      </c>
      <c r="E972" s="131"/>
      <c r="F972" s="132"/>
      <c r="G972" s="132"/>
      <c r="H972" s="133"/>
      <c r="I972" s="133"/>
      <c r="J972" s="131"/>
      <c r="K972" s="134"/>
      <c r="L972" s="133"/>
      <c r="M972" s="133"/>
      <c r="N972" s="135"/>
      <c r="O972" s="136"/>
      <c r="P972" s="137"/>
      <c r="Q972" s="138"/>
      <c r="R972" s="139"/>
      <c r="S972" s="140"/>
      <c r="T972" s="203">
        <f t="shared" si="556"/>
        <v>43647</v>
      </c>
      <c r="U972" s="204">
        <f t="shared" si="557"/>
        <v>43677</v>
      </c>
      <c r="V972" s="207">
        <f>IF(G972-F972+1-IF(G972-U972&gt;0,G972-U972,0)-IF(T972-F972&gt;0,T972-F972,0)&gt;0,G972-F972+1-IF(G972-U972&gt;0,G972-U972,0)-IF(T972-F972&gt;0,T972-F972,0),0)</f>
        <v>0</v>
      </c>
      <c r="W972" s="206" t="str">
        <f t="shared" ref="W972:W977" si="595">IF(V972&gt;0,H972,"")</f>
        <v/>
      </c>
      <c r="X972" s="206">
        <f t="shared" ref="X972:X977" si="596">IF(AND($V972&gt;0,$I972=1),P972/$E972*$V972,0)</f>
        <v>0</v>
      </c>
      <c r="Y972" s="209">
        <f t="shared" ref="Y972:Y977" si="597">IF(AND($V972&gt;0,$I972&lt;&gt;1),Q972/$E972*$V972,0)</f>
        <v>0</v>
      </c>
    </row>
    <row r="973" spans="2:25" ht="16.5" hidden="1" thickTop="1" thickBot="1" x14ac:dyDescent="0.3">
      <c r="B973" s="60">
        <f>B972</f>
        <v>44</v>
      </c>
      <c r="C973" s="102">
        <v>303</v>
      </c>
      <c r="D973" s="192" t="str">
        <f t="shared" si="570"/>
        <v>III</v>
      </c>
      <c r="E973" s="62"/>
      <c r="F973" s="105"/>
      <c r="G973" s="105"/>
      <c r="H973" s="61"/>
      <c r="I973" s="61"/>
      <c r="J973" s="62"/>
      <c r="K973" s="63"/>
      <c r="L973" s="61"/>
      <c r="M973" s="61"/>
      <c r="N973" s="111"/>
      <c r="O973" s="112"/>
      <c r="P973" s="113"/>
      <c r="Q973" s="114"/>
      <c r="R973" s="64"/>
      <c r="S973" s="108"/>
      <c r="T973" s="203">
        <f t="shared" ref="T973:T1036" si="598">$F$4</f>
        <v>43647</v>
      </c>
      <c r="U973" s="204">
        <f t="shared" ref="U973:U1036" si="599">$G$4</f>
        <v>43677</v>
      </c>
      <c r="V973" s="207">
        <f t="shared" ref="V973:V978" si="600">IF(G973-F973+1-IF(G973-U973&gt;0,G973-U973,0)-IF(T973-F973&gt;0,T973-F973,0)&gt;0,G973-F973+1-IF(G973-U973&gt;0,G973-U973,0)-IF(T973-F973&gt;0,T973-F973,0),0)</f>
        <v>0</v>
      </c>
      <c r="W973" s="206" t="str">
        <f t="shared" si="595"/>
        <v/>
      </c>
      <c r="X973" s="206">
        <f t="shared" si="596"/>
        <v>0</v>
      </c>
      <c r="Y973" s="209">
        <f t="shared" si="597"/>
        <v>0</v>
      </c>
    </row>
    <row r="974" spans="2:25" ht="16.5" hidden="1" thickTop="1" thickBot="1" x14ac:dyDescent="0.3">
      <c r="B974" s="60">
        <f>B972</f>
        <v>44</v>
      </c>
      <c r="C974" s="102">
        <v>304</v>
      </c>
      <c r="D974" s="192" t="str">
        <f t="shared" si="570"/>
        <v>III</v>
      </c>
      <c r="E974" s="62"/>
      <c r="F974" s="105"/>
      <c r="G974" s="105"/>
      <c r="H974" s="61"/>
      <c r="I974" s="61"/>
      <c r="J974" s="62"/>
      <c r="K974" s="63"/>
      <c r="L974" s="61"/>
      <c r="M974" s="61"/>
      <c r="N974" s="111"/>
      <c r="O974" s="112"/>
      <c r="P974" s="113"/>
      <c r="Q974" s="114"/>
      <c r="R974" s="64"/>
      <c r="S974" s="108"/>
      <c r="T974" s="203">
        <f t="shared" si="598"/>
        <v>43647</v>
      </c>
      <c r="U974" s="204">
        <f t="shared" si="599"/>
        <v>43677</v>
      </c>
      <c r="V974" s="207">
        <f t="shared" si="600"/>
        <v>0</v>
      </c>
      <c r="W974" s="206" t="str">
        <f t="shared" si="595"/>
        <v/>
      </c>
      <c r="X974" s="206">
        <f t="shared" si="596"/>
        <v>0</v>
      </c>
      <c r="Y974" s="209">
        <f t="shared" si="597"/>
        <v>0</v>
      </c>
    </row>
    <row r="975" spans="2:25" ht="16.5" hidden="1" thickTop="1" thickBot="1" x14ac:dyDescent="0.3">
      <c r="B975" s="60">
        <f>B972</f>
        <v>44</v>
      </c>
      <c r="C975" s="102">
        <v>305</v>
      </c>
      <c r="D975" s="192" t="str">
        <f t="shared" si="570"/>
        <v>III</v>
      </c>
      <c r="E975" s="62"/>
      <c r="F975" s="105"/>
      <c r="G975" s="105"/>
      <c r="H975" s="61"/>
      <c r="I975" s="61"/>
      <c r="J975" s="62"/>
      <c r="K975" s="63"/>
      <c r="L975" s="61"/>
      <c r="M975" s="61"/>
      <c r="N975" s="111"/>
      <c r="O975" s="112"/>
      <c r="P975" s="113"/>
      <c r="Q975" s="114"/>
      <c r="R975" s="64"/>
      <c r="S975" s="108"/>
      <c r="T975" s="203">
        <f t="shared" si="598"/>
        <v>43647</v>
      </c>
      <c r="U975" s="204">
        <f t="shared" si="599"/>
        <v>43677</v>
      </c>
      <c r="V975" s="207">
        <f t="shared" si="600"/>
        <v>0</v>
      </c>
      <c r="W975" s="206" t="str">
        <f t="shared" si="595"/>
        <v/>
      </c>
      <c r="X975" s="206">
        <f t="shared" si="596"/>
        <v>0</v>
      </c>
      <c r="Y975" s="209">
        <f t="shared" si="597"/>
        <v>0</v>
      </c>
    </row>
    <row r="976" spans="2:25" ht="16.5" hidden="1" thickTop="1" thickBot="1" x14ac:dyDescent="0.3">
      <c r="B976" s="60">
        <f>B972</f>
        <v>44</v>
      </c>
      <c r="C976" s="102">
        <v>306</v>
      </c>
      <c r="D976" s="192" t="str">
        <f t="shared" si="570"/>
        <v>III</v>
      </c>
      <c r="E976" s="62"/>
      <c r="F976" s="105"/>
      <c r="G976" s="105"/>
      <c r="H976" s="61"/>
      <c r="I976" s="61"/>
      <c r="J976" s="62"/>
      <c r="K976" s="63"/>
      <c r="L976" s="61"/>
      <c r="M976" s="61"/>
      <c r="N976" s="111"/>
      <c r="O976" s="112"/>
      <c r="P976" s="113"/>
      <c r="Q976" s="114"/>
      <c r="R976" s="64"/>
      <c r="S976" s="108"/>
      <c r="T976" s="203">
        <f t="shared" si="598"/>
        <v>43647</v>
      </c>
      <c r="U976" s="204">
        <f t="shared" si="599"/>
        <v>43677</v>
      </c>
      <c r="V976" s="207">
        <f t="shared" si="600"/>
        <v>0</v>
      </c>
      <c r="W976" s="206" t="str">
        <f t="shared" si="595"/>
        <v/>
      </c>
      <c r="X976" s="206">
        <f t="shared" si="596"/>
        <v>0</v>
      </c>
      <c r="Y976" s="209">
        <f t="shared" si="597"/>
        <v>0</v>
      </c>
    </row>
    <row r="977" spans="2:25" ht="16.5" hidden="1" thickTop="1" thickBot="1" x14ac:dyDescent="0.3">
      <c r="B977" s="60">
        <f>B972</f>
        <v>44</v>
      </c>
      <c r="C977" s="102">
        <v>307</v>
      </c>
      <c r="D977" s="192" t="str">
        <f t="shared" si="570"/>
        <v>III</v>
      </c>
      <c r="E977" s="62"/>
      <c r="F977" s="105"/>
      <c r="G977" s="105"/>
      <c r="H977" s="61"/>
      <c r="I977" s="61"/>
      <c r="J977" s="62"/>
      <c r="K977" s="63"/>
      <c r="L977" s="61"/>
      <c r="M977" s="61"/>
      <c r="N977" s="111"/>
      <c r="O977" s="112"/>
      <c r="P977" s="113"/>
      <c r="Q977" s="114"/>
      <c r="R977" s="64"/>
      <c r="S977" s="108"/>
      <c r="T977" s="203">
        <f t="shared" si="598"/>
        <v>43647</v>
      </c>
      <c r="U977" s="204">
        <f t="shared" si="599"/>
        <v>43677</v>
      </c>
      <c r="V977" s="207">
        <f t="shared" si="600"/>
        <v>0</v>
      </c>
      <c r="W977" s="206" t="str">
        <f t="shared" si="595"/>
        <v/>
      </c>
      <c r="X977" s="206">
        <f t="shared" si="596"/>
        <v>0</v>
      </c>
      <c r="Y977" s="209">
        <f t="shared" si="597"/>
        <v>0</v>
      </c>
    </row>
    <row r="978" spans="2:25" ht="16.5" hidden="1" thickTop="1" thickBot="1" x14ac:dyDescent="0.3">
      <c r="B978" s="141">
        <f>B972</f>
        <v>44</v>
      </c>
      <c r="C978" s="142">
        <v>308</v>
      </c>
      <c r="D978" s="194" t="str">
        <f t="shared" si="570"/>
        <v>III</v>
      </c>
      <c r="E978" s="143"/>
      <c r="F978" s="144"/>
      <c r="G978" s="144"/>
      <c r="H978" s="145"/>
      <c r="I978" s="145"/>
      <c r="J978" s="436" t="s">
        <v>181</v>
      </c>
      <c r="K978" s="437"/>
      <c r="L978" s="438"/>
      <c r="M978" s="145"/>
      <c r="N978" s="146"/>
      <c r="O978" s="147"/>
      <c r="P978" s="148"/>
      <c r="Q978" s="149"/>
      <c r="R978" s="150"/>
      <c r="S978" s="151"/>
      <c r="T978" s="213">
        <f t="shared" si="598"/>
        <v>43647</v>
      </c>
      <c r="U978" s="214">
        <f t="shared" si="599"/>
        <v>43677</v>
      </c>
      <c r="V978" s="210">
        <f t="shared" si="600"/>
        <v>0</v>
      </c>
      <c r="W978" s="211"/>
      <c r="X978" s="211">
        <f>IF(AND($V978&gt;0,$I978=1),IF($E978=10,P978/10,P978/$V978),0)</f>
        <v>0</v>
      </c>
      <c r="Y978" s="212">
        <f>IF(AND($V972&gt;0,$I978&lt;&gt;1),Q978/E972*V972,0)</f>
        <v>0</v>
      </c>
    </row>
    <row r="979" spans="2:25" ht="45.75" thickTop="1" x14ac:dyDescent="0.25">
      <c r="B979" s="129">
        <f>B977+1</f>
        <v>45</v>
      </c>
      <c r="C979" s="130">
        <v>309</v>
      </c>
      <c r="D979" s="196" t="str">
        <f t="shared" si="570"/>
        <v>III</v>
      </c>
      <c r="E979" s="152">
        <v>10</v>
      </c>
      <c r="F979" s="153">
        <v>43653</v>
      </c>
      <c r="G979" s="153">
        <v>43662</v>
      </c>
      <c r="H979" s="154" t="s">
        <v>314</v>
      </c>
      <c r="I979" s="154">
        <v>2</v>
      </c>
      <c r="J979" s="152" t="s">
        <v>167</v>
      </c>
      <c r="K979" s="155" t="s">
        <v>16</v>
      </c>
      <c r="L979" s="154">
        <v>1</v>
      </c>
      <c r="M979" s="154">
        <v>8</v>
      </c>
      <c r="N979" s="156">
        <v>90</v>
      </c>
      <c r="O979" s="157">
        <v>90</v>
      </c>
      <c r="P979" s="158"/>
      <c r="Q979" s="159">
        <v>90</v>
      </c>
      <c r="R979" s="160" t="s">
        <v>4</v>
      </c>
      <c r="S979" s="161">
        <v>43626</v>
      </c>
      <c r="T979" s="203">
        <f t="shared" si="598"/>
        <v>43647</v>
      </c>
      <c r="U979" s="204">
        <f t="shared" si="599"/>
        <v>43677</v>
      </c>
      <c r="V979" s="207">
        <f>IF(G979-F979+1-IF(G979-U979&gt;0,G979-U979,0)-IF(T979-F979&gt;0,T979-F979,0)&gt;0,G979-F979+1-IF(G979-U979&gt;0,G979-U979,0)-IF(T979-F979&gt;0,T979-F979,0),0)</f>
        <v>10</v>
      </c>
      <c r="W979" s="206" t="str">
        <f t="shared" ref="W979:W984" si="601">IF(V979&gt;0,H979,"")</f>
        <v>Евгени Тодоров</v>
      </c>
      <c r="X979" s="206">
        <f t="shared" ref="X979:X984" si="602">IF(AND($V979&gt;0,$I979=1),P979/$E979*$V979,0)</f>
        <v>0</v>
      </c>
      <c r="Y979" s="209">
        <f t="shared" ref="Y979:Y984" si="603">IF(AND($V979&gt;0,$I979&lt;&gt;1),Q979/$E979*$V979,0)</f>
        <v>90</v>
      </c>
    </row>
    <row r="980" spans="2:25" ht="45" x14ac:dyDescent="0.25">
      <c r="B980" s="60">
        <f>B979</f>
        <v>45</v>
      </c>
      <c r="C980" s="102">
        <v>310</v>
      </c>
      <c r="D980" s="192" t="str">
        <f t="shared" si="570"/>
        <v>III</v>
      </c>
      <c r="E980" s="162">
        <v>10</v>
      </c>
      <c r="F980" s="163">
        <v>43653</v>
      </c>
      <c r="G980" s="163">
        <v>43662</v>
      </c>
      <c r="H980" s="164" t="s">
        <v>315</v>
      </c>
      <c r="I980" s="164">
        <v>2</v>
      </c>
      <c r="J980" s="162" t="s">
        <v>167</v>
      </c>
      <c r="K980" s="165" t="s">
        <v>16</v>
      </c>
      <c r="L980" s="164">
        <v>1</v>
      </c>
      <c r="M980" s="164">
        <v>8</v>
      </c>
      <c r="N980" s="166">
        <v>90</v>
      </c>
      <c r="O980" s="167">
        <v>90</v>
      </c>
      <c r="P980" s="168"/>
      <c r="Q980" s="169">
        <v>90</v>
      </c>
      <c r="R980" s="170" t="s">
        <v>4</v>
      </c>
      <c r="S980" s="171">
        <v>43626</v>
      </c>
      <c r="T980" s="203">
        <f t="shared" si="598"/>
        <v>43647</v>
      </c>
      <c r="U980" s="204">
        <f t="shared" si="599"/>
        <v>43677</v>
      </c>
      <c r="V980" s="207">
        <f t="shared" ref="V980:V985" si="604">IF(G980-F980+1-IF(G980-U980&gt;0,G980-U980,0)-IF(T980-F980&gt;0,T980-F980,0)&gt;0,G980-F980+1-IF(G980-U980&gt;0,G980-U980,0)-IF(T980-F980&gt;0,T980-F980,0),0)</f>
        <v>10</v>
      </c>
      <c r="W980" s="206" t="str">
        <f t="shared" si="601"/>
        <v>Марина Тодорова</v>
      </c>
      <c r="X980" s="206">
        <f t="shared" si="602"/>
        <v>0</v>
      </c>
      <c r="Y980" s="209">
        <f t="shared" si="603"/>
        <v>90</v>
      </c>
    </row>
    <row r="981" spans="2:25" hidden="1" x14ac:dyDescent="0.25">
      <c r="B981" s="60">
        <f>B979</f>
        <v>45</v>
      </c>
      <c r="C981" s="102">
        <v>311</v>
      </c>
      <c r="D981" s="192" t="str">
        <f t="shared" si="570"/>
        <v>III</v>
      </c>
      <c r="E981" s="162"/>
      <c r="F981" s="163"/>
      <c r="G981" s="163"/>
      <c r="H981" s="164"/>
      <c r="I981" s="164"/>
      <c r="J981" s="162"/>
      <c r="K981" s="165"/>
      <c r="L981" s="164"/>
      <c r="M981" s="164"/>
      <c r="N981" s="166"/>
      <c r="O981" s="167"/>
      <c r="P981" s="168"/>
      <c r="Q981" s="169"/>
      <c r="R981" s="170"/>
      <c r="S981" s="171"/>
      <c r="T981" s="203">
        <f t="shared" si="598"/>
        <v>43647</v>
      </c>
      <c r="U981" s="204">
        <f t="shared" si="599"/>
        <v>43677</v>
      </c>
      <c r="V981" s="207">
        <f t="shared" si="604"/>
        <v>0</v>
      </c>
      <c r="W981" s="206" t="str">
        <f t="shared" si="601"/>
        <v/>
      </c>
      <c r="X981" s="206">
        <f t="shared" si="602"/>
        <v>0</v>
      </c>
      <c r="Y981" s="209">
        <f t="shared" si="603"/>
        <v>0</v>
      </c>
    </row>
    <row r="982" spans="2:25" hidden="1" x14ac:dyDescent="0.25">
      <c r="B982" s="60">
        <f>B979</f>
        <v>45</v>
      </c>
      <c r="C982" s="102">
        <v>312</v>
      </c>
      <c r="D982" s="192" t="str">
        <f t="shared" si="570"/>
        <v>III</v>
      </c>
      <c r="E982" s="162"/>
      <c r="F982" s="163"/>
      <c r="G982" s="163"/>
      <c r="H982" s="164"/>
      <c r="I982" s="164"/>
      <c r="J982" s="162"/>
      <c r="K982" s="165"/>
      <c r="L982" s="164"/>
      <c r="M982" s="164"/>
      <c r="N982" s="166"/>
      <c r="O982" s="167"/>
      <c r="P982" s="168"/>
      <c r="Q982" s="169"/>
      <c r="R982" s="170"/>
      <c r="S982" s="171"/>
      <c r="T982" s="203">
        <f t="shared" si="598"/>
        <v>43647</v>
      </c>
      <c r="U982" s="204">
        <f t="shared" si="599"/>
        <v>43677</v>
      </c>
      <c r="V982" s="207">
        <f t="shared" si="604"/>
        <v>0</v>
      </c>
      <c r="W982" s="206" t="str">
        <f t="shared" si="601"/>
        <v/>
      </c>
      <c r="X982" s="206">
        <f t="shared" si="602"/>
        <v>0</v>
      </c>
      <c r="Y982" s="209">
        <f t="shared" si="603"/>
        <v>0</v>
      </c>
    </row>
    <row r="983" spans="2:25" hidden="1" x14ac:dyDescent="0.25">
      <c r="B983" s="60">
        <f>B979</f>
        <v>45</v>
      </c>
      <c r="C983" s="102">
        <v>313</v>
      </c>
      <c r="D983" s="192" t="str">
        <f t="shared" si="570"/>
        <v>III</v>
      </c>
      <c r="E983" s="162"/>
      <c r="F983" s="163"/>
      <c r="G983" s="163"/>
      <c r="H983" s="164"/>
      <c r="I983" s="164"/>
      <c r="J983" s="162"/>
      <c r="K983" s="165"/>
      <c r="L983" s="164"/>
      <c r="M983" s="164"/>
      <c r="N983" s="166"/>
      <c r="O983" s="167"/>
      <c r="P983" s="168"/>
      <c r="Q983" s="169"/>
      <c r="R983" s="170"/>
      <c r="S983" s="171"/>
      <c r="T983" s="203">
        <f t="shared" si="598"/>
        <v>43647</v>
      </c>
      <c r="U983" s="204">
        <f t="shared" si="599"/>
        <v>43677</v>
      </c>
      <c r="V983" s="207">
        <f t="shared" si="604"/>
        <v>0</v>
      </c>
      <c r="W983" s="206" t="str">
        <f t="shared" si="601"/>
        <v/>
      </c>
      <c r="X983" s="206">
        <f t="shared" si="602"/>
        <v>0</v>
      </c>
      <c r="Y983" s="209">
        <f t="shared" si="603"/>
        <v>0</v>
      </c>
    </row>
    <row r="984" spans="2:25" hidden="1" x14ac:dyDescent="0.25">
      <c r="B984" s="60">
        <f>B979</f>
        <v>45</v>
      </c>
      <c r="C984" s="102">
        <v>314</v>
      </c>
      <c r="D984" s="192" t="str">
        <f t="shared" si="570"/>
        <v>III</v>
      </c>
      <c r="E984" s="172"/>
      <c r="F984" s="173"/>
      <c r="G984" s="173"/>
      <c r="H984" s="174"/>
      <c r="I984" s="174"/>
      <c r="J984" s="172"/>
      <c r="K984" s="175"/>
      <c r="L984" s="174"/>
      <c r="M984" s="174"/>
      <c r="N984" s="176"/>
      <c r="O984" s="177"/>
      <c r="P984" s="178"/>
      <c r="Q984" s="179"/>
      <c r="R984" s="180"/>
      <c r="S984" s="181"/>
      <c r="T984" s="203">
        <f t="shared" si="598"/>
        <v>43647</v>
      </c>
      <c r="U984" s="204">
        <f t="shared" si="599"/>
        <v>43677</v>
      </c>
      <c r="V984" s="207">
        <f t="shared" si="604"/>
        <v>0</v>
      </c>
      <c r="W984" s="206" t="str">
        <f t="shared" si="601"/>
        <v/>
      </c>
      <c r="X984" s="206">
        <f t="shared" si="602"/>
        <v>0</v>
      </c>
      <c r="Y984" s="209">
        <f t="shared" si="603"/>
        <v>0</v>
      </c>
    </row>
    <row r="985" spans="2:25" ht="15.75" thickBot="1" x14ac:dyDescent="0.3">
      <c r="B985" s="141">
        <f>B979</f>
        <v>45</v>
      </c>
      <c r="C985" s="142">
        <v>315</v>
      </c>
      <c r="D985" s="194" t="str">
        <f t="shared" si="570"/>
        <v>III</v>
      </c>
      <c r="E985" s="189"/>
      <c r="F985" s="190"/>
      <c r="G985" s="190"/>
      <c r="H985" s="182"/>
      <c r="I985" s="182"/>
      <c r="J985" s="436" t="s">
        <v>181</v>
      </c>
      <c r="K985" s="437"/>
      <c r="L985" s="438"/>
      <c r="M985" s="182"/>
      <c r="N985" s="183">
        <v>10</v>
      </c>
      <c r="O985" s="184">
        <v>10</v>
      </c>
      <c r="P985" s="185"/>
      <c r="Q985" s="186">
        <v>10</v>
      </c>
      <c r="R985" s="187" t="s">
        <v>4</v>
      </c>
      <c r="S985" s="188">
        <v>43626</v>
      </c>
      <c r="T985" s="213">
        <f t="shared" si="598"/>
        <v>43647</v>
      </c>
      <c r="U985" s="214">
        <f t="shared" si="599"/>
        <v>43677</v>
      </c>
      <c r="V985" s="210">
        <f t="shared" si="604"/>
        <v>0</v>
      </c>
      <c r="W985" s="211"/>
      <c r="X985" s="211">
        <f>IF(AND($V985&gt;0,$I985=1),IF($E985=10,P985/10,P985/$V985),0)</f>
        <v>0</v>
      </c>
      <c r="Y985" s="212">
        <f>IF(AND($V979&gt;0,$I985&lt;&gt;1),Q985/E979*V979,0)</f>
        <v>10</v>
      </c>
    </row>
    <row r="986" spans="2:25" ht="45.75" thickTop="1" x14ac:dyDescent="0.25">
      <c r="B986" s="129">
        <f>B984+1</f>
        <v>46</v>
      </c>
      <c r="C986" s="130">
        <v>316</v>
      </c>
      <c r="D986" s="196" t="str">
        <f t="shared" si="570"/>
        <v>III</v>
      </c>
      <c r="E986" s="131">
        <v>10</v>
      </c>
      <c r="F986" s="132">
        <v>43653</v>
      </c>
      <c r="G986" s="132">
        <v>43662</v>
      </c>
      <c r="H986" s="133" t="s">
        <v>316</v>
      </c>
      <c r="I986" s="133">
        <v>2</v>
      </c>
      <c r="J986" s="131" t="s">
        <v>167</v>
      </c>
      <c r="K986" s="134" t="s">
        <v>16</v>
      </c>
      <c r="L986" s="133">
        <v>1</v>
      </c>
      <c r="M986" s="133">
        <v>8</v>
      </c>
      <c r="N986" s="135">
        <v>90</v>
      </c>
      <c r="O986" s="136">
        <v>90</v>
      </c>
      <c r="P986" s="137"/>
      <c r="Q986" s="138">
        <v>90</v>
      </c>
      <c r="R986" s="139" t="s">
        <v>4</v>
      </c>
      <c r="S986" s="140">
        <v>43626</v>
      </c>
      <c r="T986" s="203">
        <f t="shared" si="598"/>
        <v>43647</v>
      </c>
      <c r="U986" s="204">
        <f t="shared" si="599"/>
        <v>43677</v>
      </c>
      <c r="V986" s="207">
        <f>IF(G986-F986+1-IF(G986-U986&gt;0,G986-U986,0)-IF(T986-F986&gt;0,T986-F986,0)&gt;0,G986-F986+1-IF(G986-U986&gt;0,G986-U986,0)-IF(T986-F986&gt;0,T986-F986,0),0)</f>
        <v>10</v>
      </c>
      <c r="W986" s="206" t="str">
        <f t="shared" ref="W986:W991" si="605">IF(V986&gt;0,H986,"")</f>
        <v>Стилиан Тодоров</v>
      </c>
      <c r="X986" s="206">
        <f t="shared" ref="X986:X991" si="606">IF(AND($V986&gt;0,$I986=1),P986/$E986*$V986,0)</f>
        <v>0</v>
      </c>
      <c r="Y986" s="209">
        <f t="shared" ref="Y986:Y991" si="607">IF(AND($V986&gt;0,$I986&lt;&gt;1),Q986/$E986*$V986,0)</f>
        <v>90</v>
      </c>
    </row>
    <row r="987" spans="2:25" hidden="1" x14ac:dyDescent="0.25">
      <c r="B987" s="60">
        <f>B986</f>
        <v>46</v>
      </c>
      <c r="C987" s="102">
        <v>317</v>
      </c>
      <c r="D987" s="192" t="str">
        <f t="shared" si="570"/>
        <v>III</v>
      </c>
      <c r="E987" s="62"/>
      <c r="F987" s="105"/>
      <c r="G987" s="105"/>
      <c r="H987" s="61"/>
      <c r="I987" s="61"/>
      <c r="J987" s="62"/>
      <c r="K987" s="63"/>
      <c r="L987" s="61"/>
      <c r="M987" s="61"/>
      <c r="N987" s="111"/>
      <c r="O987" s="112"/>
      <c r="P987" s="113"/>
      <c r="Q987" s="114"/>
      <c r="R987" s="64"/>
      <c r="S987" s="108"/>
      <c r="T987" s="203">
        <f t="shared" si="598"/>
        <v>43647</v>
      </c>
      <c r="U987" s="204">
        <f t="shared" si="599"/>
        <v>43677</v>
      </c>
      <c r="V987" s="207">
        <f t="shared" ref="V987:V992" si="608">IF(G987-F987+1-IF(G987-U987&gt;0,G987-U987,0)-IF(T987-F987&gt;0,T987-F987,0)&gt;0,G987-F987+1-IF(G987-U987&gt;0,G987-U987,0)-IF(T987-F987&gt;0,T987-F987,0),0)</f>
        <v>0</v>
      </c>
      <c r="W987" s="206" t="str">
        <f t="shared" si="605"/>
        <v/>
      </c>
      <c r="X987" s="206">
        <f t="shared" si="606"/>
        <v>0</v>
      </c>
      <c r="Y987" s="209">
        <f t="shared" si="607"/>
        <v>0</v>
      </c>
    </row>
    <row r="988" spans="2:25" hidden="1" x14ac:dyDescent="0.25">
      <c r="B988" s="60">
        <f>B986</f>
        <v>46</v>
      </c>
      <c r="C988" s="102">
        <v>318</v>
      </c>
      <c r="D988" s="192" t="str">
        <f t="shared" si="570"/>
        <v>III</v>
      </c>
      <c r="E988" s="62"/>
      <c r="F988" s="105"/>
      <c r="G988" s="105"/>
      <c r="H988" s="61"/>
      <c r="I988" s="61"/>
      <c r="J988" s="62"/>
      <c r="K988" s="63"/>
      <c r="L988" s="61"/>
      <c r="M988" s="61"/>
      <c r="N988" s="111"/>
      <c r="O988" s="112"/>
      <c r="P988" s="113"/>
      <c r="Q988" s="114"/>
      <c r="R988" s="64"/>
      <c r="S988" s="108"/>
      <c r="T988" s="203">
        <f t="shared" si="598"/>
        <v>43647</v>
      </c>
      <c r="U988" s="204">
        <f t="shared" si="599"/>
        <v>43677</v>
      </c>
      <c r="V988" s="207">
        <f t="shared" si="608"/>
        <v>0</v>
      </c>
      <c r="W988" s="206" t="str">
        <f t="shared" si="605"/>
        <v/>
      </c>
      <c r="X988" s="206">
        <f t="shared" si="606"/>
        <v>0</v>
      </c>
      <c r="Y988" s="209">
        <f t="shared" si="607"/>
        <v>0</v>
      </c>
    </row>
    <row r="989" spans="2:25" hidden="1" x14ac:dyDescent="0.25">
      <c r="B989" s="60">
        <f>B986</f>
        <v>46</v>
      </c>
      <c r="C989" s="102">
        <v>319</v>
      </c>
      <c r="D989" s="192" t="str">
        <f t="shared" si="570"/>
        <v>III</v>
      </c>
      <c r="E989" s="62"/>
      <c r="F989" s="105"/>
      <c r="G989" s="105"/>
      <c r="H989" s="61"/>
      <c r="I989" s="61"/>
      <c r="J989" s="62"/>
      <c r="K989" s="63"/>
      <c r="L989" s="61"/>
      <c r="M989" s="61"/>
      <c r="N989" s="111"/>
      <c r="O989" s="112"/>
      <c r="P989" s="113"/>
      <c r="Q989" s="114"/>
      <c r="R989" s="64"/>
      <c r="S989" s="108"/>
      <c r="T989" s="203">
        <f t="shared" si="598"/>
        <v>43647</v>
      </c>
      <c r="U989" s="204">
        <f t="shared" si="599"/>
        <v>43677</v>
      </c>
      <c r="V989" s="207">
        <f t="shared" si="608"/>
        <v>0</v>
      </c>
      <c r="W989" s="206" t="str">
        <f t="shared" si="605"/>
        <v/>
      </c>
      <c r="X989" s="206">
        <f t="shared" si="606"/>
        <v>0</v>
      </c>
      <c r="Y989" s="209">
        <f t="shared" si="607"/>
        <v>0</v>
      </c>
    </row>
    <row r="990" spans="2:25" hidden="1" x14ac:dyDescent="0.25">
      <c r="B990" s="60">
        <f>B986</f>
        <v>46</v>
      </c>
      <c r="C990" s="102">
        <v>320</v>
      </c>
      <c r="D990" s="192" t="str">
        <f t="shared" si="570"/>
        <v>III</v>
      </c>
      <c r="E990" s="62"/>
      <c r="F990" s="105"/>
      <c r="G990" s="105"/>
      <c r="H990" s="61"/>
      <c r="I990" s="61"/>
      <c r="J990" s="62"/>
      <c r="K990" s="63"/>
      <c r="L990" s="61"/>
      <c r="M990" s="61"/>
      <c r="N990" s="111"/>
      <c r="O990" s="112"/>
      <c r="P990" s="113"/>
      <c r="Q990" s="114"/>
      <c r="R990" s="64"/>
      <c r="S990" s="108"/>
      <c r="T990" s="203">
        <f t="shared" si="598"/>
        <v>43647</v>
      </c>
      <c r="U990" s="204">
        <f t="shared" si="599"/>
        <v>43677</v>
      </c>
      <c r="V990" s="207">
        <f t="shared" si="608"/>
        <v>0</v>
      </c>
      <c r="W990" s="206" t="str">
        <f t="shared" si="605"/>
        <v/>
      </c>
      <c r="X990" s="206">
        <f t="shared" si="606"/>
        <v>0</v>
      </c>
      <c r="Y990" s="209">
        <f t="shared" si="607"/>
        <v>0</v>
      </c>
    </row>
    <row r="991" spans="2:25" hidden="1" x14ac:dyDescent="0.25">
      <c r="B991" s="60">
        <f>B986</f>
        <v>46</v>
      </c>
      <c r="C991" s="102">
        <v>321</v>
      </c>
      <c r="D991" s="192" t="str">
        <f t="shared" si="570"/>
        <v>III</v>
      </c>
      <c r="E991" s="62"/>
      <c r="F991" s="105"/>
      <c r="G991" s="105"/>
      <c r="H991" s="61"/>
      <c r="I991" s="61"/>
      <c r="J991" s="62"/>
      <c r="K991" s="63"/>
      <c r="L991" s="61"/>
      <c r="M991" s="61"/>
      <c r="N991" s="111"/>
      <c r="O991" s="112"/>
      <c r="P991" s="113"/>
      <c r="Q991" s="114"/>
      <c r="R991" s="64"/>
      <c r="S991" s="108"/>
      <c r="T991" s="203">
        <f t="shared" si="598"/>
        <v>43647</v>
      </c>
      <c r="U991" s="204">
        <f t="shared" si="599"/>
        <v>43677</v>
      </c>
      <c r="V991" s="207">
        <f t="shared" si="608"/>
        <v>0</v>
      </c>
      <c r="W991" s="206" t="str">
        <f t="shared" si="605"/>
        <v/>
      </c>
      <c r="X991" s="206">
        <f t="shared" si="606"/>
        <v>0</v>
      </c>
      <c r="Y991" s="209">
        <f t="shared" si="607"/>
        <v>0</v>
      </c>
    </row>
    <row r="992" spans="2:25" ht="15.75" thickBot="1" x14ac:dyDescent="0.3">
      <c r="B992" s="141">
        <f>B986</f>
        <v>46</v>
      </c>
      <c r="C992" s="142">
        <v>322</v>
      </c>
      <c r="D992" s="194" t="str">
        <f t="shared" si="570"/>
        <v>III</v>
      </c>
      <c r="E992" s="143"/>
      <c r="F992" s="144"/>
      <c r="G992" s="144"/>
      <c r="H992" s="145"/>
      <c r="I992" s="145"/>
      <c r="J992" s="436" t="s">
        <v>181</v>
      </c>
      <c r="K992" s="437"/>
      <c r="L992" s="438"/>
      <c r="M992" s="145"/>
      <c r="N992" s="146">
        <v>10</v>
      </c>
      <c r="O992" s="147">
        <v>10</v>
      </c>
      <c r="P992" s="148"/>
      <c r="Q992" s="149">
        <v>10</v>
      </c>
      <c r="R992" s="150" t="s">
        <v>4</v>
      </c>
      <c r="S992" s="151">
        <v>43626</v>
      </c>
      <c r="T992" s="213">
        <f t="shared" si="598"/>
        <v>43647</v>
      </c>
      <c r="U992" s="214">
        <f t="shared" si="599"/>
        <v>43677</v>
      </c>
      <c r="V992" s="210">
        <f t="shared" si="608"/>
        <v>0</v>
      </c>
      <c r="W992" s="211"/>
      <c r="X992" s="211">
        <f>IF(AND($V992&gt;0,$I992=1),IF($E992=10,P992/10,P992/$V992),0)</f>
        <v>0</v>
      </c>
      <c r="Y992" s="212">
        <f>IF(AND($V986&gt;0,$I992&lt;&gt;1),Q992/E986*V986,0)</f>
        <v>10</v>
      </c>
    </row>
    <row r="993" spans="2:25" ht="16.5" hidden="1" thickTop="1" thickBot="1" x14ac:dyDescent="0.3">
      <c r="B993" s="129">
        <f>B991+1</f>
        <v>47</v>
      </c>
      <c r="C993" s="130">
        <v>323</v>
      </c>
      <c r="D993" s="196" t="str">
        <f t="shared" ref="D993:D999" si="609">D992</f>
        <v>III</v>
      </c>
      <c r="E993" s="152"/>
      <c r="F993" s="153"/>
      <c r="G993" s="153"/>
      <c r="H993" s="154"/>
      <c r="I993" s="154"/>
      <c r="J993" s="152"/>
      <c r="K993" s="155"/>
      <c r="L993" s="154"/>
      <c r="M993" s="154"/>
      <c r="N993" s="156"/>
      <c r="O993" s="157"/>
      <c r="P993" s="158"/>
      <c r="Q993" s="159"/>
      <c r="R993" s="160"/>
      <c r="S993" s="161"/>
      <c r="T993" s="215">
        <f t="shared" si="598"/>
        <v>43647</v>
      </c>
      <c r="U993" s="216">
        <f t="shared" si="599"/>
        <v>43677</v>
      </c>
      <c r="V993" s="217">
        <f>IF(G993-F993+1-IF(G993-U993&gt;0,G993-U993,0)-IF(T993-F993&gt;0,T993-F993,0)&gt;0,G993-F993+1-IF(G993-U993&gt;0,G993-U993,0)-IF(T993-F993&gt;0,T993-F993,0),0)</f>
        <v>0</v>
      </c>
      <c r="W993" s="218" t="str">
        <f t="shared" ref="W993:W998" si="610">IF(V993&gt;0,H993,"")</f>
        <v/>
      </c>
      <c r="X993" s="218">
        <f t="shared" ref="X993:X998" si="611">IF(AND($V993&gt;0,$I993=1),P993/$E993*$V993,0)</f>
        <v>0</v>
      </c>
      <c r="Y993" s="219">
        <f t="shared" ref="Y993:Y998" si="612">IF(AND($V993&gt;0,$I993&lt;&gt;1),Q993/$E993*$V993,0)</f>
        <v>0</v>
      </c>
    </row>
    <row r="994" spans="2:25" ht="16.5" hidden="1" thickTop="1" thickBot="1" x14ac:dyDescent="0.3">
      <c r="B994" s="60">
        <f>B993</f>
        <v>47</v>
      </c>
      <c r="C994" s="102">
        <v>324</v>
      </c>
      <c r="D994" s="192" t="str">
        <f t="shared" si="609"/>
        <v>III</v>
      </c>
      <c r="E994" s="162"/>
      <c r="F994" s="163"/>
      <c r="G994" s="163"/>
      <c r="H994" s="164"/>
      <c r="I994" s="164"/>
      <c r="J994" s="162"/>
      <c r="K994" s="165"/>
      <c r="L994" s="164"/>
      <c r="M994" s="164"/>
      <c r="N994" s="166"/>
      <c r="O994" s="167"/>
      <c r="P994" s="168"/>
      <c r="Q994" s="169"/>
      <c r="R994" s="170"/>
      <c r="S994" s="171"/>
      <c r="T994" s="203">
        <f t="shared" si="598"/>
        <v>43647</v>
      </c>
      <c r="U994" s="205">
        <f t="shared" si="599"/>
        <v>43677</v>
      </c>
      <c r="V994" s="207">
        <f t="shared" ref="V994:V999" si="613">IF(G994-F994+1-IF(G994-U994&gt;0,G994-U994,0)-IF(T994-F994&gt;0,T994-F994,0)&gt;0,G994-F994+1-IF(G994-U994&gt;0,G994-U994,0)-IF(T994-F994&gt;0,T994-F994,0),0)</f>
        <v>0</v>
      </c>
      <c r="W994" s="206" t="str">
        <f t="shared" si="610"/>
        <v/>
      </c>
      <c r="X994" s="206">
        <f t="shared" si="611"/>
        <v>0</v>
      </c>
      <c r="Y994" s="208">
        <f t="shared" si="612"/>
        <v>0</v>
      </c>
    </row>
    <row r="995" spans="2:25" ht="16.5" hidden="1" thickTop="1" thickBot="1" x14ac:dyDescent="0.3">
      <c r="B995" s="60">
        <f>B993</f>
        <v>47</v>
      </c>
      <c r="C995" s="102">
        <v>325</v>
      </c>
      <c r="D995" s="192" t="str">
        <f t="shared" si="609"/>
        <v>III</v>
      </c>
      <c r="E995" s="162"/>
      <c r="F995" s="163"/>
      <c r="G995" s="163"/>
      <c r="H995" s="164"/>
      <c r="I995" s="164"/>
      <c r="J995" s="162"/>
      <c r="K995" s="165"/>
      <c r="L995" s="164"/>
      <c r="M995" s="164"/>
      <c r="N995" s="166"/>
      <c r="O995" s="167"/>
      <c r="P995" s="168"/>
      <c r="Q995" s="169"/>
      <c r="R995" s="170"/>
      <c r="S995" s="171"/>
      <c r="T995" s="203">
        <f t="shared" si="598"/>
        <v>43647</v>
      </c>
      <c r="U995" s="205">
        <f t="shared" si="599"/>
        <v>43677</v>
      </c>
      <c r="V995" s="207">
        <f t="shared" si="613"/>
        <v>0</v>
      </c>
      <c r="W995" s="206" t="str">
        <f t="shared" si="610"/>
        <v/>
      </c>
      <c r="X995" s="206">
        <f t="shared" si="611"/>
        <v>0</v>
      </c>
      <c r="Y995" s="208">
        <f t="shared" si="612"/>
        <v>0</v>
      </c>
    </row>
    <row r="996" spans="2:25" ht="16.5" hidden="1" thickTop="1" thickBot="1" x14ac:dyDescent="0.3">
      <c r="B996" s="60">
        <f>B993</f>
        <v>47</v>
      </c>
      <c r="C996" s="102">
        <v>326</v>
      </c>
      <c r="D996" s="192" t="str">
        <f t="shared" si="609"/>
        <v>III</v>
      </c>
      <c r="E996" s="162"/>
      <c r="F996" s="163"/>
      <c r="G996" s="163"/>
      <c r="H996" s="164"/>
      <c r="I996" s="164"/>
      <c r="J996" s="162"/>
      <c r="K996" s="165"/>
      <c r="L996" s="164"/>
      <c r="M996" s="164"/>
      <c r="N996" s="166"/>
      <c r="O996" s="167"/>
      <c r="P996" s="168"/>
      <c r="Q996" s="169"/>
      <c r="R996" s="170"/>
      <c r="S996" s="171"/>
      <c r="T996" s="203">
        <f t="shared" si="598"/>
        <v>43647</v>
      </c>
      <c r="U996" s="205">
        <f t="shared" si="599"/>
        <v>43677</v>
      </c>
      <c r="V996" s="207">
        <f t="shared" si="613"/>
        <v>0</v>
      </c>
      <c r="W996" s="206" t="str">
        <f t="shared" si="610"/>
        <v/>
      </c>
      <c r="X996" s="206">
        <f t="shared" si="611"/>
        <v>0</v>
      </c>
      <c r="Y996" s="208">
        <f t="shared" si="612"/>
        <v>0</v>
      </c>
    </row>
    <row r="997" spans="2:25" ht="16.5" hidden="1" thickTop="1" thickBot="1" x14ac:dyDescent="0.3">
      <c r="B997" s="60">
        <f>B993</f>
        <v>47</v>
      </c>
      <c r="C997" s="102">
        <v>327</v>
      </c>
      <c r="D997" s="192" t="str">
        <f t="shared" si="609"/>
        <v>III</v>
      </c>
      <c r="E997" s="162"/>
      <c r="F997" s="163"/>
      <c r="G997" s="163"/>
      <c r="H997" s="164"/>
      <c r="I997" s="164"/>
      <c r="J997" s="162"/>
      <c r="K997" s="165"/>
      <c r="L997" s="164"/>
      <c r="M997" s="164"/>
      <c r="N997" s="166"/>
      <c r="O997" s="167"/>
      <c r="P997" s="168"/>
      <c r="Q997" s="169"/>
      <c r="R997" s="170"/>
      <c r="S997" s="171"/>
      <c r="T997" s="203">
        <f t="shared" si="598"/>
        <v>43647</v>
      </c>
      <c r="U997" s="205">
        <f t="shared" si="599"/>
        <v>43677</v>
      </c>
      <c r="V997" s="207">
        <f t="shared" si="613"/>
        <v>0</v>
      </c>
      <c r="W997" s="206" t="str">
        <f t="shared" si="610"/>
        <v/>
      </c>
      <c r="X997" s="206">
        <f t="shared" si="611"/>
        <v>0</v>
      </c>
      <c r="Y997" s="208">
        <f t="shared" si="612"/>
        <v>0</v>
      </c>
    </row>
    <row r="998" spans="2:25" ht="16.5" hidden="1" thickTop="1" thickBot="1" x14ac:dyDescent="0.3">
      <c r="B998" s="60">
        <f>B993</f>
        <v>47</v>
      </c>
      <c r="C998" s="102">
        <v>328</v>
      </c>
      <c r="D998" s="192" t="str">
        <f t="shared" si="609"/>
        <v>III</v>
      </c>
      <c r="E998" s="172"/>
      <c r="F998" s="173"/>
      <c r="G998" s="173"/>
      <c r="H998" s="174"/>
      <c r="I998" s="174"/>
      <c r="J998" s="172"/>
      <c r="K998" s="175"/>
      <c r="L998" s="174"/>
      <c r="M998" s="174"/>
      <c r="N998" s="176"/>
      <c r="O998" s="177"/>
      <c r="P998" s="178"/>
      <c r="Q998" s="179"/>
      <c r="R998" s="180"/>
      <c r="S998" s="181"/>
      <c r="T998" s="203">
        <f t="shared" si="598"/>
        <v>43647</v>
      </c>
      <c r="U998" s="205">
        <f t="shared" si="599"/>
        <v>43677</v>
      </c>
      <c r="V998" s="207">
        <f t="shared" si="613"/>
        <v>0</v>
      </c>
      <c r="W998" s="206" t="str">
        <f t="shared" si="610"/>
        <v/>
      </c>
      <c r="X998" s="206">
        <f t="shared" si="611"/>
        <v>0</v>
      </c>
      <c r="Y998" s="208">
        <f t="shared" si="612"/>
        <v>0</v>
      </c>
    </row>
    <row r="999" spans="2:25" ht="16.5" hidden="1" thickTop="1" thickBot="1" x14ac:dyDescent="0.3">
      <c r="B999" s="141">
        <f>B993</f>
        <v>47</v>
      </c>
      <c r="C999" s="142">
        <v>329</v>
      </c>
      <c r="D999" s="194" t="str">
        <f t="shared" si="609"/>
        <v>III</v>
      </c>
      <c r="E999" s="189"/>
      <c r="F999" s="190"/>
      <c r="G999" s="190"/>
      <c r="H999" s="182"/>
      <c r="I999" s="182"/>
      <c r="J999" s="436" t="s">
        <v>181</v>
      </c>
      <c r="K999" s="437"/>
      <c r="L999" s="438"/>
      <c r="M999" s="182"/>
      <c r="N999" s="183"/>
      <c r="O999" s="184"/>
      <c r="P999" s="185"/>
      <c r="Q999" s="186"/>
      <c r="R999" s="187"/>
      <c r="S999" s="188"/>
      <c r="T999" s="213">
        <f t="shared" si="598"/>
        <v>43647</v>
      </c>
      <c r="U999" s="214">
        <f t="shared" si="599"/>
        <v>43677</v>
      </c>
      <c r="V999" s="210">
        <f t="shared" si="613"/>
        <v>0</v>
      </c>
      <c r="W999" s="211"/>
      <c r="X999" s="211">
        <f>IF(AND($V999&gt;0,$I999=1),IF($E999=10,P999/10,P999/$V999),0)</f>
        <v>0</v>
      </c>
      <c r="Y999" s="212">
        <f>IF(AND($V993&gt;0,$I999&lt;&gt;1),Q999/E993*V993,0)</f>
        <v>0</v>
      </c>
    </row>
    <row r="1000" spans="2:25" ht="16.5" hidden="1" thickTop="1" thickBot="1" x14ac:dyDescent="0.3">
      <c r="B1000" s="129">
        <v>1</v>
      </c>
      <c r="C1000" s="130">
        <v>1</v>
      </c>
      <c r="D1000" s="191" t="s">
        <v>38</v>
      </c>
      <c r="E1000" s="152"/>
      <c r="F1000" s="153"/>
      <c r="G1000" s="153"/>
      <c r="H1000" s="154"/>
      <c r="I1000" s="154"/>
      <c r="J1000" s="152"/>
      <c r="K1000" s="155"/>
      <c r="L1000" s="154"/>
      <c r="M1000" s="154"/>
      <c r="N1000" s="156"/>
      <c r="O1000" s="157"/>
      <c r="P1000" s="158"/>
      <c r="Q1000" s="159"/>
      <c r="R1000" s="160"/>
      <c r="S1000" s="161"/>
      <c r="T1000" s="215">
        <f t="shared" si="598"/>
        <v>43647</v>
      </c>
      <c r="U1000" s="216">
        <f t="shared" si="599"/>
        <v>43677</v>
      </c>
      <c r="V1000" s="217">
        <f>IF(G1000-F1000+1-IF(G1000-U1000&gt;0,G1000-U1000,0)-IF(T1000-F1000&gt;0,T1000-F1000,0)&gt;0,G1000-F1000+1-IF(G1000-U1000&gt;0,G1000-U1000,0)-IF(T1000-F1000&gt;0,T1000-F1000,0),0)</f>
        <v>0</v>
      </c>
      <c r="W1000" s="206" t="str">
        <f t="shared" ref="W1000:W1005" si="614">IF(V1000&gt;0,H1000,"")</f>
        <v/>
      </c>
      <c r="X1000" s="218">
        <f t="shared" ref="X1000:X1005" si="615">IF(AND($V1000&gt;0,$I1000=1),P1000/$E1000*$V1000,0)</f>
        <v>0</v>
      </c>
      <c r="Y1000" s="219">
        <f t="shared" ref="Y1000:Y1005" si="616">IF(AND($V1000&gt;0,$I1000&lt;&gt;1),Q1000/$E1000*$V1000,0)</f>
        <v>0</v>
      </c>
    </row>
    <row r="1001" spans="2:25" ht="16.5" hidden="1" thickTop="1" thickBot="1" x14ac:dyDescent="0.3">
      <c r="B1001" s="60">
        <f>B1000</f>
        <v>1</v>
      </c>
      <c r="C1001" s="102">
        <v>2</v>
      </c>
      <c r="D1001" s="192" t="str">
        <f>D1000</f>
        <v>IV</v>
      </c>
      <c r="E1001" s="162"/>
      <c r="F1001" s="163"/>
      <c r="G1001" s="163"/>
      <c r="H1001" s="164"/>
      <c r="I1001" s="164"/>
      <c r="J1001" s="162"/>
      <c r="K1001" s="165"/>
      <c r="L1001" s="164"/>
      <c r="M1001" s="164"/>
      <c r="N1001" s="166"/>
      <c r="O1001" s="167"/>
      <c r="P1001" s="168"/>
      <c r="Q1001" s="169"/>
      <c r="R1001" s="170"/>
      <c r="S1001" s="171"/>
      <c r="T1001" s="203">
        <f t="shared" si="598"/>
        <v>43647</v>
      </c>
      <c r="U1001" s="205">
        <f t="shared" si="599"/>
        <v>43677</v>
      </c>
      <c r="V1001" s="207">
        <f t="shared" ref="V1001:V1006" si="617">IF(G1001-F1001+1-IF(G1001-U1001&gt;0,G1001-U1001,0)-IF(T1001-F1001&gt;0,T1001-F1001,0)&gt;0,G1001-F1001+1-IF(G1001-U1001&gt;0,G1001-U1001,0)-IF(T1001-F1001&gt;0,T1001-F1001,0),0)</f>
        <v>0</v>
      </c>
      <c r="W1001" s="206" t="str">
        <f t="shared" si="614"/>
        <v/>
      </c>
      <c r="X1001" s="206">
        <f t="shared" si="615"/>
        <v>0</v>
      </c>
      <c r="Y1001" s="208">
        <f t="shared" si="616"/>
        <v>0</v>
      </c>
    </row>
    <row r="1002" spans="2:25" ht="16.5" hidden="1" thickTop="1" thickBot="1" x14ac:dyDescent="0.3">
      <c r="B1002" s="60">
        <f>B1000</f>
        <v>1</v>
      </c>
      <c r="C1002" s="102">
        <v>3</v>
      </c>
      <c r="D1002" s="192" t="str">
        <f t="shared" ref="D1002:D1065" si="618">D1001</f>
        <v>IV</v>
      </c>
      <c r="E1002" s="162"/>
      <c r="F1002" s="163"/>
      <c r="G1002" s="163"/>
      <c r="H1002" s="164"/>
      <c r="I1002" s="164"/>
      <c r="J1002" s="162"/>
      <c r="K1002" s="165"/>
      <c r="L1002" s="164"/>
      <c r="M1002" s="164"/>
      <c r="N1002" s="166"/>
      <c r="O1002" s="167"/>
      <c r="P1002" s="168"/>
      <c r="Q1002" s="169"/>
      <c r="R1002" s="170"/>
      <c r="S1002" s="171"/>
      <c r="T1002" s="203">
        <f t="shared" si="598"/>
        <v>43647</v>
      </c>
      <c r="U1002" s="205">
        <f t="shared" si="599"/>
        <v>43677</v>
      </c>
      <c r="V1002" s="207">
        <f t="shared" si="617"/>
        <v>0</v>
      </c>
      <c r="W1002" s="206" t="str">
        <f t="shared" si="614"/>
        <v/>
      </c>
      <c r="X1002" s="206">
        <f t="shared" si="615"/>
        <v>0</v>
      </c>
      <c r="Y1002" s="208">
        <f t="shared" si="616"/>
        <v>0</v>
      </c>
    </row>
    <row r="1003" spans="2:25" ht="16.5" hidden="1" thickTop="1" thickBot="1" x14ac:dyDescent="0.3">
      <c r="B1003" s="60">
        <f>B1000</f>
        <v>1</v>
      </c>
      <c r="C1003" s="102">
        <v>4</v>
      </c>
      <c r="D1003" s="192" t="str">
        <f t="shared" si="618"/>
        <v>IV</v>
      </c>
      <c r="E1003" s="162"/>
      <c r="F1003" s="163"/>
      <c r="G1003" s="163"/>
      <c r="H1003" s="164"/>
      <c r="I1003" s="164"/>
      <c r="J1003" s="162"/>
      <c r="K1003" s="165"/>
      <c r="L1003" s="164"/>
      <c r="M1003" s="164"/>
      <c r="N1003" s="166"/>
      <c r="O1003" s="167"/>
      <c r="P1003" s="168"/>
      <c r="Q1003" s="169"/>
      <c r="R1003" s="170"/>
      <c r="S1003" s="171"/>
      <c r="T1003" s="203">
        <f t="shared" si="598"/>
        <v>43647</v>
      </c>
      <c r="U1003" s="205">
        <f t="shared" si="599"/>
        <v>43677</v>
      </c>
      <c r="V1003" s="207">
        <f t="shared" si="617"/>
        <v>0</v>
      </c>
      <c r="W1003" s="206" t="str">
        <f t="shared" si="614"/>
        <v/>
      </c>
      <c r="X1003" s="206">
        <f t="shared" si="615"/>
        <v>0</v>
      </c>
      <c r="Y1003" s="208">
        <f t="shared" si="616"/>
        <v>0</v>
      </c>
    </row>
    <row r="1004" spans="2:25" ht="16.5" hidden="1" thickTop="1" thickBot="1" x14ac:dyDescent="0.3">
      <c r="B1004" s="60">
        <f>B1000</f>
        <v>1</v>
      </c>
      <c r="C1004" s="102">
        <v>5</v>
      </c>
      <c r="D1004" s="192" t="str">
        <f t="shared" si="618"/>
        <v>IV</v>
      </c>
      <c r="E1004" s="162"/>
      <c r="F1004" s="163"/>
      <c r="G1004" s="163"/>
      <c r="H1004" s="164"/>
      <c r="I1004" s="164"/>
      <c r="J1004" s="162"/>
      <c r="K1004" s="165"/>
      <c r="L1004" s="164"/>
      <c r="M1004" s="164"/>
      <c r="N1004" s="166"/>
      <c r="O1004" s="167"/>
      <c r="P1004" s="168"/>
      <c r="Q1004" s="169"/>
      <c r="R1004" s="170"/>
      <c r="S1004" s="171"/>
      <c r="T1004" s="203">
        <f t="shared" si="598"/>
        <v>43647</v>
      </c>
      <c r="U1004" s="205">
        <f t="shared" si="599"/>
        <v>43677</v>
      </c>
      <c r="V1004" s="207">
        <f t="shared" si="617"/>
        <v>0</v>
      </c>
      <c r="W1004" s="206" t="str">
        <f t="shared" si="614"/>
        <v/>
      </c>
      <c r="X1004" s="206">
        <f t="shared" si="615"/>
        <v>0</v>
      </c>
      <c r="Y1004" s="208">
        <f t="shared" si="616"/>
        <v>0</v>
      </c>
    </row>
    <row r="1005" spans="2:25" ht="16.5" hidden="1" thickTop="1" thickBot="1" x14ac:dyDescent="0.3">
      <c r="B1005" s="86">
        <f>B1004</f>
        <v>1</v>
      </c>
      <c r="C1005" s="103">
        <v>6</v>
      </c>
      <c r="D1005" s="193" t="str">
        <f t="shared" si="618"/>
        <v>IV</v>
      </c>
      <c r="E1005" s="172"/>
      <c r="F1005" s="173"/>
      <c r="G1005" s="173"/>
      <c r="H1005" s="174"/>
      <c r="I1005" s="174"/>
      <c r="J1005" s="172"/>
      <c r="K1005" s="175"/>
      <c r="L1005" s="174"/>
      <c r="M1005" s="174"/>
      <c r="N1005" s="176"/>
      <c r="O1005" s="177"/>
      <c r="P1005" s="178"/>
      <c r="Q1005" s="179"/>
      <c r="R1005" s="180"/>
      <c r="S1005" s="181"/>
      <c r="T1005" s="203">
        <f t="shared" si="598"/>
        <v>43647</v>
      </c>
      <c r="U1005" s="205">
        <f t="shared" si="599"/>
        <v>43677</v>
      </c>
      <c r="V1005" s="207">
        <f t="shared" si="617"/>
        <v>0</v>
      </c>
      <c r="W1005" s="206" t="str">
        <f t="shared" si="614"/>
        <v/>
      </c>
      <c r="X1005" s="206">
        <f t="shared" si="615"/>
        <v>0</v>
      </c>
      <c r="Y1005" s="208">
        <f t="shared" si="616"/>
        <v>0</v>
      </c>
    </row>
    <row r="1006" spans="2:25" ht="16.5" hidden="1" thickTop="1" thickBot="1" x14ac:dyDescent="0.3">
      <c r="B1006" s="141">
        <f>B1000</f>
        <v>1</v>
      </c>
      <c r="C1006" s="142">
        <v>7</v>
      </c>
      <c r="D1006" s="194" t="str">
        <f t="shared" si="618"/>
        <v>IV</v>
      </c>
      <c r="E1006" s="189"/>
      <c r="F1006" s="190"/>
      <c r="G1006" s="190"/>
      <c r="H1006" s="182"/>
      <c r="I1006" s="182"/>
      <c r="J1006" s="436" t="s">
        <v>181</v>
      </c>
      <c r="K1006" s="437"/>
      <c r="L1006" s="438"/>
      <c r="M1006" s="182"/>
      <c r="N1006" s="183"/>
      <c r="O1006" s="184"/>
      <c r="P1006" s="185"/>
      <c r="Q1006" s="186"/>
      <c r="R1006" s="187"/>
      <c r="S1006" s="188"/>
      <c r="T1006" s="213">
        <f t="shared" si="598"/>
        <v>43647</v>
      </c>
      <c r="U1006" s="214">
        <f t="shared" si="599"/>
        <v>43677</v>
      </c>
      <c r="V1006" s="210">
        <f t="shared" si="617"/>
        <v>0</v>
      </c>
      <c r="W1006" s="211"/>
      <c r="X1006" s="211">
        <f>IF(AND($V1006&gt;0,$I1006=1),IF($E1006=10,P1006/10,P1006/$V1006),0)</f>
        <v>0</v>
      </c>
      <c r="Y1006" s="212">
        <f>IF(AND($V1000&gt;0,$I1006&lt;&gt;1),Q1006/E1000*V1000,0)</f>
        <v>0</v>
      </c>
    </row>
    <row r="1007" spans="2:25" ht="16.5" hidden="1" thickTop="1" thickBot="1" x14ac:dyDescent="0.3">
      <c r="B1007" s="91">
        <f>B1006+1</f>
        <v>2</v>
      </c>
      <c r="C1007" s="104">
        <v>8</v>
      </c>
      <c r="D1007" s="195" t="str">
        <f t="shared" si="618"/>
        <v>IV</v>
      </c>
      <c r="E1007" s="92"/>
      <c r="F1007" s="107"/>
      <c r="G1007" s="107"/>
      <c r="H1007" s="93"/>
      <c r="I1007" s="93"/>
      <c r="J1007" s="92"/>
      <c r="K1007" s="94"/>
      <c r="L1007" s="93"/>
      <c r="M1007" s="93"/>
      <c r="N1007" s="119"/>
      <c r="O1007" s="120"/>
      <c r="P1007" s="121"/>
      <c r="Q1007" s="122"/>
      <c r="R1007" s="95"/>
      <c r="S1007" s="110"/>
      <c r="T1007" s="201">
        <f t="shared" si="598"/>
        <v>43647</v>
      </c>
      <c r="U1007" s="202">
        <f t="shared" si="599"/>
        <v>43677</v>
      </c>
      <c r="V1007" s="207">
        <f>IF(G1007-F1007+1-IF(G1007-U1007&gt;0,G1007-U1007,0)-IF(T1007-F1007&gt;0,T1007-F1007,0)&gt;0,G1007-F1007+1-IF(G1007-U1007&gt;0,G1007-U1007,0)-IF(T1007-F1007&gt;0,T1007-F1007,0),0)</f>
        <v>0</v>
      </c>
      <c r="W1007" s="206" t="str">
        <f t="shared" ref="W1007:W1012" si="619">IF(V1007&gt;0,H1007,"")</f>
        <v/>
      </c>
      <c r="X1007" s="206">
        <f t="shared" ref="X1007:X1012" si="620">IF(AND($V1007&gt;0,$I1007=1),P1007/$E1007*$V1007,0)</f>
        <v>0</v>
      </c>
      <c r="Y1007" s="209">
        <f t="shared" ref="Y1007:Y1012" si="621">IF(AND($V1007&gt;0,$I1007&lt;&gt;1),Q1007/$E1007*$V1007,0)</f>
        <v>0</v>
      </c>
    </row>
    <row r="1008" spans="2:25" ht="16.5" hidden="1" thickTop="1" thickBot="1" x14ac:dyDescent="0.3">
      <c r="B1008" s="60">
        <f>B1007</f>
        <v>2</v>
      </c>
      <c r="C1008" s="102">
        <v>9</v>
      </c>
      <c r="D1008" s="192" t="str">
        <f t="shared" si="618"/>
        <v>IV</v>
      </c>
      <c r="E1008" s="62"/>
      <c r="F1008" s="105"/>
      <c r="G1008" s="105"/>
      <c r="H1008" s="61"/>
      <c r="I1008" s="61"/>
      <c r="J1008" s="62"/>
      <c r="K1008" s="63"/>
      <c r="L1008" s="61"/>
      <c r="M1008" s="61"/>
      <c r="N1008" s="111"/>
      <c r="O1008" s="112"/>
      <c r="P1008" s="113"/>
      <c r="Q1008" s="114"/>
      <c r="R1008" s="64"/>
      <c r="S1008" s="108"/>
      <c r="T1008" s="203">
        <f t="shared" si="598"/>
        <v>43647</v>
      </c>
      <c r="U1008" s="204">
        <f t="shared" si="599"/>
        <v>43677</v>
      </c>
      <c r="V1008" s="207">
        <f t="shared" ref="V1008:V1013" si="622">IF(G1008-F1008+1-IF(G1008-U1008&gt;0,G1008-U1008,0)-IF(T1008-F1008&gt;0,T1008-F1008,0)&gt;0,G1008-F1008+1-IF(G1008-U1008&gt;0,G1008-U1008,0)-IF(T1008-F1008&gt;0,T1008-F1008,0),0)</f>
        <v>0</v>
      </c>
      <c r="W1008" s="206" t="str">
        <f t="shared" si="619"/>
        <v/>
      </c>
      <c r="X1008" s="206">
        <f t="shared" si="620"/>
        <v>0</v>
      </c>
      <c r="Y1008" s="209">
        <f t="shared" si="621"/>
        <v>0</v>
      </c>
    </row>
    <row r="1009" spans="2:25" ht="16.5" hidden="1" thickTop="1" thickBot="1" x14ac:dyDescent="0.3">
      <c r="B1009" s="60">
        <f>B1007</f>
        <v>2</v>
      </c>
      <c r="C1009" s="102">
        <v>10</v>
      </c>
      <c r="D1009" s="192" t="str">
        <f t="shared" si="618"/>
        <v>IV</v>
      </c>
      <c r="E1009" s="62"/>
      <c r="F1009" s="105"/>
      <c r="G1009" s="105"/>
      <c r="H1009" s="61"/>
      <c r="I1009" s="61"/>
      <c r="J1009" s="62"/>
      <c r="K1009" s="63"/>
      <c r="L1009" s="61"/>
      <c r="M1009" s="61"/>
      <c r="N1009" s="111"/>
      <c r="O1009" s="112"/>
      <c r="P1009" s="113"/>
      <c r="Q1009" s="114"/>
      <c r="R1009" s="64"/>
      <c r="S1009" s="108"/>
      <c r="T1009" s="203">
        <f t="shared" si="598"/>
        <v>43647</v>
      </c>
      <c r="U1009" s="204">
        <f t="shared" si="599"/>
        <v>43677</v>
      </c>
      <c r="V1009" s="207">
        <f t="shared" si="622"/>
        <v>0</v>
      </c>
      <c r="W1009" s="206" t="str">
        <f t="shared" si="619"/>
        <v/>
      </c>
      <c r="X1009" s="206">
        <f t="shared" si="620"/>
        <v>0</v>
      </c>
      <c r="Y1009" s="209">
        <f t="shared" si="621"/>
        <v>0</v>
      </c>
    </row>
    <row r="1010" spans="2:25" ht="16.5" hidden="1" thickTop="1" thickBot="1" x14ac:dyDescent="0.3">
      <c r="B1010" s="60">
        <f>B1007</f>
        <v>2</v>
      </c>
      <c r="C1010" s="102">
        <v>11</v>
      </c>
      <c r="D1010" s="192" t="str">
        <f t="shared" si="618"/>
        <v>IV</v>
      </c>
      <c r="E1010" s="62"/>
      <c r="F1010" s="105"/>
      <c r="G1010" s="105"/>
      <c r="H1010" s="61"/>
      <c r="I1010" s="61"/>
      <c r="J1010" s="62"/>
      <c r="K1010" s="63"/>
      <c r="L1010" s="61"/>
      <c r="M1010" s="61"/>
      <c r="N1010" s="111"/>
      <c r="O1010" s="112"/>
      <c r="P1010" s="113"/>
      <c r="Q1010" s="114"/>
      <c r="R1010" s="64"/>
      <c r="S1010" s="108"/>
      <c r="T1010" s="203">
        <f t="shared" si="598"/>
        <v>43647</v>
      </c>
      <c r="U1010" s="204">
        <f t="shared" si="599"/>
        <v>43677</v>
      </c>
      <c r="V1010" s="207">
        <f t="shared" si="622"/>
        <v>0</v>
      </c>
      <c r="W1010" s="206" t="str">
        <f t="shared" si="619"/>
        <v/>
      </c>
      <c r="X1010" s="206">
        <f t="shared" si="620"/>
        <v>0</v>
      </c>
      <c r="Y1010" s="209">
        <f t="shared" si="621"/>
        <v>0</v>
      </c>
    </row>
    <row r="1011" spans="2:25" ht="16.5" hidden="1" thickTop="1" thickBot="1" x14ac:dyDescent="0.3">
      <c r="B1011" s="60">
        <f>B1007</f>
        <v>2</v>
      </c>
      <c r="C1011" s="102">
        <v>12</v>
      </c>
      <c r="D1011" s="192" t="str">
        <f t="shared" si="618"/>
        <v>IV</v>
      </c>
      <c r="E1011" s="62"/>
      <c r="F1011" s="105"/>
      <c r="G1011" s="105"/>
      <c r="H1011" s="61"/>
      <c r="I1011" s="61"/>
      <c r="J1011" s="62"/>
      <c r="K1011" s="63"/>
      <c r="L1011" s="61"/>
      <c r="M1011" s="61"/>
      <c r="N1011" s="111"/>
      <c r="O1011" s="112"/>
      <c r="P1011" s="113"/>
      <c r="Q1011" s="114"/>
      <c r="R1011" s="64"/>
      <c r="S1011" s="108"/>
      <c r="T1011" s="203">
        <f t="shared" si="598"/>
        <v>43647</v>
      </c>
      <c r="U1011" s="204">
        <f t="shared" si="599"/>
        <v>43677</v>
      </c>
      <c r="V1011" s="207">
        <f t="shared" si="622"/>
        <v>0</v>
      </c>
      <c r="W1011" s="206" t="str">
        <f t="shared" si="619"/>
        <v/>
      </c>
      <c r="X1011" s="206">
        <f t="shared" si="620"/>
        <v>0</v>
      </c>
      <c r="Y1011" s="209">
        <f t="shared" si="621"/>
        <v>0</v>
      </c>
    </row>
    <row r="1012" spans="2:25" ht="16.5" hidden="1" thickTop="1" thickBot="1" x14ac:dyDescent="0.3">
      <c r="B1012" s="86">
        <f>B1007</f>
        <v>2</v>
      </c>
      <c r="C1012" s="103">
        <v>13</v>
      </c>
      <c r="D1012" s="193" t="str">
        <f t="shared" si="618"/>
        <v>IV</v>
      </c>
      <c r="E1012" s="87"/>
      <c r="F1012" s="106"/>
      <c r="G1012" s="106"/>
      <c r="H1012" s="88"/>
      <c r="I1012" s="88"/>
      <c r="J1012" s="87"/>
      <c r="K1012" s="89"/>
      <c r="L1012" s="88"/>
      <c r="M1012" s="88"/>
      <c r="N1012" s="115"/>
      <c r="O1012" s="116"/>
      <c r="P1012" s="117"/>
      <c r="Q1012" s="118"/>
      <c r="R1012" s="90"/>
      <c r="S1012" s="109"/>
      <c r="T1012" s="203">
        <f t="shared" si="598"/>
        <v>43647</v>
      </c>
      <c r="U1012" s="204">
        <f t="shared" si="599"/>
        <v>43677</v>
      </c>
      <c r="V1012" s="207">
        <f t="shared" si="622"/>
        <v>0</v>
      </c>
      <c r="W1012" s="206" t="str">
        <f t="shared" si="619"/>
        <v/>
      </c>
      <c r="X1012" s="206">
        <f t="shared" si="620"/>
        <v>0</v>
      </c>
      <c r="Y1012" s="209">
        <f t="shared" si="621"/>
        <v>0</v>
      </c>
    </row>
    <row r="1013" spans="2:25" ht="16.5" hidden="1" thickTop="1" thickBot="1" x14ac:dyDescent="0.3">
      <c r="B1013" s="141">
        <f>B1007</f>
        <v>2</v>
      </c>
      <c r="C1013" s="142">
        <v>14</v>
      </c>
      <c r="D1013" s="194" t="str">
        <f t="shared" si="618"/>
        <v>IV</v>
      </c>
      <c r="E1013" s="143"/>
      <c r="F1013" s="144"/>
      <c r="G1013" s="144"/>
      <c r="H1013" s="145"/>
      <c r="I1013" s="145"/>
      <c r="J1013" s="436" t="s">
        <v>181</v>
      </c>
      <c r="K1013" s="437"/>
      <c r="L1013" s="438"/>
      <c r="M1013" s="145"/>
      <c r="N1013" s="146"/>
      <c r="O1013" s="147"/>
      <c r="P1013" s="148"/>
      <c r="Q1013" s="149"/>
      <c r="R1013" s="150"/>
      <c r="S1013" s="151"/>
      <c r="T1013" s="213">
        <f t="shared" si="598"/>
        <v>43647</v>
      </c>
      <c r="U1013" s="214">
        <f t="shared" si="599"/>
        <v>43677</v>
      </c>
      <c r="V1013" s="210">
        <f t="shared" si="622"/>
        <v>0</v>
      </c>
      <c r="W1013" s="211"/>
      <c r="X1013" s="211">
        <f>IF(AND($V1013&gt;0,$I1013=1),IF($E1013=10,P1013/10,P1013/$V1013),0)</f>
        <v>0</v>
      </c>
      <c r="Y1013" s="212">
        <f>IF(AND($V1007&gt;0,$I1013&lt;&gt;1),Q1013/E1007*V1007,0)</f>
        <v>0</v>
      </c>
    </row>
    <row r="1014" spans="2:25" ht="16.5" hidden="1" thickTop="1" thickBot="1" x14ac:dyDescent="0.3">
      <c r="B1014" s="129">
        <f>B1012+1</f>
        <v>3</v>
      </c>
      <c r="C1014" s="130">
        <v>15</v>
      </c>
      <c r="D1014" s="196" t="str">
        <f t="shared" si="618"/>
        <v>IV</v>
      </c>
      <c r="E1014" s="152"/>
      <c r="F1014" s="153"/>
      <c r="G1014" s="153"/>
      <c r="H1014" s="154"/>
      <c r="I1014" s="154"/>
      <c r="J1014" s="152"/>
      <c r="K1014" s="155"/>
      <c r="L1014" s="154"/>
      <c r="M1014" s="154"/>
      <c r="N1014" s="156"/>
      <c r="O1014" s="157"/>
      <c r="P1014" s="158"/>
      <c r="Q1014" s="159"/>
      <c r="R1014" s="160"/>
      <c r="S1014" s="161"/>
      <c r="T1014" s="203">
        <f t="shared" si="598"/>
        <v>43647</v>
      </c>
      <c r="U1014" s="204">
        <f t="shared" si="599"/>
        <v>43677</v>
      </c>
      <c r="V1014" s="207">
        <f>IF(G1014-F1014+1-IF(G1014-U1014&gt;0,G1014-U1014,0)-IF(T1014-F1014&gt;0,T1014-F1014,0)&gt;0,G1014-F1014+1-IF(G1014-U1014&gt;0,G1014-U1014,0)-IF(T1014-F1014&gt;0,T1014-F1014,0),0)</f>
        <v>0</v>
      </c>
      <c r="W1014" s="206" t="str">
        <f t="shared" ref="W1014:W1019" si="623">IF(V1014&gt;0,H1014,"")</f>
        <v/>
      </c>
      <c r="X1014" s="206">
        <f t="shared" ref="X1014:X1019" si="624">IF(AND($V1014&gt;0,$I1014=1),P1014/$E1014*$V1014,0)</f>
        <v>0</v>
      </c>
      <c r="Y1014" s="209">
        <f t="shared" ref="Y1014:Y1019" si="625">IF(AND($V1014&gt;0,$I1014&lt;&gt;1),Q1014/$E1014*$V1014,0)</f>
        <v>0</v>
      </c>
    </row>
    <row r="1015" spans="2:25" ht="16.5" hidden="1" thickTop="1" thickBot="1" x14ac:dyDescent="0.3">
      <c r="B1015" s="60">
        <f>B1014</f>
        <v>3</v>
      </c>
      <c r="C1015" s="102">
        <v>16</v>
      </c>
      <c r="D1015" s="192" t="str">
        <f t="shared" si="618"/>
        <v>IV</v>
      </c>
      <c r="E1015" s="162"/>
      <c r="F1015" s="163"/>
      <c r="G1015" s="163"/>
      <c r="H1015" s="164"/>
      <c r="I1015" s="164"/>
      <c r="J1015" s="162"/>
      <c r="K1015" s="165"/>
      <c r="L1015" s="164"/>
      <c r="M1015" s="164"/>
      <c r="N1015" s="166"/>
      <c r="O1015" s="167"/>
      <c r="P1015" s="168"/>
      <c r="Q1015" s="169"/>
      <c r="R1015" s="170"/>
      <c r="S1015" s="171"/>
      <c r="T1015" s="203">
        <f t="shared" si="598"/>
        <v>43647</v>
      </c>
      <c r="U1015" s="204">
        <f t="shared" si="599"/>
        <v>43677</v>
      </c>
      <c r="V1015" s="207">
        <f t="shared" ref="V1015:V1020" si="626">IF(G1015-F1015+1-IF(G1015-U1015&gt;0,G1015-U1015,0)-IF(T1015-F1015&gt;0,T1015-F1015,0)&gt;0,G1015-F1015+1-IF(G1015-U1015&gt;0,G1015-U1015,0)-IF(T1015-F1015&gt;0,T1015-F1015,0),0)</f>
        <v>0</v>
      </c>
      <c r="W1015" s="206" t="str">
        <f t="shared" si="623"/>
        <v/>
      </c>
      <c r="X1015" s="206">
        <f t="shared" si="624"/>
        <v>0</v>
      </c>
      <c r="Y1015" s="209">
        <f t="shared" si="625"/>
        <v>0</v>
      </c>
    </row>
    <row r="1016" spans="2:25" ht="16.5" hidden="1" thickTop="1" thickBot="1" x14ac:dyDescent="0.3">
      <c r="B1016" s="60">
        <f>B1014</f>
        <v>3</v>
      </c>
      <c r="C1016" s="102">
        <v>17</v>
      </c>
      <c r="D1016" s="192" t="str">
        <f t="shared" si="618"/>
        <v>IV</v>
      </c>
      <c r="E1016" s="162"/>
      <c r="F1016" s="163"/>
      <c r="G1016" s="163"/>
      <c r="H1016" s="164"/>
      <c r="I1016" s="164"/>
      <c r="J1016" s="162"/>
      <c r="K1016" s="165"/>
      <c r="L1016" s="164"/>
      <c r="M1016" s="164"/>
      <c r="N1016" s="166"/>
      <c r="O1016" s="167"/>
      <c r="P1016" s="168"/>
      <c r="Q1016" s="169"/>
      <c r="R1016" s="170"/>
      <c r="S1016" s="171"/>
      <c r="T1016" s="203">
        <f t="shared" si="598"/>
        <v>43647</v>
      </c>
      <c r="U1016" s="204">
        <f t="shared" si="599"/>
        <v>43677</v>
      </c>
      <c r="V1016" s="207">
        <f t="shared" si="626"/>
        <v>0</v>
      </c>
      <c r="W1016" s="206" t="str">
        <f t="shared" si="623"/>
        <v/>
      </c>
      <c r="X1016" s="206">
        <f t="shared" si="624"/>
        <v>0</v>
      </c>
      <c r="Y1016" s="209">
        <f t="shared" si="625"/>
        <v>0</v>
      </c>
    </row>
    <row r="1017" spans="2:25" ht="16.5" hidden="1" thickTop="1" thickBot="1" x14ac:dyDescent="0.3">
      <c r="B1017" s="60">
        <f>B1014</f>
        <v>3</v>
      </c>
      <c r="C1017" s="102">
        <v>18</v>
      </c>
      <c r="D1017" s="192" t="str">
        <f t="shared" si="618"/>
        <v>IV</v>
      </c>
      <c r="E1017" s="162"/>
      <c r="F1017" s="163"/>
      <c r="G1017" s="163"/>
      <c r="H1017" s="164"/>
      <c r="I1017" s="164"/>
      <c r="J1017" s="162"/>
      <c r="K1017" s="165"/>
      <c r="L1017" s="164"/>
      <c r="M1017" s="164"/>
      <c r="N1017" s="166"/>
      <c r="O1017" s="167"/>
      <c r="P1017" s="168"/>
      <c r="Q1017" s="169"/>
      <c r="R1017" s="170"/>
      <c r="S1017" s="171"/>
      <c r="T1017" s="203">
        <f t="shared" si="598"/>
        <v>43647</v>
      </c>
      <c r="U1017" s="204">
        <f t="shared" si="599"/>
        <v>43677</v>
      </c>
      <c r="V1017" s="207">
        <f t="shared" si="626"/>
        <v>0</v>
      </c>
      <c r="W1017" s="206" t="str">
        <f t="shared" si="623"/>
        <v/>
      </c>
      <c r="X1017" s="206">
        <f t="shared" si="624"/>
        <v>0</v>
      </c>
      <c r="Y1017" s="209">
        <f t="shared" si="625"/>
        <v>0</v>
      </c>
    </row>
    <row r="1018" spans="2:25" ht="16.5" hidden="1" thickTop="1" thickBot="1" x14ac:dyDescent="0.3">
      <c r="B1018" s="60">
        <f>B1014</f>
        <v>3</v>
      </c>
      <c r="C1018" s="102">
        <v>19</v>
      </c>
      <c r="D1018" s="192" t="str">
        <f t="shared" si="618"/>
        <v>IV</v>
      </c>
      <c r="E1018" s="162"/>
      <c r="F1018" s="163"/>
      <c r="G1018" s="163"/>
      <c r="H1018" s="164"/>
      <c r="I1018" s="164"/>
      <c r="J1018" s="162"/>
      <c r="K1018" s="165"/>
      <c r="L1018" s="164"/>
      <c r="M1018" s="164"/>
      <c r="N1018" s="166"/>
      <c r="O1018" s="167"/>
      <c r="P1018" s="168"/>
      <c r="Q1018" s="169"/>
      <c r="R1018" s="170"/>
      <c r="S1018" s="171"/>
      <c r="T1018" s="203">
        <f t="shared" si="598"/>
        <v>43647</v>
      </c>
      <c r="U1018" s="204">
        <f t="shared" si="599"/>
        <v>43677</v>
      </c>
      <c r="V1018" s="207">
        <f t="shared" si="626"/>
        <v>0</v>
      </c>
      <c r="W1018" s="206" t="str">
        <f t="shared" si="623"/>
        <v/>
      </c>
      <c r="X1018" s="206">
        <f t="shared" si="624"/>
        <v>0</v>
      </c>
      <c r="Y1018" s="209">
        <f t="shared" si="625"/>
        <v>0</v>
      </c>
    </row>
    <row r="1019" spans="2:25" ht="16.5" hidden="1" thickTop="1" thickBot="1" x14ac:dyDescent="0.3">
      <c r="B1019" s="60">
        <f>B1014</f>
        <v>3</v>
      </c>
      <c r="C1019" s="102">
        <v>20</v>
      </c>
      <c r="D1019" s="192" t="str">
        <f t="shared" si="618"/>
        <v>IV</v>
      </c>
      <c r="E1019" s="172"/>
      <c r="F1019" s="173"/>
      <c r="G1019" s="173"/>
      <c r="H1019" s="174"/>
      <c r="I1019" s="174"/>
      <c r="J1019" s="172"/>
      <c r="K1019" s="175"/>
      <c r="L1019" s="174"/>
      <c r="M1019" s="174"/>
      <c r="N1019" s="176"/>
      <c r="O1019" s="177"/>
      <c r="P1019" s="178"/>
      <c r="Q1019" s="179"/>
      <c r="R1019" s="180"/>
      <c r="S1019" s="181"/>
      <c r="T1019" s="203">
        <f t="shared" si="598"/>
        <v>43647</v>
      </c>
      <c r="U1019" s="204">
        <f t="shared" si="599"/>
        <v>43677</v>
      </c>
      <c r="V1019" s="207">
        <f t="shared" si="626"/>
        <v>0</v>
      </c>
      <c r="W1019" s="206" t="str">
        <f t="shared" si="623"/>
        <v/>
      </c>
      <c r="X1019" s="206">
        <f t="shared" si="624"/>
        <v>0</v>
      </c>
      <c r="Y1019" s="209">
        <f t="shared" si="625"/>
        <v>0</v>
      </c>
    </row>
    <row r="1020" spans="2:25" ht="16.5" hidden="1" thickTop="1" thickBot="1" x14ac:dyDescent="0.3">
      <c r="B1020" s="141">
        <f>B1014</f>
        <v>3</v>
      </c>
      <c r="C1020" s="142">
        <v>21</v>
      </c>
      <c r="D1020" s="194" t="str">
        <f t="shared" si="618"/>
        <v>IV</v>
      </c>
      <c r="E1020" s="189"/>
      <c r="F1020" s="190"/>
      <c r="G1020" s="190"/>
      <c r="H1020" s="182"/>
      <c r="I1020" s="182"/>
      <c r="J1020" s="436" t="s">
        <v>181</v>
      </c>
      <c r="K1020" s="437"/>
      <c r="L1020" s="438"/>
      <c r="M1020" s="182"/>
      <c r="N1020" s="183"/>
      <c r="O1020" s="184"/>
      <c r="P1020" s="185"/>
      <c r="Q1020" s="186"/>
      <c r="R1020" s="187"/>
      <c r="S1020" s="188"/>
      <c r="T1020" s="213">
        <f t="shared" si="598"/>
        <v>43647</v>
      </c>
      <c r="U1020" s="214">
        <f t="shared" si="599"/>
        <v>43677</v>
      </c>
      <c r="V1020" s="210">
        <f t="shared" si="626"/>
        <v>0</v>
      </c>
      <c r="W1020" s="211"/>
      <c r="X1020" s="211">
        <f>IF(AND($V1020&gt;0,$I1020=1),IF($E1020=10,P1020/10,P1020/$V1020),0)</f>
        <v>0</v>
      </c>
      <c r="Y1020" s="212">
        <f>IF(AND($V1014&gt;0,$I1020&lt;&gt;1),Q1020/E1014*V1014,0)</f>
        <v>0</v>
      </c>
    </row>
    <row r="1021" spans="2:25" ht="30.75" thickTop="1" x14ac:dyDescent="0.25">
      <c r="B1021" s="129">
        <f>B1019+1</f>
        <v>4</v>
      </c>
      <c r="C1021" s="130">
        <v>22</v>
      </c>
      <c r="D1021" s="196" t="str">
        <f t="shared" si="618"/>
        <v>IV</v>
      </c>
      <c r="E1021" s="131">
        <v>10</v>
      </c>
      <c r="F1021" s="132">
        <v>43664</v>
      </c>
      <c r="G1021" s="132">
        <v>43673</v>
      </c>
      <c r="H1021" s="133" t="s">
        <v>246</v>
      </c>
      <c r="I1021" s="133">
        <v>1</v>
      </c>
      <c r="J1021" s="131" t="s">
        <v>168</v>
      </c>
      <c r="K1021" s="134" t="s">
        <v>16</v>
      </c>
      <c r="L1021" s="133">
        <v>1</v>
      </c>
      <c r="M1021" s="133">
        <v>7</v>
      </c>
      <c r="N1021" s="135">
        <v>44</v>
      </c>
      <c r="O1021" s="136">
        <v>44</v>
      </c>
      <c r="P1021" s="137">
        <v>44</v>
      </c>
      <c r="Q1021" s="138"/>
      <c r="R1021" s="139" t="s">
        <v>4</v>
      </c>
      <c r="S1021" s="140">
        <v>43620</v>
      </c>
      <c r="T1021" s="203">
        <f t="shared" si="598"/>
        <v>43647</v>
      </c>
      <c r="U1021" s="204">
        <f t="shared" si="599"/>
        <v>43677</v>
      </c>
      <c r="V1021" s="207">
        <f>IF(G1021-F1021+1-IF(G1021-U1021&gt;0,G1021-U1021,0)-IF(T1021-F1021&gt;0,T1021-F1021,0)&gt;0,G1021-F1021+1-IF(G1021-U1021&gt;0,G1021-U1021,0)-IF(T1021-F1021&gt;0,T1021-F1021,0),0)</f>
        <v>10</v>
      </c>
      <c r="W1021" s="206" t="str">
        <f t="shared" ref="W1021:W1026" si="627">IF(V1021&gt;0,H1021,"")</f>
        <v>Ивайло Стоянов</v>
      </c>
      <c r="X1021" s="206">
        <f t="shared" ref="X1021:X1026" si="628">IF(AND($V1021&gt;0,$I1021=1),P1021/$E1021*$V1021,0)</f>
        <v>44</v>
      </c>
      <c r="Y1021" s="209">
        <f t="shared" ref="Y1021:Y1026" si="629">IF(AND($V1021&gt;0,$I1021&lt;&gt;1),Q1021/$E1021*$V1021,0)</f>
        <v>0</v>
      </c>
    </row>
    <row r="1022" spans="2:25" hidden="1" x14ac:dyDescent="0.25">
      <c r="B1022" s="60">
        <f>B1021</f>
        <v>4</v>
      </c>
      <c r="C1022" s="102">
        <v>23</v>
      </c>
      <c r="D1022" s="192" t="str">
        <f t="shared" si="618"/>
        <v>IV</v>
      </c>
      <c r="E1022" s="62"/>
      <c r="F1022" s="105"/>
      <c r="G1022" s="105"/>
      <c r="H1022" s="61"/>
      <c r="I1022" s="61"/>
      <c r="J1022" s="62"/>
      <c r="K1022" s="63"/>
      <c r="L1022" s="61"/>
      <c r="M1022" s="61"/>
      <c r="N1022" s="111"/>
      <c r="O1022" s="112"/>
      <c r="P1022" s="113"/>
      <c r="Q1022" s="114"/>
      <c r="R1022" s="64"/>
      <c r="S1022" s="108"/>
      <c r="T1022" s="203">
        <f t="shared" si="598"/>
        <v>43647</v>
      </c>
      <c r="U1022" s="204">
        <f t="shared" si="599"/>
        <v>43677</v>
      </c>
      <c r="V1022" s="207">
        <f t="shared" ref="V1022:V1027" si="630">IF(G1022-F1022+1-IF(G1022-U1022&gt;0,G1022-U1022,0)-IF(T1022-F1022&gt;0,T1022-F1022,0)&gt;0,G1022-F1022+1-IF(G1022-U1022&gt;0,G1022-U1022,0)-IF(T1022-F1022&gt;0,T1022-F1022,0),0)</f>
        <v>0</v>
      </c>
      <c r="W1022" s="206" t="str">
        <f t="shared" si="627"/>
        <v/>
      </c>
      <c r="X1022" s="206">
        <f t="shared" si="628"/>
        <v>0</v>
      </c>
      <c r="Y1022" s="209">
        <f t="shared" si="629"/>
        <v>0</v>
      </c>
    </row>
    <row r="1023" spans="2:25" hidden="1" x14ac:dyDescent="0.25">
      <c r="B1023" s="60">
        <f>B1021</f>
        <v>4</v>
      </c>
      <c r="C1023" s="102">
        <v>24</v>
      </c>
      <c r="D1023" s="192" t="str">
        <f t="shared" si="618"/>
        <v>IV</v>
      </c>
      <c r="E1023" s="62"/>
      <c r="F1023" s="105"/>
      <c r="G1023" s="105"/>
      <c r="H1023" s="61"/>
      <c r="I1023" s="61"/>
      <c r="J1023" s="62"/>
      <c r="K1023" s="63"/>
      <c r="L1023" s="61"/>
      <c r="M1023" s="61"/>
      <c r="N1023" s="111"/>
      <c r="O1023" s="112"/>
      <c r="P1023" s="113"/>
      <c r="Q1023" s="114"/>
      <c r="R1023" s="64"/>
      <c r="S1023" s="108"/>
      <c r="T1023" s="203">
        <f t="shared" si="598"/>
        <v>43647</v>
      </c>
      <c r="U1023" s="204">
        <f t="shared" si="599"/>
        <v>43677</v>
      </c>
      <c r="V1023" s="207">
        <f t="shared" si="630"/>
        <v>0</v>
      </c>
      <c r="W1023" s="206" t="str">
        <f t="shared" si="627"/>
        <v/>
      </c>
      <c r="X1023" s="206">
        <f t="shared" si="628"/>
        <v>0</v>
      </c>
      <c r="Y1023" s="209">
        <f t="shared" si="629"/>
        <v>0</v>
      </c>
    </row>
    <row r="1024" spans="2:25" hidden="1" x14ac:dyDescent="0.25">
      <c r="B1024" s="60">
        <f>B1021</f>
        <v>4</v>
      </c>
      <c r="C1024" s="102">
        <v>25</v>
      </c>
      <c r="D1024" s="192" t="str">
        <f t="shared" si="618"/>
        <v>IV</v>
      </c>
      <c r="E1024" s="62"/>
      <c r="F1024" s="105"/>
      <c r="G1024" s="105"/>
      <c r="H1024" s="61"/>
      <c r="I1024" s="61"/>
      <c r="J1024" s="62"/>
      <c r="K1024" s="63"/>
      <c r="L1024" s="61"/>
      <c r="M1024" s="61"/>
      <c r="N1024" s="111"/>
      <c r="O1024" s="112"/>
      <c r="P1024" s="113"/>
      <c r="Q1024" s="114"/>
      <c r="R1024" s="64"/>
      <c r="S1024" s="108"/>
      <c r="T1024" s="203">
        <f t="shared" si="598"/>
        <v>43647</v>
      </c>
      <c r="U1024" s="204">
        <f t="shared" si="599"/>
        <v>43677</v>
      </c>
      <c r="V1024" s="207">
        <f t="shared" si="630"/>
        <v>0</v>
      </c>
      <c r="W1024" s="206" t="str">
        <f t="shared" si="627"/>
        <v/>
      </c>
      <c r="X1024" s="206">
        <f t="shared" si="628"/>
        <v>0</v>
      </c>
      <c r="Y1024" s="209">
        <f t="shared" si="629"/>
        <v>0</v>
      </c>
    </row>
    <row r="1025" spans="2:25" hidden="1" x14ac:dyDescent="0.25">
      <c r="B1025" s="60">
        <f>B1021</f>
        <v>4</v>
      </c>
      <c r="C1025" s="102">
        <v>26</v>
      </c>
      <c r="D1025" s="192" t="str">
        <f t="shared" si="618"/>
        <v>IV</v>
      </c>
      <c r="E1025" s="62"/>
      <c r="F1025" s="105"/>
      <c r="G1025" s="105"/>
      <c r="H1025" s="61"/>
      <c r="I1025" s="61"/>
      <c r="J1025" s="62"/>
      <c r="K1025" s="63"/>
      <c r="L1025" s="61"/>
      <c r="M1025" s="61"/>
      <c r="N1025" s="111"/>
      <c r="O1025" s="112"/>
      <c r="P1025" s="113"/>
      <c r="Q1025" s="114"/>
      <c r="R1025" s="64"/>
      <c r="S1025" s="108"/>
      <c r="T1025" s="203">
        <f t="shared" si="598"/>
        <v>43647</v>
      </c>
      <c r="U1025" s="204">
        <f t="shared" si="599"/>
        <v>43677</v>
      </c>
      <c r="V1025" s="207">
        <f t="shared" si="630"/>
        <v>0</v>
      </c>
      <c r="W1025" s="206" t="str">
        <f t="shared" si="627"/>
        <v/>
      </c>
      <c r="X1025" s="206">
        <f t="shared" si="628"/>
        <v>0</v>
      </c>
      <c r="Y1025" s="209">
        <f t="shared" si="629"/>
        <v>0</v>
      </c>
    </row>
    <row r="1026" spans="2:25" hidden="1" x14ac:dyDescent="0.25">
      <c r="B1026" s="60">
        <f>B1021</f>
        <v>4</v>
      </c>
      <c r="C1026" s="102">
        <v>27</v>
      </c>
      <c r="D1026" s="192" t="str">
        <f t="shared" si="618"/>
        <v>IV</v>
      </c>
      <c r="E1026" s="62"/>
      <c r="F1026" s="105"/>
      <c r="G1026" s="105"/>
      <c r="H1026" s="61"/>
      <c r="I1026" s="61"/>
      <c r="J1026" s="62"/>
      <c r="K1026" s="63"/>
      <c r="L1026" s="61"/>
      <c r="M1026" s="61"/>
      <c r="N1026" s="111"/>
      <c r="O1026" s="112"/>
      <c r="P1026" s="113"/>
      <c r="Q1026" s="114"/>
      <c r="R1026" s="64"/>
      <c r="S1026" s="108"/>
      <c r="T1026" s="203">
        <f t="shared" si="598"/>
        <v>43647</v>
      </c>
      <c r="U1026" s="204">
        <f t="shared" si="599"/>
        <v>43677</v>
      </c>
      <c r="V1026" s="207">
        <f t="shared" si="630"/>
        <v>0</v>
      </c>
      <c r="W1026" s="206" t="str">
        <f t="shared" si="627"/>
        <v/>
      </c>
      <c r="X1026" s="206">
        <f t="shared" si="628"/>
        <v>0</v>
      </c>
      <c r="Y1026" s="209">
        <f t="shared" si="629"/>
        <v>0</v>
      </c>
    </row>
    <row r="1027" spans="2:25" ht="15.75" thickBot="1" x14ac:dyDescent="0.3">
      <c r="B1027" s="141">
        <f>B1021</f>
        <v>4</v>
      </c>
      <c r="C1027" s="142">
        <v>28</v>
      </c>
      <c r="D1027" s="194" t="str">
        <f t="shared" si="618"/>
        <v>IV</v>
      </c>
      <c r="E1027" s="143"/>
      <c r="F1027" s="144"/>
      <c r="G1027" s="144"/>
      <c r="H1027" s="145"/>
      <c r="I1027" s="145"/>
      <c r="J1027" s="436" t="s">
        <v>181</v>
      </c>
      <c r="K1027" s="437"/>
      <c r="L1027" s="438"/>
      <c r="M1027" s="145"/>
      <c r="N1027" s="146">
        <v>10</v>
      </c>
      <c r="O1027" s="147">
        <v>10</v>
      </c>
      <c r="P1027" s="148"/>
      <c r="Q1027" s="149">
        <v>10</v>
      </c>
      <c r="R1027" s="150" t="s">
        <v>4</v>
      </c>
      <c r="S1027" s="151">
        <v>43620</v>
      </c>
      <c r="T1027" s="213">
        <f t="shared" si="598"/>
        <v>43647</v>
      </c>
      <c r="U1027" s="214">
        <f t="shared" si="599"/>
        <v>43677</v>
      </c>
      <c r="V1027" s="210">
        <f t="shared" si="630"/>
        <v>0</v>
      </c>
      <c r="W1027" s="211"/>
      <c r="X1027" s="211">
        <f>IF(AND($V1027&gt;0,$I1027=1),IF($E1027=10,P1027/10,P1027/$V1027),0)</f>
        <v>0</v>
      </c>
      <c r="Y1027" s="212">
        <f>IF(AND($V1021&gt;0,$I1027&lt;&gt;1),Q1027/E1021*V1021,0)</f>
        <v>10</v>
      </c>
    </row>
    <row r="1028" spans="2:25" ht="30.75" thickTop="1" x14ac:dyDescent="0.25">
      <c r="B1028" s="129">
        <f>B1026+1</f>
        <v>5</v>
      </c>
      <c r="C1028" s="130">
        <v>29</v>
      </c>
      <c r="D1028" s="196" t="str">
        <f t="shared" si="618"/>
        <v>IV</v>
      </c>
      <c r="E1028" s="152">
        <v>10</v>
      </c>
      <c r="F1028" s="153">
        <v>43664</v>
      </c>
      <c r="G1028" s="153">
        <v>43673</v>
      </c>
      <c r="H1028" s="154" t="s">
        <v>240</v>
      </c>
      <c r="I1028" s="154">
        <v>1</v>
      </c>
      <c r="J1028" s="152" t="s">
        <v>168</v>
      </c>
      <c r="K1028" s="155" t="s">
        <v>16</v>
      </c>
      <c r="L1028" s="154">
        <v>1</v>
      </c>
      <c r="M1028" s="154">
        <v>7</v>
      </c>
      <c r="N1028" s="156">
        <v>44</v>
      </c>
      <c r="O1028" s="157">
        <v>44</v>
      </c>
      <c r="P1028" s="158">
        <v>44</v>
      </c>
      <c r="Q1028" s="159"/>
      <c r="R1028" s="160" t="s">
        <v>4</v>
      </c>
      <c r="S1028" s="161">
        <v>43620</v>
      </c>
      <c r="T1028" s="203">
        <f t="shared" si="598"/>
        <v>43647</v>
      </c>
      <c r="U1028" s="204">
        <f t="shared" si="599"/>
        <v>43677</v>
      </c>
      <c r="V1028" s="207">
        <f>IF(G1028-F1028+1-IF(G1028-U1028&gt;0,G1028-U1028,0)-IF(T1028-F1028&gt;0,T1028-F1028,0)&gt;0,G1028-F1028+1-IF(G1028-U1028&gt;0,G1028-U1028,0)-IF(T1028-F1028&gt;0,T1028-F1028,0),0)</f>
        <v>10</v>
      </c>
      <c r="W1028" s="206" t="str">
        <f t="shared" ref="W1028:W1033" si="631">IF(V1028&gt;0,H1028,"")</f>
        <v>Илия Тодоров</v>
      </c>
      <c r="X1028" s="206">
        <f t="shared" ref="X1028:X1033" si="632">IF(AND($V1028&gt;0,$I1028=1),P1028/$E1028*$V1028,0)</f>
        <v>44</v>
      </c>
      <c r="Y1028" s="209">
        <f t="shared" ref="Y1028:Y1033" si="633">IF(AND($V1028&gt;0,$I1028&lt;&gt;1),Q1028/$E1028*$V1028,0)</f>
        <v>0</v>
      </c>
    </row>
    <row r="1029" spans="2:25" hidden="1" x14ac:dyDescent="0.25">
      <c r="B1029" s="60">
        <f>B1028</f>
        <v>5</v>
      </c>
      <c r="C1029" s="102">
        <v>30</v>
      </c>
      <c r="D1029" s="192" t="str">
        <f t="shared" si="618"/>
        <v>IV</v>
      </c>
      <c r="E1029" s="162"/>
      <c r="F1029" s="163"/>
      <c r="G1029" s="163"/>
      <c r="H1029" s="164"/>
      <c r="I1029" s="164"/>
      <c r="J1029" s="162"/>
      <c r="K1029" s="165"/>
      <c r="L1029" s="164"/>
      <c r="M1029" s="164"/>
      <c r="N1029" s="166"/>
      <c r="O1029" s="167"/>
      <c r="P1029" s="168"/>
      <c r="Q1029" s="169"/>
      <c r="R1029" s="170"/>
      <c r="S1029" s="171"/>
      <c r="T1029" s="203">
        <f t="shared" si="598"/>
        <v>43647</v>
      </c>
      <c r="U1029" s="204">
        <f t="shared" si="599"/>
        <v>43677</v>
      </c>
      <c r="V1029" s="207">
        <f t="shared" ref="V1029:V1034" si="634">IF(G1029-F1029+1-IF(G1029-U1029&gt;0,G1029-U1029,0)-IF(T1029-F1029&gt;0,T1029-F1029,0)&gt;0,G1029-F1029+1-IF(G1029-U1029&gt;0,G1029-U1029,0)-IF(T1029-F1029&gt;0,T1029-F1029,0),0)</f>
        <v>0</v>
      </c>
      <c r="W1029" s="206" t="str">
        <f t="shared" si="631"/>
        <v/>
      </c>
      <c r="X1029" s="206">
        <f t="shared" si="632"/>
        <v>0</v>
      </c>
      <c r="Y1029" s="209">
        <f t="shared" si="633"/>
        <v>0</v>
      </c>
    </row>
    <row r="1030" spans="2:25" hidden="1" x14ac:dyDescent="0.25">
      <c r="B1030" s="60">
        <f>B1028</f>
        <v>5</v>
      </c>
      <c r="C1030" s="102">
        <v>31</v>
      </c>
      <c r="D1030" s="192" t="str">
        <f t="shared" si="618"/>
        <v>IV</v>
      </c>
      <c r="E1030" s="162"/>
      <c r="F1030" s="163"/>
      <c r="G1030" s="163"/>
      <c r="H1030" s="164"/>
      <c r="I1030" s="164"/>
      <c r="J1030" s="162"/>
      <c r="K1030" s="165"/>
      <c r="L1030" s="164"/>
      <c r="M1030" s="164"/>
      <c r="N1030" s="166"/>
      <c r="O1030" s="167"/>
      <c r="P1030" s="168"/>
      <c r="Q1030" s="169"/>
      <c r="R1030" s="170"/>
      <c r="S1030" s="171"/>
      <c r="T1030" s="203">
        <f t="shared" si="598"/>
        <v>43647</v>
      </c>
      <c r="U1030" s="204">
        <f t="shared" si="599"/>
        <v>43677</v>
      </c>
      <c r="V1030" s="207">
        <f t="shared" si="634"/>
        <v>0</v>
      </c>
      <c r="W1030" s="206" t="str">
        <f t="shared" si="631"/>
        <v/>
      </c>
      <c r="X1030" s="206">
        <f t="shared" si="632"/>
        <v>0</v>
      </c>
      <c r="Y1030" s="209">
        <f t="shared" si="633"/>
        <v>0</v>
      </c>
    </row>
    <row r="1031" spans="2:25" hidden="1" x14ac:dyDescent="0.25">
      <c r="B1031" s="60">
        <f>B1028</f>
        <v>5</v>
      </c>
      <c r="C1031" s="102">
        <v>32</v>
      </c>
      <c r="D1031" s="192" t="str">
        <f t="shared" si="618"/>
        <v>IV</v>
      </c>
      <c r="E1031" s="162"/>
      <c r="F1031" s="163"/>
      <c r="G1031" s="163"/>
      <c r="H1031" s="164"/>
      <c r="I1031" s="164"/>
      <c r="J1031" s="162"/>
      <c r="K1031" s="165"/>
      <c r="L1031" s="164"/>
      <c r="M1031" s="164"/>
      <c r="N1031" s="166"/>
      <c r="O1031" s="167"/>
      <c r="P1031" s="168"/>
      <c r="Q1031" s="169"/>
      <c r="R1031" s="170"/>
      <c r="S1031" s="171"/>
      <c r="T1031" s="203">
        <f t="shared" si="598"/>
        <v>43647</v>
      </c>
      <c r="U1031" s="204">
        <f t="shared" si="599"/>
        <v>43677</v>
      </c>
      <c r="V1031" s="207">
        <f t="shared" si="634"/>
        <v>0</v>
      </c>
      <c r="W1031" s="206" t="str">
        <f t="shared" si="631"/>
        <v/>
      </c>
      <c r="X1031" s="206">
        <f t="shared" si="632"/>
        <v>0</v>
      </c>
      <c r="Y1031" s="209">
        <f t="shared" si="633"/>
        <v>0</v>
      </c>
    </row>
    <row r="1032" spans="2:25" hidden="1" x14ac:dyDescent="0.25">
      <c r="B1032" s="60">
        <f>B1028</f>
        <v>5</v>
      </c>
      <c r="C1032" s="102">
        <v>33</v>
      </c>
      <c r="D1032" s="192" t="str">
        <f t="shared" si="618"/>
        <v>IV</v>
      </c>
      <c r="E1032" s="162"/>
      <c r="F1032" s="163"/>
      <c r="G1032" s="163"/>
      <c r="H1032" s="164"/>
      <c r="I1032" s="164"/>
      <c r="J1032" s="162"/>
      <c r="K1032" s="165"/>
      <c r="L1032" s="164"/>
      <c r="M1032" s="164"/>
      <c r="N1032" s="166"/>
      <c r="O1032" s="167"/>
      <c r="P1032" s="168"/>
      <c r="Q1032" s="169"/>
      <c r="R1032" s="170"/>
      <c r="S1032" s="171"/>
      <c r="T1032" s="203">
        <f t="shared" si="598"/>
        <v>43647</v>
      </c>
      <c r="U1032" s="204">
        <f t="shared" si="599"/>
        <v>43677</v>
      </c>
      <c r="V1032" s="207">
        <f t="shared" si="634"/>
        <v>0</v>
      </c>
      <c r="W1032" s="206" t="str">
        <f t="shared" si="631"/>
        <v/>
      </c>
      <c r="X1032" s="206">
        <f t="shared" si="632"/>
        <v>0</v>
      </c>
      <c r="Y1032" s="209">
        <f t="shared" si="633"/>
        <v>0</v>
      </c>
    </row>
    <row r="1033" spans="2:25" hidden="1" x14ac:dyDescent="0.25">
      <c r="B1033" s="60">
        <f>B1028</f>
        <v>5</v>
      </c>
      <c r="C1033" s="102">
        <v>34</v>
      </c>
      <c r="D1033" s="192" t="str">
        <f t="shared" si="618"/>
        <v>IV</v>
      </c>
      <c r="E1033" s="172"/>
      <c r="F1033" s="173"/>
      <c r="G1033" s="173"/>
      <c r="H1033" s="174"/>
      <c r="I1033" s="174"/>
      <c r="J1033" s="172"/>
      <c r="K1033" s="175"/>
      <c r="L1033" s="174"/>
      <c r="M1033" s="174"/>
      <c r="N1033" s="176"/>
      <c r="O1033" s="177"/>
      <c r="P1033" s="178"/>
      <c r="Q1033" s="179"/>
      <c r="R1033" s="180"/>
      <c r="S1033" s="181"/>
      <c r="T1033" s="203">
        <f t="shared" si="598"/>
        <v>43647</v>
      </c>
      <c r="U1033" s="204">
        <f t="shared" si="599"/>
        <v>43677</v>
      </c>
      <c r="V1033" s="207">
        <f t="shared" si="634"/>
        <v>0</v>
      </c>
      <c r="W1033" s="206" t="str">
        <f t="shared" si="631"/>
        <v/>
      </c>
      <c r="X1033" s="206">
        <f t="shared" si="632"/>
        <v>0</v>
      </c>
      <c r="Y1033" s="209">
        <f t="shared" si="633"/>
        <v>0</v>
      </c>
    </row>
    <row r="1034" spans="2:25" ht="15.75" thickBot="1" x14ac:dyDescent="0.3">
      <c r="B1034" s="141">
        <f>B1028</f>
        <v>5</v>
      </c>
      <c r="C1034" s="142">
        <v>35</v>
      </c>
      <c r="D1034" s="194" t="str">
        <f t="shared" si="618"/>
        <v>IV</v>
      </c>
      <c r="E1034" s="189"/>
      <c r="F1034" s="190"/>
      <c r="G1034" s="190"/>
      <c r="H1034" s="182"/>
      <c r="I1034" s="182"/>
      <c r="J1034" s="436" t="s">
        <v>181</v>
      </c>
      <c r="K1034" s="437"/>
      <c r="L1034" s="438"/>
      <c r="M1034" s="182"/>
      <c r="N1034" s="183">
        <v>10</v>
      </c>
      <c r="O1034" s="184">
        <v>10</v>
      </c>
      <c r="P1034" s="185"/>
      <c r="Q1034" s="186">
        <v>10</v>
      </c>
      <c r="R1034" s="187" t="s">
        <v>4</v>
      </c>
      <c r="S1034" s="188">
        <v>43620</v>
      </c>
      <c r="T1034" s="213">
        <f t="shared" si="598"/>
        <v>43647</v>
      </c>
      <c r="U1034" s="214">
        <f t="shared" si="599"/>
        <v>43677</v>
      </c>
      <c r="V1034" s="210">
        <f t="shared" si="634"/>
        <v>0</v>
      </c>
      <c r="W1034" s="211"/>
      <c r="X1034" s="211">
        <f>IF(AND($V1034&gt;0,$I1034=1),IF($E1034=10,P1034/10,P1034/$V1034),0)</f>
        <v>0</v>
      </c>
      <c r="Y1034" s="212">
        <f>IF(AND($V1028&gt;0,$I1034&lt;&gt;1),Q1034/E1028*V1028,0)</f>
        <v>10</v>
      </c>
    </row>
    <row r="1035" spans="2:25" ht="30.75" thickTop="1" x14ac:dyDescent="0.25">
      <c r="B1035" s="129">
        <f>B1033+1</f>
        <v>6</v>
      </c>
      <c r="C1035" s="130">
        <v>36</v>
      </c>
      <c r="D1035" s="196" t="str">
        <f t="shared" si="618"/>
        <v>IV</v>
      </c>
      <c r="E1035" s="131">
        <v>10</v>
      </c>
      <c r="F1035" s="132">
        <v>43664</v>
      </c>
      <c r="G1035" s="132">
        <v>43673</v>
      </c>
      <c r="H1035" s="133" t="s">
        <v>239</v>
      </c>
      <c r="I1035" s="133">
        <v>1</v>
      </c>
      <c r="J1035" s="131" t="s">
        <v>168</v>
      </c>
      <c r="K1035" s="134" t="s">
        <v>16</v>
      </c>
      <c r="L1035" s="133">
        <v>1</v>
      </c>
      <c r="M1035" s="133">
        <v>7</v>
      </c>
      <c r="N1035" s="135">
        <v>44</v>
      </c>
      <c r="O1035" s="136">
        <v>44</v>
      </c>
      <c r="P1035" s="137">
        <v>44</v>
      </c>
      <c r="Q1035" s="138"/>
      <c r="R1035" s="139" t="s">
        <v>4</v>
      </c>
      <c r="S1035" s="140">
        <v>43620</v>
      </c>
      <c r="T1035" s="203">
        <f t="shared" si="598"/>
        <v>43647</v>
      </c>
      <c r="U1035" s="204">
        <f t="shared" si="599"/>
        <v>43677</v>
      </c>
      <c r="V1035" s="207">
        <f>IF(G1035-F1035+1-IF(G1035-U1035&gt;0,G1035-U1035,0)-IF(T1035-F1035&gt;0,T1035-F1035,0)&gt;0,G1035-F1035+1-IF(G1035-U1035&gt;0,G1035-U1035,0)-IF(T1035-F1035&gt;0,T1035-F1035,0),0)</f>
        <v>10</v>
      </c>
      <c r="W1035" s="206" t="str">
        <f t="shared" ref="W1035:W1040" si="635">IF(V1035&gt;0,H1035,"")</f>
        <v>Живко Колев</v>
      </c>
      <c r="X1035" s="206">
        <f t="shared" ref="X1035:X1040" si="636">IF(AND($V1035&gt;0,$I1035=1),P1035/$E1035*$V1035,0)</f>
        <v>44</v>
      </c>
      <c r="Y1035" s="209">
        <f t="shared" ref="Y1035:Y1040" si="637">IF(AND($V1035&gt;0,$I1035&lt;&gt;1),Q1035/$E1035*$V1035,0)</f>
        <v>0</v>
      </c>
    </row>
    <row r="1036" spans="2:25" hidden="1" x14ac:dyDescent="0.25">
      <c r="B1036" s="60">
        <f>B1035</f>
        <v>6</v>
      </c>
      <c r="C1036" s="102">
        <v>37</v>
      </c>
      <c r="D1036" s="192" t="str">
        <f t="shared" si="618"/>
        <v>IV</v>
      </c>
      <c r="E1036" s="62"/>
      <c r="F1036" s="105"/>
      <c r="G1036" s="105"/>
      <c r="H1036" s="61"/>
      <c r="I1036" s="61"/>
      <c r="J1036" s="62"/>
      <c r="K1036" s="63"/>
      <c r="L1036" s="61"/>
      <c r="M1036" s="61"/>
      <c r="N1036" s="111"/>
      <c r="O1036" s="112"/>
      <c r="P1036" s="113"/>
      <c r="Q1036" s="114"/>
      <c r="R1036" s="64"/>
      <c r="S1036" s="108"/>
      <c r="T1036" s="203">
        <f t="shared" si="598"/>
        <v>43647</v>
      </c>
      <c r="U1036" s="204">
        <f t="shared" si="599"/>
        <v>43677</v>
      </c>
      <c r="V1036" s="207">
        <f t="shared" ref="V1036:V1041" si="638">IF(G1036-F1036+1-IF(G1036-U1036&gt;0,G1036-U1036,0)-IF(T1036-F1036&gt;0,T1036-F1036,0)&gt;0,G1036-F1036+1-IF(G1036-U1036&gt;0,G1036-U1036,0)-IF(T1036-F1036&gt;0,T1036-F1036,0),0)</f>
        <v>0</v>
      </c>
      <c r="W1036" s="206" t="str">
        <f t="shared" si="635"/>
        <v/>
      </c>
      <c r="X1036" s="206">
        <f t="shared" si="636"/>
        <v>0</v>
      </c>
      <c r="Y1036" s="209">
        <f t="shared" si="637"/>
        <v>0</v>
      </c>
    </row>
    <row r="1037" spans="2:25" hidden="1" x14ac:dyDescent="0.25">
      <c r="B1037" s="60">
        <f>B1035</f>
        <v>6</v>
      </c>
      <c r="C1037" s="102">
        <v>38</v>
      </c>
      <c r="D1037" s="192" t="str">
        <f t="shared" si="618"/>
        <v>IV</v>
      </c>
      <c r="E1037" s="62"/>
      <c r="F1037" s="105"/>
      <c r="G1037" s="105"/>
      <c r="H1037" s="61"/>
      <c r="I1037" s="61"/>
      <c r="J1037" s="62"/>
      <c r="K1037" s="63"/>
      <c r="L1037" s="61"/>
      <c r="M1037" s="61"/>
      <c r="N1037" s="111"/>
      <c r="O1037" s="112"/>
      <c r="P1037" s="113"/>
      <c r="Q1037" s="114"/>
      <c r="R1037" s="64"/>
      <c r="S1037" s="108"/>
      <c r="T1037" s="203">
        <f t="shared" ref="T1037:T1100" si="639">$F$4</f>
        <v>43647</v>
      </c>
      <c r="U1037" s="204">
        <f t="shared" ref="U1037:U1100" si="640">$G$4</f>
        <v>43677</v>
      </c>
      <c r="V1037" s="207">
        <f t="shared" si="638"/>
        <v>0</v>
      </c>
      <c r="W1037" s="206" t="str">
        <f t="shared" si="635"/>
        <v/>
      </c>
      <c r="X1037" s="206">
        <f t="shared" si="636"/>
        <v>0</v>
      </c>
      <c r="Y1037" s="209">
        <f t="shared" si="637"/>
        <v>0</v>
      </c>
    </row>
    <row r="1038" spans="2:25" hidden="1" x14ac:dyDescent="0.25">
      <c r="B1038" s="60">
        <f>B1035</f>
        <v>6</v>
      </c>
      <c r="C1038" s="102">
        <v>39</v>
      </c>
      <c r="D1038" s="192" t="str">
        <f t="shared" si="618"/>
        <v>IV</v>
      </c>
      <c r="E1038" s="62"/>
      <c r="F1038" s="105"/>
      <c r="G1038" s="105"/>
      <c r="H1038" s="61"/>
      <c r="I1038" s="61"/>
      <c r="J1038" s="62"/>
      <c r="K1038" s="63"/>
      <c r="L1038" s="61"/>
      <c r="M1038" s="61"/>
      <c r="N1038" s="111"/>
      <c r="O1038" s="112"/>
      <c r="P1038" s="113"/>
      <c r="Q1038" s="114"/>
      <c r="R1038" s="64"/>
      <c r="S1038" s="108"/>
      <c r="T1038" s="203">
        <f t="shared" si="639"/>
        <v>43647</v>
      </c>
      <c r="U1038" s="204">
        <f t="shared" si="640"/>
        <v>43677</v>
      </c>
      <c r="V1038" s="207">
        <f t="shared" si="638"/>
        <v>0</v>
      </c>
      <c r="W1038" s="206" t="str">
        <f t="shared" si="635"/>
        <v/>
      </c>
      <c r="X1038" s="206">
        <f t="shared" si="636"/>
        <v>0</v>
      </c>
      <c r="Y1038" s="209">
        <f t="shared" si="637"/>
        <v>0</v>
      </c>
    </row>
    <row r="1039" spans="2:25" hidden="1" x14ac:dyDescent="0.25">
      <c r="B1039" s="60">
        <f>B1035</f>
        <v>6</v>
      </c>
      <c r="C1039" s="102">
        <v>40</v>
      </c>
      <c r="D1039" s="192" t="str">
        <f t="shared" si="618"/>
        <v>IV</v>
      </c>
      <c r="E1039" s="62"/>
      <c r="F1039" s="105"/>
      <c r="G1039" s="105"/>
      <c r="H1039" s="61"/>
      <c r="I1039" s="61"/>
      <c r="J1039" s="62"/>
      <c r="K1039" s="63"/>
      <c r="L1039" s="61"/>
      <c r="M1039" s="61"/>
      <c r="N1039" s="111"/>
      <c r="O1039" s="112"/>
      <c r="P1039" s="113"/>
      <c r="Q1039" s="114"/>
      <c r="R1039" s="64"/>
      <c r="S1039" s="108"/>
      <c r="T1039" s="203">
        <f t="shared" si="639"/>
        <v>43647</v>
      </c>
      <c r="U1039" s="204">
        <f t="shared" si="640"/>
        <v>43677</v>
      </c>
      <c r="V1039" s="207">
        <f t="shared" si="638"/>
        <v>0</v>
      </c>
      <c r="W1039" s="206" t="str">
        <f t="shared" si="635"/>
        <v/>
      </c>
      <c r="X1039" s="206">
        <f t="shared" si="636"/>
        <v>0</v>
      </c>
      <c r="Y1039" s="209">
        <f t="shared" si="637"/>
        <v>0</v>
      </c>
    </row>
    <row r="1040" spans="2:25" hidden="1" x14ac:dyDescent="0.25">
      <c r="B1040" s="60">
        <f>B1035</f>
        <v>6</v>
      </c>
      <c r="C1040" s="102">
        <v>41</v>
      </c>
      <c r="D1040" s="192" t="str">
        <f t="shared" si="618"/>
        <v>IV</v>
      </c>
      <c r="E1040" s="62"/>
      <c r="F1040" s="105"/>
      <c r="G1040" s="105"/>
      <c r="H1040" s="61"/>
      <c r="I1040" s="61"/>
      <c r="J1040" s="62"/>
      <c r="K1040" s="63"/>
      <c r="L1040" s="61"/>
      <c r="M1040" s="61"/>
      <c r="N1040" s="111"/>
      <c r="O1040" s="112"/>
      <c r="P1040" s="113"/>
      <c r="Q1040" s="114"/>
      <c r="R1040" s="64"/>
      <c r="S1040" s="108"/>
      <c r="T1040" s="203">
        <f t="shared" si="639"/>
        <v>43647</v>
      </c>
      <c r="U1040" s="204">
        <f t="shared" si="640"/>
        <v>43677</v>
      </c>
      <c r="V1040" s="207">
        <f t="shared" si="638"/>
        <v>0</v>
      </c>
      <c r="W1040" s="206" t="str">
        <f t="shared" si="635"/>
        <v/>
      </c>
      <c r="X1040" s="206">
        <f t="shared" si="636"/>
        <v>0</v>
      </c>
      <c r="Y1040" s="209">
        <f t="shared" si="637"/>
        <v>0</v>
      </c>
    </row>
    <row r="1041" spans="2:25" ht="15.75" thickBot="1" x14ac:dyDescent="0.3">
      <c r="B1041" s="141">
        <f>B1035</f>
        <v>6</v>
      </c>
      <c r="C1041" s="142">
        <v>42</v>
      </c>
      <c r="D1041" s="194" t="str">
        <f t="shared" si="618"/>
        <v>IV</v>
      </c>
      <c r="E1041" s="143"/>
      <c r="F1041" s="144"/>
      <c r="G1041" s="144"/>
      <c r="H1041" s="145"/>
      <c r="I1041" s="145"/>
      <c r="J1041" s="436" t="s">
        <v>181</v>
      </c>
      <c r="K1041" s="437"/>
      <c r="L1041" s="438"/>
      <c r="M1041" s="145"/>
      <c r="N1041" s="146">
        <v>10</v>
      </c>
      <c r="O1041" s="147">
        <v>10</v>
      </c>
      <c r="P1041" s="148"/>
      <c r="Q1041" s="149">
        <v>10</v>
      </c>
      <c r="R1041" s="150" t="s">
        <v>4</v>
      </c>
      <c r="S1041" s="151">
        <v>43620</v>
      </c>
      <c r="T1041" s="213">
        <f t="shared" si="639"/>
        <v>43647</v>
      </c>
      <c r="U1041" s="214">
        <f t="shared" si="640"/>
        <v>43677</v>
      </c>
      <c r="V1041" s="210">
        <f t="shared" si="638"/>
        <v>0</v>
      </c>
      <c r="W1041" s="211"/>
      <c r="X1041" s="211">
        <f>IF(AND($V1041&gt;0,$I1041=1),IF($E1041=10,P1041/10,P1041/$V1041),0)</f>
        <v>0</v>
      </c>
      <c r="Y1041" s="212">
        <f>IF(AND($V1035&gt;0,$I1041&lt;&gt;1),Q1041/E1035*V1035,0)</f>
        <v>10</v>
      </c>
    </row>
    <row r="1042" spans="2:25" ht="16.5" hidden="1" thickTop="1" thickBot="1" x14ac:dyDescent="0.3">
      <c r="B1042" s="129">
        <f>B1040+1</f>
        <v>7</v>
      </c>
      <c r="C1042" s="130">
        <v>43</v>
      </c>
      <c r="D1042" s="196" t="str">
        <f t="shared" si="618"/>
        <v>IV</v>
      </c>
      <c r="E1042" s="152"/>
      <c r="F1042" s="153"/>
      <c r="G1042" s="153"/>
      <c r="H1042" s="154"/>
      <c r="I1042" s="154"/>
      <c r="J1042" s="152"/>
      <c r="K1042" s="155"/>
      <c r="L1042" s="154"/>
      <c r="M1042" s="154"/>
      <c r="N1042" s="156"/>
      <c r="O1042" s="157"/>
      <c r="P1042" s="158"/>
      <c r="Q1042" s="159"/>
      <c r="R1042" s="160"/>
      <c r="S1042" s="161"/>
      <c r="T1042" s="203">
        <f t="shared" si="639"/>
        <v>43647</v>
      </c>
      <c r="U1042" s="204">
        <f t="shared" si="640"/>
        <v>43677</v>
      </c>
      <c r="V1042" s="207">
        <f>IF(G1042-F1042+1-IF(G1042-U1042&gt;0,G1042-U1042,0)-IF(T1042-F1042&gt;0,T1042-F1042,0)&gt;0,G1042-F1042+1-IF(G1042-U1042&gt;0,G1042-U1042,0)-IF(T1042-F1042&gt;0,T1042-F1042,0),0)</f>
        <v>0</v>
      </c>
      <c r="W1042" s="206" t="str">
        <f t="shared" ref="W1042:W1047" si="641">IF(V1042&gt;0,H1042,"")</f>
        <v/>
      </c>
      <c r="X1042" s="206">
        <f t="shared" ref="X1042:X1047" si="642">IF(AND($V1042&gt;0,$I1042=1),P1042/$E1042*$V1042,0)</f>
        <v>0</v>
      </c>
      <c r="Y1042" s="209">
        <f t="shared" ref="Y1042:Y1047" si="643">IF(AND($V1042&gt;0,$I1042&lt;&gt;1),Q1042/$E1042*$V1042,0)</f>
        <v>0</v>
      </c>
    </row>
    <row r="1043" spans="2:25" ht="16.5" hidden="1" thickTop="1" thickBot="1" x14ac:dyDescent="0.3">
      <c r="B1043" s="60">
        <f>B1042</f>
        <v>7</v>
      </c>
      <c r="C1043" s="102">
        <v>44</v>
      </c>
      <c r="D1043" s="192" t="str">
        <f t="shared" si="618"/>
        <v>IV</v>
      </c>
      <c r="E1043" s="162"/>
      <c r="F1043" s="163"/>
      <c r="G1043" s="163"/>
      <c r="H1043" s="164"/>
      <c r="I1043" s="164"/>
      <c r="J1043" s="162"/>
      <c r="K1043" s="165"/>
      <c r="L1043" s="164"/>
      <c r="M1043" s="164"/>
      <c r="N1043" s="166"/>
      <c r="O1043" s="167"/>
      <c r="P1043" s="168"/>
      <c r="Q1043" s="169"/>
      <c r="R1043" s="170"/>
      <c r="S1043" s="171"/>
      <c r="T1043" s="203">
        <f t="shared" si="639"/>
        <v>43647</v>
      </c>
      <c r="U1043" s="204">
        <f t="shared" si="640"/>
        <v>43677</v>
      </c>
      <c r="V1043" s="207">
        <f t="shared" ref="V1043:V1048" si="644">IF(G1043-F1043+1-IF(G1043-U1043&gt;0,G1043-U1043,0)-IF(T1043-F1043&gt;0,T1043-F1043,0)&gt;0,G1043-F1043+1-IF(G1043-U1043&gt;0,G1043-U1043,0)-IF(T1043-F1043&gt;0,T1043-F1043,0),0)</f>
        <v>0</v>
      </c>
      <c r="W1043" s="206" t="str">
        <f t="shared" si="641"/>
        <v/>
      </c>
      <c r="X1043" s="206">
        <f t="shared" si="642"/>
        <v>0</v>
      </c>
      <c r="Y1043" s="209">
        <f t="shared" si="643"/>
        <v>0</v>
      </c>
    </row>
    <row r="1044" spans="2:25" ht="16.5" hidden="1" thickTop="1" thickBot="1" x14ac:dyDescent="0.3">
      <c r="B1044" s="60">
        <f>B1042</f>
        <v>7</v>
      </c>
      <c r="C1044" s="102">
        <v>45</v>
      </c>
      <c r="D1044" s="192" t="str">
        <f t="shared" si="618"/>
        <v>IV</v>
      </c>
      <c r="E1044" s="162"/>
      <c r="F1044" s="163"/>
      <c r="G1044" s="163"/>
      <c r="H1044" s="164"/>
      <c r="I1044" s="164"/>
      <c r="J1044" s="162"/>
      <c r="K1044" s="165"/>
      <c r="L1044" s="164"/>
      <c r="M1044" s="164"/>
      <c r="N1044" s="166"/>
      <c r="O1044" s="167"/>
      <c r="P1044" s="168"/>
      <c r="Q1044" s="169"/>
      <c r="R1044" s="170"/>
      <c r="S1044" s="171"/>
      <c r="T1044" s="203">
        <f t="shared" si="639"/>
        <v>43647</v>
      </c>
      <c r="U1044" s="204">
        <f t="shared" si="640"/>
        <v>43677</v>
      </c>
      <c r="V1044" s="207">
        <f t="shared" si="644"/>
        <v>0</v>
      </c>
      <c r="W1044" s="206" t="str">
        <f t="shared" si="641"/>
        <v/>
      </c>
      <c r="X1044" s="206">
        <f t="shared" si="642"/>
        <v>0</v>
      </c>
      <c r="Y1044" s="209">
        <f t="shared" si="643"/>
        <v>0</v>
      </c>
    </row>
    <row r="1045" spans="2:25" ht="16.5" hidden="1" thickTop="1" thickBot="1" x14ac:dyDescent="0.3">
      <c r="B1045" s="60">
        <f>B1042</f>
        <v>7</v>
      </c>
      <c r="C1045" s="102">
        <v>46</v>
      </c>
      <c r="D1045" s="192" t="str">
        <f t="shared" si="618"/>
        <v>IV</v>
      </c>
      <c r="E1045" s="162"/>
      <c r="F1045" s="163"/>
      <c r="G1045" s="163"/>
      <c r="H1045" s="164"/>
      <c r="I1045" s="164"/>
      <c r="J1045" s="162"/>
      <c r="K1045" s="165"/>
      <c r="L1045" s="164"/>
      <c r="M1045" s="164"/>
      <c r="N1045" s="166"/>
      <c r="O1045" s="167"/>
      <c r="P1045" s="168"/>
      <c r="Q1045" s="169"/>
      <c r="R1045" s="170"/>
      <c r="S1045" s="171"/>
      <c r="T1045" s="203">
        <f t="shared" si="639"/>
        <v>43647</v>
      </c>
      <c r="U1045" s="204">
        <f t="shared" si="640"/>
        <v>43677</v>
      </c>
      <c r="V1045" s="207">
        <f t="shared" si="644"/>
        <v>0</v>
      </c>
      <c r="W1045" s="206" t="str">
        <f t="shared" si="641"/>
        <v/>
      </c>
      <c r="X1045" s="206">
        <f t="shared" si="642"/>
        <v>0</v>
      </c>
      <c r="Y1045" s="209">
        <f t="shared" si="643"/>
        <v>0</v>
      </c>
    </row>
    <row r="1046" spans="2:25" ht="16.5" hidden="1" thickTop="1" thickBot="1" x14ac:dyDescent="0.3">
      <c r="B1046" s="60">
        <f>B1042</f>
        <v>7</v>
      </c>
      <c r="C1046" s="102">
        <v>47</v>
      </c>
      <c r="D1046" s="192" t="str">
        <f t="shared" si="618"/>
        <v>IV</v>
      </c>
      <c r="E1046" s="162"/>
      <c r="F1046" s="163"/>
      <c r="G1046" s="163"/>
      <c r="H1046" s="164"/>
      <c r="I1046" s="164"/>
      <c r="J1046" s="162"/>
      <c r="K1046" s="165"/>
      <c r="L1046" s="164"/>
      <c r="M1046" s="164"/>
      <c r="N1046" s="166"/>
      <c r="O1046" s="167"/>
      <c r="P1046" s="168"/>
      <c r="Q1046" s="169"/>
      <c r="R1046" s="170"/>
      <c r="S1046" s="171"/>
      <c r="T1046" s="203">
        <f t="shared" si="639"/>
        <v>43647</v>
      </c>
      <c r="U1046" s="204">
        <f t="shared" si="640"/>
        <v>43677</v>
      </c>
      <c r="V1046" s="207">
        <f t="shared" si="644"/>
        <v>0</v>
      </c>
      <c r="W1046" s="206" t="str">
        <f t="shared" si="641"/>
        <v/>
      </c>
      <c r="X1046" s="206">
        <f t="shared" si="642"/>
        <v>0</v>
      </c>
      <c r="Y1046" s="209">
        <f t="shared" si="643"/>
        <v>0</v>
      </c>
    </row>
    <row r="1047" spans="2:25" ht="16.5" hidden="1" thickTop="1" thickBot="1" x14ac:dyDescent="0.3">
      <c r="B1047" s="60">
        <f>B1042</f>
        <v>7</v>
      </c>
      <c r="C1047" s="102">
        <v>48</v>
      </c>
      <c r="D1047" s="192" t="str">
        <f t="shared" si="618"/>
        <v>IV</v>
      </c>
      <c r="E1047" s="172"/>
      <c r="F1047" s="173"/>
      <c r="G1047" s="173"/>
      <c r="H1047" s="174"/>
      <c r="I1047" s="174"/>
      <c r="J1047" s="172"/>
      <c r="K1047" s="175"/>
      <c r="L1047" s="174"/>
      <c r="M1047" s="174"/>
      <c r="N1047" s="176"/>
      <c r="O1047" s="177"/>
      <c r="P1047" s="178"/>
      <c r="Q1047" s="179"/>
      <c r="R1047" s="180"/>
      <c r="S1047" s="181"/>
      <c r="T1047" s="203">
        <f t="shared" si="639"/>
        <v>43647</v>
      </c>
      <c r="U1047" s="204">
        <f t="shared" si="640"/>
        <v>43677</v>
      </c>
      <c r="V1047" s="207">
        <f t="shared" si="644"/>
        <v>0</v>
      </c>
      <c r="W1047" s="206" t="str">
        <f t="shared" si="641"/>
        <v/>
      </c>
      <c r="X1047" s="206">
        <f t="shared" si="642"/>
        <v>0</v>
      </c>
      <c r="Y1047" s="209">
        <f t="shared" si="643"/>
        <v>0</v>
      </c>
    </row>
    <row r="1048" spans="2:25" ht="16.5" hidden="1" thickTop="1" thickBot="1" x14ac:dyDescent="0.3">
      <c r="B1048" s="141">
        <f>B1042</f>
        <v>7</v>
      </c>
      <c r="C1048" s="142">
        <v>49</v>
      </c>
      <c r="D1048" s="194" t="str">
        <f t="shared" si="618"/>
        <v>IV</v>
      </c>
      <c r="E1048" s="189"/>
      <c r="F1048" s="190"/>
      <c r="G1048" s="190"/>
      <c r="H1048" s="182"/>
      <c r="I1048" s="182"/>
      <c r="J1048" s="436" t="s">
        <v>181</v>
      </c>
      <c r="K1048" s="437"/>
      <c r="L1048" s="438"/>
      <c r="M1048" s="182"/>
      <c r="N1048" s="183"/>
      <c r="O1048" s="184"/>
      <c r="P1048" s="185"/>
      <c r="Q1048" s="186"/>
      <c r="R1048" s="187"/>
      <c r="S1048" s="188"/>
      <c r="T1048" s="213">
        <f t="shared" si="639"/>
        <v>43647</v>
      </c>
      <c r="U1048" s="214">
        <f t="shared" si="640"/>
        <v>43677</v>
      </c>
      <c r="V1048" s="210">
        <f t="shared" si="644"/>
        <v>0</v>
      </c>
      <c r="W1048" s="211"/>
      <c r="X1048" s="211">
        <f>IF(AND($V1048&gt;0,$I1048=1),IF($E1048=10,P1048/10,P1048/$V1048),0)</f>
        <v>0</v>
      </c>
      <c r="Y1048" s="212">
        <f>IF(AND($V1042&gt;0,$I1048&lt;&gt;1),Q1048/E1042*V1042,0)</f>
        <v>0</v>
      </c>
    </row>
    <row r="1049" spans="2:25" ht="30.75" thickTop="1" x14ac:dyDescent="0.25">
      <c r="B1049" s="129">
        <f>B1047+1</f>
        <v>8</v>
      </c>
      <c r="C1049" s="130">
        <v>50</v>
      </c>
      <c r="D1049" s="196" t="str">
        <f t="shared" si="618"/>
        <v>IV</v>
      </c>
      <c r="E1049" s="131">
        <v>10</v>
      </c>
      <c r="F1049" s="132">
        <v>43664</v>
      </c>
      <c r="G1049" s="132">
        <v>43673</v>
      </c>
      <c r="H1049" s="133" t="s">
        <v>247</v>
      </c>
      <c r="I1049" s="133">
        <v>1</v>
      </c>
      <c r="J1049" s="131" t="s">
        <v>168</v>
      </c>
      <c r="K1049" s="134" t="s">
        <v>16</v>
      </c>
      <c r="L1049" s="133">
        <v>1</v>
      </c>
      <c r="M1049" s="133">
        <v>7</v>
      </c>
      <c r="N1049" s="135">
        <v>44</v>
      </c>
      <c r="O1049" s="136">
        <v>44</v>
      </c>
      <c r="P1049" s="137">
        <v>44</v>
      </c>
      <c r="Q1049" s="138"/>
      <c r="R1049" s="139" t="s">
        <v>4</v>
      </c>
      <c r="S1049" s="140">
        <v>43626</v>
      </c>
      <c r="T1049" s="203">
        <f t="shared" si="639"/>
        <v>43647</v>
      </c>
      <c r="U1049" s="204">
        <f t="shared" si="640"/>
        <v>43677</v>
      </c>
      <c r="V1049" s="207">
        <f>IF(G1049-F1049+1-IF(G1049-U1049&gt;0,G1049-U1049,0)-IF(T1049-F1049&gt;0,T1049-F1049,0)&gt;0,G1049-F1049+1-IF(G1049-U1049&gt;0,G1049-U1049,0)-IF(T1049-F1049&gt;0,T1049-F1049,0),0)</f>
        <v>10</v>
      </c>
      <c r="W1049" s="206" t="str">
        <f t="shared" ref="W1049:W1054" si="645">IF(V1049&gt;0,H1049,"")</f>
        <v>Милена Григорова</v>
      </c>
      <c r="X1049" s="206">
        <f t="shared" ref="X1049:X1054" si="646">IF(AND($V1049&gt;0,$I1049=1),P1049/$E1049*$V1049,0)</f>
        <v>44</v>
      </c>
      <c r="Y1049" s="209">
        <f t="shared" ref="Y1049:Y1054" si="647">IF(AND($V1049&gt;0,$I1049&lt;&gt;1),Q1049/$E1049*$V1049,0)</f>
        <v>0</v>
      </c>
    </row>
    <row r="1050" spans="2:25" ht="45" x14ac:dyDescent="0.25">
      <c r="B1050" s="60">
        <f>B1049</f>
        <v>8</v>
      </c>
      <c r="C1050" s="102">
        <v>51</v>
      </c>
      <c r="D1050" s="192" t="str">
        <f t="shared" si="618"/>
        <v>IV</v>
      </c>
      <c r="E1050" s="62">
        <v>10</v>
      </c>
      <c r="F1050" s="105">
        <v>43664</v>
      </c>
      <c r="G1050" s="105">
        <v>43673</v>
      </c>
      <c r="H1050" s="61" t="s">
        <v>248</v>
      </c>
      <c r="I1050" s="61">
        <v>2</v>
      </c>
      <c r="J1050" s="62" t="s">
        <v>167</v>
      </c>
      <c r="K1050" s="63" t="s">
        <v>16</v>
      </c>
      <c r="L1050" s="61">
        <v>1</v>
      </c>
      <c r="M1050" s="61">
        <v>7</v>
      </c>
      <c r="N1050" s="111">
        <v>53</v>
      </c>
      <c r="O1050" s="112">
        <v>53</v>
      </c>
      <c r="P1050" s="113"/>
      <c r="Q1050" s="114">
        <v>53</v>
      </c>
      <c r="R1050" s="64" t="s">
        <v>4</v>
      </c>
      <c r="S1050" s="108">
        <v>43626</v>
      </c>
      <c r="T1050" s="203">
        <f t="shared" si="639"/>
        <v>43647</v>
      </c>
      <c r="U1050" s="204">
        <f t="shared" si="640"/>
        <v>43677</v>
      </c>
      <c r="V1050" s="207">
        <f t="shared" ref="V1050:V1055" si="648">IF(G1050-F1050+1-IF(G1050-U1050&gt;0,G1050-U1050,0)-IF(T1050-F1050&gt;0,T1050-F1050,0)&gt;0,G1050-F1050+1-IF(G1050-U1050&gt;0,G1050-U1050,0)-IF(T1050-F1050&gt;0,T1050-F1050,0),0)</f>
        <v>10</v>
      </c>
      <c r="W1050" s="206" t="str">
        <f t="shared" si="645"/>
        <v>Емил Григоров</v>
      </c>
      <c r="X1050" s="206">
        <f t="shared" si="646"/>
        <v>0</v>
      </c>
      <c r="Y1050" s="209">
        <f t="shared" si="647"/>
        <v>53</v>
      </c>
    </row>
    <row r="1051" spans="2:25" ht="45" x14ac:dyDescent="0.25">
      <c r="B1051" s="60">
        <f>B1049</f>
        <v>8</v>
      </c>
      <c r="C1051" s="102">
        <v>52</v>
      </c>
      <c r="D1051" s="192" t="str">
        <f t="shared" si="618"/>
        <v>IV</v>
      </c>
      <c r="E1051" s="62">
        <v>10</v>
      </c>
      <c r="F1051" s="105">
        <v>43664</v>
      </c>
      <c r="G1051" s="105">
        <v>43673</v>
      </c>
      <c r="H1051" s="61" t="s">
        <v>249</v>
      </c>
      <c r="I1051" s="61">
        <v>2</v>
      </c>
      <c r="J1051" s="62" t="s">
        <v>167</v>
      </c>
      <c r="K1051" s="63" t="s">
        <v>61</v>
      </c>
      <c r="L1051" s="61">
        <v>1.5</v>
      </c>
      <c r="M1051" s="61">
        <v>7</v>
      </c>
      <c r="N1051" s="111">
        <v>79.5</v>
      </c>
      <c r="O1051" s="112">
        <v>79.5</v>
      </c>
      <c r="P1051" s="113"/>
      <c r="Q1051" s="114">
        <v>79.5</v>
      </c>
      <c r="R1051" s="64" t="s">
        <v>4</v>
      </c>
      <c r="S1051" s="108">
        <v>43626</v>
      </c>
      <c r="T1051" s="203">
        <f t="shared" si="639"/>
        <v>43647</v>
      </c>
      <c r="U1051" s="204">
        <f t="shared" si="640"/>
        <v>43677</v>
      </c>
      <c r="V1051" s="207">
        <f t="shared" si="648"/>
        <v>10</v>
      </c>
      <c r="W1051" s="206" t="str">
        <f t="shared" si="645"/>
        <v>Никола Григоров</v>
      </c>
      <c r="X1051" s="206">
        <f t="shared" si="646"/>
        <v>0</v>
      </c>
      <c r="Y1051" s="209">
        <f t="shared" si="647"/>
        <v>79.5</v>
      </c>
    </row>
    <row r="1052" spans="2:25" hidden="1" x14ac:dyDescent="0.25">
      <c r="B1052" s="60">
        <f>B1049</f>
        <v>8</v>
      </c>
      <c r="C1052" s="102">
        <v>53</v>
      </c>
      <c r="D1052" s="192" t="str">
        <f t="shared" si="618"/>
        <v>IV</v>
      </c>
      <c r="E1052" s="62"/>
      <c r="F1052" s="105"/>
      <c r="G1052" s="105"/>
      <c r="H1052" s="61"/>
      <c r="I1052" s="61"/>
      <c r="J1052" s="62"/>
      <c r="K1052" s="63"/>
      <c r="L1052" s="61"/>
      <c r="M1052" s="61"/>
      <c r="N1052" s="111"/>
      <c r="O1052" s="112"/>
      <c r="P1052" s="113"/>
      <c r="Q1052" s="114"/>
      <c r="R1052" s="64"/>
      <c r="S1052" s="108"/>
      <c r="T1052" s="203">
        <f t="shared" si="639"/>
        <v>43647</v>
      </c>
      <c r="U1052" s="204">
        <f t="shared" si="640"/>
        <v>43677</v>
      </c>
      <c r="V1052" s="207">
        <f t="shared" si="648"/>
        <v>0</v>
      </c>
      <c r="W1052" s="206" t="str">
        <f t="shared" si="645"/>
        <v/>
      </c>
      <c r="X1052" s="206">
        <f t="shared" si="646"/>
        <v>0</v>
      </c>
      <c r="Y1052" s="209">
        <f t="shared" si="647"/>
        <v>0</v>
      </c>
    </row>
    <row r="1053" spans="2:25" hidden="1" x14ac:dyDescent="0.25">
      <c r="B1053" s="60">
        <f>B1049</f>
        <v>8</v>
      </c>
      <c r="C1053" s="102">
        <v>54</v>
      </c>
      <c r="D1053" s="192" t="str">
        <f t="shared" si="618"/>
        <v>IV</v>
      </c>
      <c r="E1053" s="62"/>
      <c r="F1053" s="105"/>
      <c r="G1053" s="105"/>
      <c r="H1053" s="61"/>
      <c r="I1053" s="61"/>
      <c r="J1053" s="62"/>
      <c r="K1053" s="63"/>
      <c r="L1053" s="61"/>
      <c r="M1053" s="61"/>
      <c r="N1053" s="111"/>
      <c r="O1053" s="112"/>
      <c r="P1053" s="113"/>
      <c r="Q1053" s="114"/>
      <c r="R1053" s="64"/>
      <c r="S1053" s="108"/>
      <c r="T1053" s="203">
        <f t="shared" si="639"/>
        <v>43647</v>
      </c>
      <c r="U1053" s="204">
        <f t="shared" si="640"/>
        <v>43677</v>
      </c>
      <c r="V1053" s="207">
        <f t="shared" si="648"/>
        <v>0</v>
      </c>
      <c r="W1053" s="206" t="str">
        <f t="shared" si="645"/>
        <v/>
      </c>
      <c r="X1053" s="206">
        <f t="shared" si="646"/>
        <v>0</v>
      </c>
      <c r="Y1053" s="209">
        <f t="shared" si="647"/>
        <v>0</v>
      </c>
    </row>
    <row r="1054" spans="2:25" hidden="1" x14ac:dyDescent="0.25">
      <c r="B1054" s="60">
        <f>B1049</f>
        <v>8</v>
      </c>
      <c r="C1054" s="102">
        <v>55</v>
      </c>
      <c r="D1054" s="192" t="str">
        <f t="shared" si="618"/>
        <v>IV</v>
      </c>
      <c r="E1054" s="62"/>
      <c r="F1054" s="105"/>
      <c r="G1054" s="105"/>
      <c r="H1054" s="61"/>
      <c r="I1054" s="61"/>
      <c r="J1054" s="62"/>
      <c r="K1054" s="63"/>
      <c r="L1054" s="61"/>
      <c r="M1054" s="61"/>
      <c r="N1054" s="111"/>
      <c r="O1054" s="112"/>
      <c r="P1054" s="113"/>
      <c r="Q1054" s="114"/>
      <c r="R1054" s="64"/>
      <c r="S1054" s="108"/>
      <c r="T1054" s="203">
        <f t="shared" si="639"/>
        <v>43647</v>
      </c>
      <c r="U1054" s="204">
        <f t="shared" si="640"/>
        <v>43677</v>
      </c>
      <c r="V1054" s="207">
        <f t="shared" si="648"/>
        <v>0</v>
      </c>
      <c r="W1054" s="206" t="str">
        <f t="shared" si="645"/>
        <v/>
      </c>
      <c r="X1054" s="206">
        <f t="shared" si="646"/>
        <v>0</v>
      </c>
      <c r="Y1054" s="209">
        <f t="shared" si="647"/>
        <v>0</v>
      </c>
    </row>
    <row r="1055" spans="2:25" ht="15.75" thickBot="1" x14ac:dyDescent="0.3">
      <c r="B1055" s="141">
        <f>B1049</f>
        <v>8</v>
      </c>
      <c r="C1055" s="142">
        <v>56</v>
      </c>
      <c r="D1055" s="194" t="str">
        <f t="shared" si="618"/>
        <v>IV</v>
      </c>
      <c r="E1055" s="143"/>
      <c r="F1055" s="144"/>
      <c r="G1055" s="144"/>
      <c r="H1055" s="145"/>
      <c r="I1055" s="145"/>
      <c r="J1055" s="436" t="s">
        <v>181</v>
      </c>
      <c r="K1055" s="437"/>
      <c r="L1055" s="438"/>
      <c r="M1055" s="145"/>
      <c r="N1055" s="146">
        <v>10</v>
      </c>
      <c r="O1055" s="147">
        <v>10</v>
      </c>
      <c r="P1055" s="148"/>
      <c r="Q1055" s="149">
        <v>10</v>
      </c>
      <c r="R1055" s="150" t="s">
        <v>4</v>
      </c>
      <c r="S1055" s="151">
        <v>43626</v>
      </c>
      <c r="T1055" s="213">
        <f t="shared" si="639"/>
        <v>43647</v>
      </c>
      <c r="U1055" s="214">
        <f t="shared" si="640"/>
        <v>43677</v>
      </c>
      <c r="V1055" s="210">
        <f t="shared" si="648"/>
        <v>0</v>
      </c>
      <c r="W1055" s="211"/>
      <c r="X1055" s="211">
        <f>IF(AND($V1055&gt;0,$I1055=1),IF($E1055=10,P1055/10,P1055/$V1055),0)</f>
        <v>0</v>
      </c>
      <c r="Y1055" s="212">
        <f>IF(AND($V1049&gt;0,$I1055&lt;&gt;1),Q1055/E1049*V1049,0)</f>
        <v>10</v>
      </c>
    </row>
    <row r="1056" spans="2:25" ht="45.75" thickTop="1" x14ac:dyDescent="0.25">
      <c r="B1056" s="129">
        <f>B1054+1</f>
        <v>9</v>
      </c>
      <c r="C1056" s="130">
        <v>57</v>
      </c>
      <c r="D1056" s="196" t="str">
        <f t="shared" si="618"/>
        <v>IV</v>
      </c>
      <c r="E1056" s="152">
        <v>10</v>
      </c>
      <c r="F1056" s="153">
        <v>43664</v>
      </c>
      <c r="G1056" s="153">
        <v>43673</v>
      </c>
      <c r="H1056" s="154" t="s">
        <v>250</v>
      </c>
      <c r="I1056" s="154">
        <v>2</v>
      </c>
      <c r="J1056" s="152" t="s">
        <v>167</v>
      </c>
      <c r="K1056" s="155" t="s">
        <v>16</v>
      </c>
      <c r="L1056" s="154">
        <v>1</v>
      </c>
      <c r="M1056" s="154">
        <v>7</v>
      </c>
      <c r="N1056" s="156">
        <v>53</v>
      </c>
      <c r="O1056" s="157">
        <v>53</v>
      </c>
      <c r="P1056" s="158"/>
      <c r="Q1056" s="159">
        <v>53</v>
      </c>
      <c r="R1056" s="160" t="s">
        <v>4</v>
      </c>
      <c r="S1056" s="161">
        <v>43626</v>
      </c>
      <c r="T1056" s="203">
        <f t="shared" si="639"/>
        <v>43647</v>
      </c>
      <c r="U1056" s="204">
        <f t="shared" si="640"/>
        <v>43677</v>
      </c>
      <c r="V1056" s="207">
        <f>IF(G1056-F1056+1-IF(G1056-U1056&gt;0,G1056-U1056,0)-IF(T1056-F1056&gt;0,T1056-F1056,0)&gt;0,G1056-F1056+1-IF(G1056-U1056&gt;0,G1056-U1056,0)-IF(T1056-F1056&gt;0,T1056-F1056,0),0)</f>
        <v>10</v>
      </c>
      <c r="W1056" s="206" t="str">
        <f t="shared" ref="W1056:W1061" si="649">IF(V1056&gt;0,H1056,"")</f>
        <v>Георги Кенаров</v>
      </c>
      <c r="X1056" s="206">
        <f t="shared" ref="X1056:X1061" si="650">IF(AND($V1056&gt;0,$I1056=1),P1056/$E1056*$V1056,0)</f>
        <v>0</v>
      </c>
      <c r="Y1056" s="209">
        <f t="shared" ref="Y1056:Y1061" si="651">IF(AND($V1056&gt;0,$I1056&lt;&gt;1),Q1056/$E1056*$V1056,0)</f>
        <v>53</v>
      </c>
    </row>
    <row r="1057" spans="2:25" ht="45" x14ac:dyDescent="0.25">
      <c r="B1057" s="60">
        <f>B1056</f>
        <v>9</v>
      </c>
      <c r="C1057" s="102">
        <v>58</v>
      </c>
      <c r="D1057" s="192" t="str">
        <f t="shared" si="618"/>
        <v>IV</v>
      </c>
      <c r="E1057" s="162">
        <v>10</v>
      </c>
      <c r="F1057" s="163">
        <v>43664</v>
      </c>
      <c r="G1057" s="163">
        <v>43673</v>
      </c>
      <c r="H1057" s="164" t="s">
        <v>251</v>
      </c>
      <c r="I1057" s="164">
        <v>2</v>
      </c>
      <c r="J1057" s="162" t="s">
        <v>167</v>
      </c>
      <c r="K1057" s="165" t="s">
        <v>16</v>
      </c>
      <c r="L1057" s="164">
        <v>1</v>
      </c>
      <c r="M1057" s="164">
        <v>7</v>
      </c>
      <c r="N1057" s="166">
        <v>53</v>
      </c>
      <c r="O1057" s="167">
        <v>53</v>
      </c>
      <c r="P1057" s="168"/>
      <c r="Q1057" s="169">
        <v>53</v>
      </c>
      <c r="R1057" s="170" t="s">
        <v>4</v>
      </c>
      <c r="S1057" s="171">
        <v>43626</v>
      </c>
      <c r="T1057" s="203">
        <f t="shared" si="639"/>
        <v>43647</v>
      </c>
      <c r="U1057" s="204">
        <f t="shared" si="640"/>
        <v>43677</v>
      </c>
      <c r="V1057" s="207">
        <f t="shared" ref="V1057:V1062" si="652">IF(G1057-F1057+1-IF(G1057-U1057&gt;0,G1057-U1057,0)-IF(T1057-F1057&gt;0,T1057-F1057,0)&gt;0,G1057-F1057+1-IF(G1057-U1057&gt;0,G1057-U1057,0)-IF(T1057-F1057&gt;0,T1057-F1057,0),0)</f>
        <v>10</v>
      </c>
      <c r="W1057" s="206" t="str">
        <f t="shared" si="649"/>
        <v>Филип Добрев</v>
      </c>
      <c r="X1057" s="206">
        <f t="shared" si="650"/>
        <v>0</v>
      </c>
      <c r="Y1057" s="209">
        <f t="shared" si="651"/>
        <v>53</v>
      </c>
    </row>
    <row r="1058" spans="2:25" hidden="1" x14ac:dyDescent="0.25">
      <c r="B1058" s="60">
        <f>B1056</f>
        <v>9</v>
      </c>
      <c r="C1058" s="102">
        <v>59</v>
      </c>
      <c r="D1058" s="192" t="str">
        <f t="shared" si="618"/>
        <v>IV</v>
      </c>
      <c r="E1058" s="162"/>
      <c r="F1058" s="163"/>
      <c r="G1058" s="163"/>
      <c r="H1058" s="164"/>
      <c r="I1058" s="164"/>
      <c r="J1058" s="162"/>
      <c r="K1058" s="165"/>
      <c r="L1058" s="164"/>
      <c r="M1058" s="164"/>
      <c r="N1058" s="166"/>
      <c r="O1058" s="167"/>
      <c r="P1058" s="168"/>
      <c r="Q1058" s="169"/>
      <c r="R1058" s="170"/>
      <c r="S1058" s="171"/>
      <c r="T1058" s="203">
        <f t="shared" si="639"/>
        <v>43647</v>
      </c>
      <c r="U1058" s="204">
        <f t="shared" si="640"/>
        <v>43677</v>
      </c>
      <c r="V1058" s="207">
        <f t="shared" si="652"/>
        <v>0</v>
      </c>
      <c r="W1058" s="206" t="str">
        <f t="shared" si="649"/>
        <v/>
      </c>
      <c r="X1058" s="206">
        <f t="shared" si="650"/>
        <v>0</v>
      </c>
      <c r="Y1058" s="209">
        <f t="shared" si="651"/>
        <v>0</v>
      </c>
    </row>
    <row r="1059" spans="2:25" hidden="1" x14ac:dyDescent="0.25">
      <c r="B1059" s="60">
        <f>B1056</f>
        <v>9</v>
      </c>
      <c r="C1059" s="102">
        <v>60</v>
      </c>
      <c r="D1059" s="192" t="str">
        <f t="shared" si="618"/>
        <v>IV</v>
      </c>
      <c r="E1059" s="162"/>
      <c r="F1059" s="163"/>
      <c r="G1059" s="163"/>
      <c r="H1059" s="164"/>
      <c r="I1059" s="164"/>
      <c r="J1059" s="162"/>
      <c r="K1059" s="165"/>
      <c r="L1059" s="164"/>
      <c r="M1059" s="164"/>
      <c r="N1059" s="166"/>
      <c r="O1059" s="167"/>
      <c r="P1059" s="168"/>
      <c r="Q1059" s="169"/>
      <c r="R1059" s="170"/>
      <c r="S1059" s="171"/>
      <c r="T1059" s="203">
        <f t="shared" si="639"/>
        <v>43647</v>
      </c>
      <c r="U1059" s="204">
        <f t="shared" si="640"/>
        <v>43677</v>
      </c>
      <c r="V1059" s="207">
        <f t="shared" si="652"/>
        <v>0</v>
      </c>
      <c r="W1059" s="206" t="str">
        <f t="shared" si="649"/>
        <v/>
      </c>
      <c r="X1059" s="206">
        <f t="shared" si="650"/>
        <v>0</v>
      </c>
      <c r="Y1059" s="209">
        <f t="shared" si="651"/>
        <v>0</v>
      </c>
    </row>
    <row r="1060" spans="2:25" hidden="1" x14ac:dyDescent="0.25">
      <c r="B1060" s="60">
        <f>B1056</f>
        <v>9</v>
      </c>
      <c r="C1060" s="102">
        <v>61</v>
      </c>
      <c r="D1060" s="192" t="str">
        <f t="shared" si="618"/>
        <v>IV</v>
      </c>
      <c r="E1060" s="162"/>
      <c r="F1060" s="163"/>
      <c r="G1060" s="163"/>
      <c r="H1060" s="164"/>
      <c r="I1060" s="164"/>
      <c r="J1060" s="162"/>
      <c r="K1060" s="165"/>
      <c r="L1060" s="164"/>
      <c r="M1060" s="164"/>
      <c r="N1060" s="166"/>
      <c r="O1060" s="167"/>
      <c r="P1060" s="168"/>
      <c r="Q1060" s="169"/>
      <c r="R1060" s="170"/>
      <c r="S1060" s="171"/>
      <c r="T1060" s="203">
        <f t="shared" si="639"/>
        <v>43647</v>
      </c>
      <c r="U1060" s="204">
        <f t="shared" si="640"/>
        <v>43677</v>
      </c>
      <c r="V1060" s="207">
        <f t="shared" si="652"/>
        <v>0</v>
      </c>
      <c r="W1060" s="206" t="str">
        <f t="shared" si="649"/>
        <v/>
      </c>
      <c r="X1060" s="206">
        <f t="shared" si="650"/>
        <v>0</v>
      </c>
      <c r="Y1060" s="209">
        <f t="shared" si="651"/>
        <v>0</v>
      </c>
    </row>
    <row r="1061" spans="2:25" hidden="1" x14ac:dyDescent="0.25">
      <c r="B1061" s="60">
        <f>B1056</f>
        <v>9</v>
      </c>
      <c r="C1061" s="102">
        <v>62</v>
      </c>
      <c r="D1061" s="192" t="str">
        <f t="shared" si="618"/>
        <v>IV</v>
      </c>
      <c r="E1061" s="172"/>
      <c r="F1061" s="173"/>
      <c r="G1061" s="173"/>
      <c r="H1061" s="174"/>
      <c r="I1061" s="174"/>
      <c r="J1061" s="172"/>
      <c r="K1061" s="175"/>
      <c r="L1061" s="174"/>
      <c r="M1061" s="174"/>
      <c r="N1061" s="176"/>
      <c r="O1061" s="177"/>
      <c r="P1061" s="178"/>
      <c r="Q1061" s="179"/>
      <c r="R1061" s="180"/>
      <c r="S1061" s="181"/>
      <c r="T1061" s="203">
        <f t="shared" si="639"/>
        <v>43647</v>
      </c>
      <c r="U1061" s="204">
        <f t="shared" si="640"/>
        <v>43677</v>
      </c>
      <c r="V1061" s="207">
        <f t="shared" si="652"/>
        <v>0</v>
      </c>
      <c r="W1061" s="206" t="str">
        <f t="shared" si="649"/>
        <v/>
      </c>
      <c r="X1061" s="206">
        <f t="shared" si="650"/>
        <v>0</v>
      </c>
      <c r="Y1061" s="209">
        <f t="shared" si="651"/>
        <v>0</v>
      </c>
    </row>
    <row r="1062" spans="2:25" ht="15.75" thickBot="1" x14ac:dyDescent="0.3">
      <c r="B1062" s="141">
        <f>B1056</f>
        <v>9</v>
      </c>
      <c r="C1062" s="142">
        <v>63</v>
      </c>
      <c r="D1062" s="194" t="str">
        <f t="shared" si="618"/>
        <v>IV</v>
      </c>
      <c r="E1062" s="189"/>
      <c r="F1062" s="190"/>
      <c r="G1062" s="190"/>
      <c r="H1062" s="182"/>
      <c r="I1062" s="182"/>
      <c r="J1062" s="436" t="s">
        <v>181</v>
      </c>
      <c r="K1062" s="437"/>
      <c r="L1062" s="438"/>
      <c r="M1062" s="182"/>
      <c r="N1062" s="183">
        <v>10</v>
      </c>
      <c r="O1062" s="184">
        <v>10</v>
      </c>
      <c r="P1062" s="185"/>
      <c r="Q1062" s="186">
        <v>10</v>
      </c>
      <c r="R1062" s="187" t="s">
        <v>4</v>
      </c>
      <c r="S1062" s="188">
        <v>43626</v>
      </c>
      <c r="T1062" s="213">
        <f t="shared" si="639"/>
        <v>43647</v>
      </c>
      <c r="U1062" s="214">
        <f t="shared" si="640"/>
        <v>43677</v>
      </c>
      <c r="V1062" s="210">
        <f t="shared" si="652"/>
        <v>0</v>
      </c>
      <c r="W1062" s="211"/>
      <c r="X1062" s="211">
        <f>IF(AND($V1062&gt;0,$I1062=1),IF($E1062=10,P1062/10,P1062/$V1062),0)</f>
        <v>0</v>
      </c>
      <c r="Y1062" s="212">
        <f>IF(AND($V1056&gt;0,$I1062&lt;&gt;1),Q1062/E1056*V1056,0)</f>
        <v>10</v>
      </c>
    </row>
    <row r="1063" spans="2:25" ht="15.75" thickTop="1" x14ac:dyDescent="0.25">
      <c r="B1063" s="129">
        <f>B1061+1</f>
        <v>10</v>
      </c>
      <c r="C1063" s="130">
        <v>64</v>
      </c>
      <c r="D1063" s="196" t="str">
        <f t="shared" si="618"/>
        <v>IV</v>
      </c>
      <c r="E1063" s="131">
        <v>10</v>
      </c>
      <c r="F1063" s="132">
        <v>43664</v>
      </c>
      <c r="G1063" s="132">
        <v>43673</v>
      </c>
      <c r="H1063" s="133" t="s">
        <v>252</v>
      </c>
      <c r="I1063" s="133">
        <v>6</v>
      </c>
      <c r="J1063" s="131" t="s">
        <v>166</v>
      </c>
      <c r="K1063" s="134" t="s">
        <v>16</v>
      </c>
      <c r="L1063" s="133">
        <v>1</v>
      </c>
      <c r="M1063" s="133">
        <v>7</v>
      </c>
      <c r="N1063" s="135">
        <v>120</v>
      </c>
      <c r="O1063" s="136">
        <v>120</v>
      </c>
      <c r="P1063" s="137"/>
      <c r="Q1063" s="138">
        <v>120</v>
      </c>
      <c r="R1063" s="139" t="s">
        <v>4</v>
      </c>
      <c r="S1063" s="140">
        <v>43620</v>
      </c>
      <c r="T1063" s="203">
        <f t="shared" si="639"/>
        <v>43647</v>
      </c>
      <c r="U1063" s="204">
        <f t="shared" si="640"/>
        <v>43677</v>
      </c>
      <c r="V1063" s="207">
        <f>IF(G1063-F1063+1-IF(G1063-U1063&gt;0,G1063-U1063,0)-IF(T1063-F1063&gt;0,T1063-F1063,0)&gt;0,G1063-F1063+1-IF(G1063-U1063&gt;0,G1063-U1063,0)-IF(T1063-F1063&gt;0,T1063-F1063,0),0)</f>
        <v>10</v>
      </c>
      <c r="W1063" s="206" t="str">
        <f t="shared" ref="W1063:W1068" si="653">IF(V1063&gt;0,H1063,"")</f>
        <v>Пламен Любомиров Марков</v>
      </c>
      <c r="X1063" s="206">
        <f t="shared" ref="X1063:X1068" si="654">IF(AND($V1063&gt;0,$I1063=1),P1063/$E1063*$V1063,0)</f>
        <v>0</v>
      </c>
      <c r="Y1063" s="209">
        <f t="shared" ref="Y1063:Y1068" si="655">IF(AND($V1063&gt;0,$I1063&lt;&gt;1),Q1063/$E1063*$V1063,0)</f>
        <v>120</v>
      </c>
    </row>
    <row r="1064" spans="2:25" x14ac:dyDescent="0.25">
      <c r="B1064" s="60">
        <f>B1063</f>
        <v>10</v>
      </c>
      <c r="C1064" s="102">
        <v>65</v>
      </c>
      <c r="D1064" s="192" t="str">
        <f t="shared" si="618"/>
        <v>IV</v>
      </c>
      <c r="E1064" s="62">
        <v>10</v>
      </c>
      <c r="F1064" s="105">
        <v>43664</v>
      </c>
      <c r="G1064" s="105">
        <v>43673</v>
      </c>
      <c r="H1064" s="61" t="s">
        <v>253</v>
      </c>
      <c r="I1064" s="61">
        <v>6</v>
      </c>
      <c r="J1064" s="62" t="s">
        <v>166</v>
      </c>
      <c r="K1064" s="63" t="s">
        <v>16</v>
      </c>
      <c r="L1064" s="61">
        <v>1</v>
      </c>
      <c r="M1064" s="61">
        <v>7</v>
      </c>
      <c r="N1064" s="111">
        <v>120</v>
      </c>
      <c r="O1064" s="112">
        <v>120</v>
      </c>
      <c r="P1064" s="113"/>
      <c r="Q1064" s="114">
        <v>120</v>
      </c>
      <c r="R1064" s="64" t="s">
        <v>4</v>
      </c>
      <c r="S1064" s="108">
        <v>43620</v>
      </c>
      <c r="T1064" s="203">
        <f t="shared" si="639"/>
        <v>43647</v>
      </c>
      <c r="U1064" s="204">
        <f t="shared" si="640"/>
        <v>43677</v>
      </c>
      <c r="V1064" s="207">
        <f t="shared" ref="V1064:V1069" si="656">IF(G1064-F1064+1-IF(G1064-U1064&gt;0,G1064-U1064,0)-IF(T1064-F1064&gt;0,T1064-F1064,0)&gt;0,G1064-F1064+1-IF(G1064-U1064&gt;0,G1064-U1064,0)-IF(T1064-F1064&gt;0,T1064-F1064,0),0)</f>
        <v>10</v>
      </c>
      <c r="W1064" s="206" t="str">
        <f t="shared" si="653"/>
        <v>Силвия Христова Маркова</v>
      </c>
      <c r="X1064" s="206">
        <f t="shared" si="654"/>
        <v>0</v>
      </c>
      <c r="Y1064" s="209">
        <f t="shared" si="655"/>
        <v>120</v>
      </c>
    </row>
    <row r="1065" spans="2:25" ht="30" x14ac:dyDescent="0.25">
      <c r="B1065" s="60">
        <f>B1063</f>
        <v>10</v>
      </c>
      <c r="C1065" s="102">
        <v>66</v>
      </c>
      <c r="D1065" s="192" t="str">
        <f t="shared" si="618"/>
        <v>IV</v>
      </c>
      <c r="E1065" s="62">
        <v>10</v>
      </c>
      <c r="F1065" s="105">
        <v>43664</v>
      </c>
      <c r="G1065" s="105">
        <v>43673</v>
      </c>
      <c r="H1065" s="61" t="s">
        <v>254</v>
      </c>
      <c r="I1065" s="61">
        <v>5</v>
      </c>
      <c r="J1065" s="62" t="s">
        <v>172</v>
      </c>
      <c r="K1065" s="63" t="s">
        <v>61</v>
      </c>
      <c r="L1065" s="61">
        <v>1.5</v>
      </c>
      <c r="M1065" s="61">
        <v>7</v>
      </c>
      <c r="N1065" s="111">
        <v>79.5</v>
      </c>
      <c r="O1065" s="112">
        <v>79.5</v>
      </c>
      <c r="P1065" s="113"/>
      <c r="Q1065" s="114">
        <v>79.5</v>
      </c>
      <c r="R1065" s="64" t="s">
        <v>4</v>
      </c>
      <c r="S1065" s="108">
        <v>43620</v>
      </c>
      <c r="T1065" s="203">
        <f t="shared" si="639"/>
        <v>43647</v>
      </c>
      <c r="U1065" s="204">
        <f t="shared" si="640"/>
        <v>43677</v>
      </c>
      <c r="V1065" s="207">
        <f t="shared" si="656"/>
        <v>10</v>
      </c>
      <c r="W1065" s="206" t="str">
        <f t="shared" si="653"/>
        <v>Борил Пламенов Марков</v>
      </c>
      <c r="X1065" s="206">
        <f t="shared" si="654"/>
        <v>0</v>
      </c>
      <c r="Y1065" s="209">
        <f t="shared" si="655"/>
        <v>79.5</v>
      </c>
    </row>
    <row r="1066" spans="2:25" hidden="1" x14ac:dyDescent="0.25">
      <c r="B1066" s="60">
        <f>B1063</f>
        <v>10</v>
      </c>
      <c r="C1066" s="102">
        <v>67</v>
      </c>
      <c r="D1066" s="192" t="str">
        <f t="shared" ref="D1066:D1129" si="657">D1065</f>
        <v>IV</v>
      </c>
      <c r="E1066" s="62"/>
      <c r="F1066" s="105"/>
      <c r="G1066" s="105"/>
      <c r="H1066" s="61"/>
      <c r="I1066" s="61"/>
      <c r="J1066" s="62"/>
      <c r="K1066" s="63"/>
      <c r="L1066" s="61"/>
      <c r="M1066" s="61"/>
      <c r="N1066" s="111"/>
      <c r="O1066" s="112"/>
      <c r="P1066" s="113"/>
      <c r="Q1066" s="114"/>
      <c r="R1066" s="64"/>
      <c r="S1066" s="108"/>
      <c r="T1066" s="203">
        <f t="shared" si="639"/>
        <v>43647</v>
      </c>
      <c r="U1066" s="204">
        <f t="shared" si="640"/>
        <v>43677</v>
      </c>
      <c r="V1066" s="207">
        <f t="shared" si="656"/>
        <v>0</v>
      </c>
      <c r="W1066" s="206" t="str">
        <f t="shared" si="653"/>
        <v/>
      </c>
      <c r="X1066" s="206">
        <f t="shared" si="654"/>
        <v>0</v>
      </c>
      <c r="Y1066" s="209">
        <f t="shared" si="655"/>
        <v>0</v>
      </c>
    </row>
    <row r="1067" spans="2:25" hidden="1" x14ac:dyDescent="0.25">
      <c r="B1067" s="60">
        <f>B1063</f>
        <v>10</v>
      </c>
      <c r="C1067" s="102">
        <v>68</v>
      </c>
      <c r="D1067" s="192" t="str">
        <f t="shared" si="657"/>
        <v>IV</v>
      </c>
      <c r="E1067" s="62"/>
      <c r="F1067" s="105"/>
      <c r="G1067" s="105"/>
      <c r="H1067" s="61"/>
      <c r="I1067" s="61"/>
      <c r="J1067" s="62"/>
      <c r="K1067" s="63"/>
      <c r="L1067" s="61"/>
      <c r="M1067" s="61"/>
      <c r="N1067" s="111"/>
      <c r="O1067" s="112"/>
      <c r="P1067" s="113"/>
      <c r="Q1067" s="114"/>
      <c r="R1067" s="64"/>
      <c r="S1067" s="108"/>
      <c r="T1067" s="203">
        <f t="shared" si="639"/>
        <v>43647</v>
      </c>
      <c r="U1067" s="204">
        <f t="shared" si="640"/>
        <v>43677</v>
      </c>
      <c r="V1067" s="207">
        <f t="shared" si="656"/>
        <v>0</v>
      </c>
      <c r="W1067" s="206" t="str">
        <f t="shared" si="653"/>
        <v/>
      </c>
      <c r="X1067" s="206">
        <f t="shared" si="654"/>
        <v>0</v>
      </c>
      <c r="Y1067" s="209">
        <f t="shared" si="655"/>
        <v>0</v>
      </c>
    </row>
    <row r="1068" spans="2:25" hidden="1" x14ac:dyDescent="0.25">
      <c r="B1068" s="60">
        <f>B1063</f>
        <v>10</v>
      </c>
      <c r="C1068" s="102">
        <v>69</v>
      </c>
      <c r="D1068" s="192" t="str">
        <f t="shared" si="657"/>
        <v>IV</v>
      </c>
      <c r="E1068" s="62"/>
      <c r="F1068" s="105"/>
      <c r="G1068" s="105"/>
      <c r="H1068" s="61"/>
      <c r="I1068" s="61"/>
      <c r="J1068" s="62"/>
      <c r="K1068" s="63"/>
      <c r="L1068" s="61"/>
      <c r="M1068" s="61"/>
      <c r="N1068" s="111"/>
      <c r="O1068" s="112"/>
      <c r="P1068" s="113"/>
      <c r="Q1068" s="114"/>
      <c r="R1068" s="64"/>
      <c r="S1068" s="108"/>
      <c r="T1068" s="203">
        <f t="shared" si="639"/>
        <v>43647</v>
      </c>
      <c r="U1068" s="204">
        <f t="shared" si="640"/>
        <v>43677</v>
      </c>
      <c r="V1068" s="207">
        <f t="shared" si="656"/>
        <v>0</v>
      </c>
      <c r="W1068" s="206" t="str">
        <f t="shared" si="653"/>
        <v/>
      </c>
      <c r="X1068" s="206">
        <f t="shared" si="654"/>
        <v>0</v>
      </c>
      <c r="Y1068" s="209">
        <f t="shared" si="655"/>
        <v>0</v>
      </c>
    </row>
    <row r="1069" spans="2:25" ht="15.75" thickBot="1" x14ac:dyDescent="0.3">
      <c r="B1069" s="141">
        <f>B1063</f>
        <v>10</v>
      </c>
      <c r="C1069" s="142">
        <v>70</v>
      </c>
      <c r="D1069" s="194" t="str">
        <f t="shared" si="657"/>
        <v>IV</v>
      </c>
      <c r="E1069" s="143"/>
      <c r="F1069" s="144"/>
      <c r="G1069" s="144"/>
      <c r="H1069" s="145"/>
      <c r="I1069" s="145"/>
      <c r="J1069" s="436" t="s">
        <v>181</v>
      </c>
      <c r="K1069" s="437"/>
      <c r="L1069" s="438"/>
      <c r="M1069" s="145"/>
      <c r="N1069" s="146">
        <v>10</v>
      </c>
      <c r="O1069" s="147">
        <v>10</v>
      </c>
      <c r="P1069" s="148"/>
      <c r="Q1069" s="149">
        <v>10</v>
      </c>
      <c r="R1069" s="150" t="s">
        <v>4</v>
      </c>
      <c r="S1069" s="151">
        <v>43620</v>
      </c>
      <c r="T1069" s="213">
        <f t="shared" si="639"/>
        <v>43647</v>
      </c>
      <c r="U1069" s="214">
        <f t="shared" si="640"/>
        <v>43677</v>
      </c>
      <c r="V1069" s="210">
        <f t="shared" si="656"/>
        <v>0</v>
      </c>
      <c r="W1069" s="211"/>
      <c r="X1069" s="211">
        <f>IF(AND($V1069&gt;0,$I1069=1),IF($E1069=10,P1069/10,P1069/$V1069),0)</f>
        <v>0</v>
      </c>
      <c r="Y1069" s="212">
        <f>IF(AND($V1063&gt;0,$I1069&lt;&gt;1),Q1069/E1063*V1063,0)</f>
        <v>10</v>
      </c>
    </row>
    <row r="1070" spans="2:25" ht="16.5" hidden="1" thickTop="1" thickBot="1" x14ac:dyDescent="0.3">
      <c r="B1070" s="129">
        <f>B1068+1</f>
        <v>11</v>
      </c>
      <c r="C1070" s="130">
        <v>71</v>
      </c>
      <c r="D1070" s="196" t="str">
        <f t="shared" si="657"/>
        <v>IV</v>
      </c>
      <c r="E1070" s="152"/>
      <c r="F1070" s="153"/>
      <c r="G1070" s="153"/>
      <c r="H1070" s="154"/>
      <c r="I1070" s="154"/>
      <c r="J1070" s="152"/>
      <c r="K1070" s="155"/>
      <c r="L1070" s="154"/>
      <c r="M1070" s="154"/>
      <c r="N1070" s="156"/>
      <c r="O1070" s="157"/>
      <c r="P1070" s="158"/>
      <c r="Q1070" s="159"/>
      <c r="R1070" s="160"/>
      <c r="S1070" s="161"/>
      <c r="T1070" s="203">
        <f t="shared" si="639"/>
        <v>43647</v>
      </c>
      <c r="U1070" s="204">
        <f t="shared" si="640"/>
        <v>43677</v>
      </c>
      <c r="V1070" s="207">
        <f>IF(G1070-F1070+1-IF(G1070-U1070&gt;0,G1070-U1070,0)-IF(T1070-F1070&gt;0,T1070-F1070,0)&gt;0,G1070-F1070+1-IF(G1070-U1070&gt;0,G1070-U1070,0)-IF(T1070-F1070&gt;0,T1070-F1070,0),0)</f>
        <v>0</v>
      </c>
      <c r="W1070" s="206" t="str">
        <f t="shared" ref="W1070:W1075" si="658">IF(V1070&gt;0,H1070,"")</f>
        <v/>
      </c>
      <c r="X1070" s="206">
        <f t="shared" ref="X1070:X1075" si="659">IF(AND($V1070&gt;0,$I1070=1),P1070/$E1070*$V1070,0)</f>
        <v>0</v>
      </c>
      <c r="Y1070" s="209">
        <f t="shared" ref="Y1070:Y1075" si="660">IF(AND($V1070&gt;0,$I1070&lt;&gt;1),Q1070/$E1070*$V1070,0)</f>
        <v>0</v>
      </c>
    </row>
    <row r="1071" spans="2:25" ht="16.5" hidden="1" thickTop="1" thickBot="1" x14ac:dyDescent="0.3">
      <c r="B1071" s="60">
        <f>B1070</f>
        <v>11</v>
      </c>
      <c r="C1071" s="102">
        <v>72</v>
      </c>
      <c r="D1071" s="192" t="str">
        <f t="shared" si="657"/>
        <v>IV</v>
      </c>
      <c r="E1071" s="162"/>
      <c r="F1071" s="163"/>
      <c r="G1071" s="163"/>
      <c r="H1071" s="164"/>
      <c r="I1071" s="164"/>
      <c r="J1071" s="162"/>
      <c r="K1071" s="165"/>
      <c r="L1071" s="164"/>
      <c r="M1071" s="164"/>
      <c r="N1071" s="166"/>
      <c r="O1071" s="167"/>
      <c r="P1071" s="168"/>
      <c r="Q1071" s="169"/>
      <c r="R1071" s="170"/>
      <c r="S1071" s="171"/>
      <c r="T1071" s="203">
        <f t="shared" si="639"/>
        <v>43647</v>
      </c>
      <c r="U1071" s="204">
        <f t="shared" si="640"/>
        <v>43677</v>
      </c>
      <c r="V1071" s="207">
        <f t="shared" ref="V1071:V1076" si="661">IF(G1071-F1071+1-IF(G1071-U1071&gt;0,G1071-U1071,0)-IF(T1071-F1071&gt;0,T1071-F1071,0)&gt;0,G1071-F1071+1-IF(G1071-U1071&gt;0,G1071-U1071,0)-IF(T1071-F1071&gt;0,T1071-F1071,0),0)</f>
        <v>0</v>
      </c>
      <c r="W1071" s="206" t="str">
        <f t="shared" si="658"/>
        <v/>
      </c>
      <c r="X1071" s="206">
        <f t="shared" si="659"/>
        <v>0</v>
      </c>
      <c r="Y1071" s="209">
        <f t="shared" si="660"/>
        <v>0</v>
      </c>
    </row>
    <row r="1072" spans="2:25" ht="16.5" hidden="1" thickTop="1" thickBot="1" x14ac:dyDescent="0.3">
      <c r="B1072" s="60">
        <f>B1070</f>
        <v>11</v>
      </c>
      <c r="C1072" s="102">
        <v>73</v>
      </c>
      <c r="D1072" s="192" t="str">
        <f t="shared" si="657"/>
        <v>IV</v>
      </c>
      <c r="E1072" s="162"/>
      <c r="F1072" s="163"/>
      <c r="G1072" s="163"/>
      <c r="H1072" s="164"/>
      <c r="I1072" s="164"/>
      <c r="J1072" s="162"/>
      <c r="K1072" s="165"/>
      <c r="L1072" s="164"/>
      <c r="M1072" s="164"/>
      <c r="N1072" s="166"/>
      <c r="O1072" s="167"/>
      <c r="P1072" s="168"/>
      <c r="Q1072" s="169"/>
      <c r="R1072" s="170"/>
      <c r="S1072" s="171"/>
      <c r="T1072" s="203">
        <f t="shared" si="639"/>
        <v>43647</v>
      </c>
      <c r="U1072" s="204">
        <f t="shared" si="640"/>
        <v>43677</v>
      </c>
      <c r="V1072" s="207">
        <f t="shared" si="661"/>
        <v>0</v>
      </c>
      <c r="W1072" s="206" t="str">
        <f t="shared" si="658"/>
        <v/>
      </c>
      <c r="X1072" s="206">
        <f t="shared" si="659"/>
        <v>0</v>
      </c>
      <c r="Y1072" s="209">
        <f t="shared" si="660"/>
        <v>0</v>
      </c>
    </row>
    <row r="1073" spans="2:25" ht="16.5" hidden="1" thickTop="1" thickBot="1" x14ac:dyDescent="0.3">
      <c r="B1073" s="60">
        <f>B1070</f>
        <v>11</v>
      </c>
      <c r="C1073" s="102">
        <v>74</v>
      </c>
      <c r="D1073" s="192" t="str">
        <f t="shared" si="657"/>
        <v>IV</v>
      </c>
      <c r="E1073" s="162"/>
      <c r="F1073" s="163"/>
      <c r="G1073" s="163"/>
      <c r="H1073" s="164"/>
      <c r="I1073" s="164"/>
      <c r="J1073" s="162"/>
      <c r="K1073" s="165"/>
      <c r="L1073" s="164"/>
      <c r="M1073" s="164"/>
      <c r="N1073" s="166"/>
      <c r="O1073" s="167"/>
      <c r="P1073" s="168"/>
      <c r="Q1073" s="169"/>
      <c r="R1073" s="170"/>
      <c r="S1073" s="171"/>
      <c r="T1073" s="203">
        <f t="shared" si="639"/>
        <v>43647</v>
      </c>
      <c r="U1073" s="204">
        <f t="shared" si="640"/>
        <v>43677</v>
      </c>
      <c r="V1073" s="207">
        <f t="shared" si="661"/>
        <v>0</v>
      </c>
      <c r="W1073" s="206" t="str">
        <f t="shared" si="658"/>
        <v/>
      </c>
      <c r="X1073" s="206">
        <f t="shared" si="659"/>
        <v>0</v>
      </c>
      <c r="Y1073" s="209">
        <f t="shared" si="660"/>
        <v>0</v>
      </c>
    </row>
    <row r="1074" spans="2:25" ht="16.5" hidden="1" thickTop="1" thickBot="1" x14ac:dyDescent="0.3">
      <c r="B1074" s="60">
        <f>B1070</f>
        <v>11</v>
      </c>
      <c r="C1074" s="102">
        <v>75</v>
      </c>
      <c r="D1074" s="192" t="str">
        <f t="shared" si="657"/>
        <v>IV</v>
      </c>
      <c r="E1074" s="162"/>
      <c r="F1074" s="163"/>
      <c r="G1074" s="163"/>
      <c r="H1074" s="164"/>
      <c r="I1074" s="164"/>
      <c r="J1074" s="162"/>
      <c r="K1074" s="165"/>
      <c r="L1074" s="164"/>
      <c r="M1074" s="164"/>
      <c r="N1074" s="166"/>
      <c r="O1074" s="167"/>
      <c r="P1074" s="168"/>
      <c r="Q1074" s="169"/>
      <c r="R1074" s="170"/>
      <c r="S1074" s="171"/>
      <c r="T1074" s="203">
        <f t="shared" si="639"/>
        <v>43647</v>
      </c>
      <c r="U1074" s="204">
        <f t="shared" si="640"/>
        <v>43677</v>
      </c>
      <c r="V1074" s="207">
        <f t="shared" si="661"/>
        <v>0</v>
      </c>
      <c r="W1074" s="206" t="str">
        <f t="shared" si="658"/>
        <v/>
      </c>
      <c r="X1074" s="206">
        <f t="shared" si="659"/>
        <v>0</v>
      </c>
      <c r="Y1074" s="209">
        <f t="shared" si="660"/>
        <v>0</v>
      </c>
    </row>
    <row r="1075" spans="2:25" ht="16.5" hidden="1" thickTop="1" thickBot="1" x14ac:dyDescent="0.3">
      <c r="B1075" s="60">
        <f>B1070</f>
        <v>11</v>
      </c>
      <c r="C1075" s="102">
        <v>76</v>
      </c>
      <c r="D1075" s="192" t="str">
        <f t="shared" si="657"/>
        <v>IV</v>
      </c>
      <c r="E1075" s="172"/>
      <c r="F1075" s="173"/>
      <c r="G1075" s="173"/>
      <c r="H1075" s="174"/>
      <c r="I1075" s="174"/>
      <c r="J1075" s="172"/>
      <c r="K1075" s="175"/>
      <c r="L1075" s="174"/>
      <c r="M1075" s="174"/>
      <c r="N1075" s="176"/>
      <c r="O1075" s="177"/>
      <c r="P1075" s="178"/>
      <c r="Q1075" s="179"/>
      <c r="R1075" s="180"/>
      <c r="S1075" s="181"/>
      <c r="T1075" s="203">
        <f t="shared" si="639"/>
        <v>43647</v>
      </c>
      <c r="U1075" s="204">
        <f t="shared" si="640"/>
        <v>43677</v>
      </c>
      <c r="V1075" s="207">
        <f t="shared" si="661"/>
        <v>0</v>
      </c>
      <c r="W1075" s="206" t="str">
        <f t="shared" si="658"/>
        <v/>
      </c>
      <c r="X1075" s="206">
        <f t="shared" si="659"/>
        <v>0</v>
      </c>
      <c r="Y1075" s="209">
        <f t="shared" si="660"/>
        <v>0</v>
      </c>
    </row>
    <row r="1076" spans="2:25" ht="16.5" hidden="1" thickTop="1" thickBot="1" x14ac:dyDescent="0.3">
      <c r="B1076" s="141">
        <f>B1070</f>
        <v>11</v>
      </c>
      <c r="C1076" s="142">
        <v>77</v>
      </c>
      <c r="D1076" s="194" t="str">
        <f t="shared" si="657"/>
        <v>IV</v>
      </c>
      <c r="E1076" s="189"/>
      <c r="F1076" s="190"/>
      <c r="G1076" s="190"/>
      <c r="H1076" s="182"/>
      <c r="I1076" s="182"/>
      <c r="J1076" s="436" t="s">
        <v>181</v>
      </c>
      <c r="K1076" s="437"/>
      <c r="L1076" s="438"/>
      <c r="M1076" s="182"/>
      <c r="N1076" s="183"/>
      <c r="O1076" s="184"/>
      <c r="P1076" s="185"/>
      <c r="Q1076" s="186"/>
      <c r="R1076" s="187"/>
      <c r="S1076" s="188"/>
      <c r="T1076" s="213">
        <f t="shared" si="639"/>
        <v>43647</v>
      </c>
      <c r="U1076" s="214">
        <f t="shared" si="640"/>
        <v>43677</v>
      </c>
      <c r="V1076" s="210">
        <f t="shared" si="661"/>
        <v>0</v>
      </c>
      <c r="W1076" s="211"/>
      <c r="X1076" s="211">
        <f>IF(AND($V1076&gt;0,$I1076=1),IF($E1076=10,P1076/10,P1076/$V1076),0)</f>
        <v>0</v>
      </c>
      <c r="Y1076" s="212">
        <f>IF(AND($V1070&gt;0,$I1076&lt;&gt;1),Q1076/E1070*V1070,0)</f>
        <v>0</v>
      </c>
    </row>
    <row r="1077" spans="2:25" ht="30.75" thickTop="1" x14ac:dyDescent="0.25">
      <c r="B1077" s="129">
        <f>B1075+1</f>
        <v>12</v>
      </c>
      <c r="C1077" s="130">
        <v>78</v>
      </c>
      <c r="D1077" s="196" t="str">
        <f t="shared" si="657"/>
        <v>IV</v>
      </c>
      <c r="E1077" s="131">
        <v>10</v>
      </c>
      <c r="F1077" s="132">
        <v>43664</v>
      </c>
      <c r="G1077" s="132">
        <v>43673</v>
      </c>
      <c r="H1077" s="133" t="s">
        <v>238</v>
      </c>
      <c r="I1077" s="133">
        <v>1</v>
      </c>
      <c r="J1077" s="131" t="s">
        <v>168</v>
      </c>
      <c r="K1077" s="134" t="s">
        <v>16</v>
      </c>
      <c r="L1077" s="133">
        <v>1</v>
      </c>
      <c r="M1077" s="133">
        <v>7</v>
      </c>
      <c r="N1077" s="135">
        <v>44</v>
      </c>
      <c r="O1077" s="136">
        <v>44</v>
      </c>
      <c r="P1077" s="137">
        <v>44</v>
      </c>
      <c r="Q1077" s="138"/>
      <c r="R1077" s="139" t="s">
        <v>4</v>
      </c>
      <c r="S1077" s="140">
        <v>43620</v>
      </c>
      <c r="T1077" s="203">
        <f t="shared" si="639"/>
        <v>43647</v>
      </c>
      <c r="U1077" s="204">
        <f t="shared" si="640"/>
        <v>43677</v>
      </c>
      <c r="V1077" s="207">
        <f>IF(G1077-F1077+1-IF(G1077-U1077&gt;0,G1077-U1077,0)-IF(T1077-F1077&gt;0,T1077-F1077,0)&gt;0,G1077-F1077+1-IF(G1077-U1077&gt;0,G1077-U1077,0)-IF(T1077-F1077&gt;0,T1077-F1077,0),0)</f>
        <v>10</v>
      </c>
      <c r="W1077" s="206" t="str">
        <f t="shared" ref="W1077:W1082" si="662">IF(V1077&gt;0,H1077,"")</f>
        <v>Илияна Раева</v>
      </c>
      <c r="X1077" s="206">
        <f t="shared" ref="X1077:X1082" si="663">IF(AND($V1077&gt;0,$I1077=1),P1077/$E1077*$V1077,0)</f>
        <v>44</v>
      </c>
      <c r="Y1077" s="209">
        <f t="shared" ref="Y1077:Y1082" si="664">IF(AND($V1077&gt;0,$I1077&lt;&gt;1),Q1077/$E1077*$V1077,0)</f>
        <v>0</v>
      </c>
    </row>
    <row r="1078" spans="2:25" hidden="1" x14ac:dyDescent="0.25">
      <c r="B1078" s="60">
        <f>B1077</f>
        <v>12</v>
      </c>
      <c r="C1078" s="102">
        <v>79</v>
      </c>
      <c r="D1078" s="192" t="str">
        <f t="shared" si="657"/>
        <v>IV</v>
      </c>
      <c r="E1078" s="62"/>
      <c r="F1078" s="105"/>
      <c r="G1078" s="105"/>
      <c r="H1078" s="61"/>
      <c r="I1078" s="61"/>
      <c r="J1078" s="62"/>
      <c r="K1078" s="63"/>
      <c r="L1078" s="61"/>
      <c r="M1078" s="61"/>
      <c r="N1078" s="111"/>
      <c r="O1078" s="112"/>
      <c r="P1078" s="113"/>
      <c r="Q1078" s="114"/>
      <c r="R1078" s="64"/>
      <c r="S1078" s="108"/>
      <c r="T1078" s="203">
        <f t="shared" si="639"/>
        <v>43647</v>
      </c>
      <c r="U1078" s="204">
        <f t="shared" si="640"/>
        <v>43677</v>
      </c>
      <c r="V1078" s="207">
        <f t="shared" ref="V1078:V1083" si="665">IF(G1078-F1078+1-IF(G1078-U1078&gt;0,G1078-U1078,0)-IF(T1078-F1078&gt;0,T1078-F1078,0)&gt;0,G1078-F1078+1-IF(G1078-U1078&gt;0,G1078-U1078,0)-IF(T1078-F1078&gt;0,T1078-F1078,0),0)</f>
        <v>0</v>
      </c>
      <c r="W1078" s="206" t="str">
        <f t="shared" si="662"/>
        <v/>
      </c>
      <c r="X1078" s="206">
        <f t="shared" si="663"/>
        <v>0</v>
      </c>
      <c r="Y1078" s="209">
        <f t="shared" si="664"/>
        <v>0</v>
      </c>
    </row>
    <row r="1079" spans="2:25" hidden="1" x14ac:dyDescent="0.25">
      <c r="B1079" s="60">
        <f>B1077</f>
        <v>12</v>
      </c>
      <c r="C1079" s="102">
        <v>80</v>
      </c>
      <c r="D1079" s="192" t="str">
        <f t="shared" si="657"/>
        <v>IV</v>
      </c>
      <c r="E1079" s="62"/>
      <c r="F1079" s="105"/>
      <c r="G1079" s="105"/>
      <c r="H1079" s="61"/>
      <c r="I1079" s="61"/>
      <c r="J1079" s="62"/>
      <c r="K1079" s="63"/>
      <c r="L1079" s="61"/>
      <c r="M1079" s="61"/>
      <c r="N1079" s="111"/>
      <c r="O1079" s="112"/>
      <c r="P1079" s="113"/>
      <c r="Q1079" s="114"/>
      <c r="R1079" s="64"/>
      <c r="S1079" s="108"/>
      <c r="T1079" s="203">
        <f t="shared" si="639"/>
        <v>43647</v>
      </c>
      <c r="U1079" s="204">
        <f t="shared" si="640"/>
        <v>43677</v>
      </c>
      <c r="V1079" s="207">
        <f t="shared" si="665"/>
        <v>0</v>
      </c>
      <c r="W1079" s="206" t="str">
        <f t="shared" si="662"/>
        <v/>
      </c>
      <c r="X1079" s="206">
        <f t="shared" si="663"/>
        <v>0</v>
      </c>
      <c r="Y1079" s="209">
        <f t="shared" si="664"/>
        <v>0</v>
      </c>
    </row>
    <row r="1080" spans="2:25" hidden="1" x14ac:dyDescent="0.25">
      <c r="B1080" s="60">
        <f>B1077</f>
        <v>12</v>
      </c>
      <c r="C1080" s="102">
        <v>81</v>
      </c>
      <c r="D1080" s="192" t="str">
        <f t="shared" si="657"/>
        <v>IV</v>
      </c>
      <c r="E1080" s="62"/>
      <c r="F1080" s="105"/>
      <c r="G1080" s="105"/>
      <c r="H1080" s="61"/>
      <c r="I1080" s="61"/>
      <c r="J1080" s="62"/>
      <c r="K1080" s="63"/>
      <c r="L1080" s="61"/>
      <c r="M1080" s="61"/>
      <c r="N1080" s="111"/>
      <c r="O1080" s="112"/>
      <c r="P1080" s="113"/>
      <c r="Q1080" s="114"/>
      <c r="R1080" s="64"/>
      <c r="S1080" s="108"/>
      <c r="T1080" s="203">
        <f t="shared" si="639"/>
        <v>43647</v>
      </c>
      <c r="U1080" s="204">
        <f t="shared" si="640"/>
        <v>43677</v>
      </c>
      <c r="V1080" s="207">
        <f t="shared" si="665"/>
        <v>0</v>
      </c>
      <c r="W1080" s="206" t="str">
        <f t="shared" si="662"/>
        <v/>
      </c>
      <c r="X1080" s="206">
        <f t="shared" si="663"/>
        <v>0</v>
      </c>
      <c r="Y1080" s="209">
        <f t="shared" si="664"/>
        <v>0</v>
      </c>
    </row>
    <row r="1081" spans="2:25" hidden="1" x14ac:dyDescent="0.25">
      <c r="B1081" s="60">
        <f>B1077</f>
        <v>12</v>
      </c>
      <c r="C1081" s="102">
        <v>82</v>
      </c>
      <c r="D1081" s="192" t="str">
        <f t="shared" si="657"/>
        <v>IV</v>
      </c>
      <c r="E1081" s="62"/>
      <c r="F1081" s="105"/>
      <c r="G1081" s="105"/>
      <c r="H1081" s="61"/>
      <c r="I1081" s="61"/>
      <c r="J1081" s="62"/>
      <c r="K1081" s="63"/>
      <c r="L1081" s="61"/>
      <c r="M1081" s="61"/>
      <c r="N1081" s="111"/>
      <c r="O1081" s="112"/>
      <c r="P1081" s="113"/>
      <c r="Q1081" s="114"/>
      <c r="R1081" s="64"/>
      <c r="S1081" s="108"/>
      <c r="T1081" s="203">
        <f t="shared" si="639"/>
        <v>43647</v>
      </c>
      <c r="U1081" s="204">
        <f t="shared" si="640"/>
        <v>43677</v>
      </c>
      <c r="V1081" s="207">
        <f t="shared" si="665"/>
        <v>0</v>
      </c>
      <c r="W1081" s="206" t="str">
        <f t="shared" si="662"/>
        <v/>
      </c>
      <c r="X1081" s="206">
        <f t="shared" si="663"/>
        <v>0</v>
      </c>
      <c r="Y1081" s="209">
        <f t="shared" si="664"/>
        <v>0</v>
      </c>
    </row>
    <row r="1082" spans="2:25" hidden="1" x14ac:dyDescent="0.25">
      <c r="B1082" s="60">
        <f>B1077</f>
        <v>12</v>
      </c>
      <c r="C1082" s="102">
        <v>83</v>
      </c>
      <c r="D1082" s="192" t="str">
        <f t="shared" si="657"/>
        <v>IV</v>
      </c>
      <c r="E1082" s="62"/>
      <c r="F1082" s="105"/>
      <c r="G1082" s="105"/>
      <c r="H1082" s="61"/>
      <c r="I1082" s="61"/>
      <c r="J1082" s="62"/>
      <c r="K1082" s="63"/>
      <c r="L1082" s="61"/>
      <c r="M1082" s="61"/>
      <c r="N1082" s="111"/>
      <c r="O1082" s="112"/>
      <c r="P1082" s="113"/>
      <c r="Q1082" s="114"/>
      <c r="R1082" s="64"/>
      <c r="S1082" s="108"/>
      <c r="T1082" s="203">
        <f t="shared" si="639"/>
        <v>43647</v>
      </c>
      <c r="U1082" s="204">
        <f t="shared" si="640"/>
        <v>43677</v>
      </c>
      <c r="V1082" s="207">
        <f t="shared" si="665"/>
        <v>0</v>
      </c>
      <c r="W1082" s="206" t="str">
        <f t="shared" si="662"/>
        <v/>
      </c>
      <c r="X1082" s="206">
        <f t="shared" si="663"/>
        <v>0</v>
      </c>
      <c r="Y1082" s="209">
        <f t="shared" si="664"/>
        <v>0</v>
      </c>
    </row>
    <row r="1083" spans="2:25" ht="15.75" thickBot="1" x14ac:dyDescent="0.3">
      <c r="B1083" s="141">
        <f>B1077</f>
        <v>12</v>
      </c>
      <c r="C1083" s="142">
        <v>84</v>
      </c>
      <c r="D1083" s="194" t="str">
        <f t="shared" si="657"/>
        <v>IV</v>
      </c>
      <c r="E1083" s="143"/>
      <c r="F1083" s="144"/>
      <c r="G1083" s="144"/>
      <c r="H1083" s="145"/>
      <c r="I1083" s="145"/>
      <c r="J1083" s="436" t="s">
        <v>181</v>
      </c>
      <c r="K1083" s="437"/>
      <c r="L1083" s="438"/>
      <c r="M1083" s="145"/>
      <c r="N1083" s="146">
        <v>10</v>
      </c>
      <c r="O1083" s="147">
        <v>10</v>
      </c>
      <c r="P1083" s="148"/>
      <c r="Q1083" s="149">
        <v>10</v>
      </c>
      <c r="R1083" s="150" t="s">
        <v>4</v>
      </c>
      <c r="S1083" s="151">
        <v>43620</v>
      </c>
      <c r="T1083" s="213">
        <f t="shared" si="639"/>
        <v>43647</v>
      </c>
      <c r="U1083" s="214">
        <f t="shared" si="640"/>
        <v>43677</v>
      </c>
      <c r="V1083" s="210">
        <f t="shared" si="665"/>
        <v>0</v>
      </c>
      <c r="W1083" s="211"/>
      <c r="X1083" s="211">
        <f>IF(AND($V1083&gt;0,$I1083=1),IF($E1083=10,P1083/10,P1083/$V1083),0)</f>
        <v>0</v>
      </c>
      <c r="Y1083" s="212">
        <f>IF(AND($V1077&gt;0,$I1083&lt;&gt;1),Q1083/E1077*V1077,0)</f>
        <v>10</v>
      </c>
    </row>
    <row r="1084" spans="2:25" ht="45.75" thickTop="1" x14ac:dyDescent="0.25">
      <c r="B1084" s="129">
        <f>B1082+1</f>
        <v>13</v>
      </c>
      <c r="C1084" s="130">
        <v>85</v>
      </c>
      <c r="D1084" s="196" t="str">
        <f t="shared" si="657"/>
        <v>IV</v>
      </c>
      <c r="E1084" s="152">
        <v>10</v>
      </c>
      <c r="F1084" s="153">
        <v>43664</v>
      </c>
      <c r="G1084" s="153">
        <v>43673</v>
      </c>
      <c r="H1084" s="154" t="s">
        <v>255</v>
      </c>
      <c r="I1084" s="154">
        <v>2</v>
      </c>
      <c r="J1084" s="152" t="s">
        <v>167</v>
      </c>
      <c r="K1084" s="155" t="s">
        <v>16</v>
      </c>
      <c r="L1084" s="154">
        <v>1</v>
      </c>
      <c r="M1084" s="154">
        <v>7</v>
      </c>
      <c r="N1084" s="156">
        <v>53</v>
      </c>
      <c r="O1084" s="157">
        <v>53</v>
      </c>
      <c r="P1084" s="158"/>
      <c r="Q1084" s="159">
        <v>53</v>
      </c>
      <c r="R1084" s="160" t="s">
        <v>4</v>
      </c>
      <c r="S1084" s="161">
        <v>43626</v>
      </c>
      <c r="T1084" s="203">
        <f t="shared" si="639"/>
        <v>43647</v>
      </c>
      <c r="U1084" s="204">
        <f t="shared" si="640"/>
        <v>43677</v>
      </c>
      <c r="V1084" s="207">
        <f>IF(G1084-F1084+1-IF(G1084-U1084&gt;0,G1084-U1084,0)-IF(T1084-F1084&gt;0,T1084-F1084,0)&gt;0,G1084-F1084+1-IF(G1084-U1084&gt;0,G1084-U1084,0)-IF(T1084-F1084&gt;0,T1084-F1084,0),0)</f>
        <v>10</v>
      </c>
      <c r="W1084" s="206" t="str">
        <f t="shared" ref="W1084:W1089" si="666">IF(V1084&gt;0,H1084,"")</f>
        <v>Венелин Димитров</v>
      </c>
      <c r="X1084" s="206">
        <f t="shared" ref="X1084:X1089" si="667">IF(AND($V1084&gt;0,$I1084=1),P1084/$E1084*$V1084,0)</f>
        <v>0</v>
      </c>
      <c r="Y1084" s="209">
        <f t="shared" ref="Y1084:Y1089" si="668">IF(AND($V1084&gt;0,$I1084&lt;&gt;1),Q1084/$E1084*$V1084,0)</f>
        <v>53</v>
      </c>
    </row>
    <row r="1085" spans="2:25" ht="45" x14ac:dyDescent="0.25">
      <c r="B1085" s="60">
        <f>B1084</f>
        <v>13</v>
      </c>
      <c r="C1085" s="102">
        <v>86</v>
      </c>
      <c r="D1085" s="192" t="str">
        <f t="shared" si="657"/>
        <v>IV</v>
      </c>
      <c r="E1085" s="162">
        <v>10</v>
      </c>
      <c r="F1085" s="163">
        <v>43664</v>
      </c>
      <c r="G1085" s="163">
        <v>43673</v>
      </c>
      <c r="H1085" s="164" t="s">
        <v>256</v>
      </c>
      <c r="I1085" s="164">
        <v>2</v>
      </c>
      <c r="J1085" s="162" t="s">
        <v>167</v>
      </c>
      <c r="K1085" s="165" t="s">
        <v>16</v>
      </c>
      <c r="L1085" s="164">
        <v>1</v>
      </c>
      <c r="M1085" s="164">
        <v>7</v>
      </c>
      <c r="N1085" s="166">
        <v>53</v>
      </c>
      <c r="O1085" s="167">
        <v>53</v>
      </c>
      <c r="P1085" s="168"/>
      <c r="Q1085" s="169">
        <v>53</v>
      </c>
      <c r="R1085" s="170" t="s">
        <v>4</v>
      </c>
      <c r="S1085" s="171">
        <v>43626</v>
      </c>
      <c r="T1085" s="203">
        <f t="shared" si="639"/>
        <v>43647</v>
      </c>
      <c r="U1085" s="204">
        <f t="shared" si="640"/>
        <v>43677</v>
      </c>
      <c r="V1085" s="207">
        <f t="shared" ref="V1085:V1090" si="669">IF(G1085-F1085+1-IF(G1085-U1085&gt;0,G1085-U1085,0)-IF(T1085-F1085&gt;0,T1085-F1085,0)&gt;0,G1085-F1085+1-IF(G1085-U1085&gt;0,G1085-U1085,0)-IF(T1085-F1085&gt;0,T1085-F1085,0),0)</f>
        <v>10</v>
      </c>
      <c r="W1085" s="206" t="str">
        <f t="shared" si="666"/>
        <v>Валя Димитирова</v>
      </c>
      <c r="X1085" s="206">
        <f t="shared" si="667"/>
        <v>0</v>
      </c>
      <c r="Y1085" s="209">
        <f t="shared" si="668"/>
        <v>53</v>
      </c>
    </row>
    <row r="1086" spans="2:25" hidden="1" x14ac:dyDescent="0.25">
      <c r="B1086" s="60">
        <f>B1084</f>
        <v>13</v>
      </c>
      <c r="C1086" s="102">
        <v>87</v>
      </c>
      <c r="D1086" s="192" t="str">
        <f t="shared" si="657"/>
        <v>IV</v>
      </c>
      <c r="E1086" s="162"/>
      <c r="F1086" s="163"/>
      <c r="G1086" s="163"/>
      <c r="H1086" s="164"/>
      <c r="I1086" s="164"/>
      <c r="J1086" s="162"/>
      <c r="K1086" s="165"/>
      <c r="L1086" s="164"/>
      <c r="M1086" s="164"/>
      <c r="N1086" s="166"/>
      <c r="O1086" s="167"/>
      <c r="P1086" s="168"/>
      <c r="Q1086" s="169"/>
      <c r="R1086" s="170"/>
      <c r="S1086" s="171"/>
      <c r="T1086" s="203">
        <f t="shared" si="639"/>
        <v>43647</v>
      </c>
      <c r="U1086" s="204">
        <f t="shared" si="640"/>
        <v>43677</v>
      </c>
      <c r="V1086" s="207">
        <f t="shared" si="669"/>
        <v>0</v>
      </c>
      <c r="W1086" s="206" t="str">
        <f t="shared" si="666"/>
        <v/>
      </c>
      <c r="X1086" s="206">
        <f t="shared" si="667"/>
        <v>0</v>
      </c>
      <c r="Y1086" s="209">
        <f t="shared" si="668"/>
        <v>0</v>
      </c>
    </row>
    <row r="1087" spans="2:25" hidden="1" x14ac:dyDescent="0.25">
      <c r="B1087" s="60">
        <f>B1084</f>
        <v>13</v>
      </c>
      <c r="C1087" s="102">
        <v>88</v>
      </c>
      <c r="D1087" s="192" t="str">
        <f t="shared" si="657"/>
        <v>IV</v>
      </c>
      <c r="E1087" s="162"/>
      <c r="F1087" s="163"/>
      <c r="G1087" s="163"/>
      <c r="H1087" s="164"/>
      <c r="I1087" s="164"/>
      <c r="J1087" s="162"/>
      <c r="K1087" s="165"/>
      <c r="L1087" s="164"/>
      <c r="M1087" s="164"/>
      <c r="N1087" s="166"/>
      <c r="O1087" s="167"/>
      <c r="P1087" s="168"/>
      <c r="Q1087" s="169"/>
      <c r="R1087" s="170"/>
      <c r="S1087" s="171"/>
      <c r="T1087" s="203">
        <f t="shared" si="639"/>
        <v>43647</v>
      </c>
      <c r="U1087" s="204">
        <f t="shared" si="640"/>
        <v>43677</v>
      </c>
      <c r="V1087" s="207">
        <f t="shared" si="669"/>
        <v>0</v>
      </c>
      <c r="W1087" s="206" t="str">
        <f t="shared" si="666"/>
        <v/>
      </c>
      <c r="X1087" s="206">
        <f t="shared" si="667"/>
        <v>0</v>
      </c>
      <c r="Y1087" s="209">
        <f t="shared" si="668"/>
        <v>0</v>
      </c>
    </row>
    <row r="1088" spans="2:25" hidden="1" x14ac:dyDescent="0.25">
      <c r="B1088" s="60">
        <f>B1084</f>
        <v>13</v>
      </c>
      <c r="C1088" s="102">
        <v>89</v>
      </c>
      <c r="D1088" s="192" t="str">
        <f t="shared" si="657"/>
        <v>IV</v>
      </c>
      <c r="E1088" s="162"/>
      <c r="F1088" s="163"/>
      <c r="G1088" s="163"/>
      <c r="H1088" s="164"/>
      <c r="I1088" s="164"/>
      <c r="J1088" s="162"/>
      <c r="K1088" s="165"/>
      <c r="L1088" s="164"/>
      <c r="M1088" s="164"/>
      <c r="N1088" s="166"/>
      <c r="O1088" s="167"/>
      <c r="P1088" s="168"/>
      <c r="Q1088" s="169"/>
      <c r="R1088" s="170"/>
      <c r="S1088" s="171"/>
      <c r="T1088" s="203">
        <f t="shared" si="639"/>
        <v>43647</v>
      </c>
      <c r="U1088" s="204">
        <f t="shared" si="640"/>
        <v>43677</v>
      </c>
      <c r="V1088" s="207">
        <f t="shared" si="669"/>
        <v>0</v>
      </c>
      <c r="W1088" s="206" t="str">
        <f t="shared" si="666"/>
        <v/>
      </c>
      <c r="X1088" s="206">
        <f t="shared" si="667"/>
        <v>0</v>
      </c>
      <c r="Y1088" s="209">
        <f t="shared" si="668"/>
        <v>0</v>
      </c>
    </row>
    <row r="1089" spans="2:25" hidden="1" x14ac:dyDescent="0.25">
      <c r="B1089" s="60">
        <f>B1084</f>
        <v>13</v>
      </c>
      <c r="C1089" s="102">
        <v>90</v>
      </c>
      <c r="D1089" s="192" t="str">
        <f t="shared" si="657"/>
        <v>IV</v>
      </c>
      <c r="E1089" s="172"/>
      <c r="F1089" s="173"/>
      <c r="G1089" s="173"/>
      <c r="H1089" s="174"/>
      <c r="I1089" s="174"/>
      <c r="J1089" s="172"/>
      <c r="K1089" s="175"/>
      <c r="L1089" s="174"/>
      <c r="M1089" s="174"/>
      <c r="N1089" s="176"/>
      <c r="O1089" s="177"/>
      <c r="P1089" s="178"/>
      <c r="Q1089" s="179"/>
      <c r="R1089" s="180"/>
      <c r="S1089" s="181"/>
      <c r="T1089" s="203">
        <f t="shared" si="639"/>
        <v>43647</v>
      </c>
      <c r="U1089" s="204">
        <f t="shared" si="640"/>
        <v>43677</v>
      </c>
      <c r="V1089" s="207">
        <f t="shared" si="669"/>
        <v>0</v>
      </c>
      <c r="W1089" s="206" t="str">
        <f t="shared" si="666"/>
        <v/>
      </c>
      <c r="X1089" s="206">
        <f t="shared" si="667"/>
        <v>0</v>
      </c>
      <c r="Y1089" s="209">
        <f t="shared" si="668"/>
        <v>0</v>
      </c>
    </row>
    <row r="1090" spans="2:25" ht="15.75" thickBot="1" x14ac:dyDescent="0.3">
      <c r="B1090" s="141">
        <f>B1084</f>
        <v>13</v>
      </c>
      <c r="C1090" s="142">
        <v>91</v>
      </c>
      <c r="D1090" s="194" t="str">
        <f t="shared" si="657"/>
        <v>IV</v>
      </c>
      <c r="E1090" s="189"/>
      <c r="F1090" s="190"/>
      <c r="G1090" s="190"/>
      <c r="H1090" s="182"/>
      <c r="I1090" s="182"/>
      <c r="J1090" s="436" t="s">
        <v>181</v>
      </c>
      <c r="K1090" s="437"/>
      <c r="L1090" s="438"/>
      <c r="M1090" s="182"/>
      <c r="N1090" s="183">
        <v>10</v>
      </c>
      <c r="O1090" s="184">
        <v>10</v>
      </c>
      <c r="P1090" s="185"/>
      <c r="Q1090" s="186">
        <v>10</v>
      </c>
      <c r="R1090" s="187" t="s">
        <v>4</v>
      </c>
      <c r="S1090" s="188">
        <v>43626</v>
      </c>
      <c r="T1090" s="213">
        <f t="shared" si="639"/>
        <v>43647</v>
      </c>
      <c r="U1090" s="214">
        <f t="shared" si="640"/>
        <v>43677</v>
      </c>
      <c r="V1090" s="210">
        <f t="shared" si="669"/>
        <v>0</v>
      </c>
      <c r="W1090" s="211"/>
      <c r="X1090" s="211">
        <f>IF(AND($V1090&gt;0,$I1090=1),IF($E1090=10,P1090/10,P1090/$V1090),0)</f>
        <v>0</v>
      </c>
      <c r="Y1090" s="212">
        <f>IF(AND($V1084&gt;0,$I1090&lt;&gt;1),Q1090/E1084*V1084,0)</f>
        <v>10</v>
      </c>
    </row>
    <row r="1091" spans="2:25" ht="16.5" hidden="1" thickTop="1" thickBot="1" x14ac:dyDescent="0.3">
      <c r="B1091" s="129">
        <f>B1089+1</f>
        <v>14</v>
      </c>
      <c r="C1091" s="130">
        <v>92</v>
      </c>
      <c r="D1091" s="196" t="str">
        <f t="shared" si="657"/>
        <v>IV</v>
      </c>
      <c r="E1091" s="131"/>
      <c r="F1091" s="132"/>
      <c r="G1091" s="132"/>
      <c r="H1091" s="133"/>
      <c r="I1091" s="133"/>
      <c r="J1091" s="131"/>
      <c r="K1091" s="134"/>
      <c r="L1091" s="133"/>
      <c r="M1091" s="133"/>
      <c r="N1091" s="135"/>
      <c r="O1091" s="136"/>
      <c r="P1091" s="137"/>
      <c r="Q1091" s="138"/>
      <c r="R1091" s="139"/>
      <c r="S1091" s="140"/>
      <c r="T1091" s="203">
        <f t="shared" si="639"/>
        <v>43647</v>
      </c>
      <c r="U1091" s="204">
        <f t="shared" si="640"/>
        <v>43677</v>
      </c>
      <c r="V1091" s="207">
        <f>IF(G1091-F1091+1-IF(G1091-U1091&gt;0,G1091-U1091,0)-IF(T1091-F1091&gt;0,T1091-F1091,0)&gt;0,G1091-F1091+1-IF(G1091-U1091&gt;0,G1091-U1091,0)-IF(T1091-F1091&gt;0,T1091-F1091,0),0)</f>
        <v>0</v>
      </c>
      <c r="W1091" s="206" t="str">
        <f t="shared" ref="W1091:W1096" si="670">IF(V1091&gt;0,H1091,"")</f>
        <v/>
      </c>
      <c r="X1091" s="206">
        <f t="shared" ref="X1091:X1096" si="671">IF(AND($V1091&gt;0,$I1091=1),P1091/$E1091*$V1091,0)</f>
        <v>0</v>
      </c>
      <c r="Y1091" s="209">
        <f t="shared" ref="Y1091:Y1096" si="672">IF(AND($V1091&gt;0,$I1091&lt;&gt;1),Q1091/$E1091*$V1091,0)</f>
        <v>0</v>
      </c>
    </row>
    <row r="1092" spans="2:25" ht="16.5" hidden="1" thickTop="1" thickBot="1" x14ac:dyDescent="0.3">
      <c r="B1092" s="60">
        <f>B1091</f>
        <v>14</v>
      </c>
      <c r="C1092" s="102">
        <v>93</v>
      </c>
      <c r="D1092" s="192" t="str">
        <f t="shared" si="657"/>
        <v>IV</v>
      </c>
      <c r="E1092" s="62"/>
      <c r="F1092" s="105"/>
      <c r="G1092" s="105"/>
      <c r="H1092" s="61"/>
      <c r="I1092" s="61"/>
      <c r="J1092" s="62"/>
      <c r="K1092" s="63"/>
      <c r="L1092" s="61"/>
      <c r="M1092" s="61"/>
      <c r="N1092" s="111"/>
      <c r="O1092" s="112"/>
      <c r="P1092" s="113"/>
      <c r="Q1092" s="114"/>
      <c r="R1092" s="64"/>
      <c r="S1092" s="108"/>
      <c r="T1092" s="203">
        <f t="shared" si="639"/>
        <v>43647</v>
      </c>
      <c r="U1092" s="204">
        <f t="shared" si="640"/>
        <v>43677</v>
      </c>
      <c r="V1092" s="207">
        <f t="shared" ref="V1092:V1097" si="673">IF(G1092-F1092+1-IF(G1092-U1092&gt;0,G1092-U1092,0)-IF(T1092-F1092&gt;0,T1092-F1092,0)&gt;0,G1092-F1092+1-IF(G1092-U1092&gt;0,G1092-U1092,0)-IF(T1092-F1092&gt;0,T1092-F1092,0),0)</f>
        <v>0</v>
      </c>
      <c r="W1092" s="206" t="str">
        <f t="shared" si="670"/>
        <v/>
      </c>
      <c r="X1092" s="206">
        <f t="shared" si="671"/>
        <v>0</v>
      </c>
      <c r="Y1092" s="209">
        <f t="shared" si="672"/>
        <v>0</v>
      </c>
    </row>
    <row r="1093" spans="2:25" ht="16.5" hidden="1" thickTop="1" thickBot="1" x14ac:dyDescent="0.3">
      <c r="B1093" s="60">
        <f>B1091</f>
        <v>14</v>
      </c>
      <c r="C1093" s="102">
        <v>94</v>
      </c>
      <c r="D1093" s="192" t="str">
        <f t="shared" si="657"/>
        <v>IV</v>
      </c>
      <c r="E1093" s="62"/>
      <c r="F1093" s="105"/>
      <c r="G1093" s="105"/>
      <c r="H1093" s="61"/>
      <c r="I1093" s="61"/>
      <c r="J1093" s="62"/>
      <c r="K1093" s="63"/>
      <c r="L1093" s="61"/>
      <c r="M1093" s="61"/>
      <c r="N1093" s="111"/>
      <c r="O1093" s="112"/>
      <c r="P1093" s="113"/>
      <c r="Q1093" s="114"/>
      <c r="R1093" s="64"/>
      <c r="S1093" s="108"/>
      <c r="T1093" s="203">
        <f t="shared" si="639"/>
        <v>43647</v>
      </c>
      <c r="U1093" s="204">
        <f t="shared" si="640"/>
        <v>43677</v>
      </c>
      <c r="V1093" s="207">
        <f t="shared" si="673"/>
        <v>0</v>
      </c>
      <c r="W1093" s="206" t="str">
        <f t="shared" si="670"/>
        <v/>
      </c>
      <c r="X1093" s="206">
        <f t="shared" si="671"/>
        <v>0</v>
      </c>
      <c r="Y1093" s="209">
        <f t="shared" si="672"/>
        <v>0</v>
      </c>
    </row>
    <row r="1094" spans="2:25" ht="16.5" hidden="1" thickTop="1" thickBot="1" x14ac:dyDescent="0.3">
      <c r="B1094" s="60">
        <f>B1091</f>
        <v>14</v>
      </c>
      <c r="C1094" s="102">
        <v>95</v>
      </c>
      <c r="D1094" s="192" t="str">
        <f t="shared" si="657"/>
        <v>IV</v>
      </c>
      <c r="E1094" s="62"/>
      <c r="F1094" s="105"/>
      <c r="G1094" s="105"/>
      <c r="H1094" s="61"/>
      <c r="I1094" s="61"/>
      <c r="J1094" s="62"/>
      <c r="K1094" s="63"/>
      <c r="L1094" s="61"/>
      <c r="M1094" s="61"/>
      <c r="N1094" s="111"/>
      <c r="O1094" s="112"/>
      <c r="P1094" s="113"/>
      <c r="Q1094" s="114"/>
      <c r="R1094" s="64"/>
      <c r="S1094" s="108"/>
      <c r="T1094" s="203">
        <f t="shared" si="639"/>
        <v>43647</v>
      </c>
      <c r="U1094" s="204">
        <f t="shared" si="640"/>
        <v>43677</v>
      </c>
      <c r="V1094" s="207">
        <f t="shared" si="673"/>
        <v>0</v>
      </c>
      <c r="W1094" s="206" t="str">
        <f t="shared" si="670"/>
        <v/>
      </c>
      <c r="X1094" s="206">
        <f t="shared" si="671"/>
        <v>0</v>
      </c>
      <c r="Y1094" s="209">
        <f t="shared" si="672"/>
        <v>0</v>
      </c>
    </row>
    <row r="1095" spans="2:25" ht="16.5" hidden="1" thickTop="1" thickBot="1" x14ac:dyDescent="0.3">
      <c r="B1095" s="60">
        <f>B1091</f>
        <v>14</v>
      </c>
      <c r="C1095" s="102">
        <v>96</v>
      </c>
      <c r="D1095" s="192" t="str">
        <f t="shared" si="657"/>
        <v>IV</v>
      </c>
      <c r="E1095" s="62"/>
      <c r="F1095" s="105"/>
      <c r="G1095" s="105"/>
      <c r="H1095" s="61"/>
      <c r="I1095" s="61"/>
      <c r="J1095" s="62"/>
      <c r="K1095" s="63"/>
      <c r="L1095" s="61"/>
      <c r="M1095" s="61"/>
      <c r="N1095" s="111"/>
      <c r="O1095" s="112"/>
      <c r="P1095" s="113"/>
      <c r="Q1095" s="114"/>
      <c r="R1095" s="64"/>
      <c r="S1095" s="108"/>
      <c r="T1095" s="203">
        <f t="shared" si="639"/>
        <v>43647</v>
      </c>
      <c r="U1095" s="204">
        <f t="shared" si="640"/>
        <v>43677</v>
      </c>
      <c r="V1095" s="207">
        <f t="shared" si="673"/>
        <v>0</v>
      </c>
      <c r="W1095" s="206" t="str">
        <f t="shared" si="670"/>
        <v/>
      </c>
      <c r="X1095" s="206">
        <f t="shared" si="671"/>
        <v>0</v>
      </c>
      <c r="Y1095" s="209">
        <f t="shared" si="672"/>
        <v>0</v>
      </c>
    </row>
    <row r="1096" spans="2:25" ht="16.5" hidden="1" thickTop="1" thickBot="1" x14ac:dyDescent="0.3">
      <c r="B1096" s="60">
        <f>B1091</f>
        <v>14</v>
      </c>
      <c r="C1096" s="102">
        <v>97</v>
      </c>
      <c r="D1096" s="192" t="str">
        <f t="shared" si="657"/>
        <v>IV</v>
      </c>
      <c r="E1096" s="62"/>
      <c r="F1096" s="105"/>
      <c r="G1096" s="105"/>
      <c r="H1096" s="61"/>
      <c r="I1096" s="61"/>
      <c r="J1096" s="62"/>
      <c r="K1096" s="63"/>
      <c r="L1096" s="61"/>
      <c r="M1096" s="61"/>
      <c r="N1096" s="111"/>
      <c r="O1096" s="112"/>
      <c r="P1096" s="113"/>
      <c r="Q1096" s="114"/>
      <c r="R1096" s="64"/>
      <c r="S1096" s="108"/>
      <c r="T1096" s="203">
        <f t="shared" si="639"/>
        <v>43647</v>
      </c>
      <c r="U1096" s="204">
        <f t="shared" si="640"/>
        <v>43677</v>
      </c>
      <c r="V1096" s="207">
        <f t="shared" si="673"/>
        <v>0</v>
      </c>
      <c r="W1096" s="206" t="str">
        <f t="shared" si="670"/>
        <v/>
      </c>
      <c r="X1096" s="206">
        <f t="shared" si="671"/>
        <v>0</v>
      </c>
      <c r="Y1096" s="209">
        <f t="shared" si="672"/>
        <v>0</v>
      </c>
    </row>
    <row r="1097" spans="2:25" ht="16.5" hidden="1" thickTop="1" thickBot="1" x14ac:dyDescent="0.3">
      <c r="B1097" s="141">
        <f>B1091</f>
        <v>14</v>
      </c>
      <c r="C1097" s="142">
        <v>98</v>
      </c>
      <c r="D1097" s="194" t="str">
        <f t="shared" si="657"/>
        <v>IV</v>
      </c>
      <c r="E1097" s="143"/>
      <c r="F1097" s="144"/>
      <c r="G1097" s="144"/>
      <c r="H1097" s="145"/>
      <c r="I1097" s="145"/>
      <c r="J1097" s="436" t="s">
        <v>181</v>
      </c>
      <c r="K1097" s="437"/>
      <c r="L1097" s="438"/>
      <c r="M1097" s="145"/>
      <c r="N1097" s="146"/>
      <c r="O1097" s="147"/>
      <c r="P1097" s="148"/>
      <c r="Q1097" s="149"/>
      <c r="R1097" s="150"/>
      <c r="S1097" s="151"/>
      <c r="T1097" s="213">
        <f t="shared" si="639"/>
        <v>43647</v>
      </c>
      <c r="U1097" s="214">
        <f t="shared" si="640"/>
        <v>43677</v>
      </c>
      <c r="V1097" s="210">
        <f t="shared" si="673"/>
        <v>0</v>
      </c>
      <c r="W1097" s="211"/>
      <c r="X1097" s="211">
        <f>IF(AND($V1097&gt;0,$I1097=1),IF($E1097=10,P1097/10,P1097/$V1097),0)</f>
        <v>0</v>
      </c>
      <c r="Y1097" s="212">
        <f>IF(AND($V1091&gt;0,$I1097&lt;&gt;1),Q1097/E1091*V1091,0)</f>
        <v>0</v>
      </c>
    </row>
    <row r="1098" spans="2:25" ht="16.5" hidden="1" thickTop="1" thickBot="1" x14ac:dyDescent="0.3">
      <c r="B1098" s="129">
        <f>B1096+1</f>
        <v>15</v>
      </c>
      <c r="C1098" s="130">
        <v>99</v>
      </c>
      <c r="D1098" s="196" t="str">
        <f t="shared" si="657"/>
        <v>IV</v>
      </c>
      <c r="E1098" s="152"/>
      <c r="F1098" s="153"/>
      <c r="G1098" s="153"/>
      <c r="H1098" s="154"/>
      <c r="I1098" s="154"/>
      <c r="J1098" s="152"/>
      <c r="K1098" s="155"/>
      <c r="L1098" s="154"/>
      <c r="M1098" s="154"/>
      <c r="N1098" s="156"/>
      <c r="O1098" s="157"/>
      <c r="P1098" s="158"/>
      <c r="Q1098" s="159"/>
      <c r="R1098" s="160"/>
      <c r="S1098" s="161"/>
      <c r="T1098" s="203">
        <f t="shared" si="639"/>
        <v>43647</v>
      </c>
      <c r="U1098" s="204">
        <f t="shared" si="640"/>
        <v>43677</v>
      </c>
      <c r="V1098" s="207">
        <f>IF(G1098-F1098+1-IF(G1098-U1098&gt;0,G1098-U1098,0)-IF(T1098-F1098&gt;0,T1098-F1098,0)&gt;0,G1098-F1098+1-IF(G1098-U1098&gt;0,G1098-U1098,0)-IF(T1098-F1098&gt;0,T1098-F1098,0),0)</f>
        <v>0</v>
      </c>
      <c r="W1098" s="206" t="str">
        <f t="shared" ref="W1098:W1103" si="674">IF(V1098&gt;0,H1098,"")</f>
        <v/>
      </c>
      <c r="X1098" s="206">
        <f t="shared" ref="X1098:X1103" si="675">IF(AND($V1098&gt;0,$I1098=1),P1098/$E1098*$V1098,0)</f>
        <v>0</v>
      </c>
      <c r="Y1098" s="209">
        <f t="shared" ref="Y1098:Y1103" si="676">IF(AND($V1098&gt;0,$I1098&lt;&gt;1),Q1098/$E1098*$V1098,0)</f>
        <v>0</v>
      </c>
    </row>
    <row r="1099" spans="2:25" ht="16.5" hidden="1" thickTop="1" thickBot="1" x14ac:dyDescent="0.3">
      <c r="B1099" s="60">
        <f>B1098</f>
        <v>15</v>
      </c>
      <c r="C1099" s="102">
        <v>100</v>
      </c>
      <c r="D1099" s="192" t="str">
        <f t="shared" si="657"/>
        <v>IV</v>
      </c>
      <c r="E1099" s="162"/>
      <c r="F1099" s="163"/>
      <c r="G1099" s="163"/>
      <c r="H1099" s="164"/>
      <c r="I1099" s="164"/>
      <c r="J1099" s="162"/>
      <c r="K1099" s="165"/>
      <c r="L1099" s="164"/>
      <c r="M1099" s="164"/>
      <c r="N1099" s="166"/>
      <c r="O1099" s="167"/>
      <c r="P1099" s="168"/>
      <c r="Q1099" s="169"/>
      <c r="R1099" s="170"/>
      <c r="S1099" s="171"/>
      <c r="T1099" s="203">
        <f t="shared" si="639"/>
        <v>43647</v>
      </c>
      <c r="U1099" s="204">
        <f t="shared" si="640"/>
        <v>43677</v>
      </c>
      <c r="V1099" s="207">
        <f t="shared" ref="V1099:V1104" si="677">IF(G1099-F1099+1-IF(G1099-U1099&gt;0,G1099-U1099,0)-IF(T1099-F1099&gt;0,T1099-F1099,0)&gt;0,G1099-F1099+1-IF(G1099-U1099&gt;0,G1099-U1099,0)-IF(T1099-F1099&gt;0,T1099-F1099,0),0)</f>
        <v>0</v>
      </c>
      <c r="W1099" s="206" t="str">
        <f t="shared" si="674"/>
        <v/>
      </c>
      <c r="X1099" s="206">
        <f t="shared" si="675"/>
        <v>0</v>
      </c>
      <c r="Y1099" s="209">
        <f t="shared" si="676"/>
        <v>0</v>
      </c>
    </row>
    <row r="1100" spans="2:25" ht="16.5" hidden="1" thickTop="1" thickBot="1" x14ac:dyDescent="0.3">
      <c r="B1100" s="60">
        <f>B1098</f>
        <v>15</v>
      </c>
      <c r="C1100" s="102">
        <v>101</v>
      </c>
      <c r="D1100" s="192" t="str">
        <f t="shared" si="657"/>
        <v>IV</v>
      </c>
      <c r="E1100" s="162"/>
      <c r="F1100" s="163"/>
      <c r="G1100" s="163"/>
      <c r="H1100" s="164"/>
      <c r="I1100" s="164"/>
      <c r="J1100" s="162"/>
      <c r="K1100" s="165"/>
      <c r="L1100" s="164"/>
      <c r="M1100" s="164"/>
      <c r="N1100" s="166"/>
      <c r="O1100" s="167"/>
      <c r="P1100" s="168"/>
      <c r="Q1100" s="169"/>
      <c r="R1100" s="170"/>
      <c r="S1100" s="171"/>
      <c r="T1100" s="203">
        <f t="shared" si="639"/>
        <v>43647</v>
      </c>
      <c r="U1100" s="204">
        <f t="shared" si="640"/>
        <v>43677</v>
      </c>
      <c r="V1100" s="207">
        <f t="shared" si="677"/>
        <v>0</v>
      </c>
      <c r="W1100" s="206" t="str">
        <f t="shared" si="674"/>
        <v/>
      </c>
      <c r="X1100" s="206">
        <f t="shared" si="675"/>
        <v>0</v>
      </c>
      <c r="Y1100" s="209">
        <f t="shared" si="676"/>
        <v>0</v>
      </c>
    </row>
    <row r="1101" spans="2:25" ht="16.5" hidden="1" thickTop="1" thickBot="1" x14ac:dyDescent="0.3">
      <c r="B1101" s="60">
        <f>B1098</f>
        <v>15</v>
      </c>
      <c r="C1101" s="102">
        <v>102</v>
      </c>
      <c r="D1101" s="192" t="str">
        <f t="shared" si="657"/>
        <v>IV</v>
      </c>
      <c r="E1101" s="162"/>
      <c r="F1101" s="163"/>
      <c r="G1101" s="163"/>
      <c r="H1101" s="164"/>
      <c r="I1101" s="164"/>
      <c r="J1101" s="162"/>
      <c r="K1101" s="165"/>
      <c r="L1101" s="164"/>
      <c r="M1101" s="164"/>
      <c r="N1101" s="166"/>
      <c r="O1101" s="167"/>
      <c r="P1101" s="168"/>
      <c r="Q1101" s="169"/>
      <c r="R1101" s="170"/>
      <c r="S1101" s="171"/>
      <c r="T1101" s="203">
        <f t="shared" ref="T1101:T1164" si="678">$F$4</f>
        <v>43647</v>
      </c>
      <c r="U1101" s="204">
        <f t="shared" ref="U1101:U1164" si="679">$G$4</f>
        <v>43677</v>
      </c>
      <c r="V1101" s="207">
        <f t="shared" si="677"/>
        <v>0</v>
      </c>
      <c r="W1101" s="206" t="str">
        <f t="shared" si="674"/>
        <v/>
      </c>
      <c r="X1101" s="206">
        <f t="shared" si="675"/>
        <v>0</v>
      </c>
      <c r="Y1101" s="209">
        <f t="shared" si="676"/>
        <v>0</v>
      </c>
    </row>
    <row r="1102" spans="2:25" ht="16.5" hidden="1" thickTop="1" thickBot="1" x14ac:dyDescent="0.3">
      <c r="B1102" s="60">
        <f>B1098</f>
        <v>15</v>
      </c>
      <c r="C1102" s="102">
        <v>103</v>
      </c>
      <c r="D1102" s="192" t="str">
        <f t="shared" si="657"/>
        <v>IV</v>
      </c>
      <c r="E1102" s="162"/>
      <c r="F1102" s="163"/>
      <c r="G1102" s="163"/>
      <c r="H1102" s="164"/>
      <c r="I1102" s="164"/>
      <c r="J1102" s="162"/>
      <c r="K1102" s="165"/>
      <c r="L1102" s="164"/>
      <c r="M1102" s="164"/>
      <c r="N1102" s="166"/>
      <c r="O1102" s="167"/>
      <c r="P1102" s="168"/>
      <c r="Q1102" s="169"/>
      <c r="R1102" s="170"/>
      <c r="S1102" s="171"/>
      <c r="T1102" s="203">
        <f t="shared" si="678"/>
        <v>43647</v>
      </c>
      <c r="U1102" s="204">
        <f t="shared" si="679"/>
        <v>43677</v>
      </c>
      <c r="V1102" s="207">
        <f t="shared" si="677"/>
        <v>0</v>
      </c>
      <c r="W1102" s="206" t="str">
        <f t="shared" si="674"/>
        <v/>
      </c>
      <c r="X1102" s="206">
        <f t="shared" si="675"/>
        <v>0</v>
      </c>
      <c r="Y1102" s="209">
        <f t="shared" si="676"/>
        <v>0</v>
      </c>
    </row>
    <row r="1103" spans="2:25" ht="16.5" hidden="1" thickTop="1" thickBot="1" x14ac:dyDescent="0.3">
      <c r="B1103" s="60">
        <f>B1098</f>
        <v>15</v>
      </c>
      <c r="C1103" s="102">
        <v>104</v>
      </c>
      <c r="D1103" s="192" t="str">
        <f t="shared" si="657"/>
        <v>IV</v>
      </c>
      <c r="E1103" s="172"/>
      <c r="F1103" s="173"/>
      <c r="G1103" s="173"/>
      <c r="H1103" s="174"/>
      <c r="I1103" s="174"/>
      <c r="J1103" s="172"/>
      <c r="K1103" s="175"/>
      <c r="L1103" s="174"/>
      <c r="M1103" s="174"/>
      <c r="N1103" s="176"/>
      <c r="O1103" s="177"/>
      <c r="P1103" s="178"/>
      <c r="Q1103" s="179"/>
      <c r="R1103" s="180"/>
      <c r="S1103" s="181"/>
      <c r="T1103" s="203">
        <f t="shared" si="678"/>
        <v>43647</v>
      </c>
      <c r="U1103" s="204">
        <f t="shared" si="679"/>
        <v>43677</v>
      </c>
      <c r="V1103" s="207">
        <f t="shared" si="677"/>
        <v>0</v>
      </c>
      <c r="W1103" s="206" t="str">
        <f t="shared" si="674"/>
        <v/>
      </c>
      <c r="X1103" s="206">
        <f t="shared" si="675"/>
        <v>0</v>
      </c>
      <c r="Y1103" s="209">
        <f t="shared" si="676"/>
        <v>0</v>
      </c>
    </row>
    <row r="1104" spans="2:25" ht="16.5" hidden="1" thickTop="1" thickBot="1" x14ac:dyDescent="0.3">
      <c r="B1104" s="141">
        <f>B1098</f>
        <v>15</v>
      </c>
      <c r="C1104" s="142">
        <v>105</v>
      </c>
      <c r="D1104" s="194" t="str">
        <f t="shared" si="657"/>
        <v>IV</v>
      </c>
      <c r="E1104" s="189"/>
      <c r="F1104" s="190"/>
      <c r="G1104" s="190"/>
      <c r="H1104" s="182"/>
      <c r="I1104" s="182"/>
      <c r="J1104" s="436" t="s">
        <v>181</v>
      </c>
      <c r="K1104" s="437"/>
      <c r="L1104" s="438"/>
      <c r="M1104" s="182"/>
      <c r="N1104" s="183"/>
      <c r="O1104" s="184"/>
      <c r="P1104" s="185"/>
      <c r="Q1104" s="186"/>
      <c r="R1104" s="187"/>
      <c r="S1104" s="188"/>
      <c r="T1104" s="213">
        <f t="shared" si="678"/>
        <v>43647</v>
      </c>
      <c r="U1104" s="214">
        <f t="shared" si="679"/>
        <v>43677</v>
      </c>
      <c r="V1104" s="210">
        <f t="shared" si="677"/>
        <v>0</v>
      </c>
      <c r="W1104" s="211"/>
      <c r="X1104" s="211">
        <f>IF(AND($V1104&gt;0,$I1104=1),IF($E1104=10,P1104/10,P1104/$V1104),0)</f>
        <v>0</v>
      </c>
      <c r="Y1104" s="212">
        <f>IF(AND($V1098&gt;0,$I1104&lt;&gt;1),Q1104/E1098*V1098,0)</f>
        <v>0</v>
      </c>
    </row>
    <row r="1105" spans="2:25" ht="16.5" hidden="1" thickTop="1" thickBot="1" x14ac:dyDescent="0.3">
      <c r="B1105" s="129">
        <f>B1103+1</f>
        <v>16</v>
      </c>
      <c r="C1105" s="130">
        <v>106</v>
      </c>
      <c r="D1105" s="196" t="str">
        <f t="shared" si="657"/>
        <v>IV</v>
      </c>
      <c r="E1105" s="131"/>
      <c r="F1105" s="132"/>
      <c r="G1105" s="132"/>
      <c r="H1105" s="133"/>
      <c r="I1105" s="133"/>
      <c r="J1105" s="131"/>
      <c r="K1105" s="134"/>
      <c r="L1105" s="133"/>
      <c r="M1105" s="133"/>
      <c r="N1105" s="135"/>
      <c r="O1105" s="136"/>
      <c r="P1105" s="137"/>
      <c r="Q1105" s="138"/>
      <c r="R1105" s="139"/>
      <c r="S1105" s="140"/>
      <c r="T1105" s="203">
        <f t="shared" si="678"/>
        <v>43647</v>
      </c>
      <c r="U1105" s="204">
        <f t="shared" si="679"/>
        <v>43677</v>
      </c>
      <c r="V1105" s="207">
        <f>IF(G1105-F1105+1-IF(G1105-U1105&gt;0,G1105-U1105,0)-IF(T1105-F1105&gt;0,T1105-F1105,0)&gt;0,G1105-F1105+1-IF(G1105-U1105&gt;0,G1105-U1105,0)-IF(T1105-F1105&gt;0,T1105-F1105,0),0)</f>
        <v>0</v>
      </c>
      <c r="W1105" s="206" t="str">
        <f t="shared" ref="W1105:W1110" si="680">IF(V1105&gt;0,H1105,"")</f>
        <v/>
      </c>
      <c r="X1105" s="206">
        <f t="shared" ref="X1105:X1110" si="681">IF(AND($V1105&gt;0,$I1105=1),P1105/$E1105*$V1105,0)</f>
        <v>0</v>
      </c>
      <c r="Y1105" s="209">
        <f t="shared" ref="Y1105:Y1110" si="682">IF(AND($V1105&gt;0,$I1105&lt;&gt;1),Q1105/$E1105*$V1105,0)</f>
        <v>0</v>
      </c>
    </row>
    <row r="1106" spans="2:25" ht="16.5" hidden="1" thickTop="1" thickBot="1" x14ac:dyDescent="0.3">
      <c r="B1106" s="60">
        <f>B1105</f>
        <v>16</v>
      </c>
      <c r="C1106" s="102">
        <v>107</v>
      </c>
      <c r="D1106" s="192" t="str">
        <f t="shared" si="657"/>
        <v>IV</v>
      </c>
      <c r="E1106" s="62"/>
      <c r="F1106" s="105"/>
      <c r="G1106" s="105"/>
      <c r="H1106" s="61"/>
      <c r="I1106" s="61"/>
      <c r="J1106" s="62"/>
      <c r="K1106" s="63"/>
      <c r="L1106" s="61"/>
      <c r="M1106" s="61"/>
      <c r="N1106" s="111"/>
      <c r="O1106" s="112"/>
      <c r="P1106" s="113"/>
      <c r="Q1106" s="114"/>
      <c r="R1106" s="64"/>
      <c r="S1106" s="108"/>
      <c r="T1106" s="203">
        <f t="shared" si="678"/>
        <v>43647</v>
      </c>
      <c r="U1106" s="204">
        <f t="shared" si="679"/>
        <v>43677</v>
      </c>
      <c r="V1106" s="207">
        <f t="shared" ref="V1106:V1111" si="683">IF(G1106-F1106+1-IF(G1106-U1106&gt;0,G1106-U1106,0)-IF(T1106-F1106&gt;0,T1106-F1106,0)&gt;0,G1106-F1106+1-IF(G1106-U1106&gt;0,G1106-U1106,0)-IF(T1106-F1106&gt;0,T1106-F1106,0),0)</f>
        <v>0</v>
      </c>
      <c r="W1106" s="206" t="str">
        <f t="shared" si="680"/>
        <v/>
      </c>
      <c r="X1106" s="206">
        <f t="shared" si="681"/>
        <v>0</v>
      </c>
      <c r="Y1106" s="209">
        <f t="shared" si="682"/>
        <v>0</v>
      </c>
    </row>
    <row r="1107" spans="2:25" ht="16.5" hidden="1" thickTop="1" thickBot="1" x14ac:dyDescent="0.3">
      <c r="B1107" s="60">
        <f>B1105</f>
        <v>16</v>
      </c>
      <c r="C1107" s="102">
        <v>108</v>
      </c>
      <c r="D1107" s="192" t="str">
        <f t="shared" si="657"/>
        <v>IV</v>
      </c>
      <c r="E1107" s="62"/>
      <c r="F1107" s="105"/>
      <c r="G1107" s="105"/>
      <c r="H1107" s="61"/>
      <c r="I1107" s="61"/>
      <c r="J1107" s="62"/>
      <c r="K1107" s="63"/>
      <c r="L1107" s="61"/>
      <c r="M1107" s="61"/>
      <c r="N1107" s="111"/>
      <c r="O1107" s="112"/>
      <c r="P1107" s="113"/>
      <c r="Q1107" s="114"/>
      <c r="R1107" s="64"/>
      <c r="S1107" s="108"/>
      <c r="T1107" s="203">
        <f t="shared" si="678"/>
        <v>43647</v>
      </c>
      <c r="U1107" s="204">
        <f t="shared" si="679"/>
        <v>43677</v>
      </c>
      <c r="V1107" s="207">
        <f t="shared" si="683"/>
        <v>0</v>
      </c>
      <c r="W1107" s="206" t="str">
        <f t="shared" si="680"/>
        <v/>
      </c>
      <c r="X1107" s="206">
        <f t="shared" si="681"/>
        <v>0</v>
      </c>
      <c r="Y1107" s="209">
        <f t="shared" si="682"/>
        <v>0</v>
      </c>
    </row>
    <row r="1108" spans="2:25" ht="16.5" hidden="1" thickTop="1" thickBot="1" x14ac:dyDescent="0.3">
      <c r="B1108" s="60">
        <f>B1105</f>
        <v>16</v>
      </c>
      <c r="C1108" s="102">
        <v>109</v>
      </c>
      <c r="D1108" s="192" t="str">
        <f t="shared" si="657"/>
        <v>IV</v>
      </c>
      <c r="E1108" s="62"/>
      <c r="F1108" s="105"/>
      <c r="G1108" s="105"/>
      <c r="H1108" s="61"/>
      <c r="I1108" s="61"/>
      <c r="J1108" s="62"/>
      <c r="K1108" s="63"/>
      <c r="L1108" s="61"/>
      <c r="M1108" s="61"/>
      <c r="N1108" s="111"/>
      <c r="O1108" s="112"/>
      <c r="P1108" s="113"/>
      <c r="Q1108" s="114"/>
      <c r="R1108" s="64"/>
      <c r="S1108" s="108"/>
      <c r="T1108" s="203">
        <f t="shared" si="678"/>
        <v>43647</v>
      </c>
      <c r="U1108" s="204">
        <f t="shared" si="679"/>
        <v>43677</v>
      </c>
      <c r="V1108" s="207">
        <f t="shared" si="683"/>
        <v>0</v>
      </c>
      <c r="W1108" s="206" t="str">
        <f t="shared" si="680"/>
        <v/>
      </c>
      <c r="X1108" s="206">
        <f t="shared" si="681"/>
        <v>0</v>
      </c>
      <c r="Y1108" s="209">
        <f t="shared" si="682"/>
        <v>0</v>
      </c>
    </row>
    <row r="1109" spans="2:25" ht="16.5" hidden="1" thickTop="1" thickBot="1" x14ac:dyDescent="0.3">
      <c r="B1109" s="60">
        <f>B1105</f>
        <v>16</v>
      </c>
      <c r="C1109" s="102">
        <v>110</v>
      </c>
      <c r="D1109" s="192" t="str">
        <f t="shared" si="657"/>
        <v>IV</v>
      </c>
      <c r="E1109" s="62"/>
      <c r="F1109" s="105"/>
      <c r="G1109" s="105"/>
      <c r="H1109" s="61"/>
      <c r="I1109" s="61"/>
      <c r="J1109" s="62"/>
      <c r="K1109" s="63"/>
      <c r="L1109" s="61"/>
      <c r="M1109" s="61"/>
      <c r="N1109" s="111"/>
      <c r="O1109" s="112"/>
      <c r="P1109" s="113"/>
      <c r="Q1109" s="114"/>
      <c r="R1109" s="64"/>
      <c r="S1109" s="108"/>
      <c r="T1109" s="203">
        <f t="shared" si="678"/>
        <v>43647</v>
      </c>
      <c r="U1109" s="204">
        <f t="shared" si="679"/>
        <v>43677</v>
      </c>
      <c r="V1109" s="207">
        <f t="shared" si="683"/>
        <v>0</v>
      </c>
      <c r="W1109" s="206" t="str">
        <f t="shared" si="680"/>
        <v/>
      </c>
      <c r="X1109" s="206">
        <f t="shared" si="681"/>
        <v>0</v>
      </c>
      <c r="Y1109" s="209">
        <f t="shared" si="682"/>
        <v>0</v>
      </c>
    </row>
    <row r="1110" spans="2:25" ht="16.5" hidden="1" thickTop="1" thickBot="1" x14ac:dyDescent="0.3">
      <c r="B1110" s="60">
        <f>B1105</f>
        <v>16</v>
      </c>
      <c r="C1110" s="102">
        <v>111</v>
      </c>
      <c r="D1110" s="192" t="str">
        <f t="shared" si="657"/>
        <v>IV</v>
      </c>
      <c r="E1110" s="62"/>
      <c r="F1110" s="105"/>
      <c r="G1110" s="105"/>
      <c r="H1110" s="61"/>
      <c r="I1110" s="61"/>
      <c r="J1110" s="62"/>
      <c r="K1110" s="63"/>
      <c r="L1110" s="61"/>
      <c r="M1110" s="61"/>
      <c r="N1110" s="111"/>
      <c r="O1110" s="112"/>
      <c r="P1110" s="113"/>
      <c r="Q1110" s="114"/>
      <c r="R1110" s="64"/>
      <c r="S1110" s="108"/>
      <c r="T1110" s="203">
        <f t="shared" si="678"/>
        <v>43647</v>
      </c>
      <c r="U1110" s="204">
        <f t="shared" si="679"/>
        <v>43677</v>
      </c>
      <c r="V1110" s="207">
        <f t="shared" si="683"/>
        <v>0</v>
      </c>
      <c r="W1110" s="206" t="str">
        <f t="shared" si="680"/>
        <v/>
      </c>
      <c r="X1110" s="206">
        <f t="shared" si="681"/>
        <v>0</v>
      </c>
      <c r="Y1110" s="209">
        <f t="shared" si="682"/>
        <v>0</v>
      </c>
    </row>
    <row r="1111" spans="2:25" ht="16.5" hidden="1" thickTop="1" thickBot="1" x14ac:dyDescent="0.3">
      <c r="B1111" s="141">
        <f>B1105</f>
        <v>16</v>
      </c>
      <c r="C1111" s="142">
        <v>112</v>
      </c>
      <c r="D1111" s="194" t="str">
        <f t="shared" si="657"/>
        <v>IV</v>
      </c>
      <c r="E1111" s="143"/>
      <c r="F1111" s="144"/>
      <c r="G1111" s="144"/>
      <c r="H1111" s="145"/>
      <c r="I1111" s="145"/>
      <c r="J1111" s="436" t="s">
        <v>181</v>
      </c>
      <c r="K1111" s="437"/>
      <c r="L1111" s="438"/>
      <c r="M1111" s="145"/>
      <c r="N1111" s="146"/>
      <c r="O1111" s="147"/>
      <c r="P1111" s="148"/>
      <c r="Q1111" s="149"/>
      <c r="R1111" s="150"/>
      <c r="S1111" s="151"/>
      <c r="T1111" s="213">
        <f t="shared" si="678"/>
        <v>43647</v>
      </c>
      <c r="U1111" s="214">
        <f t="shared" si="679"/>
        <v>43677</v>
      </c>
      <c r="V1111" s="210">
        <f t="shared" si="683"/>
        <v>0</v>
      </c>
      <c r="W1111" s="211"/>
      <c r="X1111" s="211">
        <f>IF(AND($V1111&gt;0,$I1111=1),IF($E1111=10,P1111/10,P1111/$V1111),0)</f>
        <v>0</v>
      </c>
      <c r="Y1111" s="212">
        <f>IF(AND($V1105&gt;0,$I1111&lt;&gt;1),Q1111/E1105*V1105,0)</f>
        <v>0</v>
      </c>
    </row>
    <row r="1112" spans="2:25" ht="16.5" hidden="1" thickTop="1" thickBot="1" x14ac:dyDescent="0.3">
      <c r="B1112" s="129">
        <f>B1110+1</f>
        <v>17</v>
      </c>
      <c r="C1112" s="130">
        <v>113</v>
      </c>
      <c r="D1112" s="196" t="str">
        <f t="shared" si="657"/>
        <v>IV</v>
      </c>
      <c r="E1112" s="152"/>
      <c r="F1112" s="153"/>
      <c r="G1112" s="153"/>
      <c r="H1112" s="154"/>
      <c r="I1112" s="154"/>
      <c r="J1112" s="152"/>
      <c r="K1112" s="155"/>
      <c r="L1112" s="154"/>
      <c r="M1112" s="154"/>
      <c r="N1112" s="156"/>
      <c r="O1112" s="157"/>
      <c r="P1112" s="158"/>
      <c r="Q1112" s="159"/>
      <c r="R1112" s="160"/>
      <c r="S1112" s="161"/>
      <c r="T1112" s="203">
        <f t="shared" si="678"/>
        <v>43647</v>
      </c>
      <c r="U1112" s="204">
        <f t="shared" si="679"/>
        <v>43677</v>
      </c>
      <c r="V1112" s="207">
        <f>IF(G1112-F1112+1-IF(G1112-U1112&gt;0,G1112-U1112,0)-IF(T1112-F1112&gt;0,T1112-F1112,0)&gt;0,G1112-F1112+1-IF(G1112-U1112&gt;0,G1112-U1112,0)-IF(T1112-F1112&gt;0,T1112-F1112,0),0)</f>
        <v>0</v>
      </c>
      <c r="W1112" s="206" t="str">
        <f t="shared" ref="W1112:W1117" si="684">IF(V1112&gt;0,H1112,"")</f>
        <v/>
      </c>
      <c r="X1112" s="206">
        <f t="shared" ref="X1112:X1117" si="685">IF(AND($V1112&gt;0,$I1112=1),P1112/$E1112*$V1112,0)</f>
        <v>0</v>
      </c>
      <c r="Y1112" s="209">
        <f t="shared" ref="Y1112:Y1117" si="686">IF(AND($V1112&gt;0,$I1112&lt;&gt;1),Q1112/$E1112*$V1112,0)</f>
        <v>0</v>
      </c>
    </row>
    <row r="1113" spans="2:25" ht="16.5" hidden="1" thickTop="1" thickBot="1" x14ac:dyDescent="0.3">
      <c r="B1113" s="60">
        <f>B1112</f>
        <v>17</v>
      </c>
      <c r="C1113" s="102">
        <v>114</v>
      </c>
      <c r="D1113" s="192" t="str">
        <f t="shared" si="657"/>
        <v>IV</v>
      </c>
      <c r="E1113" s="162"/>
      <c r="F1113" s="163"/>
      <c r="G1113" s="163"/>
      <c r="H1113" s="164"/>
      <c r="I1113" s="164"/>
      <c r="J1113" s="162"/>
      <c r="K1113" s="165"/>
      <c r="L1113" s="164"/>
      <c r="M1113" s="164"/>
      <c r="N1113" s="166"/>
      <c r="O1113" s="167"/>
      <c r="P1113" s="168"/>
      <c r="Q1113" s="169"/>
      <c r="R1113" s="170"/>
      <c r="S1113" s="171"/>
      <c r="T1113" s="203">
        <f t="shared" si="678"/>
        <v>43647</v>
      </c>
      <c r="U1113" s="204">
        <f t="shared" si="679"/>
        <v>43677</v>
      </c>
      <c r="V1113" s="207">
        <f t="shared" ref="V1113:V1118" si="687">IF(G1113-F1113+1-IF(G1113-U1113&gt;0,G1113-U1113,0)-IF(T1113-F1113&gt;0,T1113-F1113,0)&gt;0,G1113-F1113+1-IF(G1113-U1113&gt;0,G1113-U1113,0)-IF(T1113-F1113&gt;0,T1113-F1113,0),0)</f>
        <v>0</v>
      </c>
      <c r="W1113" s="206" t="str">
        <f t="shared" si="684"/>
        <v/>
      </c>
      <c r="X1113" s="206">
        <f t="shared" si="685"/>
        <v>0</v>
      </c>
      <c r="Y1113" s="209">
        <f t="shared" si="686"/>
        <v>0</v>
      </c>
    </row>
    <row r="1114" spans="2:25" ht="16.5" hidden="1" thickTop="1" thickBot="1" x14ac:dyDescent="0.3">
      <c r="B1114" s="60">
        <f>B1112</f>
        <v>17</v>
      </c>
      <c r="C1114" s="102">
        <v>115</v>
      </c>
      <c r="D1114" s="192" t="str">
        <f t="shared" si="657"/>
        <v>IV</v>
      </c>
      <c r="E1114" s="162"/>
      <c r="F1114" s="163"/>
      <c r="G1114" s="163"/>
      <c r="H1114" s="164"/>
      <c r="I1114" s="164"/>
      <c r="J1114" s="162"/>
      <c r="K1114" s="165"/>
      <c r="L1114" s="164"/>
      <c r="M1114" s="164"/>
      <c r="N1114" s="166"/>
      <c r="O1114" s="167"/>
      <c r="P1114" s="168"/>
      <c r="Q1114" s="169"/>
      <c r="R1114" s="170"/>
      <c r="S1114" s="171"/>
      <c r="T1114" s="203">
        <f t="shared" si="678"/>
        <v>43647</v>
      </c>
      <c r="U1114" s="204">
        <f t="shared" si="679"/>
        <v>43677</v>
      </c>
      <c r="V1114" s="207">
        <f t="shared" si="687"/>
        <v>0</v>
      </c>
      <c r="W1114" s="206" t="str">
        <f t="shared" si="684"/>
        <v/>
      </c>
      <c r="X1114" s="206">
        <f t="shared" si="685"/>
        <v>0</v>
      </c>
      <c r="Y1114" s="209">
        <f t="shared" si="686"/>
        <v>0</v>
      </c>
    </row>
    <row r="1115" spans="2:25" ht="16.5" hidden="1" thickTop="1" thickBot="1" x14ac:dyDescent="0.3">
      <c r="B1115" s="60">
        <f>B1112</f>
        <v>17</v>
      </c>
      <c r="C1115" s="102">
        <v>116</v>
      </c>
      <c r="D1115" s="192" t="str">
        <f t="shared" si="657"/>
        <v>IV</v>
      </c>
      <c r="E1115" s="162"/>
      <c r="F1115" s="163"/>
      <c r="G1115" s="163"/>
      <c r="H1115" s="164"/>
      <c r="I1115" s="164"/>
      <c r="J1115" s="162"/>
      <c r="K1115" s="165"/>
      <c r="L1115" s="164"/>
      <c r="M1115" s="164"/>
      <c r="N1115" s="166"/>
      <c r="O1115" s="167"/>
      <c r="P1115" s="168"/>
      <c r="Q1115" s="169"/>
      <c r="R1115" s="170"/>
      <c r="S1115" s="171"/>
      <c r="T1115" s="203">
        <f t="shared" si="678"/>
        <v>43647</v>
      </c>
      <c r="U1115" s="204">
        <f t="shared" si="679"/>
        <v>43677</v>
      </c>
      <c r="V1115" s="207">
        <f t="shared" si="687"/>
        <v>0</v>
      </c>
      <c r="W1115" s="206" t="str">
        <f t="shared" si="684"/>
        <v/>
      </c>
      <c r="X1115" s="206">
        <f t="shared" si="685"/>
        <v>0</v>
      </c>
      <c r="Y1115" s="209">
        <f t="shared" si="686"/>
        <v>0</v>
      </c>
    </row>
    <row r="1116" spans="2:25" ht="16.5" hidden="1" thickTop="1" thickBot="1" x14ac:dyDescent="0.3">
      <c r="B1116" s="60">
        <f>B1112</f>
        <v>17</v>
      </c>
      <c r="C1116" s="102">
        <v>117</v>
      </c>
      <c r="D1116" s="192" t="str">
        <f t="shared" si="657"/>
        <v>IV</v>
      </c>
      <c r="E1116" s="162"/>
      <c r="F1116" s="163"/>
      <c r="G1116" s="163"/>
      <c r="H1116" s="164"/>
      <c r="I1116" s="164"/>
      <c r="J1116" s="162"/>
      <c r="K1116" s="165"/>
      <c r="L1116" s="164"/>
      <c r="M1116" s="164"/>
      <c r="N1116" s="166"/>
      <c r="O1116" s="167"/>
      <c r="P1116" s="168"/>
      <c r="Q1116" s="169"/>
      <c r="R1116" s="170"/>
      <c r="S1116" s="171"/>
      <c r="T1116" s="203">
        <f t="shared" si="678"/>
        <v>43647</v>
      </c>
      <c r="U1116" s="204">
        <f t="shared" si="679"/>
        <v>43677</v>
      </c>
      <c r="V1116" s="207">
        <f t="shared" si="687"/>
        <v>0</v>
      </c>
      <c r="W1116" s="206" t="str">
        <f t="shared" si="684"/>
        <v/>
      </c>
      <c r="X1116" s="206">
        <f t="shared" si="685"/>
        <v>0</v>
      </c>
      <c r="Y1116" s="209">
        <f t="shared" si="686"/>
        <v>0</v>
      </c>
    </row>
    <row r="1117" spans="2:25" ht="16.5" hidden="1" thickTop="1" thickBot="1" x14ac:dyDescent="0.3">
      <c r="B1117" s="60">
        <f>B1112</f>
        <v>17</v>
      </c>
      <c r="C1117" s="102">
        <v>118</v>
      </c>
      <c r="D1117" s="192" t="str">
        <f t="shared" si="657"/>
        <v>IV</v>
      </c>
      <c r="E1117" s="172"/>
      <c r="F1117" s="173"/>
      <c r="G1117" s="173"/>
      <c r="H1117" s="174"/>
      <c r="I1117" s="174"/>
      <c r="J1117" s="172"/>
      <c r="K1117" s="175"/>
      <c r="L1117" s="174"/>
      <c r="M1117" s="174"/>
      <c r="N1117" s="176"/>
      <c r="O1117" s="177"/>
      <c r="P1117" s="178"/>
      <c r="Q1117" s="179"/>
      <c r="R1117" s="180"/>
      <c r="S1117" s="181"/>
      <c r="T1117" s="203">
        <f t="shared" si="678"/>
        <v>43647</v>
      </c>
      <c r="U1117" s="204">
        <f t="shared" si="679"/>
        <v>43677</v>
      </c>
      <c r="V1117" s="207">
        <f t="shared" si="687"/>
        <v>0</v>
      </c>
      <c r="W1117" s="206" t="str">
        <f t="shared" si="684"/>
        <v/>
      </c>
      <c r="X1117" s="206">
        <f t="shared" si="685"/>
        <v>0</v>
      </c>
      <c r="Y1117" s="209">
        <f t="shared" si="686"/>
        <v>0</v>
      </c>
    </row>
    <row r="1118" spans="2:25" ht="16.5" hidden="1" thickTop="1" thickBot="1" x14ac:dyDescent="0.3">
      <c r="B1118" s="141">
        <f>B1112</f>
        <v>17</v>
      </c>
      <c r="C1118" s="142">
        <v>119</v>
      </c>
      <c r="D1118" s="194" t="str">
        <f t="shared" si="657"/>
        <v>IV</v>
      </c>
      <c r="E1118" s="189"/>
      <c r="F1118" s="190"/>
      <c r="G1118" s="190"/>
      <c r="H1118" s="182"/>
      <c r="I1118" s="182"/>
      <c r="J1118" s="436" t="s">
        <v>181</v>
      </c>
      <c r="K1118" s="437"/>
      <c r="L1118" s="438"/>
      <c r="M1118" s="182"/>
      <c r="N1118" s="183"/>
      <c r="O1118" s="184"/>
      <c r="P1118" s="185"/>
      <c r="Q1118" s="186"/>
      <c r="R1118" s="187"/>
      <c r="S1118" s="188"/>
      <c r="T1118" s="213">
        <f t="shared" si="678"/>
        <v>43647</v>
      </c>
      <c r="U1118" s="214">
        <f t="shared" si="679"/>
        <v>43677</v>
      </c>
      <c r="V1118" s="210">
        <f t="shared" si="687"/>
        <v>0</v>
      </c>
      <c r="W1118" s="211"/>
      <c r="X1118" s="211">
        <f>IF(AND($V1118&gt;0,$I1118=1),IF($E1118=10,P1118/10,P1118/$V1118),0)</f>
        <v>0</v>
      </c>
      <c r="Y1118" s="212">
        <f>IF(AND($V1112&gt;0,$I1118&lt;&gt;1),Q1118/E1112*V1112,0)</f>
        <v>0</v>
      </c>
    </row>
    <row r="1119" spans="2:25" ht="16.5" hidden="1" thickTop="1" thickBot="1" x14ac:dyDescent="0.3">
      <c r="B1119" s="129">
        <f>B1117+1</f>
        <v>18</v>
      </c>
      <c r="C1119" s="130">
        <v>120</v>
      </c>
      <c r="D1119" s="196" t="str">
        <f t="shared" si="657"/>
        <v>IV</v>
      </c>
      <c r="E1119" s="131"/>
      <c r="F1119" s="132"/>
      <c r="G1119" s="132"/>
      <c r="H1119" s="133"/>
      <c r="I1119" s="133"/>
      <c r="J1119" s="131"/>
      <c r="K1119" s="134"/>
      <c r="L1119" s="133"/>
      <c r="M1119" s="133"/>
      <c r="N1119" s="135"/>
      <c r="O1119" s="136"/>
      <c r="P1119" s="137"/>
      <c r="Q1119" s="138"/>
      <c r="R1119" s="139"/>
      <c r="S1119" s="140"/>
      <c r="T1119" s="203">
        <f t="shared" si="678"/>
        <v>43647</v>
      </c>
      <c r="U1119" s="204">
        <f t="shared" si="679"/>
        <v>43677</v>
      </c>
      <c r="V1119" s="207">
        <f>IF(G1119-F1119+1-IF(G1119-U1119&gt;0,G1119-U1119,0)-IF(T1119-F1119&gt;0,T1119-F1119,0)&gt;0,G1119-F1119+1-IF(G1119-U1119&gt;0,G1119-U1119,0)-IF(T1119-F1119&gt;0,T1119-F1119,0),0)</f>
        <v>0</v>
      </c>
      <c r="W1119" s="206" t="str">
        <f t="shared" ref="W1119:W1124" si="688">IF(V1119&gt;0,H1119,"")</f>
        <v/>
      </c>
      <c r="X1119" s="206">
        <f t="shared" ref="X1119:X1124" si="689">IF(AND($V1119&gt;0,$I1119=1),P1119/$E1119*$V1119,0)</f>
        <v>0</v>
      </c>
      <c r="Y1119" s="209">
        <f t="shared" ref="Y1119:Y1124" si="690">IF(AND($V1119&gt;0,$I1119&lt;&gt;1),Q1119/$E1119*$V1119,0)</f>
        <v>0</v>
      </c>
    </row>
    <row r="1120" spans="2:25" ht="16.5" hidden="1" thickTop="1" thickBot="1" x14ac:dyDescent="0.3">
      <c r="B1120" s="60">
        <f>B1119</f>
        <v>18</v>
      </c>
      <c r="C1120" s="102">
        <v>121</v>
      </c>
      <c r="D1120" s="192" t="str">
        <f t="shared" si="657"/>
        <v>IV</v>
      </c>
      <c r="E1120" s="62"/>
      <c r="F1120" s="105"/>
      <c r="G1120" s="105"/>
      <c r="H1120" s="61"/>
      <c r="I1120" s="61"/>
      <c r="J1120" s="62"/>
      <c r="K1120" s="63"/>
      <c r="L1120" s="61"/>
      <c r="M1120" s="61"/>
      <c r="N1120" s="111"/>
      <c r="O1120" s="112"/>
      <c r="P1120" s="113"/>
      <c r="Q1120" s="114"/>
      <c r="R1120" s="64"/>
      <c r="S1120" s="108"/>
      <c r="T1120" s="203">
        <f t="shared" si="678"/>
        <v>43647</v>
      </c>
      <c r="U1120" s="204">
        <f t="shared" si="679"/>
        <v>43677</v>
      </c>
      <c r="V1120" s="207">
        <f t="shared" ref="V1120:V1125" si="691">IF(G1120-F1120+1-IF(G1120-U1120&gt;0,G1120-U1120,0)-IF(T1120-F1120&gt;0,T1120-F1120,0)&gt;0,G1120-F1120+1-IF(G1120-U1120&gt;0,G1120-U1120,0)-IF(T1120-F1120&gt;0,T1120-F1120,0),0)</f>
        <v>0</v>
      </c>
      <c r="W1120" s="206" t="str">
        <f t="shared" si="688"/>
        <v/>
      </c>
      <c r="X1120" s="206">
        <f t="shared" si="689"/>
        <v>0</v>
      </c>
      <c r="Y1120" s="209">
        <f t="shared" si="690"/>
        <v>0</v>
      </c>
    </row>
    <row r="1121" spans="2:25" ht="16.5" hidden="1" thickTop="1" thickBot="1" x14ac:dyDescent="0.3">
      <c r="B1121" s="60">
        <f>B1119</f>
        <v>18</v>
      </c>
      <c r="C1121" s="102">
        <v>122</v>
      </c>
      <c r="D1121" s="192" t="str">
        <f t="shared" si="657"/>
        <v>IV</v>
      </c>
      <c r="E1121" s="62"/>
      <c r="F1121" s="105"/>
      <c r="G1121" s="105"/>
      <c r="H1121" s="61"/>
      <c r="I1121" s="61"/>
      <c r="J1121" s="62"/>
      <c r="K1121" s="63"/>
      <c r="L1121" s="61"/>
      <c r="M1121" s="61"/>
      <c r="N1121" s="111"/>
      <c r="O1121" s="112"/>
      <c r="P1121" s="113"/>
      <c r="Q1121" s="114"/>
      <c r="R1121" s="64"/>
      <c r="S1121" s="108"/>
      <c r="T1121" s="203">
        <f t="shared" si="678"/>
        <v>43647</v>
      </c>
      <c r="U1121" s="204">
        <f t="shared" si="679"/>
        <v>43677</v>
      </c>
      <c r="V1121" s="207">
        <f t="shared" si="691"/>
        <v>0</v>
      </c>
      <c r="W1121" s="206" t="str">
        <f t="shared" si="688"/>
        <v/>
      </c>
      <c r="X1121" s="206">
        <f t="shared" si="689"/>
        <v>0</v>
      </c>
      <c r="Y1121" s="209">
        <f t="shared" si="690"/>
        <v>0</v>
      </c>
    </row>
    <row r="1122" spans="2:25" ht="16.5" hidden="1" thickTop="1" thickBot="1" x14ac:dyDescent="0.3">
      <c r="B1122" s="60">
        <f>B1119</f>
        <v>18</v>
      </c>
      <c r="C1122" s="102">
        <v>123</v>
      </c>
      <c r="D1122" s="192" t="str">
        <f t="shared" si="657"/>
        <v>IV</v>
      </c>
      <c r="E1122" s="62"/>
      <c r="F1122" s="105"/>
      <c r="G1122" s="105"/>
      <c r="H1122" s="61"/>
      <c r="I1122" s="61"/>
      <c r="J1122" s="62"/>
      <c r="K1122" s="63"/>
      <c r="L1122" s="61"/>
      <c r="M1122" s="61"/>
      <c r="N1122" s="111"/>
      <c r="O1122" s="112"/>
      <c r="P1122" s="113"/>
      <c r="Q1122" s="114"/>
      <c r="R1122" s="64"/>
      <c r="S1122" s="108"/>
      <c r="T1122" s="203">
        <f t="shared" si="678"/>
        <v>43647</v>
      </c>
      <c r="U1122" s="204">
        <f t="shared" si="679"/>
        <v>43677</v>
      </c>
      <c r="V1122" s="207">
        <f t="shared" si="691"/>
        <v>0</v>
      </c>
      <c r="W1122" s="206" t="str">
        <f t="shared" si="688"/>
        <v/>
      </c>
      <c r="X1122" s="206">
        <f t="shared" si="689"/>
        <v>0</v>
      </c>
      <c r="Y1122" s="209">
        <f t="shared" si="690"/>
        <v>0</v>
      </c>
    </row>
    <row r="1123" spans="2:25" ht="16.5" hidden="1" thickTop="1" thickBot="1" x14ac:dyDescent="0.3">
      <c r="B1123" s="60">
        <f>B1119</f>
        <v>18</v>
      </c>
      <c r="C1123" s="102">
        <v>124</v>
      </c>
      <c r="D1123" s="192" t="str">
        <f t="shared" si="657"/>
        <v>IV</v>
      </c>
      <c r="E1123" s="62"/>
      <c r="F1123" s="105"/>
      <c r="G1123" s="105"/>
      <c r="H1123" s="61"/>
      <c r="I1123" s="61"/>
      <c r="J1123" s="62"/>
      <c r="K1123" s="63"/>
      <c r="L1123" s="61"/>
      <c r="M1123" s="61"/>
      <c r="N1123" s="111"/>
      <c r="O1123" s="112"/>
      <c r="P1123" s="113"/>
      <c r="Q1123" s="114"/>
      <c r="R1123" s="64"/>
      <c r="S1123" s="108"/>
      <c r="T1123" s="203">
        <f t="shared" si="678"/>
        <v>43647</v>
      </c>
      <c r="U1123" s="204">
        <f t="shared" si="679"/>
        <v>43677</v>
      </c>
      <c r="V1123" s="207">
        <f t="shared" si="691"/>
        <v>0</v>
      </c>
      <c r="W1123" s="206" t="str">
        <f t="shared" si="688"/>
        <v/>
      </c>
      <c r="X1123" s="206">
        <f t="shared" si="689"/>
        <v>0</v>
      </c>
      <c r="Y1123" s="209">
        <f t="shared" si="690"/>
        <v>0</v>
      </c>
    </row>
    <row r="1124" spans="2:25" ht="16.5" hidden="1" thickTop="1" thickBot="1" x14ac:dyDescent="0.3">
      <c r="B1124" s="60">
        <f>B1119</f>
        <v>18</v>
      </c>
      <c r="C1124" s="102">
        <v>125</v>
      </c>
      <c r="D1124" s="192" t="str">
        <f t="shared" si="657"/>
        <v>IV</v>
      </c>
      <c r="E1124" s="62"/>
      <c r="F1124" s="105"/>
      <c r="G1124" s="105"/>
      <c r="H1124" s="61"/>
      <c r="I1124" s="61"/>
      <c r="J1124" s="62"/>
      <c r="K1124" s="63"/>
      <c r="L1124" s="61"/>
      <c r="M1124" s="61"/>
      <c r="N1124" s="111"/>
      <c r="O1124" s="112"/>
      <c r="P1124" s="113"/>
      <c r="Q1124" s="114"/>
      <c r="R1124" s="64"/>
      <c r="S1124" s="108"/>
      <c r="T1124" s="203">
        <f t="shared" si="678"/>
        <v>43647</v>
      </c>
      <c r="U1124" s="204">
        <f t="shared" si="679"/>
        <v>43677</v>
      </c>
      <c r="V1124" s="207">
        <f t="shared" si="691"/>
        <v>0</v>
      </c>
      <c r="W1124" s="206" t="str">
        <f t="shared" si="688"/>
        <v/>
      </c>
      <c r="X1124" s="206">
        <f t="shared" si="689"/>
        <v>0</v>
      </c>
      <c r="Y1124" s="209">
        <f t="shared" si="690"/>
        <v>0</v>
      </c>
    </row>
    <row r="1125" spans="2:25" ht="16.5" hidden="1" thickTop="1" thickBot="1" x14ac:dyDescent="0.3">
      <c r="B1125" s="141">
        <f>B1119</f>
        <v>18</v>
      </c>
      <c r="C1125" s="142">
        <v>126</v>
      </c>
      <c r="D1125" s="194" t="str">
        <f t="shared" si="657"/>
        <v>IV</v>
      </c>
      <c r="E1125" s="143"/>
      <c r="F1125" s="144"/>
      <c r="G1125" s="144"/>
      <c r="H1125" s="145"/>
      <c r="I1125" s="145"/>
      <c r="J1125" s="436" t="s">
        <v>181</v>
      </c>
      <c r="K1125" s="437"/>
      <c r="L1125" s="438"/>
      <c r="M1125" s="145"/>
      <c r="N1125" s="146"/>
      <c r="O1125" s="147"/>
      <c r="P1125" s="148"/>
      <c r="Q1125" s="149"/>
      <c r="R1125" s="150"/>
      <c r="S1125" s="151"/>
      <c r="T1125" s="213">
        <f t="shared" si="678"/>
        <v>43647</v>
      </c>
      <c r="U1125" s="214">
        <f t="shared" si="679"/>
        <v>43677</v>
      </c>
      <c r="V1125" s="210">
        <f t="shared" si="691"/>
        <v>0</v>
      </c>
      <c r="W1125" s="211"/>
      <c r="X1125" s="211">
        <f>IF(AND($V1125&gt;0,$I1125=1),IF($E1125=10,P1125/10,P1125/$V1125),0)</f>
        <v>0</v>
      </c>
      <c r="Y1125" s="212">
        <f>IF(AND($V1119&gt;0,$I1125&lt;&gt;1),Q1125/E1119*V1119,0)</f>
        <v>0</v>
      </c>
    </row>
    <row r="1126" spans="2:25" ht="16.5" hidden="1" thickTop="1" thickBot="1" x14ac:dyDescent="0.3">
      <c r="B1126" s="129">
        <f>B1124+1</f>
        <v>19</v>
      </c>
      <c r="C1126" s="130">
        <v>127</v>
      </c>
      <c r="D1126" s="196" t="str">
        <f t="shared" si="657"/>
        <v>IV</v>
      </c>
      <c r="E1126" s="152"/>
      <c r="F1126" s="153"/>
      <c r="G1126" s="153"/>
      <c r="H1126" s="154"/>
      <c r="I1126" s="154"/>
      <c r="J1126" s="152"/>
      <c r="K1126" s="155"/>
      <c r="L1126" s="154"/>
      <c r="M1126" s="154"/>
      <c r="N1126" s="156"/>
      <c r="O1126" s="157"/>
      <c r="P1126" s="158"/>
      <c r="Q1126" s="159"/>
      <c r="R1126" s="160"/>
      <c r="S1126" s="161"/>
      <c r="T1126" s="203">
        <f t="shared" si="678"/>
        <v>43647</v>
      </c>
      <c r="U1126" s="204">
        <f t="shared" si="679"/>
        <v>43677</v>
      </c>
      <c r="V1126" s="207">
        <f>IF(G1126-F1126+1-IF(G1126-U1126&gt;0,G1126-U1126,0)-IF(T1126-F1126&gt;0,T1126-F1126,0)&gt;0,G1126-F1126+1-IF(G1126-U1126&gt;0,G1126-U1126,0)-IF(T1126-F1126&gt;0,T1126-F1126,0),0)</f>
        <v>0</v>
      </c>
      <c r="W1126" s="206" t="str">
        <f t="shared" ref="W1126:W1131" si="692">IF(V1126&gt;0,H1126,"")</f>
        <v/>
      </c>
      <c r="X1126" s="206">
        <f t="shared" ref="X1126:X1131" si="693">IF(AND($V1126&gt;0,$I1126=1),P1126/$E1126*$V1126,0)</f>
        <v>0</v>
      </c>
      <c r="Y1126" s="209">
        <f t="shared" ref="Y1126:Y1131" si="694">IF(AND($V1126&gt;0,$I1126&lt;&gt;1),Q1126/$E1126*$V1126,0)</f>
        <v>0</v>
      </c>
    </row>
    <row r="1127" spans="2:25" ht="16.5" hidden="1" thickTop="1" thickBot="1" x14ac:dyDescent="0.3">
      <c r="B1127" s="60">
        <f>B1126</f>
        <v>19</v>
      </c>
      <c r="C1127" s="102">
        <v>128</v>
      </c>
      <c r="D1127" s="192" t="str">
        <f t="shared" si="657"/>
        <v>IV</v>
      </c>
      <c r="E1127" s="162"/>
      <c r="F1127" s="163"/>
      <c r="G1127" s="163"/>
      <c r="H1127" s="164"/>
      <c r="I1127" s="164"/>
      <c r="J1127" s="162"/>
      <c r="K1127" s="165"/>
      <c r="L1127" s="164"/>
      <c r="M1127" s="164"/>
      <c r="N1127" s="166"/>
      <c r="O1127" s="167"/>
      <c r="P1127" s="168"/>
      <c r="Q1127" s="169"/>
      <c r="R1127" s="170"/>
      <c r="S1127" s="171"/>
      <c r="T1127" s="203">
        <f t="shared" si="678"/>
        <v>43647</v>
      </c>
      <c r="U1127" s="204">
        <f t="shared" si="679"/>
        <v>43677</v>
      </c>
      <c r="V1127" s="207">
        <f t="shared" ref="V1127:V1132" si="695">IF(G1127-F1127+1-IF(G1127-U1127&gt;0,G1127-U1127,0)-IF(T1127-F1127&gt;0,T1127-F1127,0)&gt;0,G1127-F1127+1-IF(G1127-U1127&gt;0,G1127-U1127,0)-IF(T1127-F1127&gt;0,T1127-F1127,0),0)</f>
        <v>0</v>
      </c>
      <c r="W1127" s="206" t="str">
        <f t="shared" si="692"/>
        <v/>
      </c>
      <c r="X1127" s="206">
        <f t="shared" si="693"/>
        <v>0</v>
      </c>
      <c r="Y1127" s="209">
        <f t="shared" si="694"/>
        <v>0</v>
      </c>
    </row>
    <row r="1128" spans="2:25" ht="16.5" hidden="1" thickTop="1" thickBot="1" x14ac:dyDescent="0.3">
      <c r="B1128" s="60">
        <f>B1126</f>
        <v>19</v>
      </c>
      <c r="C1128" s="102">
        <v>129</v>
      </c>
      <c r="D1128" s="192" t="str">
        <f t="shared" si="657"/>
        <v>IV</v>
      </c>
      <c r="E1128" s="162"/>
      <c r="F1128" s="163"/>
      <c r="G1128" s="163"/>
      <c r="H1128" s="164"/>
      <c r="I1128" s="164"/>
      <c r="J1128" s="162"/>
      <c r="K1128" s="165"/>
      <c r="L1128" s="164"/>
      <c r="M1128" s="164"/>
      <c r="N1128" s="166"/>
      <c r="O1128" s="167"/>
      <c r="P1128" s="168"/>
      <c r="Q1128" s="169"/>
      <c r="R1128" s="170"/>
      <c r="S1128" s="171"/>
      <c r="T1128" s="203">
        <f t="shared" si="678"/>
        <v>43647</v>
      </c>
      <c r="U1128" s="204">
        <f t="shared" si="679"/>
        <v>43677</v>
      </c>
      <c r="V1128" s="207">
        <f t="shared" si="695"/>
        <v>0</v>
      </c>
      <c r="W1128" s="206" t="str">
        <f t="shared" si="692"/>
        <v/>
      </c>
      <c r="X1128" s="206">
        <f t="shared" si="693"/>
        <v>0</v>
      </c>
      <c r="Y1128" s="209">
        <f t="shared" si="694"/>
        <v>0</v>
      </c>
    </row>
    <row r="1129" spans="2:25" ht="16.5" hidden="1" thickTop="1" thickBot="1" x14ac:dyDescent="0.3">
      <c r="B1129" s="60">
        <f>B1126</f>
        <v>19</v>
      </c>
      <c r="C1129" s="102">
        <v>130</v>
      </c>
      <c r="D1129" s="192" t="str">
        <f t="shared" si="657"/>
        <v>IV</v>
      </c>
      <c r="E1129" s="162"/>
      <c r="F1129" s="163"/>
      <c r="G1129" s="163"/>
      <c r="H1129" s="164"/>
      <c r="I1129" s="164"/>
      <c r="J1129" s="162"/>
      <c r="K1129" s="165"/>
      <c r="L1129" s="164"/>
      <c r="M1129" s="164"/>
      <c r="N1129" s="166"/>
      <c r="O1129" s="167"/>
      <c r="P1129" s="168"/>
      <c r="Q1129" s="169"/>
      <c r="R1129" s="170"/>
      <c r="S1129" s="171"/>
      <c r="T1129" s="203">
        <f t="shared" si="678"/>
        <v>43647</v>
      </c>
      <c r="U1129" s="204">
        <f t="shared" si="679"/>
        <v>43677</v>
      </c>
      <c r="V1129" s="207">
        <f t="shared" si="695"/>
        <v>0</v>
      </c>
      <c r="W1129" s="206" t="str">
        <f t="shared" si="692"/>
        <v/>
      </c>
      <c r="X1129" s="206">
        <f t="shared" si="693"/>
        <v>0</v>
      </c>
      <c r="Y1129" s="209">
        <f t="shared" si="694"/>
        <v>0</v>
      </c>
    </row>
    <row r="1130" spans="2:25" ht="16.5" hidden="1" thickTop="1" thickBot="1" x14ac:dyDescent="0.3">
      <c r="B1130" s="60">
        <f>B1126</f>
        <v>19</v>
      </c>
      <c r="C1130" s="102">
        <v>131</v>
      </c>
      <c r="D1130" s="192" t="str">
        <f t="shared" ref="D1130:D1193" si="696">D1129</f>
        <v>IV</v>
      </c>
      <c r="E1130" s="162"/>
      <c r="F1130" s="163"/>
      <c r="G1130" s="163"/>
      <c r="H1130" s="164"/>
      <c r="I1130" s="164"/>
      <c r="J1130" s="162"/>
      <c r="K1130" s="165"/>
      <c r="L1130" s="164"/>
      <c r="M1130" s="164"/>
      <c r="N1130" s="166"/>
      <c r="O1130" s="167"/>
      <c r="P1130" s="168"/>
      <c r="Q1130" s="169"/>
      <c r="R1130" s="170"/>
      <c r="S1130" s="171"/>
      <c r="T1130" s="203">
        <f t="shared" si="678"/>
        <v>43647</v>
      </c>
      <c r="U1130" s="204">
        <f t="shared" si="679"/>
        <v>43677</v>
      </c>
      <c r="V1130" s="207">
        <f t="shared" si="695"/>
        <v>0</v>
      </c>
      <c r="W1130" s="206" t="str">
        <f t="shared" si="692"/>
        <v/>
      </c>
      <c r="X1130" s="206">
        <f t="shared" si="693"/>
        <v>0</v>
      </c>
      <c r="Y1130" s="209">
        <f t="shared" si="694"/>
        <v>0</v>
      </c>
    </row>
    <row r="1131" spans="2:25" ht="16.5" hidden="1" thickTop="1" thickBot="1" x14ac:dyDescent="0.3">
      <c r="B1131" s="60">
        <f>B1126</f>
        <v>19</v>
      </c>
      <c r="C1131" s="102">
        <v>132</v>
      </c>
      <c r="D1131" s="192" t="str">
        <f t="shared" si="696"/>
        <v>IV</v>
      </c>
      <c r="E1131" s="172"/>
      <c r="F1131" s="173"/>
      <c r="G1131" s="173"/>
      <c r="H1131" s="174"/>
      <c r="I1131" s="174"/>
      <c r="J1131" s="172"/>
      <c r="K1131" s="175"/>
      <c r="L1131" s="174"/>
      <c r="M1131" s="174"/>
      <c r="N1131" s="176"/>
      <c r="O1131" s="177"/>
      <c r="P1131" s="178"/>
      <c r="Q1131" s="179"/>
      <c r="R1131" s="180"/>
      <c r="S1131" s="181"/>
      <c r="T1131" s="203">
        <f t="shared" si="678"/>
        <v>43647</v>
      </c>
      <c r="U1131" s="204">
        <f t="shared" si="679"/>
        <v>43677</v>
      </c>
      <c r="V1131" s="207">
        <f t="shared" si="695"/>
        <v>0</v>
      </c>
      <c r="W1131" s="206" t="str">
        <f t="shared" si="692"/>
        <v/>
      </c>
      <c r="X1131" s="206">
        <f t="shared" si="693"/>
        <v>0</v>
      </c>
      <c r="Y1131" s="209">
        <f t="shared" si="694"/>
        <v>0</v>
      </c>
    </row>
    <row r="1132" spans="2:25" ht="16.5" hidden="1" thickTop="1" thickBot="1" x14ac:dyDescent="0.3">
      <c r="B1132" s="141">
        <f>B1126</f>
        <v>19</v>
      </c>
      <c r="C1132" s="142">
        <v>133</v>
      </c>
      <c r="D1132" s="194" t="str">
        <f t="shared" si="696"/>
        <v>IV</v>
      </c>
      <c r="E1132" s="189"/>
      <c r="F1132" s="190"/>
      <c r="G1132" s="190"/>
      <c r="H1132" s="182"/>
      <c r="I1132" s="182"/>
      <c r="J1132" s="436" t="s">
        <v>181</v>
      </c>
      <c r="K1132" s="437"/>
      <c r="L1132" s="438"/>
      <c r="M1132" s="182"/>
      <c r="N1132" s="183"/>
      <c r="O1132" s="184"/>
      <c r="P1132" s="185"/>
      <c r="Q1132" s="186"/>
      <c r="R1132" s="187"/>
      <c r="S1132" s="188"/>
      <c r="T1132" s="213">
        <f t="shared" si="678"/>
        <v>43647</v>
      </c>
      <c r="U1132" s="214">
        <f t="shared" si="679"/>
        <v>43677</v>
      </c>
      <c r="V1132" s="210">
        <f t="shared" si="695"/>
        <v>0</v>
      </c>
      <c r="W1132" s="211"/>
      <c r="X1132" s="211">
        <f>IF(AND($V1132&gt;0,$I1132=1),IF($E1132=10,P1132/10,P1132/$V1132),0)</f>
        <v>0</v>
      </c>
      <c r="Y1132" s="212">
        <f>IF(AND($V1126&gt;0,$I1132&lt;&gt;1),Q1132/E1126*V1126,0)</f>
        <v>0</v>
      </c>
    </row>
    <row r="1133" spans="2:25" ht="16.5" hidden="1" thickTop="1" thickBot="1" x14ac:dyDescent="0.3">
      <c r="B1133" s="129">
        <f>B1131+1</f>
        <v>20</v>
      </c>
      <c r="C1133" s="130">
        <v>134</v>
      </c>
      <c r="D1133" s="196" t="str">
        <f t="shared" si="696"/>
        <v>IV</v>
      </c>
      <c r="E1133" s="131"/>
      <c r="F1133" s="132"/>
      <c r="G1133" s="132"/>
      <c r="H1133" s="133"/>
      <c r="I1133" s="133"/>
      <c r="J1133" s="131"/>
      <c r="K1133" s="134"/>
      <c r="L1133" s="133"/>
      <c r="M1133" s="133"/>
      <c r="N1133" s="135"/>
      <c r="O1133" s="136"/>
      <c r="P1133" s="137"/>
      <c r="Q1133" s="138"/>
      <c r="R1133" s="139"/>
      <c r="S1133" s="140"/>
      <c r="T1133" s="203">
        <f t="shared" si="678"/>
        <v>43647</v>
      </c>
      <c r="U1133" s="204">
        <f t="shared" si="679"/>
        <v>43677</v>
      </c>
      <c r="V1133" s="207">
        <f>IF(G1133-F1133+1-IF(G1133-U1133&gt;0,G1133-U1133,0)-IF(T1133-F1133&gt;0,T1133-F1133,0)&gt;0,G1133-F1133+1-IF(G1133-U1133&gt;0,G1133-U1133,0)-IF(T1133-F1133&gt;0,T1133-F1133,0),0)</f>
        <v>0</v>
      </c>
      <c r="W1133" s="206" t="str">
        <f t="shared" ref="W1133:W1138" si="697">IF(V1133&gt;0,H1133,"")</f>
        <v/>
      </c>
      <c r="X1133" s="206">
        <f t="shared" ref="X1133:X1138" si="698">IF(AND($V1133&gt;0,$I1133=1),P1133/$E1133*$V1133,0)</f>
        <v>0</v>
      </c>
      <c r="Y1133" s="209">
        <f t="shared" ref="Y1133:Y1138" si="699">IF(AND($V1133&gt;0,$I1133&lt;&gt;1),Q1133/$E1133*$V1133,0)</f>
        <v>0</v>
      </c>
    </row>
    <row r="1134" spans="2:25" ht="16.5" hidden="1" thickTop="1" thickBot="1" x14ac:dyDescent="0.3">
      <c r="B1134" s="60">
        <f>B1133</f>
        <v>20</v>
      </c>
      <c r="C1134" s="102">
        <v>135</v>
      </c>
      <c r="D1134" s="192" t="str">
        <f t="shared" si="696"/>
        <v>IV</v>
      </c>
      <c r="E1134" s="62"/>
      <c r="F1134" s="105"/>
      <c r="G1134" s="105"/>
      <c r="H1134" s="61"/>
      <c r="I1134" s="61"/>
      <c r="J1134" s="62"/>
      <c r="K1134" s="63"/>
      <c r="L1134" s="61"/>
      <c r="M1134" s="61"/>
      <c r="N1134" s="111"/>
      <c r="O1134" s="112"/>
      <c r="P1134" s="113"/>
      <c r="Q1134" s="114"/>
      <c r="R1134" s="64"/>
      <c r="S1134" s="108"/>
      <c r="T1134" s="203">
        <f t="shared" si="678"/>
        <v>43647</v>
      </c>
      <c r="U1134" s="204">
        <f t="shared" si="679"/>
        <v>43677</v>
      </c>
      <c r="V1134" s="207">
        <f t="shared" ref="V1134:V1139" si="700">IF(G1134-F1134+1-IF(G1134-U1134&gt;0,G1134-U1134,0)-IF(T1134-F1134&gt;0,T1134-F1134,0)&gt;0,G1134-F1134+1-IF(G1134-U1134&gt;0,G1134-U1134,0)-IF(T1134-F1134&gt;0,T1134-F1134,0),0)</f>
        <v>0</v>
      </c>
      <c r="W1134" s="206" t="str">
        <f t="shared" si="697"/>
        <v/>
      </c>
      <c r="X1134" s="206">
        <f t="shared" si="698"/>
        <v>0</v>
      </c>
      <c r="Y1134" s="209">
        <f t="shared" si="699"/>
        <v>0</v>
      </c>
    </row>
    <row r="1135" spans="2:25" ht="16.5" hidden="1" thickTop="1" thickBot="1" x14ac:dyDescent="0.3">
      <c r="B1135" s="60">
        <f>B1133</f>
        <v>20</v>
      </c>
      <c r="C1135" s="102">
        <v>136</v>
      </c>
      <c r="D1135" s="192" t="str">
        <f t="shared" si="696"/>
        <v>IV</v>
      </c>
      <c r="E1135" s="62"/>
      <c r="F1135" s="105"/>
      <c r="G1135" s="105"/>
      <c r="H1135" s="61"/>
      <c r="I1135" s="61"/>
      <c r="J1135" s="62"/>
      <c r="K1135" s="63"/>
      <c r="L1135" s="61"/>
      <c r="M1135" s="61"/>
      <c r="N1135" s="111"/>
      <c r="O1135" s="112"/>
      <c r="P1135" s="113"/>
      <c r="Q1135" s="114"/>
      <c r="R1135" s="64"/>
      <c r="S1135" s="108"/>
      <c r="T1135" s="203">
        <f t="shared" si="678"/>
        <v>43647</v>
      </c>
      <c r="U1135" s="204">
        <f t="shared" si="679"/>
        <v>43677</v>
      </c>
      <c r="V1135" s="207">
        <f t="shared" si="700"/>
        <v>0</v>
      </c>
      <c r="W1135" s="206" t="str">
        <f t="shared" si="697"/>
        <v/>
      </c>
      <c r="X1135" s="206">
        <f t="shared" si="698"/>
        <v>0</v>
      </c>
      <c r="Y1135" s="209">
        <f t="shared" si="699"/>
        <v>0</v>
      </c>
    </row>
    <row r="1136" spans="2:25" ht="16.5" hidden="1" thickTop="1" thickBot="1" x14ac:dyDescent="0.3">
      <c r="B1136" s="60">
        <f>B1133</f>
        <v>20</v>
      </c>
      <c r="C1136" s="102">
        <v>137</v>
      </c>
      <c r="D1136" s="192" t="str">
        <f t="shared" si="696"/>
        <v>IV</v>
      </c>
      <c r="E1136" s="62"/>
      <c r="F1136" s="105"/>
      <c r="G1136" s="105"/>
      <c r="H1136" s="61"/>
      <c r="I1136" s="61"/>
      <c r="J1136" s="62"/>
      <c r="K1136" s="63"/>
      <c r="L1136" s="61"/>
      <c r="M1136" s="61"/>
      <c r="N1136" s="111"/>
      <c r="O1136" s="112"/>
      <c r="P1136" s="113"/>
      <c r="Q1136" s="114"/>
      <c r="R1136" s="64"/>
      <c r="S1136" s="108"/>
      <c r="T1136" s="203">
        <f t="shared" si="678"/>
        <v>43647</v>
      </c>
      <c r="U1136" s="204">
        <f t="shared" si="679"/>
        <v>43677</v>
      </c>
      <c r="V1136" s="207">
        <f t="shared" si="700"/>
        <v>0</v>
      </c>
      <c r="W1136" s="206" t="str">
        <f t="shared" si="697"/>
        <v/>
      </c>
      <c r="X1136" s="206">
        <f t="shared" si="698"/>
        <v>0</v>
      </c>
      <c r="Y1136" s="209">
        <f t="shared" si="699"/>
        <v>0</v>
      </c>
    </row>
    <row r="1137" spans="2:25" ht="16.5" hidden="1" thickTop="1" thickBot="1" x14ac:dyDescent="0.3">
      <c r="B1137" s="60">
        <f>B1133</f>
        <v>20</v>
      </c>
      <c r="C1137" s="102">
        <v>138</v>
      </c>
      <c r="D1137" s="192" t="str">
        <f t="shared" si="696"/>
        <v>IV</v>
      </c>
      <c r="E1137" s="62"/>
      <c r="F1137" s="105"/>
      <c r="G1137" s="105"/>
      <c r="H1137" s="61"/>
      <c r="I1137" s="61"/>
      <c r="J1137" s="62"/>
      <c r="K1137" s="63"/>
      <c r="L1137" s="61"/>
      <c r="M1137" s="61"/>
      <c r="N1137" s="111"/>
      <c r="O1137" s="112"/>
      <c r="P1137" s="113"/>
      <c r="Q1137" s="114"/>
      <c r="R1137" s="64"/>
      <c r="S1137" s="108"/>
      <c r="T1137" s="203">
        <f t="shared" si="678"/>
        <v>43647</v>
      </c>
      <c r="U1137" s="204">
        <f t="shared" si="679"/>
        <v>43677</v>
      </c>
      <c r="V1137" s="207">
        <f t="shared" si="700"/>
        <v>0</v>
      </c>
      <c r="W1137" s="206" t="str">
        <f t="shared" si="697"/>
        <v/>
      </c>
      <c r="X1137" s="206">
        <f t="shared" si="698"/>
        <v>0</v>
      </c>
      <c r="Y1137" s="209">
        <f t="shared" si="699"/>
        <v>0</v>
      </c>
    </row>
    <row r="1138" spans="2:25" ht="16.5" hidden="1" thickTop="1" thickBot="1" x14ac:dyDescent="0.3">
      <c r="B1138" s="60">
        <f>B1133</f>
        <v>20</v>
      </c>
      <c r="C1138" s="102">
        <v>139</v>
      </c>
      <c r="D1138" s="192" t="str">
        <f t="shared" si="696"/>
        <v>IV</v>
      </c>
      <c r="E1138" s="62"/>
      <c r="F1138" s="105"/>
      <c r="G1138" s="105"/>
      <c r="H1138" s="61"/>
      <c r="I1138" s="61"/>
      <c r="J1138" s="62"/>
      <c r="K1138" s="63"/>
      <c r="L1138" s="61"/>
      <c r="M1138" s="61"/>
      <c r="N1138" s="111"/>
      <c r="O1138" s="112"/>
      <c r="P1138" s="113"/>
      <c r="Q1138" s="114"/>
      <c r="R1138" s="64"/>
      <c r="S1138" s="108"/>
      <c r="T1138" s="203">
        <f t="shared" si="678"/>
        <v>43647</v>
      </c>
      <c r="U1138" s="204">
        <f t="shared" si="679"/>
        <v>43677</v>
      </c>
      <c r="V1138" s="207">
        <f t="shared" si="700"/>
        <v>0</v>
      </c>
      <c r="W1138" s="206" t="str">
        <f t="shared" si="697"/>
        <v/>
      </c>
      <c r="X1138" s="206">
        <f t="shared" si="698"/>
        <v>0</v>
      </c>
      <c r="Y1138" s="209">
        <f t="shared" si="699"/>
        <v>0</v>
      </c>
    </row>
    <row r="1139" spans="2:25" ht="16.5" hidden="1" thickTop="1" thickBot="1" x14ac:dyDescent="0.3">
      <c r="B1139" s="141">
        <f>B1133</f>
        <v>20</v>
      </c>
      <c r="C1139" s="142">
        <v>140</v>
      </c>
      <c r="D1139" s="194" t="str">
        <f t="shared" si="696"/>
        <v>IV</v>
      </c>
      <c r="E1139" s="143"/>
      <c r="F1139" s="144"/>
      <c r="G1139" s="144"/>
      <c r="H1139" s="145"/>
      <c r="I1139" s="145"/>
      <c r="J1139" s="436" t="s">
        <v>181</v>
      </c>
      <c r="K1139" s="437"/>
      <c r="L1139" s="438"/>
      <c r="M1139" s="145"/>
      <c r="N1139" s="146"/>
      <c r="O1139" s="147"/>
      <c r="P1139" s="148"/>
      <c r="Q1139" s="149"/>
      <c r="R1139" s="150"/>
      <c r="S1139" s="151"/>
      <c r="T1139" s="213">
        <f t="shared" si="678"/>
        <v>43647</v>
      </c>
      <c r="U1139" s="214">
        <f t="shared" si="679"/>
        <v>43677</v>
      </c>
      <c r="V1139" s="210">
        <f t="shared" si="700"/>
        <v>0</v>
      </c>
      <c r="W1139" s="211"/>
      <c r="X1139" s="211">
        <f>IF(AND($V1139&gt;0,$I1139=1),IF($E1139=10,P1139/10,P1139/$V1139),0)</f>
        <v>0</v>
      </c>
      <c r="Y1139" s="212">
        <f>IF(AND($V1133&gt;0,$I1139&lt;&gt;1),Q1139/E1133*V1133,0)</f>
        <v>0</v>
      </c>
    </row>
    <row r="1140" spans="2:25" ht="16.5" hidden="1" thickTop="1" thickBot="1" x14ac:dyDescent="0.3">
      <c r="B1140" s="129">
        <f>B1138+1</f>
        <v>21</v>
      </c>
      <c r="C1140" s="130">
        <v>141</v>
      </c>
      <c r="D1140" s="196" t="str">
        <f t="shared" si="696"/>
        <v>IV</v>
      </c>
      <c r="E1140" s="152"/>
      <c r="F1140" s="153"/>
      <c r="G1140" s="153"/>
      <c r="H1140" s="154"/>
      <c r="I1140" s="154"/>
      <c r="J1140" s="152"/>
      <c r="K1140" s="155"/>
      <c r="L1140" s="154"/>
      <c r="M1140" s="154"/>
      <c r="N1140" s="156"/>
      <c r="O1140" s="157"/>
      <c r="P1140" s="158"/>
      <c r="Q1140" s="159"/>
      <c r="R1140" s="160"/>
      <c r="S1140" s="161"/>
      <c r="T1140" s="203">
        <f t="shared" si="678"/>
        <v>43647</v>
      </c>
      <c r="U1140" s="204">
        <f t="shared" si="679"/>
        <v>43677</v>
      </c>
      <c r="V1140" s="207">
        <f>IF(G1140-F1140+1-IF(G1140-U1140&gt;0,G1140-U1140,0)-IF(T1140-F1140&gt;0,T1140-F1140,0)&gt;0,G1140-F1140+1-IF(G1140-U1140&gt;0,G1140-U1140,0)-IF(T1140-F1140&gt;0,T1140-F1140,0),0)</f>
        <v>0</v>
      </c>
      <c r="W1140" s="206" t="str">
        <f t="shared" ref="W1140:W1145" si="701">IF(V1140&gt;0,H1140,"")</f>
        <v/>
      </c>
      <c r="X1140" s="206">
        <f t="shared" ref="X1140:X1145" si="702">IF(AND($V1140&gt;0,$I1140=1),P1140/$E1140*$V1140,0)</f>
        <v>0</v>
      </c>
      <c r="Y1140" s="209">
        <f t="shared" ref="Y1140:Y1145" si="703">IF(AND($V1140&gt;0,$I1140&lt;&gt;1),Q1140/$E1140*$V1140,0)</f>
        <v>0</v>
      </c>
    </row>
    <row r="1141" spans="2:25" ht="16.5" hidden="1" thickTop="1" thickBot="1" x14ac:dyDescent="0.3">
      <c r="B1141" s="60">
        <f>B1140</f>
        <v>21</v>
      </c>
      <c r="C1141" s="102">
        <v>142</v>
      </c>
      <c r="D1141" s="192" t="str">
        <f t="shared" si="696"/>
        <v>IV</v>
      </c>
      <c r="E1141" s="162"/>
      <c r="F1141" s="163"/>
      <c r="G1141" s="163"/>
      <c r="H1141" s="164"/>
      <c r="I1141" s="164"/>
      <c r="J1141" s="162"/>
      <c r="K1141" s="165"/>
      <c r="L1141" s="164"/>
      <c r="M1141" s="164"/>
      <c r="N1141" s="166"/>
      <c r="O1141" s="167"/>
      <c r="P1141" s="168"/>
      <c r="Q1141" s="169"/>
      <c r="R1141" s="170"/>
      <c r="S1141" s="171"/>
      <c r="T1141" s="203">
        <f t="shared" si="678"/>
        <v>43647</v>
      </c>
      <c r="U1141" s="204">
        <f t="shared" si="679"/>
        <v>43677</v>
      </c>
      <c r="V1141" s="207">
        <f t="shared" ref="V1141:V1146" si="704">IF(G1141-F1141+1-IF(G1141-U1141&gt;0,G1141-U1141,0)-IF(T1141-F1141&gt;0,T1141-F1141,0)&gt;0,G1141-F1141+1-IF(G1141-U1141&gt;0,G1141-U1141,0)-IF(T1141-F1141&gt;0,T1141-F1141,0),0)</f>
        <v>0</v>
      </c>
      <c r="W1141" s="206" t="str">
        <f t="shared" si="701"/>
        <v/>
      </c>
      <c r="X1141" s="206">
        <f t="shared" si="702"/>
        <v>0</v>
      </c>
      <c r="Y1141" s="209">
        <f t="shared" si="703"/>
        <v>0</v>
      </c>
    </row>
    <row r="1142" spans="2:25" ht="16.5" hidden="1" thickTop="1" thickBot="1" x14ac:dyDescent="0.3">
      <c r="B1142" s="60">
        <f>B1140</f>
        <v>21</v>
      </c>
      <c r="C1142" s="102">
        <v>143</v>
      </c>
      <c r="D1142" s="192" t="str">
        <f t="shared" si="696"/>
        <v>IV</v>
      </c>
      <c r="E1142" s="162"/>
      <c r="F1142" s="163"/>
      <c r="G1142" s="163"/>
      <c r="H1142" s="164"/>
      <c r="I1142" s="164"/>
      <c r="J1142" s="162"/>
      <c r="K1142" s="165"/>
      <c r="L1142" s="164"/>
      <c r="M1142" s="164"/>
      <c r="N1142" s="166"/>
      <c r="O1142" s="167"/>
      <c r="P1142" s="168"/>
      <c r="Q1142" s="169"/>
      <c r="R1142" s="170"/>
      <c r="S1142" s="171"/>
      <c r="T1142" s="203">
        <f t="shared" si="678"/>
        <v>43647</v>
      </c>
      <c r="U1142" s="204">
        <f t="shared" si="679"/>
        <v>43677</v>
      </c>
      <c r="V1142" s="207">
        <f t="shared" si="704"/>
        <v>0</v>
      </c>
      <c r="W1142" s="206" t="str">
        <f t="shared" si="701"/>
        <v/>
      </c>
      <c r="X1142" s="206">
        <f t="shared" si="702"/>
        <v>0</v>
      </c>
      <c r="Y1142" s="209">
        <f t="shared" si="703"/>
        <v>0</v>
      </c>
    </row>
    <row r="1143" spans="2:25" ht="16.5" hidden="1" thickTop="1" thickBot="1" x14ac:dyDescent="0.3">
      <c r="B1143" s="60">
        <f>B1140</f>
        <v>21</v>
      </c>
      <c r="C1143" s="102">
        <v>144</v>
      </c>
      <c r="D1143" s="192" t="str">
        <f t="shared" si="696"/>
        <v>IV</v>
      </c>
      <c r="E1143" s="162"/>
      <c r="F1143" s="163"/>
      <c r="G1143" s="163"/>
      <c r="H1143" s="164"/>
      <c r="I1143" s="164"/>
      <c r="J1143" s="162"/>
      <c r="K1143" s="165"/>
      <c r="L1143" s="164"/>
      <c r="M1143" s="164"/>
      <c r="N1143" s="166"/>
      <c r="O1143" s="167"/>
      <c r="P1143" s="168"/>
      <c r="Q1143" s="169"/>
      <c r="R1143" s="170"/>
      <c r="S1143" s="171"/>
      <c r="T1143" s="203">
        <f t="shared" si="678"/>
        <v>43647</v>
      </c>
      <c r="U1143" s="204">
        <f t="shared" si="679"/>
        <v>43677</v>
      </c>
      <c r="V1143" s="207">
        <f t="shared" si="704"/>
        <v>0</v>
      </c>
      <c r="W1143" s="206" t="str">
        <f t="shared" si="701"/>
        <v/>
      </c>
      <c r="X1143" s="206">
        <f t="shared" si="702"/>
        <v>0</v>
      </c>
      <c r="Y1143" s="209">
        <f t="shared" si="703"/>
        <v>0</v>
      </c>
    </row>
    <row r="1144" spans="2:25" ht="16.5" hidden="1" thickTop="1" thickBot="1" x14ac:dyDescent="0.3">
      <c r="B1144" s="60">
        <f>B1140</f>
        <v>21</v>
      </c>
      <c r="C1144" s="102">
        <v>145</v>
      </c>
      <c r="D1144" s="192" t="str">
        <f t="shared" si="696"/>
        <v>IV</v>
      </c>
      <c r="E1144" s="162"/>
      <c r="F1144" s="163"/>
      <c r="G1144" s="163"/>
      <c r="H1144" s="164"/>
      <c r="I1144" s="164"/>
      <c r="J1144" s="162"/>
      <c r="K1144" s="165"/>
      <c r="L1144" s="164"/>
      <c r="M1144" s="164"/>
      <c r="N1144" s="166"/>
      <c r="O1144" s="167"/>
      <c r="P1144" s="168"/>
      <c r="Q1144" s="169"/>
      <c r="R1144" s="170"/>
      <c r="S1144" s="171"/>
      <c r="T1144" s="203">
        <f t="shared" si="678"/>
        <v>43647</v>
      </c>
      <c r="U1144" s="204">
        <f t="shared" si="679"/>
        <v>43677</v>
      </c>
      <c r="V1144" s="207">
        <f t="shared" si="704"/>
        <v>0</v>
      </c>
      <c r="W1144" s="206" t="str">
        <f t="shared" si="701"/>
        <v/>
      </c>
      <c r="X1144" s="206">
        <f t="shared" si="702"/>
        <v>0</v>
      </c>
      <c r="Y1144" s="209">
        <f t="shared" si="703"/>
        <v>0</v>
      </c>
    </row>
    <row r="1145" spans="2:25" ht="16.5" hidden="1" thickTop="1" thickBot="1" x14ac:dyDescent="0.3">
      <c r="B1145" s="60">
        <f>B1140</f>
        <v>21</v>
      </c>
      <c r="C1145" s="102">
        <v>146</v>
      </c>
      <c r="D1145" s="192" t="str">
        <f t="shared" si="696"/>
        <v>IV</v>
      </c>
      <c r="E1145" s="172"/>
      <c r="F1145" s="173"/>
      <c r="G1145" s="173"/>
      <c r="H1145" s="174"/>
      <c r="I1145" s="174"/>
      <c r="J1145" s="172"/>
      <c r="K1145" s="175"/>
      <c r="L1145" s="174"/>
      <c r="M1145" s="174"/>
      <c r="N1145" s="176"/>
      <c r="O1145" s="177"/>
      <c r="P1145" s="178"/>
      <c r="Q1145" s="179"/>
      <c r="R1145" s="180"/>
      <c r="S1145" s="181"/>
      <c r="T1145" s="203">
        <f t="shared" si="678"/>
        <v>43647</v>
      </c>
      <c r="U1145" s="204">
        <f t="shared" si="679"/>
        <v>43677</v>
      </c>
      <c r="V1145" s="207">
        <f t="shared" si="704"/>
        <v>0</v>
      </c>
      <c r="W1145" s="206" t="str">
        <f t="shared" si="701"/>
        <v/>
      </c>
      <c r="X1145" s="206">
        <f t="shared" si="702"/>
        <v>0</v>
      </c>
      <c r="Y1145" s="209">
        <f t="shared" si="703"/>
        <v>0</v>
      </c>
    </row>
    <row r="1146" spans="2:25" ht="16.5" hidden="1" thickTop="1" thickBot="1" x14ac:dyDescent="0.3">
      <c r="B1146" s="141">
        <f>B1140</f>
        <v>21</v>
      </c>
      <c r="C1146" s="142">
        <v>147</v>
      </c>
      <c r="D1146" s="194" t="str">
        <f t="shared" si="696"/>
        <v>IV</v>
      </c>
      <c r="E1146" s="189"/>
      <c r="F1146" s="190"/>
      <c r="G1146" s="190"/>
      <c r="H1146" s="182"/>
      <c r="I1146" s="182"/>
      <c r="J1146" s="436" t="s">
        <v>181</v>
      </c>
      <c r="K1146" s="437"/>
      <c r="L1146" s="438"/>
      <c r="M1146" s="182"/>
      <c r="N1146" s="183"/>
      <c r="O1146" s="184"/>
      <c r="P1146" s="185"/>
      <c r="Q1146" s="186"/>
      <c r="R1146" s="187"/>
      <c r="S1146" s="188"/>
      <c r="T1146" s="213">
        <f t="shared" si="678"/>
        <v>43647</v>
      </c>
      <c r="U1146" s="214">
        <f t="shared" si="679"/>
        <v>43677</v>
      </c>
      <c r="V1146" s="210">
        <f t="shared" si="704"/>
        <v>0</v>
      </c>
      <c r="W1146" s="211"/>
      <c r="X1146" s="211">
        <f>IF(AND($V1146&gt;0,$I1146=1),IF($E1146=10,P1146/10,P1146/$V1146),0)</f>
        <v>0</v>
      </c>
      <c r="Y1146" s="212">
        <f>IF(AND($V1140&gt;0,$I1146&lt;&gt;1),Q1146/E1140*V1140,0)</f>
        <v>0</v>
      </c>
    </row>
    <row r="1147" spans="2:25" ht="16.5" hidden="1" thickTop="1" thickBot="1" x14ac:dyDescent="0.3">
      <c r="B1147" s="129">
        <f>B1145+1</f>
        <v>22</v>
      </c>
      <c r="C1147" s="130">
        <v>148</v>
      </c>
      <c r="D1147" s="196" t="str">
        <f t="shared" si="696"/>
        <v>IV</v>
      </c>
      <c r="E1147" s="131"/>
      <c r="F1147" s="132"/>
      <c r="G1147" s="132"/>
      <c r="H1147" s="133"/>
      <c r="I1147" s="133"/>
      <c r="J1147" s="131"/>
      <c r="K1147" s="134"/>
      <c r="L1147" s="133"/>
      <c r="M1147" s="133"/>
      <c r="N1147" s="135"/>
      <c r="O1147" s="136"/>
      <c r="P1147" s="137"/>
      <c r="Q1147" s="138"/>
      <c r="R1147" s="139"/>
      <c r="S1147" s="140"/>
      <c r="T1147" s="203">
        <f t="shared" si="678"/>
        <v>43647</v>
      </c>
      <c r="U1147" s="204">
        <f t="shared" si="679"/>
        <v>43677</v>
      </c>
      <c r="V1147" s="207">
        <f>IF(G1147-F1147+1-IF(G1147-U1147&gt;0,G1147-U1147,0)-IF(T1147-F1147&gt;0,T1147-F1147,0)&gt;0,G1147-F1147+1-IF(G1147-U1147&gt;0,G1147-U1147,0)-IF(T1147-F1147&gt;0,T1147-F1147,0),0)</f>
        <v>0</v>
      </c>
      <c r="W1147" s="206" t="str">
        <f t="shared" ref="W1147:W1152" si="705">IF(V1147&gt;0,H1147,"")</f>
        <v/>
      </c>
      <c r="X1147" s="206">
        <f t="shared" ref="X1147:X1152" si="706">IF(AND($V1147&gt;0,$I1147=1),P1147/$E1147*$V1147,0)</f>
        <v>0</v>
      </c>
      <c r="Y1147" s="209">
        <f t="shared" ref="Y1147:Y1152" si="707">IF(AND($V1147&gt;0,$I1147&lt;&gt;1),Q1147/$E1147*$V1147,0)</f>
        <v>0</v>
      </c>
    </row>
    <row r="1148" spans="2:25" ht="16.5" hidden="1" thickTop="1" thickBot="1" x14ac:dyDescent="0.3">
      <c r="B1148" s="60">
        <f>B1147</f>
        <v>22</v>
      </c>
      <c r="C1148" s="102">
        <v>149</v>
      </c>
      <c r="D1148" s="192" t="str">
        <f t="shared" si="696"/>
        <v>IV</v>
      </c>
      <c r="E1148" s="62"/>
      <c r="F1148" s="105"/>
      <c r="G1148" s="105"/>
      <c r="H1148" s="61"/>
      <c r="I1148" s="61"/>
      <c r="J1148" s="62"/>
      <c r="K1148" s="63"/>
      <c r="L1148" s="61"/>
      <c r="M1148" s="61"/>
      <c r="N1148" s="111"/>
      <c r="O1148" s="112"/>
      <c r="P1148" s="113"/>
      <c r="Q1148" s="114"/>
      <c r="R1148" s="64"/>
      <c r="S1148" s="108"/>
      <c r="T1148" s="203">
        <f t="shared" si="678"/>
        <v>43647</v>
      </c>
      <c r="U1148" s="204">
        <f t="shared" si="679"/>
        <v>43677</v>
      </c>
      <c r="V1148" s="207">
        <f t="shared" ref="V1148:V1153" si="708">IF(G1148-F1148+1-IF(G1148-U1148&gt;0,G1148-U1148,0)-IF(T1148-F1148&gt;0,T1148-F1148,0)&gt;0,G1148-F1148+1-IF(G1148-U1148&gt;0,G1148-U1148,0)-IF(T1148-F1148&gt;0,T1148-F1148,0),0)</f>
        <v>0</v>
      </c>
      <c r="W1148" s="206" t="str">
        <f t="shared" si="705"/>
        <v/>
      </c>
      <c r="X1148" s="206">
        <f t="shared" si="706"/>
        <v>0</v>
      </c>
      <c r="Y1148" s="209">
        <f t="shared" si="707"/>
        <v>0</v>
      </c>
    </row>
    <row r="1149" spans="2:25" ht="16.5" hidden="1" thickTop="1" thickBot="1" x14ac:dyDescent="0.3">
      <c r="B1149" s="60">
        <f>B1147</f>
        <v>22</v>
      </c>
      <c r="C1149" s="102">
        <v>150</v>
      </c>
      <c r="D1149" s="192" t="str">
        <f t="shared" si="696"/>
        <v>IV</v>
      </c>
      <c r="E1149" s="62"/>
      <c r="F1149" s="105"/>
      <c r="G1149" s="105"/>
      <c r="H1149" s="61"/>
      <c r="I1149" s="61"/>
      <c r="J1149" s="62"/>
      <c r="K1149" s="63"/>
      <c r="L1149" s="61"/>
      <c r="M1149" s="61"/>
      <c r="N1149" s="111"/>
      <c r="O1149" s="112"/>
      <c r="P1149" s="113"/>
      <c r="Q1149" s="114"/>
      <c r="R1149" s="64"/>
      <c r="S1149" s="108"/>
      <c r="T1149" s="203">
        <f t="shared" si="678"/>
        <v>43647</v>
      </c>
      <c r="U1149" s="204">
        <f t="shared" si="679"/>
        <v>43677</v>
      </c>
      <c r="V1149" s="207">
        <f t="shared" si="708"/>
        <v>0</v>
      </c>
      <c r="W1149" s="206" t="str">
        <f t="shared" si="705"/>
        <v/>
      </c>
      <c r="X1149" s="206">
        <f t="shared" si="706"/>
        <v>0</v>
      </c>
      <c r="Y1149" s="209">
        <f t="shared" si="707"/>
        <v>0</v>
      </c>
    </row>
    <row r="1150" spans="2:25" ht="16.5" hidden="1" thickTop="1" thickBot="1" x14ac:dyDescent="0.3">
      <c r="B1150" s="60">
        <f>B1147</f>
        <v>22</v>
      </c>
      <c r="C1150" s="102">
        <v>151</v>
      </c>
      <c r="D1150" s="192" t="str">
        <f t="shared" si="696"/>
        <v>IV</v>
      </c>
      <c r="E1150" s="62"/>
      <c r="F1150" s="105"/>
      <c r="G1150" s="105"/>
      <c r="H1150" s="61"/>
      <c r="I1150" s="61"/>
      <c r="J1150" s="62"/>
      <c r="K1150" s="63"/>
      <c r="L1150" s="61"/>
      <c r="M1150" s="61"/>
      <c r="N1150" s="111"/>
      <c r="O1150" s="112"/>
      <c r="P1150" s="113"/>
      <c r="Q1150" s="114"/>
      <c r="R1150" s="64"/>
      <c r="S1150" s="108"/>
      <c r="T1150" s="203">
        <f t="shared" si="678"/>
        <v>43647</v>
      </c>
      <c r="U1150" s="204">
        <f t="shared" si="679"/>
        <v>43677</v>
      </c>
      <c r="V1150" s="207">
        <f t="shared" si="708"/>
        <v>0</v>
      </c>
      <c r="W1150" s="206" t="str">
        <f t="shared" si="705"/>
        <v/>
      </c>
      <c r="X1150" s="206">
        <f t="shared" si="706"/>
        <v>0</v>
      </c>
      <c r="Y1150" s="209">
        <f t="shared" si="707"/>
        <v>0</v>
      </c>
    </row>
    <row r="1151" spans="2:25" ht="16.5" hidden="1" thickTop="1" thickBot="1" x14ac:dyDescent="0.3">
      <c r="B1151" s="60">
        <f>B1147</f>
        <v>22</v>
      </c>
      <c r="C1151" s="102">
        <v>152</v>
      </c>
      <c r="D1151" s="192" t="str">
        <f t="shared" si="696"/>
        <v>IV</v>
      </c>
      <c r="E1151" s="62"/>
      <c r="F1151" s="105"/>
      <c r="G1151" s="105"/>
      <c r="H1151" s="61"/>
      <c r="I1151" s="61"/>
      <c r="J1151" s="62"/>
      <c r="K1151" s="63"/>
      <c r="L1151" s="61"/>
      <c r="M1151" s="61"/>
      <c r="N1151" s="111"/>
      <c r="O1151" s="112"/>
      <c r="P1151" s="113"/>
      <c r="Q1151" s="114"/>
      <c r="R1151" s="64"/>
      <c r="S1151" s="108"/>
      <c r="T1151" s="203">
        <f t="shared" si="678"/>
        <v>43647</v>
      </c>
      <c r="U1151" s="204">
        <f t="shared" si="679"/>
        <v>43677</v>
      </c>
      <c r="V1151" s="207">
        <f t="shared" si="708"/>
        <v>0</v>
      </c>
      <c r="W1151" s="206" t="str">
        <f t="shared" si="705"/>
        <v/>
      </c>
      <c r="X1151" s="206">
        <f t="shared" si="706"/>
        <v>0</v>
      </c>
      <c r="Y1151" s="209">
        <f t="shared" si="707"/>
        <v>0</v>
      </c>
    </row>
    <row r="1152" spans="2:25" ht="16.5" hidden="1" thickTop="1" thickBot="1" x14ac:dyDescent="0.3">
      <c r="B1152" s="60">
        <f>B1147</f>
        <v>22</v>
      </c>
      <c r="C1152" s="102">
        <v>153</v>
      </c>
      <c r="D1152" s="192" t="str">
        <f t="shared" si="696"/>
        <v>IV</v>
      </c>
      <c r="E1152" s="62"/>
      <c r="F1152" s="105"/>
      <c r="G1152" s="105"/>
      <c r="H1152" s="61"/>
      <c r="I1152" s="61"/>
      <c r="J1152" s="62"/>
      <c r="K1152" s="63"/>
      <c r="L1152" s="61"/>
      <c r="M1152" s="61"/>
      <c r="N1152" s="111"/>
      <c r="O1152" s="112"/>
      <c r="P1152" s="113"/>
      <c r="Q1152" s="114"/>
      <c r="R1152" s="64"/>
      <c r="S1152" s="108"/>
      <c r="T1152" s="203">
        <f t="shared" si="678"/>
        <v>43647</v>
      </c>
      <c r="U1152" s="204">
        <f t="shared" si="679"/>
        <v>43677</v>
      </c>
      <c r="V1152" s="207">
        <f t="shared" si="708"/>
        <v>0</v>
      </c>
      <c r="W1152" s="206" t="str">
        <f t="shared" si="705"/>
        <v/>
      </c>
      <c r="X1152" s="206">
        <f t="shared" si="706"/>
        <v>0</v>
      </c>
      <c r="Y1152" s="209">
        <f t="shared" si="707"/>
        <v>0</v>
      </c>
    </row>
    <row r="1153" spans="2:25" ht="16.5" hidden="1" thickTop="1" thickBot="1" x14ac:dyDescent="0.3">
      <c r="B1153" s="141">
        <f>B1147</f>
        <v>22</v>
      </c>
      <c r="C1153" s="142">
        <v>154</v>
      </c>
      <c r="D1153" s="194" t="str">
        <f t="shared" si="696"/>
        <v>IV</v>
      </c>
      <c r="E1153" s="143"/>
      <c r="F1153" s="144"/>
      <c r="G1153" s="144"/>
      <c r="H1153" s="145"/>
      <c r="I1153" s="145"/>
      <c r="J1153" s="436" t="s">
        <v>181</v>
      </c>
      <c r="K1153" s="437"/>
      <c r="L1153" s="438"/>
      <c r="M1153" s="145"/>
      <c r="N1153" s="146"/>
      <c r="O1153" s="147"/>
      <c r="P1153" s="148"/>
      <c r="Q1153" s="149"/>
      <c r="R1153" s="150"/>
      <c r="S1153" s="151"/>
      <c r="T1153" s="213">
        <f t="shared" si="678"/>
        <v>43647</v>
      </c>
      <c r="U1153" s="214">
        <f t="shared" si="679"/>
        <v>43677</v>
      </c>
      <c r="V1153" s="210">
        <f t="shared" si="708"/>
        <v>0</v>
      </c>
      <c r="W1153" s="211"/>
      <c r="X1153" s="211">
        <f>IF(AND($V1153&gt;0,$I1153=1),IF($E1153=10,P1153/10,P1153/$V1153),0)</f>
        <v>0</v>
      </c>
      <c r="Y1153" s="212">
        <f>IF(AND($V1147&gt;0,$I1153&lt;&gt;1),Q1153/E1147*V1147,0)</f>
        <v>0</v>
      </c>
    </row>
    <row r="1154" spans="2:25" ht="16.5" hidden="1" thickTop="1" thickBot="1" x14ac:dyDescent="0.3">
      <c r="B1154" s="129">
        <f>B1152+1</f>
        <v>23</v>
      </c>
      <c r="C1154" s="130">
        <v>155</v>
      </c>
      <c r="D1154" s="196" t="str">
        <f t="shared" si="696"/>
        <v>IV</v>
      </c>
      <c r="E1154" s="152"/>
      <c r="F1154" s="153"/>
      <c r="G1154" s="153"/>
      <c r="H1154" s="154"/>
      <c r="I1154" s="154"/>
      <c r="J1154" s="152"/>
      <c r="K1154" s="155"/>
      <c r="L1154" s="154"/>
      <c r="M1154" s="154"/>
      <c r="N1154" s="156"/>
      <c r="O1154" s="157"/>
      <c r="P1154" s="158"/>
      <c r="Q1154" s="159"/>
      <c r="R1154" s="160"/>
      <c r="S1154" s="161"/>
      <c r="T1154" s="203">
        <f t="shared" si="678"/>
        <v>43647</v>
      </c>
      <c r="U1154" s="204">
        <f t="shared" si="679"/>
        <v>43677</v>
      </c>
      <c r="V1154" s="207">
        <f>IF(G1154-F1154+1-IF(G1154-U1154&gt;0,G1154-U1154,0)-IF(T1154-F1154&gt;0,T1154-F1154,0)&gt;0,G1154-F1154+1-IF(G1154-U1154&gt;0,G1154-U1154,0)-IF(T1154-F1154&gt;0,T1154-F1154,0),0)</f>
        <v>0</v>
      </c>
      <c r="W1154" s="206" t="str">
        <f t="shared" ref="W1154:W1159" si="709">IF(V1154&gt;0,H1154,"")</f>
        <v/>
      </c>
      <c r="X1154" s="206">
        <f t="shared" ref="X1154:X1159" si="710">IF(AND($V1154&gt;0,$I1154=1),P1154/$E1154*$V1154,0)</f>
        <v>0</v>
      </c>
      <c r="Y1154" s="209">
        <f t="shared" ref="Y1154:Y1159" si="711">IF(AND($V1154&gt;0,$I1154&lt;&gt;1),Q1154/$E1154*$V1154,0)</f>
        <v>0</v>
      </c>
    </row>
    <row r="1155" spans="2:25" ht="16.5" hidden="1" thickTop="1" thickBot="1" x14ac:dyDescent="0.3">
      <c r="B1155" s="60">
        <f>B1154</f>
        <v>23</v>
      </c>
      <c r="C1155" s="102">
        <v>156</v>
      </c>
      <c r="D1155" s="192" t="str">
        <f t="shared" si="696"/>
        <v>IV</v>
      </c>
      <c r="E1155" s="162"/>
      <c r="F1155" s="163"/>
      <c r="G1155" s="163"/>
      <c r="H1155" s="164"/>
      <c r="I1155" s="164"/>
      <c r="J1155" s="162"/>
      <c r="K1155" s="165"/>
      <c r="L1155" s="164"/>
      <c r="M1155" s="164"/>
      <c r="N1155" s="166"/>
      <c r="O1155" s="167"/>
      <c r="P1155" s="168"/>
      <c r="Q1155" s="169"/>
      <c r="R1155" s="170"/>
      <c r="S1155" s="171"/>
      <c r="T1155" s="203">
        <f t="shared" si="678"/>
        <v>43647</v>
      </c>
      <c r="U1155" s="204">
        <f t="shared" si="679"/>
        <v>43677</v>
      </c>
      <c r="V1155" s="207">
        <f t="shared" ref="V1155:V1160" si="712">IF(G1155-F1155+1-IF(G1155-U1155&gt;0,G1155-U1155,0)-IF(T1155-F1155&gt;0,T1155-F1155,0)&gt;0,G1155-F1155+1-IF(G1155-U1155&gt;0,G1155-U1155,0)-IF(T1155-F1155&gt;0,T1155-F1155,0),0)</f>
        <v>0</v>
      </c>
      <c r="W1155" s="206" t="str">
        <f t="shared" si="709"/>
        <v/>
      </c>
      <c r="X1155" s="206">
        <f t="shared" si="710"/>
        <v>0</v>
      </c>
      <c r="Y1155" s="209">
        <f t="shared" si="711"/>
        <v>0</v>
      </c>
    </row>
    <row r="1156" spans="2:25" ht="16.5" hidden="1" thickTop="1" thickBot="1" x14ac:dyDescent="0.3">
      <c r="B1156" s="60">
        <f>B1154</f>
        <v>23</v>
      </c>
      <c r="C1156" s="102">
        <v>157</v>
      </c>
      <c r="D1156" s="192" t="str">
        <f t="shared" si="696"/>
        <v>IV</v>
      </c>
      <c r="E1156" s="162"/>
      <c r="F1156" s="163"/>
      <c r="G1156" s="163"/>
      <c r="H1156" s="164"/>
      <c r="I1156" s="164"/>
      <c r="J1156" s="162"/>
      <c r="K1156" s="165"/>
      <c r="L1156" s="164"/>
      <c r="M1156" s="164"/>
      <c r="N1156" s="166"/>
      <c r="O1156" s="167"/>
      <c r="P1156" s="168"/>
      <c r="Q1156" s="169"/>
      <c r="R1156" s="170"/>
      <c r="S1156" s="171"/>
      <c r="T1156" s="203">
        <f t="shared" si="678"/>
        <v>43647</v>
      </c>
      <c r="U1156" s="204">
        <f t="shared" si="679"/>
        <v>43677</v>
      </c>
      <c r="V1156" s="207">
        <f t="shared" si="712"/>
        <v>0</v>
      </c>
      <c r="W1156" s="206" t="str">
        <f t="shared" si="709"/>
        <v/>
      </c>
      <c r="X1156" s="206">
        <f t="shared" si="710"/>
        <v>0</v>
      </c>
      <c r="Y1156" s="209">
        <f t="shared" si="711"/>
        <v>0</v>
      </c>
    </row>
    <row r="1157" spans="2:25" ht="16.5" hidden="1" thickTop="1" thickBot="1" x14ac:dyDescent="0.3">
      <c r="B1157" s="60">
        <f>B1154</f>
        <v>23</v>
      </c>
      <c r="C1157" s="102">
        <v>158</v>
      </c>
      <c r="D1157" s="192" t="str">
        <f t="shared" si="696"/>
        <v>IV</v>
      </c>
      <c r="E1157" s="162"/>
      <c r="F1157" s="163"/>
      <c r="G1157" s="163"/>
      <c r="H1157" s="164"/>
      <c r="I1157" s="164"/>
      <c r="J1157" s="162"/>
      <c r="K1157" s="165"/>
      <c r="L1157" s="164"/>
      <c r="M1157" s="164"/>
      <c r="N1157" s="166"/>
      <c r="O1157" s="167"/>
      <c r="P1157" s="168"/>
      <c r="Q1157" s="169"/>
      <c r="R1157" s="170"/>
      <c r="S1157" s="171"/>
      <c r="T1157" s="203">
        <f t="shared" si="678"/>
        <v>43647</v>
      </c>
      <c r="U1157" s="204">
        <f t="shared" si="679"/>
        <v>43677</v>
      </c>
      <c r="V1157" s="207">
        <f t="shared" si="712"/>
        <v>0</v>
      </c>
      <c r="W1157" s="206" t="str">
        <f t="shared" si="709"/>
        <v/>
      </c>
      <c r="X1157" s="206">
        <f t="shared" si="710"/>
        <v>0</v>
      </c>
      <c r="Y1157" s="209">
        <f t="shared" si="711"/>
        <v>0</v>
      </c>
    </row>
    <row r="1158" spans="2:25" ht="16.5" hidden="1" thickTop="1" thickBot="1" x14ac:dyDescent="0.3">
      <c r="B1158" s="60">
        <f>B1154</f>
        <v>23</v>
      </c>
      <c r="C1158" s="102">
        <v>159</v>
      </c>
      <c r="D1158" s="192" t="str">
        <f t="shared" si="696"/>
        <v>IV</v>
      </c>
      <c r="E1158" s="162"/>
      <c r="F1158" s="163"/>
      <c r="G1158" s="163"/>
      <c r="H1158" s="164"/>
      <c r="I1158" s="164"/>
      <c r="J1158" s="162"/>
      <c r="K1158" s="165"/>
      <c r="L1158" s="164"/>
      <c r="M1158" s="164"/>
      <c r="N1158" s="166"/>
      <c r="O1158" s="167"/>
      <c r="P1158" s="168"/>
      <c r="Q1158" s="169"/>
      <c r="R1158" s="170"/>
      <c r="S1158" s="171"/>
      <c r="T1158" s="203">
        <f t="shared" si="678"/>
        <v>43647</v>
      </c>
      <c r="U1158" s="204">
        <f t="shared" si="679"/>
        <v>43677</v>
      </c>
      <c r="V1158" s="207">
        <f t="shared" si="712"/>
        <v>0</v>
      </c>
      <c r="W1158" s="206" t="str">
        <f t="shared" si="709"/>
        <v/>
      </c>
      <c r="X1158" s="206">
        <f t="shared" si="710"/>
        <v>0</v>
      </c>
      <c r="Y1158" s="209">
        <f t="shared" si="711"/>
        <v>0</v>
      </c>
    </row>
    <row r="1159" spans="2:25" ht="16.5" hidden="1" thickTop="1" thickBot="1" x14ac:dyDescent="0.3">
      <c r="B1159" s="60">
        <f>B1154</f>
        <v>23</v>
      </c>
      <c r="C1159" s="102">
        <v>160</v>
      </c>
      <c r="D1159" s="192" t="str">
        <f t="shared" si="696"/>
        <v>IV</v>
      </c>
      <c r="E1159" s="172"/>
      <c r="F1159" s="173"/>
      <c r="G1159" s="173"/>
      <c r="H1159" s="174"/>
      <c r="I1159" s="174"/>
      <c r="J1159" s="172"/>
      <c r="K1159" s="175"/>
      <c r="L1159" s="174"/>
      <c r="M1159" s="174"/>
      <c r="N1159" s="176"/>
      <c r="O1159" s="177"/>
      <c r="P1159" s="178"/>
      <c r="Q1159" s="179"/>
      <c r="R1159" s="180"/>
      <c r="S1159" s="181"/>
      <c r="T1159" s="203">
        <f t="shared" si="678"/>
        <v>43647</v>
      </c>
      <c r="U1159" s="204">
        <f t="shared" si="679"/>
        <v>43677</v>
      </c>
      <c r="V1159" s="207">
        <f t="shared" si="712"/>
        <v>0</v>
      </c>
      <c r="W1159" s="206" t="str">
        <f t="shared" si="709"/>
        <v/>
      </c>
      <c r="X1159" s="206">
        <f t="shared" si="710"/>
        <v>0</v>
      </c>
      <c r="Y1159" s="209">
        <f t="shared" si="711"/>
        <v>0</v>
      </c>
    </row>
    <row r="1160" spans="2:25" ht="16.5" hidden="1" thickTop="1" thickBot="1" x14ac:dyDescent="0.3">
      <c r="B1160" s="141">
        <f>B1154</f>
        <v>23</v>
      </c>
      <c r="C1160" s="142">
        <v>161</v>
      </c>
      <c r="D1160" s="194" t="str">
        <f t="shared" si="696"/>
        <v>IV</v>
      </c>
      <c r="E1160" s="189"/>
      <c r="F1160" s="190"/>
      <c r="G1160" s="190"/>
      <c r="H1160" s="182"/>
      <c r="I1160" s="182"/>
      <c r="J1160" s="436" t="s">
        <v>181</v>
      </c>
      <c r="K1160" s="437"/>
      <c r="L1160" s="438"/>
      <c r="M1160" s="182"/>
      <c r="N1160" s="183"/>
      <c r="O1160" s="184"/>
      <c r="P1160" s="185"/>
      <c r="Q1160" s="186"/>
      <c r="R1160" s="187"/>
      <c r="S1160" s="188"/>
      <c r="T1160" s="213">
        <f t="shared" si="678"/>
        <v>43647</v>
      </c>
      <c r="U1160" s="214">
        <f t="shared" si="679"/>
        <v>43677</v>
      </c>
      <c r="V1160" s="210">
        <f t="shared" si="712"/>
        <v>0</v>
      </c>
      <c r="W1160" s="211"/>
      <c r="X1160" s="211">
        <f>IF(AND($V1160&gt;0,$I1160=1),IF($E1160=10,P1160/10,P1160/$V1160),0)</f>
        <v>0</v>
      </c>
      <c r="Y1160" s="212">
        <f>IF(AND($V1154&gt;0,$I1160&lt;&gt;1),Q1160/E1154*V1154,0)</f>
        <v>0</v>
      </c>
    </row>
    <row r="1161" spans="2:25" ht="16.5" hidden="1" thickTop="1" thickBot="1" x14ac:dyDescent="0.3">
      <c r="B1161" s="129">
        <f>B1159+1</f>
        <v>24</v>
      </c>
      <c r="C1161" s="130">
        <v>162</v>
      </c>
      <c r="D1161" s="196" t="str">
        <f t="shared" si="696"/>
        <v>IV</v>
      </c>
      <c r="E1161" s="131"/>
      <c r="F1161" s="132"/>
      <c r="G1161" s="132"/>
      <c r="H1161" s="133"/>
      <c r="I1161" s="133"/>
      <c r="J1161" s="131"/>
      <c r="K1161" s="134"/>
      <c r="L1161" s="133"/>
      <c r="M1161" s="133"/>
      <c r="N1161" s="135"/>
      <c r="O1161" s="136"/>
      <c r="P1161" s="137"/>
      <c r="Q1161" s="138"/>
      <c r="R1161" s="139"/>
      <c r="S1161" s="140"/>
      <c r="T1161" s="203">
        <f t="shared" si="678"/>
        <v>43647</v>
      </c>
      <c r="U1161" s="204">
        <f t="shared" si="679"/>
        <v>43677</v>
      </c>
      <c r="V1161" s="207">
        <f>IF(G1161-F1161+1-IF(G1161-U1161&gt;0,G1161-U1161,0)-IF(T1161-F1161&gt;0,T1161-F1161,0)&gt;0,G1161-F1161+1-IF(G1161-U1161&gt;0,G1161-U1161,0)-IF(T1161-F1161&gt;0,T1161-F1161,0),0)</f>
        <v>0</v>
      </c>
      <c r="W1161" s="206" t="str">
        <f t="shared" ref="W1161:W1166" si="713">IF(V1161&gt;0,H1161,"")</f>
        <v/>
      </c>
      <c r="X1161" s="206">
        <f t="shared" ref="X1161:X1166" si="714">IF(AND($V1161&gt;0,$I1161=1),P1161/$E1161*$V1161,0)</f>
        <v>0</v>
      </c>
      <c r="Y1161" s="209">
        <f t="shared" ref="Y1161:Y1166" si="715">IF(AND($V1161&gt;0,$I1161&lt;&gt;1),Q1161/$E1161*$V1161,0)</f>
        <v>0</v>
      </c>
    </row>
    <row r="1162" spans="2:25" ht="16.5" hidden="1" thickTop="1" thickBot="1" x14ac:dyDescent="0.3">
      <c r="B1162" s="60">
        <f>B1161</f>
        <v>24</v>
      </c>
      <c r="C1162" s="102">
        <v>163</v>
      </c>
      <c r="D1162" s="192" t="str">
        <f t="shared" si="696"/>
        <v>IV</v>
      </c>
      <c r="E1162" s="62"/>
      <c r="F1162" s="105"/>
      <c r="G1162" s="105"/>
      <c r="H1162" s="61"/>
      <c r="I1162" s="61"/>
      <c r="J1162" s="62"/>
      <c r="K1162" s="63"/>
      <c r="L1162" s="61"/>
      <c r="M1162" s="61"/>
      <c r="N1162" s="111"/>
      <c r="O1162" s="112"/>
      <c r="P1162" s="113"/>
      <c r="Q1162" s="114"/>
      <c r="R1162" s="64"/>
      <c r="S1162" s="108"/>
      <c r="T1162" s="203">
        <f t="shared" si="678"/>
        <v>43647</v>
      </c>
      <c r="U1162" s="204">
        <f t="shared" si="679"/>
        <v>43677</v>
      </c>
      <c r="V1162" s="207">
        <f t="shared" ref="V1162:V1167" si="716">IF(G1162-F1162+1-IF(G1162-U1162&gt;0,G1162-U1162,0)-IF(T1162-F1162&gt;0,T1162-F1162,0)&gt;0,G1162-F1162+1-IF(G1162-U1162&gt;0,G1162-U1162,0)-IF(T1162-F1162&gt;0,T1162-F1162,0),0)</f>
        <v>0</v>
      </c>
      <c r="W1162" s="206" t="str">
        <f t="shared" si="713"/>
        <v/>
      </c>
      <c r="X1162" s="206">
        <f t="shared" si="714"/>
        <v>0</v>
      </c>
      <c r="Y1162" s="209">
        <f t="shared" si="715"/>
        <v>0</v>
      </c>
    </row>
    <row r="1163" spans="2:25" ht="16.5" hidden="1" thickTop="1" thickBot="1" x14ac:dyDescent="0.3">
      <c r="B1163" s="60">
        <f>B1161</f>
        <v>24</v>
      </c>
      <c r="C1163" s="102">
        <v>164</v>
      </c>
      <c r="D1163" s="192" t="str">
        <f t="shared" si="696"/>
        <v>IV</v>
      </c>
      <c r="E1163" s="62"/>
      <c r="F1163" s="105"/>
      <c r="G1163" s="105"/>
      <c r="H1163" s="61"/>
      <c r="I1163" s="61"/>
      <c r="J1163" s="62"/>
      <c r="K1163" s="63"/>
      <c r="L1163" s="61"/>
      <c r="M1163" s="61"/>
      <c r="N1163" s="111"/>
      <c r="O1163" s="112"/>
      <c r="P1163" s="113"/>
      <c r="Q1163" s="114"/>
      <c r="R1163" s="64"/>
      <c r="S1163" s="108"/>
      <c r="T1163" s="203">
        <f t="shared" si="678"/>
        <v>43647</v>
      </c>
      <c r="U1163" s="204">
        <f t="shared" si="679"/>
        <v>43677</v>
      </c>
      <c r="V1163" s="207">
        <f t="shared" si="716"/>
        <v>0</v>
      </c>
      <c r="W1163" s="206" t="str">
        <f t="shared" si="713"/>
        <v/>
      </c>
      <c r="X1163" s="206">
        <f t="shared" si="714"/>
        <v>0</v>
      </c>
      <c r="Y1163" s="209">
        <f t="shared" si="715"/>
        <v>0</v>
      </c>
    </row>
    <row r="1164" spans="2:25" ht="16.5" hidden="1" thickTop="1" thickBot="1" x14ac:dyDescent="0.3">
      <c r="B1164" s="60">
        <f>B1161</f>
        <v>24</v>
      </c>
      <c r="C1164" s="102">
        <v>165</v>
      </c>
      <c r="D1164" s="192" t="str">
        <f t="shared" si="696"/>
        <v>IV</v>
      </c>
      <c r="E1164" s="62"/>
      <c r="F1164" s="105"/>
      <c r="G1164" s="105"/>
      <c r="H1164" s="61"/>
      <c r="I1164" s="61"/>
      <c r="J1164" s="62"/>
      <c r="K1164" s="63"/>
      <c r="L1164" s="61"/>
      <c r="M1164" s="61"/>
      <c r="N1164" s="111"/>
      <c r="O1164" s="112"/>
      <c r="P1164" s="113"/>
      <c r="Q1164" s="114"/>
      <c r="R1164" s="64"/>
      <c r="S1164" s="108"/>
      <c r="T1164" s="203">
        <f t="shared" si="678"/>
        <v>43647</v>
      </c>
      <c r="U1164" s="204">
        <f t="shared" si="679"/>
        <v>43677</v>
      </c>
      <c r="V1164" s="207">
        <f t="shared" si="716"/>
        <v>0</v>
      </c>
      <c r="W1164" s="206" t="str">
        <f t="shared" si="713"/>
        <v/>
      </c>
      <c r="X1164" s="206">
        <f t="shared" si="714"/>
        <v>0</v>
      </c>
      <c r="Y1164" s="209">
        <f t="shared" si="715"/>
        <v>0</v>
      </c>
    </row>
    <row r="1165" spans="2:25" ht="16.5" hidden="1" thickTop="1" thickBot="1" x14ac:dyDescent="0.3">
      <c r="B1165" s="60">
        <f>B1161</f>
        <v>24</v>
      </c>
      <c r="C1165" s="102">
        <v>166</v>
      </c>
      <c r="D1165" s="192" t="str">
        <f t="shared" si="696"/>
        <v>IV</v>
      </c>
      <c r="E1165" s="62"/>
      <c r="F1165" s="105"/>
      <c r="G1165" s="105"/>
      <c r="H1165" s="61"/>
      <c r="I1165" s="61"/>
      <c r="J1165" s="62"/>
      <c r="K1165" s="63"/>
      <c r="L1165" s="61"/>
      <c r="M1165" s="61"/>
      <c r="N1165" s="111"/>
      <c r="O1165" s="112"/>
      <c r="P1165" s="113"/>
      <c r="Q1165" s="114"/>
      <c r="R1165" s="64"/>
      <c r="S1165" s="108"/>
      <c r="T1165" s="203">
        <f t="shared" ref="T1165:T1228" si="717">$F$4</f>
        <v>43647</v>
      </c>
      <c r="U1165" s="204">
        <f t="shared" ref="U1165:U1228" si="718">$G$4</f>
        <v>43677</v>
      </c>
      <c r="V1165" s="207">
        <f t="shared" si="716"/>
        <v>0</v>
      </c>
      <c r="W1165" s="206" t="str">
        <f t="shared" si="713"/>
        <v/>
      </c>
      <c r="X1165" s="206">
        <f t="shared" si="714"/>
        <v>0</v>
      </c>
      <c r="Y1165" s="209">
        <f t="shared" si="715"/>
        <v>0</v>
      </c>
    </row>
    <row r="1166" spans="2:25" ht="16.5" hidden="1" thickTop="1" thickBot="1" x14ac:dyDescent="0.3">
      <c r="B1166" s="60">
        <f>B1161</f>
        <v>24</v>
      </c>
      <c r="C1166" s="102">
        <v>167</v>
      </c>
      <c r="D1166" s="192" t="str">
        <f t="shared" si="696"/>
        <v>IV</v>
      </c>
      <c r="E1166" s="62"/>
      <c r="F1166" s="105"/>
      <c r="G1166" s="105"/>
      <c r="H1166" s="61"/>
      <c r="I1166" s="61"/>
      <c r="J1166" s="62"/>
      <c r="K1166" s="63"/>
      <c r="L1166" s="61"/>
      <c r="M1166" s="61"/>
      <c r="N1166" s="111"/>
      <c r="O1166" s="112"/>
      <c r="P1166" s="113"/>
      <c r="Q1166" s="114"/>
      <c r="R1166" s="64"/>
      <c r="S1166" s="108"/>
      <c r="T1166" s="203">
        <f t="shared" si="717"/>
        <v>43647</v>
      </c>
      <c r="U1166" s="204">
        <f t="shared" si="718"/>
        <v>43677</v>
      </c>
      <c r="V1166" s="207">
        <f t="shared" si="716"/>
        <v>0</v>
      </c>
      <c r="W1166" s="206" t="str">
        <f t="shared" si="713"/>
        <v/>
      </c>
      <c r="X1166" s="206">
        <f t="shared" si="714"/>
        <v>0</v>
      </c>
      <c r="Y1166" s="209">
        <f t="shared" si="715"/>
        <v>0</v>
      </c>
    </row>
    <row r="1167" spans="2:25" ht="16.5" hidden="1" thickTop="1" thickBot="1" x14ac:dyDescent="0.3">
      <c r="B1167" s="141">
        <f>B1161</f>
        <v>24</v>
      </c>
      <c r="C1167" s="142">
        <v>168</v>
      </c>
      <c r="D1167" s="194" t="str">
        <f t="shared" si="696"/>
        <v>IV</v>
      </c>
      <c r="E1167" s="143"/>
      <c r="F1167" s="144"/>
      <c r="G1167" s="144"/>
      <c r="H1167" s="145"/>
      <c r="I1167" s="145"/>
      <c r="J1167" s="436" t="s">
        <v>181</v>
      </c>
      <c r="K1167" s="437"/>
      <c r="L1167" s="438"/>
      <c r="M1167" s="145"/>
      <c r="N1167" s="146"/>
      <c r="O1167" s="147"/>
      <c r="P1167" s="148"/>
      <c r="Q1167" s="149"/>
      <c r="R1167" s="150"/>
      <c r="S1167" s="151"/>
      <c r="T1167" s="213">
        <f t="shared" si="717"/>
        <v>43647</v>
      </c>
      <c r="U1167" s="214">
        <f t="shared" si="718"/>
        <v>43677</v>
      </c>
      <c r="V1167" s="210">
        <f t="shared" si="716"/>
        <v>0</v>
      </c>
      <c r="W1167" s="211"/>
      <c r="X1167" s="211">
        <f>IF(AND($V1167&gt;0,$I1167=1),IF($E1167=10,P1167/10,P1167/$V1167),0)</f>
        <v>0</v>
      </c>
      <c r="Y1167" s="212">
        <f>IF(AND($V1161&gt;0,$I1167&lt;&gt;1),Q1167/E1161*V1161,0)</f>
        <v>0</v>
      </c>
    </row>
    <row r="1168" spans="2:25" ht="16.5" hidden="1" thickTop="1" thickBot="1" x14ac:dyDescent="0.3">
      <c r="B1168" s="129">
        <f>B1166+1</f>
        <v>25</v>
      </c>
      <c r="C1168" s="130">
        <v>169</v>
      </c>
      <c r="D1168" s="196" t="str">
        <f t="shared" si="696"/>
        <v>IV</v>
      </c>
      <c r="E1168" s="152"/>
      <c r="F1168" s="153"/>
      <c r="G1168" s="153"/>
      <c r="H1168" s="154"/>
      <c r="I1168" s="154"/>
      <c r="J1168" s="152"/>
      <c r="K1168" s="155"/>
      <c r="L1168" s="154"/>
      <c r="M1168" s="154"/>
      <c r="N1168" s="156"/>
      <c r="O1168" s="157"/>
      <c r="P1168" s="158"/>
      <c r="Q1168" s="159"/>
      <c r="R1168" s="160"/>
      <c r="S1168" s="161"/>
      <c r="T1168" s="203">
        <f t="shared" si="717"/>
        <v>43647</v>
      </c>
      <c r="U1168" s="204">
        <f t="shared" si="718"/>
        <v>43677</v>
      </c>
      <c r="V1168" s="207">
        <f>IF(G1168-F1168+1-IF(G1168-U1168&gt;0,G1168-U1168,0)-IF(T1168-F1168&gt;0,T1168-F1168,0)&gt;0,G1168-F1168+1-IF(G1168-U1168&gt;0,G1168-U1168,0)-IF(T1168-F1168&gt;0,T1168-F1168,0),0)</f>
        <v>0</v>
      </c>
      <c r="W1168" s="206" t="str">
        <f t="shared" ref="W1168:W1173" si="719">IF(V1168&gt;0,H1168,"")</f>
        <v/>
      </c>
      <c r="X1168" s="206">
        <f t="shared" ref="X1168:X1173" si="720">IF(AND($V1168&gt;0,$I1168=1),P1168/$E1168*$V1168,0)</f>
        <v>0</v>
      </c>
      <c r="Y1168" s="209">
        <f t="shared" ref="Y1168:Y1173" si="721">IF(AND($V1168&gt;0,$I1168&lt;&gt;1),Q1168/$E1168*$V1168,0)</f>
        <v>0</v>
      </c>
    </row>
    <row r="1169" spans="2:25" ht="16.5" hidden="1" thickTop="1" thickBot="1" x14ac:dyDescent="0.3">
      <c r="B1169" s="60">
        <f>B1168</f>
        <v>25</v>
      </c>
      <c r="C1169" s="102">
        <v>170</v>
      </c>
      <c r="D1169" s="192" t="str">
        <f t="shared" si="696"/>
        <v>IV</v>
      </c>
      <c r="E1169" s="162"/>
      <c r="F1169" s="163"/>
      <c r="G1169" s="163"/>
      <c r="H1169" s="164"/>
      <c r="I1169" s="164"/>
      <c r="J1169" s="162"/>
      <c r="K1169" s="165"/>
      <c r="L1169" s="164"/>
      <c r="M1169" s="164"/>
      <c r="N1169" s="166"/>
      <c r="O1169" s="167"/>
      <c r="P1169" s="168"/>
      <c r="Q1169" s="169"/>
      <c r="R1169" s="170"/>
      <c r="S1169" s="171"/>
      <c r="T1169" s="203">
        <f t="shared" si="717"/>
        <v>43647</v>
      </c>
      <c r="U1169" s="204">
        <f t="shared" si="718"/>
        <v>43677</v>
      </c>
      <c r="V1169" s="207">
        <f t="shared" ref="V1169:V1174" si="722">IF(G1169-F1169+1-IF(G1169-U1169&gt;0,G1169-U1169,0)-IF(T1169-F1169&gt;0,T1169-F1169,0)&gt;0,G1169-F1169+1-IF(G1169-U1169&gt;0,G1169-U1169,0)-IF(T1169-F1169&gt;0,T1169-F1169,0),0)</f>
        <v>0</v>
      </c>
      <c r="W1169" s="206" t="str">
        <f t="shared" si="719"/>
        <v/>
      </c>
      <c r="X1169" s="206">
        <f t="shared" si="720"/>
        <v>0</v>
      </c>
      <c r="Y1169" s="209">
        <f t="shared" si="721"/>
        <v>0</v>
      </c>
    </row>
    <row r="1170" spans="2:25" ht="16.5" hidden="1" thickTop="1" thickBot="1" x14ac:dyDescent="0.3">
      <c r="B1170" s="60">
        <f>B1168</f>
        <v>25</v>
      </c>
      <c r="C1170" s="102">
        <v>171</v>
      </c>
      <c r="D1170" s="192" t="str">
        <f t="shared" si="696"/>
        <v>IV</v>
      </c>
      <c r="E1170" s="162"/>
      <c r="F1170" s="163"/>
      <c r="G1170" s="163"/>
      <c r="H1170" s="164"/>
      <c r="I1170" s="164"/>
      <c r="J1170" s="162"/>
      <c r="K1170" s="165"/>
      <c r="L1170" s="164"/>
      <c r="M1170" s="164"/>
      <c r="N1170" s="166"/>
      <c r="O1170" s="167"/>
      <c r="P1170" s="168"/>
      <c r="Q1170" s="169"/>
      <c r="R1170" s="170"/>
      <c r="S1170" s="171"/>
      <c r="T1170" s="203">
        <f t="shared" si="717"/>
        <v>43647</v>
      </c>
      <c r="U1170" s="204">
        <f t="shared" si="718"/>
        <v>43677</v>
      </c>
      <c r="V1170" s="207">
        <f t="shared" si="722"/>
        <v>0</v>
      </c>
      <c r="W1170" s="206" t="str">
        <f t="shared" si="719"/>
        <v/>
      </c>
      <c r="X1170" s="206">
        <f t="shared" si="720"/>
        <v>0</v>
      </c>
      <c r="Y1170" s="209">
        <f t="shared" si="721"/>
        <v>0</v>
      </c>
    </row>
    <row r="1171" spans="2:25" ht="16.5" hidden="1" thickTop="1" thickBot="1" x14ac:dyDescent="0.3">
      <c r="B1171" s="60">
        <f>B1168</f>
        <v>25</v>
      </c>
      <c r="C1171" s="102">
        <v>172</v>
      </c>
      <c r="D1171" s="192" t="str">
        <f t="shared" si="696"/>
        <v>IV</v>
      </c>
      <c r="E1171" s="162"/>
      <c r="F1171" s="163"/>
      <c r="G1171" s="163"/>
      <c r="H1171" s="164"/>
      <c r="I1171" s="164"/>
      <c r="J1171" s="162"/>
      <c r="K1171" s="165"/>
      <c r="L1171" s="164"/>
      <c r="M1171" s="164"/>
      <c r="N1171" s="166"/>
      <c r="O1171" s="167"/>
      <c r="P1171" s="168"/>
      <c r="Q1171" s="169"/>
      <c r="R1171" s="170"/>
      <c r="S1171" s="171"/>
      <c r="T1171" s="203">
        <f t="shared" si="717"/>
        <v>43647</v>
      </c>
      <c r="U1171" s="204">
        <f t="shared" si="718"/>
        <v>43677</v>
      </c>
      <c r="V1171" s="207">
        <f t="shared" si="722"/>
        <v>0</v>
      </c>
      <c r="W1171" s="206" t="str">
        <f t="shared" si="719"/>
        <v/>
      </c>
      <c r="X1171" s="206">
        <f t="shared" si="720"/>
        <v>0</v>
      </c>
      <c r="Y1171" s="209">
        <f t="shared" si="721"/>
        <v>0</v>
      </c>
    </row>
    <row r="1172" spans="2:25" ht="16.5" hidden="1" thickTop="1" thickBot="1" x14ac:dyDescent="0.3">
      <c r="B1172" s="60">
        <f>B1168</f>
        <v>25</v>
      </c>
      <c r="C1172" s="102">
        <v>173</v>
      </c>
      <c r="D1172" s="192" t="str">
        <f t="shared" si="696"/>
        <v>IV</v>
      </c>
      <c r="E1172" s="162"/>
      <c r="F1172" s="163"/>
      <c r="G1172" s="163"/>
      <c r="H1172" s="164"/>
      <c r="I1172" s="164"/>
      <c r="J1172" s="162"/>
      <c r="K1172" s="165"/>
      <c r="L1172" s="164"/>
      <c r="M1172" s="164"/>
      <c r="N1172" s="166"/>
      <c r="O1172" s="167"/>
      <c r="P1172" s="168"/>
      <c r="Q1172" s="169"/>
      <c r="R1172" s="170"/>
      <c r="S1172" s="171"/>
      <c r="T1172" s="203">
        <f t="shared" si="717"/>
        <v>43647</v>
      </c>
      <c r="U1172" s="204">
        <f t="shared" si="718"/>
        <v>43677</v>
      </c>
      <c r="V1172" s="207">
        <f t="shared" si="722"/>
        <v>0</v>
      </c>
      <c r="W1172" s="206" t="str">
        <f t="shared" si="719"/>
        <v/>
      </c>
      <c r="X1172" s="206">
        <f t="shared" si="720"/>
        <v>0</v>
      </c>
      <c r="Y1172" s="209">
        <f t="shared" si="721"/>
        <v>0</v>
      </c>
    </row>
    <row r="1173" spans="2:25" ht="16.5" hidden="1" thickTop="1" thickBot="1" x14ac:dyDescent="0.3">
      <c r="B1173" s="60">
        <f>B1168</f>
        <v>25</v>
      </c>
      <c r="C1173" s="102">
        <v>174</v>
      </c>
      <c r="D1173" s="192" t="str">
        <f t="shared" si="696"/>
        <v>IV</v>
      </c>
      <c r="E1173" s="172"/>
      <c r="F1173" s="173"/>
      <c r="G1173" s="173"/>
      <c r="H1173" s="174"/>
      <c r="I1173" s="174"/>
      <c r="J1173" s="172"/>
      <c r="K1173" s="175"/>
      <c r="L1173" s="174"/>
      <c r="M1173" s="174"/>
      <c r="N1173" s="176"/>
      <c r="O1173" s="177"/>
      <c r="P1173" s="178"/>
      <c r="Q1173" s="179"/>
      <c r="R1173" s="180"/>
      <c r="S1173" s="181"/>
      <c r="T1173" s="203">
        <f t="shared" si="717"/>
        <v>43647</v>
      </c>
      <c r="U1173" s="204">
        <f t="shared" si="718"/>
        <v>43677</v>
      </c>
      <c r="V1173" s="207">
        <f t="shared" si="722"/>
        <v>0</v>
      </c>
      <c r="W1173" s="206" t="str">
        <f t="shared" si="719"/>
        <v/>
      </c>
      <c r="X1173" s="206">
        <f t="shared" si="720"/>
        <v>0</v>
      </c>
      <c r="Y1173" s="209">
        <f t="shared" si="721"/>
        <v>0</v>
      </c>
    </row>
    <row r="1174" spans="2:25" ht="16.5" hidden="1" thickTop="1" thickBot="1" x14ac:dyDescent="0.3">
      <c r="B1174" s="141">
        <f>B1168</f>
        <v>25</v>
      </c>
      <c r="C1174" s="142">
        <v>175</v>
      </c>
      <c r="D1174" s="194" t="str">
        <f t="shared" si="696"/>
        <v>IV</v>
      </c>
      <c r="E1174" s="189"/>
      <c r="F1174" s="190"/>
      <c r="G1174" s="190"/>
      <c r="H1174" s="182"/>
      <c r="I1174" s="182"/>
      <c r="J1174" s="436" t="s">
        <v>181</v>
      </c>
      <c r="K1174" s="437"/>
      <c r="L1174" s="438"/>
      <c r="M1174" s="182"/>
      <c r="N1174" s="183"/>
      <c r="O1174" s="184"/>
      <c r="P1174" s="185"/>
      <c r="Q1174" s="186"/>
      <c r="R1174" s="187"/>
      <c r="S1174" s="188"/>
      <c r="T1174" s="213">
        <f t="shared" si="717"/>
        <v>43647</v>
      </c>
      <c r="U1174" s="214">
        <f t="shared" si="718"/>
        <v>43677</v>
      </c>
      <c r="V1174" s="210">
        <f t="shared" si="722"/>
        <v>0</v>
      </c>
      <c r="W1174" s="211"/>
      <c r="X1174" s="211">
        <f>IF(AND($V1174&gt;0,$I1174=1),IF($E1174=10,P1174/10,P1174/$V1174),0)</f>
        <v>0</v>
      </c>
      <c r="Y1174" s="212">
        <f>IF(AND($V1168&gt;0,$I1174&lt;&gt;1),Q1174/E1168*V1168,0)</f>
        <v>0</v>
      </c>
    </row>
    <row r="1175" spans="2:25" ht="16.5" hidden="1" thickTop="1" thickBot="1" x14ac:dyDescent="0.3">
      <c r="B1175" s="129">
        <f>B1173+1</f>
        <v>26</v>
      </c>
      <c r="C1175" s="130">
        <v>176</v>
      </c>
      <c r="D1175" s="196" t="str">
        <f t="shared" si="696"/>
        <v>IV</v>
      </c>
      <c r="E1175" s="131"/>
      <c r="F1175" s="132"/>
      <c r="G1175" s="132"/>
      <c r="H1175" s="133"/>
      <c r="I1175" s="133"/>
      <c r="J1175" s="131"/>
      <c r="K1175" s="134"/>
      <c r="L1175" s="133"/>
      <c r="M1175" s="133"/>
      <c r="N1175" s="135"/>
      <c r="O1175" s="136"/>
      <c r="P1175" s="137"/>
      <c r="Q1175" s="138"/>
      <c r="R1175" s="139"/>
      <c r="S1175" s="140"/>
      <c r="T1175" s="203">
        <f t="shared" si="717"/>
        <v>43647</v>
      </c>
      <c r="U1175" s="204">
        <f t="shared" si="718"/>
        <v>43677</v>
      </c>
      <c r="V1175" s="207">
        <f>IF(G1175-F1175+1-IF(G1175-U1175&gt;0,G1175-U1175,0)-IF(T1175-F1175&gt;0,T1175-F1175,0)&gt;0,G1175-F1175+1-IF(G1175-U1175&gt;0,G1175-U1175,0)-IF(T1175-F1175&gt;0,T1175-F1175,0),0)</f>
        <v>0</v>
      </c>
      <c r="W1175" s="206" t="str">
        <f t="shared" ref="W1175:W1180" si="723">IF(V1175&gt;0,H1175,"")</f>
        <v/>
      </c>
      <c r="X1175" s="206">
        <f t="shared" ref="X1175:X1180" si="724">IF(AND($V1175&gt;0,$I1175=1),P1175/$E1175*$V1175,0)</f>
        <v>0</v>
      </c>
      <c r="Y1175" s="209">
        <f t="shared" ref="Y1175:Y1180" si="725">IF(AND($V1175&gt;0,$I1175&lt;&gt;1),Q1175/$E1175*$V1175,0)</f>
        <v>0</v>
      </c>
    </row>
    <row r="1176" spans="2:25" ht="16.5" hidden="1" thickTop="1" thickBot="1" x14ac:dyDescent="0.3">
      <c r="B1176" s="60">
        <f>B1175</f>
        <v>26</v>
      </c>
      <c r="C1176" s="102">
        <v>177</v>
      </c>
      <c r="D1176" s="192" t="str">
        <f t="shared" si="696"/>
        <v>IV</v>
      </c>
      <c r="E1176" s="62"/>
      <c r="F1176" s="105"/>
      <c r="G1176" s="105"/>
      <c r="H1176" s="61"/>
      <c r="I1176" s="61"/>
      <c r="J1176" s="62"/>
      <c r="K1176" s="63"/>
      <c r="L1176" s="61"/>
      <c r="M1176" s="61"/>
      <c r="N1176" s="111"/>
      <c r="O1176" s="112"/>
      <c r="P1176" s="113"/>
      <c r="Q1176" s="114"/>
      <c r="R1176" s="64"/>
      <c r="S1176" s="108"/>
      <c r="T1176" s="203">
        <f t="shared" si="717"/>
        <v>43647</v>
      </c>
      <c r="U1176" s="204">
        <f t="shared" si="718"/>
        <v>43677</v>
      </c>
      <c r="V1176" s="207">
        <f t="shared" ref="V1176:V1181" si="726">IF(G1176-F1176+1-IF(G1176-U1176&gt;0,G1176-U1176,0)-IF(T1176-F1176&gt;0,T1176-F1176,0)&gt;0,G1176-F1176+1-IF(G1176-U1176&gt;0,G1176-U1176,0)-IF(T1176-F1176&gt;0,T1176-F1176,0),0)</f>
        <v>0</v>
      </c>
      <c r="W1176" s="206" t="str">
        <f t="shared" si="723"/>
        <v/>
      </c>
      <c r="X1176" s="206">
        <f t="shared" si="724"/>
        <v>0</v>
      </c>
      <c r="Y1176" s="209">
        <f t="shared" si="725"/>
        <v>0</v>
      </c>
    </row>
    <row r="1177" spans="2:25" ht="16.5" hidden="1" thickTop="1" thickBot="1" x14ac:dyDescent="0.3">
      <c r="B1177" s="60">
        <f>B1175</f>
        <v>26</v>
      </c>
      <c r="C1177" s="102">
        <v>178</v>
      </c>
      <c r="D1177" s="192" t="str">
        <f t="shared" si="696"/>
        <v>IV</v>
      </c>
      <c r="E1177" s="62"/>
      <c r="F1177" s="105"/>
      <c r="G1177" s="105"/>
      <c r="H1177" s="61"/>
      <c r="I1177" s="61"/>
      <c r="J1177" s="62"/>
      <c r="K1177" s="63"/>
      <c r="L1177" s="61"/>
      <c r="M1177" s="61"/>
      <c r="N1177" s="111"/>
      <c r="O1177" s="112"/>
      <c r="P1177" s="113"/>
      <c r="Q1177" s="114"/>
      <c r="R1177" s="64"/>
      <c r="S1177" s="108"/>
      <c r="T1177" s="203">
        <f t="shared" si="717"/>
        <v>43647</v>
      </c>
      <c r="U1177" s="204">
        <f t="shared" si="718"/>
        <v>43677</v>
      </c>
      <c r="V1177" s="207">
        <f t="shared" si="726"/>
        <v>0</v>
      </c>
      <c r="W1177" s="206" t="str">
        <f t="shared" si="723"/>
        <v/>
      </c>
      <c r="X1177" s="206">
        <f t="shared" si="724"/>
        <v>0</v>
      </c>
      <c r="Y1177" s="209">
        <f t="shared" si="725"/>
        <v>0</v>
      </c>
    </row>
    <row r="1178" spans="2:25" ht="16.5" hidden="1" thickTop="1" thickBot="1" x14ac:dyDescent="0.3">
      <c r="B1178" s="60">
        <f>B1175</f>
        <v>26</v>
      </c>
      <c r="C1178" s="102">
        <v>179</v>
      </c>
      <c r="D1178" s="192" t="str">
        <f t="shared" si="696"/>
        <v>IV</v>
      </c>
      <c r="E1178" s="62"/>
      <c r="F1178" s="105"/>
      <c r="G1178" s="105"/>
      <c r="H1178" s="61"/>
      <c r="I1178" s="61"/>
      <c r="J1178" s="62"/>
      <c r="K1178" s="63"/>
      <c r="L1178" s="61"/>
      <c r="M1178" s="61"/>
      <c r="N1178" s="111"/>
      <c r="O1178" s="112"/>
      <c r="P1178" s="113"/>
      <c r="Q1178" s="114"/>
      <c r="R1178" s="64"/>
      <c r="S1178" s="108"/>
      <c r="T1178" s="203">
        <f t="shared" si="717"/>
        <v>43647</v>
      </c>
      <c r="U1178" s="204">
        <f t="shared" si="718"/>
        <v>43677</v>
      </c>
      <c r="V1178" s="207">
        <f t="shared" si="726"/>
        <v>0</v>
      </c>
      <c r="W1178" s="206" t="str">
        <f t="shared" si="723"/>
        <v/>
      </c>
      <c r="X1178" s="206">
        <f t="shared" si="724"/>
        <v>0</v>
      </c>
      <c r="Y1178" s="209">
        <f t="shared" si="725"/>
        <v>0</v>
      </c>
    </row>
    <row r="1179" spans="2:25" ht="16.5" hidden="1" thickTop="1" thickBot="1" x14ac:dyDescent="0.3">
      <c r="B1179" s="60">
        <f>B1175</f>
        <v>26</v>
      </c>
      <c r="C1179" s="102">
        <v>180</v>
      </c>
      <c r="D1179" s="192" t="str">
        <f t="shared" si="696"/>
        <v>IV</v>
      </c>
      <c r="E1179" s="62"/>
      <c r="F1179" s="105"/>
      <c r="G1179" s="105"/>
      <c r="H1179" s="61"/>
      <c r="I1179" s="61"/>
      <c r="J1179" s="62"/>
      <c r="K1179" s="63"/>
      <c r="L1179" s="61"/>
      <c r="M1179" s="61"/>
      <c r="N1179" s="111"/>
      <c r="O1179" s="112"/>
      <c r="P1179" s="113"/>
      <c r="Q1179" s="114"/>
      <c r="R1179" s="64"/>
      <c r="S1179" s="108"/>
      <c r="T1179" s="203">
        <f t="shared" si="717"/>
        <v>43647</v>
      </c>
      <c r="U1179" s="204">
        <f t="shared" si="718"/>
        <v>43677</v>
      </c>
      <c r="V1179" s="207">
        <f t="shared" si="726"/>
        <v>0</v>
      </c>
      <c r="W1179" s="206" t="str">
        <f t="shared" si="723"/>
        <v/>
      </c>
      <c r="X1179" s="206">
        <f t="shared" si="724"/>
        <v>0</v>
      </c>
      <c r="Y1179" s="209">
        <f t="shared" si="725"/>
        <v>0</v>
      </c>
    </row>
    <row r="1180" spans="2:25" ht="16.5" hidden="1" thickTop="1" thickBot="1" x14ac:dyDescent="0.3">
      <c r="B1180" s="60">
        <f>B1175</f>
        <v>26</v>
      </c>
      <c r="C1180" s="102">
        <v>181</v>
      </c>
      <c r="D1180" s="192" t="str">
        <f t="shared" si="696"/>
        <v>IV</v>
      </c>
      <c r="E1180" s="62"/>
      <c r="F1180" s="105"/>
      <c r="G1180" s="105"/>
      <c r="H1180" s="61"/>
      <c r="I1180" s="61"/>
      <c r="J1180" s="62"/>
      <c r="K1180" s="63"/>
      <c r="L1180" s="61"/>
      <c r="M1180" s="61"/>
      <c r="N1180" s="111"/>
      <c r="O1180" s="112"/>
      <c r="P1180" s="113"/>
      <c r="Q1180" s="114"/>
      <c r="R1180" s="64"/>
      <c r="S1180" s="108"/>
      <c r="T1180" s="203">
        <f t="shared" si="717"/>
        <v>43647</v>
      </c>
      <c r="U1180" s="204">
        <f t="shared" si="718"/>
        <v>43677</v>
      </c>
      <c r="V1180" s="207">
        <f t="shared" si="726"/>
        <v>0</v>
      </c>
      <c r="W1180" s="206" t="str">
        <f t="shared" si="723"/>
        <v/>
      </c>
      <c r="X1180" s="206">
        <f t="shared" si="724"/>
        <v>0</v>
      </c>
      <c r="Y1180" s="209">
        <f t="shared" si="725"/>
        <v>0</v>
      </c>
    </row>
    <row r="1181" spans="2:25" ht="16.5" hidden="1" thickTop="1" thickBot="1" x14ac:dyDescent="0.3">
      <c r="B1181" s="141">
        <f>B1175</f>
        <v>26</v>
      </c>
      <c r="C1181" s="142">
        <v>182</v>
      </c>
      <c r="D1181" s="194" t="str">
        <f t="shared" si="696"/>
        <v>IV</v>
      </c>
      <c r="E1181" s="143"/>
      <c r="F1181" s="144"/>
      <c r="G1181" s="144"/>
      <c r="H1181" s="145"/>
      <c r="I1181" s="145"/>
      <c r="J1181" s="436" t="s">
        <v>181</v>
      </c>
      <c r="K1181" s="437"/>
      <c r="L1181" s="438"/>
      <c r="M1181" s="145"/>
      <c r="N1181" s="146"/>
      <c r="O1181" s="147"/>
      <c r="P1181" s="148"/>
      <c r="Q1181" s="149"/>
      <c r="R1181" s="150"/>
      <c r="S1181" s="151"/>
      <c r="T1181" s="213">
        <f t="shared" si="717"/>
        <v>43647</v>
      </c>
      <c r="U1181" s="214">
        <f t="shared" si="718"/>
        <v>43677</v>
      </c>
      <c r="V1181" s="210">
        <f t="shared" si="726"/>
        <v>0</v>
      </c>
      <c r="W1181" s="211"/>
      <c r="X1181" s="211">
        <f>IF(AND($V1181&gt;0,$I1181=1),IF($E1181=10,P1181/10,P1181/$V1181),0)</f>
        <v>0</v>
      </c>
      <c r="Y1181" s="212">
        <f>IF(AND($V1175&gt;0,$I1181&lt;&gt;1),Q1181/E1175*V1175,0)</f>
        <v>0</v>
      </c>
    </row>
    <row r="1182" spans="2:25" ht="30.75" thickTop="1" x14ac:dyDescent="0.25">
      <c r="B1182" s="129">
        <f>B1180+1</f>
        <v>27</v>
      </c>
      <c r="C1182" s="130">
        <v>183</v>
      </c>
      <c r="D1182" s="196" t="str">
        <f t="shared" si="696"/>
        <v>IV</v>
      </c>
      <c r="E1182" s="152">
        <v>10</v>
      </c>
      <c r="F1182" s="153">
        <v>43664</v>
      </c>
      <c r="G1182" s="153">
        <v>43673</v>
      </c>
      <c r="H1182" s="154" t="s">
        <v>257</v>
      </c>
      <c r="I1182" s="154">
        <v>1</v>
      </c>
      <c r="J1182" s="152" t="s">
        <v>168</v>
      </c>
      <c r="K1182" s="155" t="s">
        <v>16</v>
      </c>
      <c r="L1182" s="154">
        <v>1</v>
      </c>
      <c r="M1182" s="154">
        <v>8</v>
      </c>
      <c r="N1182" s="156">
        <v>0</v>
      </c>
      <c r="O1182" s="157">
        <v>0</v>
      </c>
      <c r="P1182" s="158">
        <v>0</v>
      </c>
      <c r="Q1182" s="159"/>
      <c r="R1182" s="160"/>
      <c r="S1182" s="161"/>
      <c r="T1182" s="203">
        <f t="shared" si="717"/>
        <v>43647</v>
      </c>
      <c r="U1182" s="204">
        <f t="shared" si="718"/>
        <v>43677</v>
      </c>
      <c r="V1182" s="207">
        <f>IF(G1182-F1182+1-IF(G1182-U1182&gt;0,G1182-U1182,0)-IF(T1182-F1182&gt;0,T1182-F1182,0)&gt;0,G1182-F1182+1-IF(G1182-U1182&gt;0,G1182-U1182,0)-IF(T1182-F1182&gt;0,T1182-F1182,0),0)</f>
        <v>10</v>
      </c>
      <c r="W1182" s="206" t="str">
        <f t="shared" ref="W1182:W1187" si="727">IF(V1182&gt;0,H1182,"")</f>
        <v>Ивайло Николаев Николаев</v>
      </c>
      <c r="X1182" s="206">
        <f t="shared" ref="X1182:X1187" si="728">IF(AND($V1182&gt;0,$I1182=1),P1182/$E1182*$V1182,0)</f>
        <v>0</v>
      </c>
      <c r="Y1182" s="209">
        <f t="shared" ref="Y1182:Y1187" si="729">IF(AND($V1182&gt;0,$I1182&lt;&gt;1),Q1182/$E1182*$V1182,0)</f>
        <v>0</v>
      </c>
    </row>
    <row r="1183" spans="2:25" ht="30" x14ac:dyDescent="0.25">
      <c r="B1183" s="60">
        <f>B1182</f>
        <v>27</v>
      </c>
      <c r="C1183" s="102">
        <v>184</v>
      </c>
      <c r="D1183" s="192" t="str">
        <f t="shared" si="696"/>
        <v>IV</v>
      </c>
      <c r="E1183" s="162">
        <v>10</v>
      </c>
      <c r="F1183" s="163">
        <v>43664</v>
      </c>
      <c r="G1183" s="163">
        <v>43673</v>
      </c>
      <c r="H1183" s="164" t="s">
        <v>258</v>
      </c>
      <c r="I1183" s="164">
        <v>1</v>
      </c>
      <c r="J1183" s="162" t="s">
        <v>168</v>
      </c>
      <c r="K1183" s="165" t="s">
        <v>16</v>
      </c>
      <c r="L1183" s="164">
        <v>1</v>
      </c>
      <c r="M1183" s="164">
        <v>8</v>
      </c>
      <c r="N1183" s="166">
        <v>0</v>
      </c>
      <c r="O1183" s="167">
        <v>0</v>
      </c>
      <c r="P1183" s="168">
        <v>0</v>
      </c>
      <c r="Q1183" s="169"/>
      <c r="R1183" s="170"/>
      <c r="S1183" s="171"/>
      <c r="T1183" s="203">
        <f t="shared" si="717"/>
        <v>43647</v>
      </c>
      <c r="U1183" s="204">
        <f t="shared" si="718"/>
        <v>43677</v>
      </c>
      <c r="V1183" s="207">
        <f t="shared" ref="V1183:V1188" si="730">IF(G1183-F1183+1-IF(G1183-U1183&gt;0,G1183-U1183,0)-IF(T1183-F1183&gt;0,T1183-F1183,0)&gt;0,G1183-F1183+1-IF(G1183-U1183&gt;0,G1183-U1183,0)-IF(T1183-F1183&gt;0,T1183-F1183,0),0)</f>
        <v>10</v>
      </c>
      <c r="W1183" s="206" t="str">
        <f t="shared" si="727"/>
        <v>Елица Руменова Раева</v>
      </c>
      <c r="X1183" s="206">
        <f t="shared" si="728"/>
        <v>0</v>
      </c>
      <c r="Y1183" s="209">
        <f t="shared" si="729"/>
        <v>0</v>
      </c>
    </row>
    <row r="1184" spans="2:25" hidden="1" x14ac:dyDescent="0.25">
      <c r="B1184" s="60">
        <f>B1182</f>
        <v>27</v>
      </c>
      <c r="C1184" s="102">
        <v>185</v>
      </c>
      <c r="D1184" s="192" t="str">
        <f t="shared" si="696"/>
        <v>IV</v>
      </c>
      <c r="E1184" s="162"/>
      <c r="F1184" s="163"/>
      <c r="G1184" s="163"/>
      <c r="H1184" s="164"/>
      <c r="I1184" s="164"/>
      <c r="J1184" s="162"/>
      <c r="K1184" s="165"/>
      <c r="L1184" s="164"/>
      <c r="M1184" s="164"/>
      <c r="N1184" s="166"/>
      <c r="O1184" s="167"/>
      <c r="P1184" s="168"/>
      <c r="Q1184" s="169"/>
      <c r="R1184" s="170"/>
      <c r="S1184" s="171"/>
      <c r="T1184" s="203">
        <f t="shared" si="717"/>
        <v>43647</v>
      </c>
      <c r="U1184" s="204">
        <f t="shared" si="718"/>
        <v>43677</v>
      </c>
      <c r="V1184" s="207">
        <f t="shared" si="730"/>
        <v>0</v>
      </c>
      <c r="W1184" s="206" t="str">
        <f t="shared" si="727"/>
        <v/>
      </c>
      <c r="X1184" s="206">
        <f t="shared" si="728"/>
        <v>0</v>
      </c>
      <c r="Y1184" s="209">
        <f t="shared" si="729"/>
        <v>0</v>
      </c>
    </row>
    <row r="1185" spans="2:25" hidden="1" x14ac:dyDescent="0.25">
      <c r="B1185" s="60">
        <f>B1182</f>
        <v>27</v>
      </c>
      <c r="C1185" s="102">
        <v>186</v>
      </c>
      <c r="D1185" s="192" t="str">
        <f t="shared" si="696"/>
        <v>IV</v>
      </c>
      <c r="E1185" s="162"/>
      <c r="F1185" s="163"/>
      <c r="G1185" s="163"/>
      <c r="H1185" s="164"/>
      <c r="I1185" s="164"/>
      <c r="J1185" s="162"/>
      <c r="K1185" s="165"/>
      <c r="L1185" s="164"/>
      <c r="M1185" s="164"/>
      <c r="N1185" s="166"/>
      <c r="O1185" s="167"/>
      <c r="P1185" s="168"/>
      <c r="Q1185" s="169"/>
      <c r="R1185" s="170"/>
      <c r="S1185" s="171"/>
      <c r="T1185" s="203">
        <f t="shared" si="717"/>
        <v>43647</v>
      </c>
      <c r="U1185" s="204">
        <f t="shared" si="718"/>
        <v>43677</v>
      </c>
      <c r="V1185" s="207">
        <f t="shared" si="730"/>
        <v>0</v>
      </c>
      <c r="W1185" s="206" t="str">
        <f t="shared" si="727"/>
        <v/>
      </c>
      <c r="X1185" s="206">
        <f t="shared" si="728"/>
        <v>0</v>
      </c>
      <c r="Y1185" s="209">
        <f t="shared" si="729"/>
        <v>0</v>
      </c>
    </row>
    <row r="1186" spans="2:25" hidden="1" x14ac:dyDescent="0.25">
      <c r="B1186" s="60">
        <f>B1182</f>
        <v>27</v>
      </c>
      <c r="C1186" s="102">
        <v>187</v>
      </c>
      <c r="D1186" s="192" t="str">
        <f t="shared" si="696"/>
        <v>IV</v>
      </c>
      <c r="E1186" s="162"/>
      <c r="F1186" s="163"/>
      <c r="G1186" s="163"/>
      <c r="H1186" s="164"/>
      <c r="I1186" s="164"/>
      <c r="J1186" s="162"/>
      <c r="K1186" s="165"/>
      <c r="L1186" s="164"/>
      <c r="M1186" s="164"/>
      <c r="N1186" s="166"/>
      <c r="O1186" s="167"/>
      <c r="P1186" s="168"/>
      <c r="Q1186" s="169"/>
      <c r="R1186" s="170"/>
      <c r="S1186" s="171"/>
      <c r="T1186" s="203">
        <f t="shared" si="717"/>
        <v>43647</v>
      </c>
      <c r="U1186" s="204">
        <f t="shared" si="718"/>
        <v>43677</v>
      </c>
      <c r="V1186" s="207">
        <f t="shared" si="730"/>
        <v>0</v>
      </c>
      <c r="W1186" s="206" t="str">
        <f t="shared" si="727"/>
        <v/>
      </c>
      <c r="X1186" s="206">
        <f t="shared" si="728"/>
        <v>0</v>
      </c>
      <c r="Y1186" s="209">
        <f t="shared" si="729"/>
        <v>0</v>
      </c>
    </row>
    <row r="1187" spans="2:25" hidden="1" x14ac:dyDescent="0.25">
      <c r="B1187" s="60">
        <f>B1182</f>
        <v>27</v>
      </c>
      <c r="C1187" s="102">
        <v>188</v>
      </c>
      <c r="D1187" s="192" t="str">
        <f t="shared" si="696"/>
        <v>IV</v>
      </c>
      <c r="E1187" s="172"/>
      <c r="F1187" s="173"/>
      <c r="G1187" s="173"/>
      <c r="H1187" s="174"/>
      <c r="I1187" s="174"/>
      <c r="J1187" s="172"/>
      <c r="K1187" s="175"/>
      <c r="L1187" s="174"/>
      <c r="M1187" s="174"/>
      <c r="N1187" s="176"/>
      <c r="O1187" s="177"/>
      <c r="P1187" s="178"/>
      <c r="Q1187" s="179"/>
      <c r="R1187" s="180"/>
      <c r="S1187" s="181"/>
      <c r="T1187" s="203">
        <f t="shared" si="717"/>
        <v>43647</v>
      </c>
      <c r="U1187" s="204">
        <f t="shared" si="718"/>
        <v>43677</v>
      </c>
      <c r="V1187" s="207">
        <f t="shared" si="730"/>
        <v>0</v>
      </c>
      <c r="W1187" s="206" t="str">
        <f t="shared" si="727"/>
        <v/>
      </c>
      <c r="X1187" s="206">
        <f t="shared" si="728"/>
        <v>0</v>
      </c>
      <c r="Y1187" s="209">
        <f t="shared" si="729"/>
        <v>0</v>
      </c>
    </row>
    <row r="1188" spans="2:25" ht="15.75" thickBot="1" x14ac:dyDescent="0.3">
      <c r="B1188" s="141">
        <f>B1182</f>
        <v>27</v>
      </c>
      <c r="C1188" s="142">
        <v>189</v>
      </c>
      <c r="D1188" s="194" t="str">
        <f t="shared" si="696"/>
        <v>IV</v>
      </c>
      <c r="E1188" s="189"/>
      <c r="F1188" s="190"/>
      <c r="G1188" s="190"/>
      <c r="H1188" s="182"/>
      <c r="I1188" s="182"/>
      <c r="J1188" s="436" t="s">
        <v>181</v>
      </c>
      <c r="K1188" s="437"/>
      <c r="L1188" s="438"/>
      <c r="M1188" s="182"/>
      <c r="N1188" s="183">
        <v>0</v>
      </c>
      <c r="O1188" s="184">
        <v>0</v>
      </c>
      <c r="P1188" s="185"/>
      <c r="Q1188" s="186">
        <v>0</v>
      </c>
      <c r="R1188" s="187"/>
      <c r="S1188" s="188"/>
      <c r="T1188" s="213">
        <f t="shared" si="717"/>
        <v>43647</v>
      </c>
      <c r="U1188" s="214">
        <f t="shared" si="718"/>
        <v>43677</v>
      </c>
      <c r="V1188" s="210">
        <f t="shared" si="730"/>
        <v>0</v>
      </c>
      <c r="W1188" s="211"/>
      <c r="X1188" s="211">
        <f>IF(AND($V1188&gt;0,$I1188=1),IF($E1188=10,P1188/10,P1188/$V1188),0)</f>
        <v>0</v>
      </c>
      <c r="Y1188" s="212">
        <f>IF(AND($V1182&gt;0,$I1188&lt;&gt;1),Q1188/E1182*V1182,0)</f>
        <v>0</v>
      </c>
    </row>
    <row r="1189" spans="2:25" ht="30.75" thickTop="1" x14ac:dyDescent="0.25">
      <c r="B1189" s="129">
        <f>B1187+1</f>
        <v>28</v>
      </c>
      <c r="C1189" s="130">
        <v>190</v>
      </c>
      <c r="D1189" s="196" t="str">
        <f t="shared" si="696"/>
        <v>IV</v>
      </c>
      <c r="E1189" s="131">
        <v>10</v>
      </c>
      <c r="F1189" s="132">
        <v>43664</v>
      </c>
      <c r="G1189" s="132">
        <v>43673</v>
      </c>
      <c r="H1189" s="133" t="s">
        <v>259</v>
      </c>
      <c r="I1189" s="133">
        <v>6</v>
      </c>
      <c r="J1189" s="131" t="s">
        <v>166</v>
      </c>
      <c r="K1189" s="134" t="s">
        <v>61</v>
      </c>
      <c r="L1189" s="133">
        <v>1.5</v>
      </c>
      <c r="M1189" s="133">
        <v>8</v>
      </c>
      <c r="N1189" s="135">
        <v>270</v>
      </c>
      <c r="O1189" s="136">
        <v>270</v>
      </c>
      <c r="P1189" s="137"/>
      <c r="Q1189" s="138">
        <v>270</v>
      </c>
      <c r="R1189" s="139" t="s">
        <v>4</v>
      </c>
      <c r="S1189" s="140">
        <v>43630</v>
      </c>
      <c r="T1189" s="203">
        <f t="shared" si="717"/>
        <v>43647</v>
      </c>
      <c r="U1189" s="204">
        <f t="shared" si="718"/>
        <v>43677</v>
      </c>
      <c r="V1189" s="207">
        <f>IF(G1189-F1189+1-IF(G1189-U1189&gt;0,G1189-U1189,0)-IF(T1189-F1189&gt;0,T1189-F1189,0)&gt;0,G1189-F1189+1-IF(G1189-U1189&gt;0,G1189-U1189,0)-IF(T1189-F1189&gt;0,T1189-F1189,0),0)</f>
        <v>10</v>
      </c>
      <c r="W1189" s="206" t="str">
        <f t="shared" ref="W1189:W1194" si="731">IF(V1189&gt;0,H1189,"")</f>
        <v>Симеон Симеонов</v>
      </c>
      <c r="X1189" s="206">
        <f t="shared" ref="X1189:X1194" si="732">IF(AND($V1189&gt;0,$I1189=1),P1189/$E1189*$V1189,0)</f>
        <v>0</v>
      </c>
      <c r="Y1189" s="209">
        <f t="shared" ref="Y1189:Y1194" si="733">IF(AND($V1189&gt;0,$I1189&lt;&gt;1),Q1189/$E1189*$V1189,0)</f>
        <v>270</v>
      </c>
    </row>
    <row r="1190" spans="2:25" ht="30" x14ac:dyDescent="0.25">
      <c r="B1190" s="60">
        <f>B1189</f>
        <v>28</v>
      </c>
      <c r="C1190" s="102">
        <v>191</v>
      </c>
      <c r="D1190" s="192" t="str">
        <f t="shared" si="696"/>
        <v>IV</v>
      </c>
      <c r="E1190" s="62">
        <v>10</v>
      </c>
      <c r="F1190" s="105">
        <v>43664</v>
      </c>
      <c r="G1190" s="105">
        <v>43673</v>
      </c>
      <c r="H1190" s="61" t="s">
        <v>260</v>
      </c>
      <c r="I1190" s="61">
        <v>6</v>
      </c>
      <c r="J1190" s="62" t="s">
        <v>166</v>
      </c>
      <c r="K1190" s="63" t="s">
        <v>61</v>
      </c>
      <c r="L1190" s="61">
        <v>1.5</v>
      </c>
      <c r="M1190" s="61">
        <v>8</v>
      </c>
      <c r="N1190" s="111">
        <v>270</v>
      </c>
      <c r="O1190" s="112">
        <v>270</v>
      </c>
      <c r="P1190" s="113"/>
      <c r="Q1190" s="114">
        <v>270</v>
      </c>
      <c r="R1190" s="64" t="s">
        <v>4</v>
      </c>
      <c r="S1190" s="108">
        <v>43630</v>
      </c>
      <c r="T1190" s="203">
        <f t="shared" si="717"/>
        <v>43647</v>
      </c>
      <c r="U1190" s="204">
        <f t="shared" si="718"/>
        <v>43677</v>
      </c>
      <c r="V1190" s="207">
        <f t="shared" ref="V1190:V1195" si="734">IF(G1190-F1190+1-IF(G1190-U1190&gt;0,G1190-U1190,0)-IF(T1190-F1190&gt;0,T1190-F1190,0)&gt;0,G1190-F1190+1-IF(G1190-U1190&gt;0,G1190-U1190,0)-IF(T1190-F1190&gt;0,T1190-F1190,0),0)</f>
        <v>10</v>
      </c>
      <c r="W1190" s="206" t="str">
        <f t="shared" si="731"/>
        <v>Звезделина Симеонова</v>
      </c>
      <c r="X1190" s="206">
        <f t="shared" si="732"/>
        <v>0</v>
      </c>
      <c r="Y1190" s="209">
        <f t="shared" si="733"/>
        <v>270</v>
      </c>
    </row>
    <row r="1191" spans="2:25" hidden="1" x14ac:dyDescent="0.25">
      <c r="B1191" s="60">
        <f>B1189</f>
        <v>28</v>
      </c>
      <c r="C1191" s="102">
        <v>192</v>
      </c>
      <c r="D1191" s="192" t="str">
        <f t="shared" si="696"/>
        <v>IV</v>
      </c>
      <c r="E1191" s="62"/>
      <c r="F1191" s="105"/>
      <c r="G1191" s="105"/>
      <c r="H1191" s="61"/>
      <c r="I1191" s="61"/>
      <c r="J1191" s="62"/>
      <c r="K1191" s="63"/>
      <c r="L1191" s="61"/>
      <c r="M1191" s="61"/>
      <c r="N1191" s="111"/>
      <c r="O1191" s="112"/>
      <c r="P1191" s="113"/>
      <c r="Q1191" s="114"/>
      <c r="R1191" s="64"/>
      <c r="S1191" s="108"/>
      <c r="T1191" s="203">
        <f t="shared" si="717"/>
        <v>43647</v>
      </c>
      <c r="U1191" s="204">
        <f t="shared" si="718"/>
        <v>43677</v>
      </c>
      <c r="V1191" s="207">
        <f t="shared" si="734"/>
        <v>0</v>
      </c>
      <c r="W1191" s="206" t="str">
        <f t="shared" si="731"/>
        <v/>
      </c>
      <c r="X1191" s="206">
        <f t="shared" si="732"/>
        <v>0</v>
      </c>
      <c r="Y1191" s="209">
        <f t="shared" si="733"/>
        <v>0</v>
      </c>
    </row>
    <row r="1192" spans="2:25" hidden="1" x14ac:dyDescent="0.25">
      <c r="B1192" s="60">
        <f>B1189</f>
        <v>28</v>
      </c>
      <c r="C1192" s="102">
        <v>193</v>
      </c>
      <c r="D1192" s="192" t="str">
        <f t="shared" si="696"/>
        <v>IV</v>
      </c>
      <c r="E1192" s="62"/>
      <c r="F1192" s="105"/>
      <c r="G1192" s="105"/>
      <c r="H1192" s="61"/>
      <c r="I1192" s="61"/>
      <c r="J1192" s="62"/>
      <c r="K1192" s="63"/>
      <c r="L1192" s="61"/>
      <c r="M1192" s="61"/>
      <c r="N1192" s="111"/>
      <c r="O1192" s="112"/>
      <c r="P1192" s="113"/>
      <c r="Q1192" s="114"/>
      <c r="R1192" s="64"/>
      <c r="S1192" s="108"/>
      <c r="T1192" s="203">
        <f t="shared" si="717"/>
        <v>43647</v>
      </c>
      <c r="U1192" s="204">
        <f t="shared" si="718"/>
        <v>43677</v>
      </c>
      <c r="V1192" s="207">
        <f t="shared" si="734"/>
        <v>0</v>
      </c>
      <c r="W1192" s="206" t="str">
        <f t="shared" si="731"/>
        <v/>
      </c>
      <c r="X1192" s="206">
        <f t="shared" si="732"/>
        <v>0</v>
      </c>
      <c r="Y1192" s="209">
        <f t="shared" si="733"/>
        <v>0</v>
      </c>
    </row>
    <row r="1193" spans="2:25" hidden="1" x14ac:dyDescent="0.25">
      <c r="B1193" s="60">
        <f>B1189</f>
        <v>28</v>
      </c>
      <c r="C1193" s="102">
        <v>194</v>
      </c>
      <c r="D1193" s="192" t="str">
        <f t="shared" si="696"/>
        <v>IV</v>
      </c>
      <c r="E1193" s="62"/>
      <c r="F1193" s="105"/>
      <c r="G1193" s="105"/>
      <c r="H1193" s="61"/>
      <c r="I1193" s="61"/>
      <c r="J1193" s="62"/>
      <c r="K1193" s="63"/>
      <c r="L1193" s="61"/>
      <c r="M1193" s="61"/>
      <c r="N1193" s="111"/>
      <c r="O1193" s="112"/>
      <c r="P1193" s="113"/>
      <c r="Q1193" s="114"/>
      <c r="R1193" s="64"/>
      <c r="S1193" s="108"/>
      <c r="T1193" s="203">
        <f t="shared" si="717"/>
        <v>43647</v>
      </c>
      <c r="U1193" s="204">
        <f t="shared" si="718"/>
        <v>43677</v>
      </c>
      <c r="V1193" s="207">
        <f t="shared" si="734"/>
        <v>0</v>
      </c>
      <c r="W1193" s="206" t="str">
        <f t="shared" si="731"/>
        <v/>
      </c>
      <c r="X1193" s="206">
        <f t="shared" si="732"/>
        <v>0</v>
      </c>
      <c r="Y1193" s="209">
        <f t="shared" si="733"/>
        <v>0</v>
      </c>
    </row>
    <row r="1194" spans="2:25" hidden="1" x14ac:dyDescent="0.25">
      <c r="B1194" s="60">
        <f>B1189</f>
        <v>28</v>
      </c>
      <c r="C1194" s="102">
        <v>195</v>
      </c>
      <c r="D1194" s="192" t="str">
        <f t="shared" ref="D1194:D1257" si="735">D1193</f>
        <v>IV</v>
      </c>
      <c r="E1194" s="62"/>
      <c r="F1194" s="105"/>
      <c r="G1194" s="105"/>
      <c r="H1194" s="61"/>
      <c r="I1194" s="61"/>
      <c r="J1194" s="62"/>
      <c r="K1194" s="63"/>
      <c r="L1194" s="61"/>
      <c r="M1194" s="61"/>
      <c r="N1194" s="111"/>
      <c r="O1194" s="112"/>
      <c r="P1194" s="113"/>
      <c r="Q1194" s="114"/>
      <c r="R1194" s="64"/>
      <c r="S1194" s="108"/>
      <c r="T1194" s="203">
        <f t="shared" si="717"/>
        <v>43647</v>
      </c>
      <c r="U1194" s="204">
        <f t="shared" si="718"/>
        <v>43677</v>
      </c>
      <c r="V1194" s="207">
        <f t="shared" si="734"/>
        <v>0</v>
      </c>
      <c r="W1194" s="206" t="str">
        <f t="shared" si="731"/>
        <v/>
      </c>
      <c r="X1194" s="206">
        <f t="shared" si="732"/>
        <v>0</v>
      </c>
      <c r="Y1194" s="209">
        <f t="shared" si="733"/>
        <v>0</v>
      </c>
    </row>
    <row r="1195" spans="2:25" ht="15.75" thickBot="1" x14ac:dyDescent="0.3">
      <c r="B1195" s="141">
        <f>B1189</f>
        <v>28</v>
      </c>
      <c r="C1195" s="142">
        <v>196</v>
      </c>
      <c r="D1195" s="194" t="str">
        <f t="shared" si="735"/>
        <v>IV</v>
      </c>
      <c r="E1195" s="143"/>
      <c r="F1195" s="144"/>
      <c r="G1195" s="144"/>
      <c r="H1195" s="145"/>
      <c r="I1195" s="145"/>
      <c r="J1195" s="436" t="s">
        <v>181</v>
      </c>
      <c r="K1195" s="437"/>
      <c r="L1195" s="438"/>
      <c r="M1195" s="145"/>
      <c r="N1195" s="146">
        <v>10</v>
      </c>
      <c r="O1195" s="147">
        <v>10</v>
      </c>
      <c r="P1195" s="148"/>
      <c r="Q1195" s="149">
        <v>10</v>
      </c>
      <c r="R1195" s="150" t="s">
        <v>4</v>
      </c>
      <c r="S1195" s="151">
        <v>43630</v>
      </c>
      <c r="T1195" s="213">
        <f t="shared" si="717"/>
        <v>43647</v>
      </c>
      <c r="U1195" s="214">
        <f t="shared" si="718"/>
        <v>43677</v>
      </c>
      <c r="V1195" s="210">
        <f t="shared" si="734"/>
        <v>0</v>
      </c>
      <c r="W1195" s="211"/>
      <c r="X1195" s="211">
        <f>IF(AND($V1195&gt;0,$I1195=1),IF($E1195=10,P1195/10,P1195/$V1195),0)</f>
        <v>0</v>
      </c>
      <c r="Y1195" s="212">
        <f>IF(AND($V1189&gt;0,$I1195&lt;&gt;1),Q1195/E1189*V1189,0)</f>
        <v>10</v>
      </c>
    </row>
    <row r="1196" spans="2:25" ht="45.75" thickTop="1" x14ac:dyDescent="0.25">
      <c r="B1196" s="129">
        <f>B1194+1</f>
        <v>29</v>
      </c>
      <c r="C1196" s="130">
        <v>197</v>
      </c>
      <c r="D1196" s="196" t="str">
        <f t="shared" si="735"/>
        <v>IV</v>
      </c>
      <c r="E1196" s="152">
        <v>10</v>
      </c>
      <c r="F1196" s="153">
        <v>43664</v>
      </c>
      <c r="G1196" s="153">
        <v>43673</v>
      </c>
      <c r="H1196" s="154" t="s">
        <v>261</v>
      </c>
      <c r="I1196" s="154">
        <v>2</v>
      </c>
      <c r="J1196" s="152" t="s">
        <v>167</v>
      </c>
      <c r="K1196" s="155" t="s">
        <v>16</v>
      </c>
      <c r="L1196" s="154">
        <v>1</v>
      </c>
      <c r="M1196" s="154">
        <v>8</v>
      </c>
      <c r="N1196" s="156">
        <v>90</v>
      </c>
      <c r="O1196" s="157">
        <v>90</v>
      </c>
      <c r="P1196" s="158"/>
      <c r="Q1196" s="159">
        <v>90</v>
      </c>
      <c r="R1196" s="160" t="s">
        <v>4</v>
      </c>
      <c r="S1196" s="161">
        <v>43620</v>
      </c>
      <c r="T1196" s="203">
        <f t="shared" si="717"/>
        <v>43647</v>
      </c>
      <c r="U1196" s="204">
        <f t="shared" si="718"/>
        <v>43677</v>
      </c>
      <c r="V1196" s="207">
        <f>IF(G1196-F1196+1-IF(G1196-U1196&gt;0,G1196-U1196,0)-IF(T1196-F1196&gt;0,T1196-F1196,0)&gt;0,G1196-F1196+1-IF(G1196-U1196&gt;0,G1196-U1196,0)-IF(T1196-F1196&gt;0,T1196-F1196,0),0)</f>
        <v>10</v>
      </c>
      <c r="W1196" s="206" t="str">
        <f t="shared" ref="W1196:W1201" si="736">IF(V1196&gt;0,H1196,"")</f>
        <v>Ростислав Руменов Раев</v>
      </c>
      <c r="X1196" s="206">
        <f t="shared" ref="X1196:X1201" si="737">IF(AND($V1196&gt;0,$I1196=1),P1196/$E1196*$V1196,0)</f>
        <v>0</v>
      </c>
      <c r="Y1196" s="209">
        <f t="shared" ref="Y1196:Y1201" si="738">IF(AND($V1196&gt;0,$I1196&lt;&gt;1),Q1196/$E1196*$V1196,0)</f>
        <v>90</v>
      </c>
    </row>
    <row r="1197" spans="2:25" ht="45" x14ac:dyDescent="0.25">
      <c r="B1197" s="60">
        <f>B1196</f>
        <v>29</v>
      </c>
      <c r="C1197" s="102">
        <v>198</v>
      </c>
      <c r="D1197" s="192" t="str">
        <f t="shared" si="735"/>
        <v>IV</v>
      </c>
      <c r="E1197" s="162">
        <v>10</v>
      </c>
      <c r="F1197" s="163">
        <v>43664</v>
      </c>
      <c r="G1197" s="163">
        <v>43673</v>
      </c>
      <c r="H1197" s="164" t="s">
        <v>262</v>
      </c>
      <c r="I1197" s="164">
        <v>2</v>
      </c>
      <c r="J1197" s="162" t="s">
        <v>167</v>
      </c>
      <c r="K1197" s="165" t="s">
        <v>16</v>
      </c>
      <c r="L1197" s="164">
        <v>1</v>
      </c>
      <c r="M1197" s="164">
        <v>8</v>
      </c>
      <c r="N1197" s="166">
        <v>90</v>
      </c>
      <c r="O1197" s="167">
        <v>90</v>
      </c>
      <c r="P1197" s="168"/>
      <c r="Q1197" s="169">
        <v>90</v>
      </c>
      <c r="R1197" s="170" t="s">
        <v>4</v>
      </c>
      <c r="S1197" s="171">
        <v>43620</v>
      </c>
      <c r="T1197" s="203">
        <f t="shared" si="717"/>
        <v>43647</v>
      </c>
      <c r="U1197" s="204">
        <f t="shared" si="718"/>
        <v>43677</v>
      </c>
      <c r="V1197" s="207">
        <f t="shared" ref="V1197:V1202" si="739">IF(G1197-F1197+1-IF(G1197-U1197&gt;0,G1197-U1197,0)-IF(T1197-F1197&gt;0,T1197-F1197,0)&gt;0,G1197-F1197+1-IF(G1197-U1197&gt;0,G1197-U1197,0)-IF(T1197-F1197&gt;0,T1197-F1197,0),0)</f>
        <v>10</v>
      </c>
      <c r="W1197" s="206" t="str">
        <f t="shared" si="736"/>
        <v>Деница Николаева Раева</v>
      </c>
      <c r="X1197" s="206">
        <f t="shared" si="737"/>
        <v>0</v>
      </c>
      <c r="Y1197" s="209">
        <f t="shared" si="738"/>
        <v>90</v>
      </c>
    </row>
    <row r="1198" spans="2:25" x14ac:dyDescent="0.25">
      <c r="B1198" s="60">
        <f>B1196</f>
        <v>29</v>
      </c>
      <c r="C1198" s="102">
        <v>199</v>
      </c>
      <c r="D1198" s="192" t="str">
        <f t="shared" si="735"/>
        <v>IV</v>
      </c>
      <c r="E1198" s="162">
        <v>10</v>
      </c>
      <c r="F1198" s="163">
        <v>43664</v>
      </c>
      <c r="G1198" s="163">
        <v>43673</v>
      </c>
      <c r="H1198" s="164" t="s">
        <v>263</v>
      </c>
      <c r="I1198" s="164">
        <v>3</v>
      </c>
      <c r="J1198" s="162" t="s">
        <v>170</v>
      </c>
      <c r="K1198" s="165" t="s">
        <v>16</v>
      </c>
      <c r="L1198" s="164">
        <v>1</v>
      </c>
      <c r="M1198" s="164">
        <v>8</v>
      </c>
      <c r="N1198" s="166">
        <v>0</v>
      </c>
      <c r="O1198" s="167">
        <v>0</v>
      </c>
      <c r="P1198" s="168"/>
      <c r="Q1198" s="169">
        <v>0</v>
      </c>
      <c r="R1198" s="170" t="s">
        <v>4</v>
      </c>
      <c r="S1198" s="171">
        <v>43620</v>
      </c>
      <c r="T1198" s="203">
        <f t="shared" si="717"/>
        <v>43647</v>
      </c>
      <c r="U1198" s="204">
        <f t="shared" si="718"/>
        <v>43677</v>
      </c>
      <c r="V1198" s="207">
        <f t="shared" si="739"/>
        <v>10</v>
      </c>
      <c r="W1198" s="206" t="str">
        <f t="shared" si="736"/>
        <v>Радостина Ростиславова Раева</v>
      </c>
      <c r="X1198" s="206">
        <f t="shared" si="737"/>
        <v>0</v>
      </c>
      <c r="Y1198" s="209">
        <f t="shared" si="738"/>
        <v>0</v>
      </c>
    </row>
    <row r="1199" spans="2:25" hidden="1" x14ac:dyDescent="0.25">
      <c r="B1199" s="60">
        <f>B1196</f>
        <v>29</v>
      </c>
      <c r="C1199" s="102">
        <v>200</v>
      </c>
      <c r="D1199" s="192" t="str">
        <f t="shared" si="735"/>
        <v>IV</v>
      </c>
      <c r="E1199" s="162"/>
      <c r="F1199" s="163"/>
      <c r="G1199" s="163"/>
      <c r="H1199" s="164"/>
      <c r="I1199" s="164"/>
      <c r="J1199" s="162"/>
      <c r="K1199" s="165"/>
      <c r="L1199" s="164"/>
      <c r="M1199" s="164"/>
      <c r="N1199" s="166"/>
      <c r="O1199" s="167"/>
      <c r="P1199" s="168"/>
      <c r="Q1199" s="169"/>
      <c r="R1199" s="170"/>
      <c r="S1199" s="171"/>
      <c r="T1199" s="203">
        <f t="shared" si="717"/>
        <v>43647</v>
      </c>
      <c r="U1199" s="204">
        <f t="shared" si="718"/>
        <v>43677</v>
      </c>
      <c r="V1199" s="207">
        <f t="shared" si="739"/>
        <v>0</v>
      </c>
      <c r="W1199" s="206" t="str">
        <f t="shared" si="736"/>
        <v/>
      </c>
      <c r="X1199" s="206">
        <f t="shared" si="737"/>
        <v>0</v>
      </c>
      <c r="Y1199" s="209">
        <f t="shared" si="738"/>
        <v>0</v>
      </c>
    </row>
    <row r="1200" spans="2:25" hidden="1" x14ac:dyDescent="0.25">
      <c r="B1200" s="60">
        <f>B1196</f>
        <v>29</v>
      </c>
      <c r="C1200" s="102">
        <v>201</v>
      </c>
      <c r="D1200" s="192" t="str">
        <f t="shared" si="735"/>
        <v>IV</v>
      </c>
      <c r="E1200" s="162"/>
      <c r="F1200" s="163"/>
      <c r="G1200" s="163"/>
      <c r="H1200" s="164"/>
      <c r="I1200" s="164"/>
      <c r="J1200" s="162"/>
      <c r="K1200" s="165"/>
      <c r="L1200" s="164"/>
      <c r="M1200" s="164"/>
      <c r="N1200" s="166"/>
      <c r="O1200" s="167"/>
      <c r="P1200" s="168"/>
      <c r="Q1200" s="169"/>
      <c r="R1200" s="170"/>
      <c r="S1200" s="171"/>
      <c r="T1200" s="203">
        <f t="shared" si="717"/>
        <v>43647</v>
      </c>
      <c r="U1200" s="204">
        <f t="shared" si="718"/>
        <v>43677</v>
      </c>
      <c r="V1200" s="207">
        <f t="shared" si="739"/>
        <v>0</v>
      </c>
      <c r="W1200" s="206" t="str">
        <f t="shared" si="736"/>
        <v/>
      </c>
      <c r="X1200" s="206">
        <f t="shared" si="737"/>
        <v>0</v>
      </c>
      <c r="Y1200" s="209">
        <f t="shared" si="738"/>
        <v>0</v>
      </c>
    </row>
    <row r="1201" spans="2:25" hidden="1" x14ac:dyDescent="0.25">
      <c r="B1201" s="60">
        <f>B1196</f>
        <v>29</v>
      </c>
      <c r="C1201" s="102">
        <v>202</v>
      </c>
      <c r="D1201" s="192" t="str">
        <f t="shared" si="735"/>
        <v>IV</v>
      </c>
      <c r="E1201" s="172"/>
      <c r="F1201" s="173"/>
      <c r="G1201" s="173"/>
      <c r="H1201" s="174"/>
      <c r="I1201" s="174"/>
      <c r="J1201" s="172"/>
      <c r="K1201" s="175"/>
      <c r="L1201" s="174"/>
      <c r="M1201" s="174"/>
      <c r="N1201" s="176"/>
      <c r="O1201" s="177"/>
      <c r="P1201" s="178"/>
      <c r="Q1201" s="179"/>
      <c r="R1201" s="180"/>
      <c r="S1201" s="181"/>
      <c r="T1201" s="203">
        <f t="shared" si="717"/>
        <v>43647</v>
      </c>
      <c r="U1201" s="204">
        <f t="shared" si="718"/>
        <v>43677</v>
      </c>
      <c r="V1201" s="207">
        <f t="shared" si="739"/>
        <v>0</v>
      </c>
      <c r="W1201" s="206" t="str">
        <f t="shared" si="736"/>
        <v/>
      </c>
      <c r="X1201" s="206">
        <f t="shared" si="737"/>
        <v>0</v>
      </c>
      <c r="Y1201" s="209">
        <f t="shared" si="738"/>
        <v>0</v>
      </c>
    </row>
    <row r="1202" spans="2:25" ht="15.75" thickBot="1" x14ac:dyDescent="0.3">
      <c r="B1202" s="141">
        <f>B1196</f>
        <v>29</v>
      </c>
      <c r="C1202" s="142">
        <v>203</v>
      </c>
      <c r="D1202" s="194" t="str">
        <f t="shared" si="735"/>
        <v>IV</v>
      </c>
      <c r="E1202" s="189"/>
      <c r="F1202" s="190"/>
      <c r="G1202" s="190"/>
      <c r="H1202" s="182"/>
      <c r="I1202" s="182"/>
      <c r="J1202" s="436" t="s">
        <v>181</v>
      </c>
      <c r="K1202" s="437"/>
      <c r="L1202" s="438"/>
      <c r="M1202" s="182"/>
      <c r="N1202" s="183">
        <v>10</v>
      </c>
      <c r="O1202" s="184">
        <v>10</v>
      </c>
      <c r="P1202" s="185"/>
      <c r="Q1202" s="186">
        <v>10</v>
      </c>
      <c r="R1202" s="187" t="s">
        <v>4</v>
      </c>
      <c r="S1202" s="188">
        <v>43620</v>
      </c>
      <c r="T1202" s="213">
        <f t="shared" si="717"/>
        <v>43647</v>
      </c>
      <c r="U1202" s="214">
        <f t="shared" si="718"/>
        <v>43677</v>
      </c>
      <c r="V1202" s="210">
        <f t="shared" si="739"/>
        <v>0</v>
      </c>
      <c r="W1202" s="211"/>
      <c r="X1202" s="211">
        <f>IF(AND($V1202&gt;0,$I1202=1),IF($E1202=10,P1202/10,P1202/$V1202),0)</f>
        <v>0</v>
      </c>
      <c r="Y1202" s="212">
        <f>IF(AND($V1196&gt;0,$I1202&lt;&gt;1),Q1202/E1196*V1196,0)</f>
        <v>10</v>
      </c>
    </row>
    <row r="1203" spans="2:25" ht="30.75" thickTop="1" x14ac:dyDescent="0.25">
      <c r="B1203" s="129">
        <f>B1201+1</f>
        <v>30</v>
      </c>
      <c r="C1203" s="130">
        <v>204</v>
      </c>
      <c r="D1203" s="196" t="str">
        <f t="shared" si="735"/>
        <v>IV</v>
      </c>
      <c r="E1203" s="131">
        <v>10</v>
      </c>
      <c r="F1203" s="132">
        <v>43664</v>
      </c>
      <c r="G1203" s="132">
        <v>43673</v>
      </c>
      <c r="H1203" s="133" t="s">
        <v>264</v>
      </c>
      <c r="I1203" s="133">
        <v>1</v>
      </c>
      <c r="J1203" s="131" t="s">
        <v>168</v>
      </c>
      <c r="K1203" s="134" t="s">
        <v>16</v>
      </c>
      <c r="L1203" s="133">
        <v>1</v>
      </c>
      <c r="M1203" s="133">
        <v>8</v>
      </c>
      <c r="N1203" s="135">
        <v>75</v>
      </c>
      <c r="O1203" s="136">
        <v>75</v>
      </c>
      <c r="P1203" s="137">
        <v>75</v>
      </c>
      <c r="Q1203" s="138"/>
      <c r="R1203" s="139" t="s">
        <v>4</v>
      </c>
      <c r="S1203" s="140">
        <v>43620</v>
      </c>
      <c r="T1203" s="203">
        <f t="shared" si="717"/>
        <v>43647</v>
      </c>
      <c r="U1203" s="204">
        <f t="shared" si="718"/>
        <v>43677</v>
      </c>
      <c r="V1203" s="207">
        <f>IF(G1203-F1203+1-IF(G1203-U1203&gt;0,G1203-U1203,0)-IF(T1203-F1203&gt;0,T1203-F1203,0)&gt;0,G1203-F1203+1-IF(G1203-U1203&gt;0,G1203-U1203,0)-IF(T1203-F1203&gt;0,T1203-F1203,0),0)</f>
        <v>10</v>
      </c>
      <c r="W1203" s="206" t="str">
        <f t="shared" ref="W1203:W1208" si="740">IF(V1203&gt;0,H1203,"")</f>
        <v>Илияна Николова</v>
      </c>
      <c r="X1203" s="206">
        <f t="shared" ref="X1203:X1208" si="741">IF(AND($V1203&gt;0,$I1203=1),P1203/$E1203*$V1203,0)</f>
        <v>75</v>
      </c>
      <c r="Y1203" s="209">
        <f t="shared" ref="Y1203:Y1208" si="742">IF(AND($V1203&gt;0,$I1203&lt;&gt;1),Q1203/$E1203*$V1203,0)</f>
        <v>0</v>
      </c>
    </row>
    <row r="1204" spans="2:25" ht="45" x14ac:dyDescent="0.25">
      <c r="B1204" s="60">
        <f>B1203</f>
        <v>30</v>
      </c>
      <c r="C1204" s="102">
        <v>205</v>
      </c>
      <c r="D1204" s="192" t="str">
        <f t="shared" si="735"/>
        <v>IV</v>
      </c>
      <c r="E1204" s="62">
        <v>10</v>
      </c>
      <c r="F1204" s="105">
        <v>43664</v>
      </c>
      <c r="G1204" s="105">
        <v>43673</v>
      </c>
      <c r="H1204" s="61" t="s">
        <v>265</v>
      </c>
      <c r="I1204" s="61">
        <v>2</v>
      </c>
      <c r="J1204" s="62" t="s">
        <v>167</v>
      </c>
      <c r="K1204" s="63" t="s">
        <v>16</v>
      </c>
      <c r="L1204" s="61">
        <v>1</v>
      </c>
      <c r="M1204" s="61">
        <v>8</v>
      </c>
      <c r="N1204" s="111">
        <v>90</v>
      </c>
      <c r="O1204" s="112">
        <v>90</v>
      </c>
      <c r="P1204" s="113"/>
      <c r="Q1204" s="114">
        <v>90</v>
      </c>
      <c r="R1204" s="64" t="s">
        <v>4</v>
      </c>
      <c r="S1204" s="108">
        <v>43620</v>
      </c>
      <c r="T1204" s="203">
        <f t="shared" si="717"/>
        <v>43647</v>
      </c>
      <c r="U1204" s="204">
        <f t="shared" si="718"/>
        <v>43677</v>
      </c>
      <c r="V1204" s="207">
        <f t="shared" ref="V1204:V1209" si="743">IF(G1204-F1204+1-IF(G1204-U1204&gt;0,G1204-U1204,0)-IF(T1204-F1204&gt;0,T1204-F1204,0)&gt;0,G1204-F1204+1-IF(G1204-U1204&gt;0,G1204-U1204,0)-IF(T1204-F1204&gt;0,T1204-F1204,0),0)</f>
        <v>10</v>
      </c>
      <c r="W1204" s="206" t="str">
        <f t="shared" si="740"/>
        <v>Никола Николов</v>
      </c>
      <c r="X1204" s="206">
        <f t="shared" si="741"/>
        <v>0</v>
      </c>
      <c r="Y1204" s="209">
        <f t="shared" si="742"/>
        <v>90</v>
      </c>
    </row>
    <row r="1205" spans="2:25" hidden="1" x14ac:dyDescent="0.25">
      <c r="B1205" s="60">
        <f>B1203</f>
        <v>30</v>
      </c>
      <c r="C1205" s="102">
        <v>206</v>
      </c>
      <c r="D1205" s="192" t="str">
        <f t="shared" si="735"/>
        <v>IV</v>
      </c>
      <c r="E1205" s="62"/>
      <c r="F1205" s="105"/>
      <c r="G1205" s="105"/>
      <c r="H1205" s="61"/>
      <c r="I1205" s="61"/>
      <c r="J1205" s="62"/>
      <c r="K1205" s="63"/>
      <c r="L1205" s="61"/>
      <c r="M1205" s="61"/>
      <c r="N1205" s="111"/>
      <c r="O1205" s="112"/>
      <c r="P1205" s="113"/>
      <c r="Q1205" s="114"/>
      <c r="R1205" s="64"/>
      <c r="S1205" s="108"/>
      <c r="T1205" s="203">
        <f t="shared" si="717"/>
        <v>43647</v>
      </c>
      <c r="U1205" s="204">
        <f t="shared" si="718"/>
        <v>43677</v>
      </c>
      <c r="V1205" s="207">
        <f t="shared" si="743"/>
        <v>0</v>
      </c>
      <c r="W1205" s="206" t="str">
        <f t="shared" si="740"/>
        <v/>
      </c>
      <c r="X1205" s="206">
        <f t="shared" si="741"/>
        <v>0</v>
      </c>
      <c r="Y1205" s="209">
        <f t="shared" si="742"/>
        <v>0</v>
      </c>
    </row>
    <row r="1206" spans="2:25" hidden="1" x14ac:dyDescent="0.25">
      <c r="B1206" s="60">
        <f>B1203</f>
        <v>30</v>
      </c>
      <c r="C1206" s="102">
        <v>207</v>
      </c>
      <c r="D1206" s="192" t="str">
        <f t="shared" si="735"/>
        <v>IV</v>
      </c>
      <c r="E1206" s="62"/>
      <c r="F1206" s="105"/>
      <c r="G1206" s="105"/>
      <c r="H1206" s="61"/>
      <c r="I1206" s="61"/>
      <c r="J1206" s="62"/>
      <c r="K1206" s="63"/>
      <c r="L1206" s="61"/>
      <c r="M1206" s="61"/>
      <c r="N1206" s="111"/>
      <c r="O1206" s="112"/>
      <c r="P1206" s="113"/>
      <c r="Q1206" s="114"/>
      <c r="R1206" s="64"/>
      <c r="S1206" s="108"/>
      <c r="T1206" s="203">
        <f t="shared" si="717"/>
        <v>43647</v>
      </c>
      <c r="U1206" s="204">
        <f t="shared" si="718"/>
        <v>43677</v>
      </c>
      <c r="V1206" s="207">
        <f t="shared" si="743"/>
        <v>0</v>
      </c>
      <c r="W1206" s="206" t="str">
        <f t="shared" si="740"/>
        <v/>
      </c>
      <c r="X1206" s="206">
        <f t="shared" si="741"/>
        <v>0</v>
      </c>
      <c r="Y1206" s="209">
        <f t="shared" si="742"/>
        <v>0</v>
      </c>
    </row>
    <row r="1207" spans="2:25" hidden="1" x14ac:dyDescent="0.25">
      <c r="B1207" s="60">
        <f>B1203</f>
        <v>30</v>
      </c>
      <c r="C1207" s="102">
        <v>208</v>
      </c>
      <c r="D1207" s="192" t="str">
        <f t="shared" si="735"/>
        <v>IV</v>
      </c>
      <c r="E1207" s="62"/>
      <c r="F1207" s="105"/>
      <c r="G1207" s="105"/>
      <c r="H1207" s="61"/>
      <c r="I1207" s="61"/>
      <c r="J1207" s="62"/>
      <c r="K1207" s="63"/>
      <c r="L1207" s="61"/>
      <c r="M1207" s="61"/>
      <c r="N1207" s="111"/>
      <c r="O1207" s="112"/>
      <c r="P1207" s="113"/>
      <c r="Q1207" s="114"/>
      <c r="R1207" s="64"/>
      <c r="S1207" s="108"/>
      <c r="T1207" s="203">
        <f t="shared" si="717"/>
        <v>43647</v>
      </c>
      <c r="U1207" s="204">
        <f t="shared" si="718"/>
        <v>43677</v>
      </c>
      <c r="V1207" s="207">
        <f t="shared" si="743"/>
        <v>0</v>
      </c>
      <c r="W1207" s="206" t="str">
        <f t="shared" si="740"/>
        <v/>
      </c>
      <c r="X1207" s="206">
        <f t="shared" si="741"/>
        <v>0</v>
      </c>
      <c r="Y1207" s="209">
        <f t="shared" si="742"/>
        <v>0</v>
      </c>
    </row>
    <row r="1208" spans="2:25" hidden="1" x14ac:dyDescent="0.25">
      <c r="B1208" s="60">
        <f>B1203</f>
        <v>30</v>
      </c>
      <c r="C1208" s="102">
        <v>209</v>
      </c>
      <c r="D1208" s="192" t="str">
        <f t="shared" si="735"/>
        <v>IV</v>
      </c>
      <c r="E1208" s="62"/>
      <c r="F1208" s="105"/>
      <c r="G1208" s="105"/>
      <c r="H1208" s="61"/>
      <c r="I1208" s="61"/>
      <c r="J1208" s="62"/>
      <c r="K1208" s="63"/>
      <c r="L1208" s="61"/>
      <c r="M1208" s="61"/>
      <c r="N1208" s="111"/>
      <c r="O1208" s="112"/>
      <c r="P1208" s="113"/>
      <c r="Q1208" s="114"/>
      <c r="R1208" s="64"/>
      <c r="S1208" s="108"/>
      <c r="T1208" s="203">
        <f t="shared" si="717"/>
        <v>43647</v>
      </c>
      <c r="U1208" s="204">
        <f t="shared" si="718"/>
        <v>43677</v>
      </c>
      <c r="V1208" s="207">
        <f t="shared" si="743"/>
        <v>0</v>
      </c>
      <c r="W1208" s="206" t="str">
        <f t="shared" si="740"/>
        <v/>
      </c>
      <c r="X1208" s="206">
        <f t="shared" si="741"/>
        <v>0</v>
      </c>
      <c r="Y1208" s="209">
        <f t="shared" si="742"/>
        <v>0</v>
      </c>
    </row>
    <row r="1209" spans="2:25" ht="15.75" thickBot="1" x14ac:dyDescent="0.3">
      <c r="B1209" s="141">
        <f>B1203</f>
        <v>30</v>
      </c>
      <c r="C1209" s="142">
        <v>210</v>
      </c>
      <c r="D1209" s="194" t="str">
        <f t="shared" si="735"/>
        <v>IV</v>
      </c>
      <c r="E1209" s="143"/>
      <c r="F1209" s="144"/>
      <c r="G1209" s="144"/>
      <c r="H1209" s="145"/>
      <c r="I1209" s="145"/>
      <c r="J1209" s="436" t="s">
        <v>181</v>
      </c>
      <c r="K1209" s="437"/>
      <c r="L1209" s="438"/>
      <c r="M1209" s="145"/>
      <c r="N1209" s="146">
        <v>10</v>
      </c>
      <c r="O1209" s="147">
        <v>10</v>
      </c>
      <c r="P1209" s="148"/>
      <c r="Q1209" s="149">
        <v>10</v>
      </c>
      <c r="R1209" s="150" t="s">
        <v>4</v>
      </c>
      <c r="S1209" s="151">
        <v>43620</v>
      </c>
      <c r="T1209" s="213">
        <f t="shared" si="717"/>
        <v>43647</v>
      </c>
      <c r="U1209" s="214">
        <f t="shared" si="718"/>
        <v>43677</v>
      </c>
      <c r="V1209" s="210">
        <f t="shared" si="743"/>
        <v>0</v>
      </c>
      <c r="W1209" s="211"/>
      <c r="X1209" s="211">
        <f>IF(AND($V1209&gt;0,$I1209=1),IF($E1209=10,P1209/10,P1209/$V1209),0)</f>
        <v>0</v>
      </c>
      <c r="Y1209" s="212">
        <f>IF(AND($V1203&gt;0,$I1209&lt;&gt;1),Q1209/E1203*V1203,0)</f>
        <v>10</v>
      </c>
    </row>
    <row r="1210" spans="2:25" ht="30.75" thickTop="1" x14ac:dyDescent="0.25">
      <c r="B1210" s="129">
        <f>B1208+1</f>
        <v>31</v>
      </c>
      <c r="C1210" s="130">
        <v>211</v>
      </c>
      <c r="D1210" s="196" t="str">
        <f t="shared" si="735"/>
        <v>IV</v>
      </c>
      <c r="E1210" s="152">
        <v>10</v>
      </c>
      <c r="F1210" s="153">
        <v>43664</v>
      </c>
      <c r="G1210" s="153">
        <v>43673</v>
      </c>
      <c r="H1210" s="154" t="s">
        <v>266</v>
      </c>
      <c r="I1210" s="154">
        <v>1</v>
      </c>
      <c r="J1210" s="152" t="s">
        <v>168</v>
      </c>
      <c r="K1210" s="155" t="s">
        <v>16</v>
      </c>
      <c r="L1210" s="154">
        <v>1</v>
      </c>
      <c r="M1210" s="154">
        <v>8</v>
      </c>
      <c r="N1210" s="156">
        <v>75</v>
      </c>
      <c r="O1210" s="157">
        <v>75</v>
      </c>
      <c r="P1210" s="158">
        <v>75</v>
      </c>
      <c r="Q1210" s="159"/>
      <c r="R1210" s="160" t="s">
        <v>4</v>
      </c>
      <c r="S1210" s="161">
        <v>43650</v>
      </c>
      <c r="T1210" s="203">
        <f t="shared" si="717"/>
        <v>43647</v>
      </c>
      <c r="U1210" s="204">
        <f t="shared" si="718"/>
        <v>43677</v>
      </c>
      <c r="V1210" s="207">
        <f>IF(G1210-F1210+1-IF(G1210-U1210&gt;0,G1210-U1210,0)-IF(T1210-F1210&gt;0,T1210-F1210,0)&gt;0,G1210-F1210+1-IF(G1210-U1210&gt;0,G1210-U1210,0)-IF(T1210-F1210&gt;0,T1210-F1210,0),0)</f>
        <v>10</v>
      </c>
      <c r="W1210" s="206" t="str">
        <f t="shared" ref="W1210:W1215" si="744">IF(V1210&gt;0,H1210,"")</f>
        <v>Светла Микова Великова</v>
      </c>
      <c r="X1210" s="206">
        <f t="shared" ref="X1210:X1215" si="745">IF(AND($V1210&gt;0,$I1210=1),P1210/$E1210*$V1210,0)</f>
        <v>75</v>
      </c>
      <c r="Y1210" s="209">
        <f t="shared" ref="Y1210:Y1215" si="746">IF(AND($V1210&gt;0,$I1210&lt;&gt;1),Q1210/$E1210*$V1210,0)</f>
        <v>0</v>
      </c>
    </row>
    <row r="1211" spans="2:25" ht="45" x14ac:dyDescent="0.25">
      <c r="B1211" s="60">
        <f>B1210</f>
        <v>31</v>
      </c>
      <c r="C1211" s="102">
        <v>212</v>
      </c>
      <c r="D1211" s="192" t="str">
        <f t="shared" si="735"/>
        <v>IV</v>
      </c>
      <c r="E1211" s="162">
        <v>10</v>
      </c>
      <c r="F1211" s="163">
        <v>43664</v>
      </c>
      <c r="G1211" s="163">
        <v>43673</v>
      </c>
      <c r="H1211" s="164" t="s">
        <v>267</v>
      </c>
      <c r="I1211" s="164">
        <v>2</v>
      </c>
      <c r="J1211" s="162" t="s">
        <v>167</v>
      </c>
      <c r="K1211" s="165" t="s">
        <v>16</v>
      </c>
      <c r="L1211" s="164">
        <v>1</v>
      </c>
      <c r="M1211" s="164">
        <v>8</v>
      </c>
      <c r="N1211" s="166">
        <v>90</v>
      </c>
      <c r="O1211" s="167">
        <v>90</v>
      </c>
      <c r="P1211" s="168"/>
      <c r="Q1211" s="169">
        <v>90</v>
      </c>
      <c r="R1211" s="170" t="s">
        <v>4</v>
      </c>
      <c r="S1211" s="171">
        <v>43650</v>
      </c>
      <c r="T1211" s="203">
        <f t="shared" si="717"/>
        <v>43647</v>
      </c>
      <c r="U1211" s="204">
        <f t="shared" si="718"/>
        <v>43677</v>
      </c>
      <c r="V1211" s="207">
        <f t="shared" ref="V1211:V1216" si="747">IF(G1211-F1211+1-IF(G1211-U1211&gt;0,G1211-U1211,0)-IF(T1211-F1211&gt;0,T1211-F1211,0)&gt;0,G1211-F1211+1-IF(G1211-U1211&gt;0,G1211-U1211,0)-IF(T1211-F1211&gt;0,T1211-F1211,0),0)</f>
        <v>10</v>
      </c>
      <c r="W1211" s="206" t="str">
        <f t="shared" si="744"/>
        <v>Стефан Илиев Великов</v>
      </c>
      <c r="X1211" s="206">
        <f t="shared" si="745"/>
        <v>0</v>
      </c>
      <c r="Y1211" s="209">
        <f t="shared" si="746"/>
        <v>90</v>
      </c>
    </row>
    <row r="1212" spans="2:25" hidden="1" x14ac:dyDescent="0.25">
      <c r="B1212" s="60">
        <f>B1210</f>
        <v>31</v>
      </c>
      <c r="C1212" s="102">
        <v>213</v>
      </c>
      <c r="D1212" s="192" t="str">
        <f t="shared" si="735"/>
        <v>IV</v>
      </c>
      <c r="E1212" s="162"/>
      <c r="F1212" s="163"/>
      <c r="G1212" s="163"/>
      <c r="H1212" s="164"/>
      <c r="I1212" s="164"/>
      <c r="J1212" s="162"/>
      <c r="K1212" s="165"/>
      <c r="L1212" s="164"/>
      <c r="M1212" s="164"/>
      <c r="N1212" s="166"/>
      <c r="O1212" s="167"/>
      <c r="P1212" s="168"/>
      <c r="Q1212" s="169"/>
      <c r="R1212" s="170"/>
      <c r="S1212" s="171"/>
      <c r="T1212" s="203">
        <f t="shared" si="717"/>
        <v>43647</v>
      </c>
      <c r="U1212" s="204">
        <f t="shared" si="718"/>
        <v>43677</v>
      </c>
      <c r="V1212" s="207">
        <f t="shared" si="747"/>
        <v>0</v>
      </c>
      <c r="W1212" s="206" t="str">
        <f t="shared" si="744"/>
        <v/>
      </c>
      <c r="X1212" s="206">
        <f t="shared" si="745"/>
        <v>0</v>
      </c>
      <c r="Y1212" s="209">
        <f t="shared" si="746"/>
        <v>0</v>
      </c>
    </row>
    <row r="1213" spans="2:25" hidden="1" x14ac:dyDescent="0.25">
      <c r="B1213" s="60">
        <f>B1210</f>
        <v>31</v>
      </c>
      <c r="C1213" s="102">
        <v>214</v>
      </c>
      <c r="D1213" s="192" t="str">
        <f t="shared" si="735"/>
        <v>IV</v>
      </c>
      <c r="E1213" s="162"/>
      <c r="F1213" s="163"/>
      <c r="G1213" s="163"/>
      <c r="H1213" s="164"/>
      <c r="I1213" s="164"/>
      <c r="J1213" s="162"/>
      <c r="K1213" s="165"/>
      <c r="L1213" s="164"/>
      <c r="M1213" s="164"/>
      <c r="N1213" s="166"/>
      <c r="O1213" s="167"/>
      <c r="P1213" s="168"/>
      <c r="Q1213" s="169"/>
      <c r="R1213" s="170"/>
      <c r="S1213" s="171"/>
      <c r="T1213" s="203">
        <f t="shared" si="717"/>
        <v>43647</v>
      </c>
      <c r="U1213" s="204">
        <f t="shared" si="718"/>
        <v>43677</v>
      </c>
      <c r="V1213" s="207">
        <f t="shared" si="747"/>
        <v>0</v>
      </c>
      <c r="W1213" s="206" t="str">
        <f t="shared" si="744"/>
        <v/>
      </c>
      <c r="X1213" s="206">
        <f t="shared" si="745"/>
        <v>0</v>
      </c>
      <c r="Y1213" s="209">
        <f t="shared" si="746"/>
        <v>0</v>
      </c>
    </row>
    <row r="1214" spans="2:25" hidden="1" x14ac:dyDescent="0.25">
      <c r="B1214" s="60">
        <f>B1210</f>
        <v>31</v>
      </c>
      <c r="C1214" s="102">
        <v>215</v>
      </c>
      <c r="D1214" s="192" t="str">
        <f t="shared" si="735"/>
        <v>IV</v>
      </c>
      <c r="E1214" s="162"/>
      <c r="F1214" s="163"/>
      <c r="G1214" s="163"/>
      <c r="H1214" s="164"/>
      <c r="I1214" s="164"/>
      <c r="J1214" s="162"/>
      <c r="K1214" s="165"/>
      <c r="L1214" s="164"/>
      <c r="M1214" s="164"/>
      <c r="N1214" s="166"/>
      <c r="O1214" s="167"/>
      <c r="P1214" s="168"/>
      <c r="Q1214" s="169"/>
      <c r="R1214" s="170"/>
      <c r="S1214" s="171"/>
      <c r="T1214" s="203">
        <f t="shared" si="717"/>
        <v>43647</v>
      </c>
      <c r="U1214" s="204">
        <f t="shared" si="718"/>
        <v>43677</v>
      </c>
      <c r="V1214" s="207">
        <f t="shared" si="747"/>
        <v>0</v>
      </c>
      <c r="W1214" s="206" t="str">
        <f t="shared" si="744"/>
        <v/>
      </c>
      <c r="X1214" s="206">
        <f t="shared" si="745"/>
        <v>0</v>
      </c>
      <c r="Y1214" s="209">
        <f t="shared" si="746"/>
        <v>0</v>
      </c>
    </row>
    <row r="1215" spans="2:25" hidden="1" x14ac:dyDescent="0.25">
      <c r="B1215" s="60">
        <f>B1210</f>
        <v>31</v>
      </c>
      <c r="C1215" s="102">
        <v>216</v>
      </c>
      <c r="D1215" s="192" t="str">
        <f t="shared" si="735"/>
        <v>IV</v>
      </c>
      <c r="E1215" s="172"/>
      <c r="F1215" s="173"/>
      <c r="G1215" s="173"/>
      <c r="H1215" s="174"/>
      <c r="I1215" s="174"/>
      <c r="J1215" s="172"/>
      <c r="K1215" s="175"/>
      <c r="L1215" s="174"/>
      <c r="M1215" s="174"/>
      <c r="N1215" s="176"/>
      <c r="O1215" s="177"/>
      <c r="P1215" s="178"/>
      <c r="Q1215" s="179"/>
      <c r="R1215" s="180"/>
      <c r="S1215" s="181"/>
      <c r="T1215" s="203">
        <f t="shared" si="717"/>
        <v>43647</v>
      </c>
      <c r="U1215" s="204">
        <f t="shared" si="718"/>
        <v>43677</v>
      </c>
      <c r="V1215" s="207">
        <f t="shared" si="747"/>
        <v>0</v>
      </c>
      <c r="W1215" s="206" t="str">
        <f t="shared" si="744"/>
        <v/>
      </c>
      <c r="X1215" s="206">
        <f t="shared" si="745"/>
        <v>0</v>
      </c>
      <c r="Y1215" s="209">
        <f t="shared" si="746"/>
        <v>0</v>
      </c>
    </row>
    <row r="1216" spans="2:25" ht="15.75" thickBot="1" x14ac:dyDescent="0.3">
      <c r="B1216" s="141">
        <f>B1210</f>
        <v>31</v>
      </c>
      <c r="C1216" s="142">
        <v>217</v>
      </c>
      <c r="D1216" s="194" t="str">
        <f t="shared" si="735"/>
        <v>IV</v>
      </c>
      <c r="E1216" s="189"/>
      <c r="F1216" s="190"/>
      <c r="G1216" s="190"/>
      <c r="H1216" s="182"/>
      <c r="I1216" s="182"/>
      <c r="J1216" s="436" t="s">
        <v>181</v>
      </c>
      <c r="K1216" s="437"/>
      <c r="L1216" s="438"/>
      <c r="M1216" s="182"/>
      <c r="N1216" s="183">
        <v>10</v>
      </c>
      <c r="O1216" s="184">
        <v>10</v>
      </c>
      <c r="P1216" s="185"/>
      <c r="Q1216" s="186">
        <v>10</v>
      </c>
      <c r="R1216" s="187" t="s">
        <v>4</v>
      </c>
      <c r="S1216" s="188">
        <v>43650</v>
      </c>
      <c r="T1216" s="213">
        <f t="shared" si="717"/>
        <v>43647</v>
      </c>
      <c r="U1216" s="214">
        <f t="shared" si="718"/>
        <v>43677</v>
      </c>
      <c r="V1216" s="210">
        <f t="shared" si="747"/>
        <v>0</v>
      </c>
      <c r="W1216" s="211"/>
      <c r="X1216" s="211">
        <f>IF(AND($V1216&gt;0,$I1216=1),IF($E1216=10,P1216/10,P1216/$V1216),0)</f>
        <v>0</v>
      </c>
      <c r="Y1216" s="212">
        <f>IF(AND($V1210&gt;0,$I1216&lt;&gt;1),Q1216/E1210*V1210,0)</f>
        <v>10</v>
      </c>
    </row>
    <row r="1217" spans="2:25" ht="30.75" thickTop="1" x14ac:dyDescent="0.25">
      <c r="B1217" s="129">
        <f>B1215+1</f>
        <v>32</v>
      </c>
      <c r="C1217" s="130">
        <v>218</v>
      </c>
      <c r="D1217" s="196" t="str">
        <f t="shared" si="735"/>
        <v>IV</v>
      </c>
      <c r="E1217" s="131">
        <v>5</v>
      </c>
      <c r="F1217" s="132">
        <v>43664</v>
      </c>
      <c r="G1217" s="132">
        <v>43668</v>
      </c>
      <c r="H1217" s="133" t="s">
        <v>268</v>
      </c>
      <c r="I1217" s="133">
        <v>1</v>
      </c>
      <c r="J1217" s="131" t="s">
        <v>168</v>
      </c>
      <c r="K1217" s="134" t="s">
        <v>16</v>
      </c>
      <c r="L1217" s="133">
        <v>1</v>
      </c>
      <c r="M1217" s="133">
        <v>10</v>
      </c>
      <c r="N1217" s="135">
        <v>11</v>
      </c>
      <c r="O1217" s="136">
        <v>55</v>
      </c>
      <c r="P1217" s="137">
        <v>55</v>
      </c>
      <c r="Q1217" s="138"/>
      <c r="R1217" s="139" t="s">
        <v>4</v>
      </c>
      <c r="S1217" s="140">
        <v>43633</v>
      </c>
      <c r="T1217" s="203">
        <f t="shared" si="717"/>
        <v>43647</v>
      </c>
      <c r="U1217" s="204">
        <f t="shared" si="718"/>
        <v>43677</v>
      </c>
      <c r="V1217" s="207">
        <f>IF(G1217-F1217+1-IF(G1217-U1217&gt;0,G1217-U1217,0)-IF(T1217-F1217&gt;0,T1217-F1217,0)&gt;0,G1217-F1217+1-IF(G1217-U1217&gt;0,G1217-U1217,0)-IF(T1217-F1217&gt;0,T1217-F1217,0),0)</f>
        <v>5</v>
      </c>
      <c r="W1217" s="206" t="str">
        <f t="shared" ref="W1217:W1222" si="748">IF(V1217&gt;0,H1217,"")</f>
        <v>Радослав Великов</v>
      </c>
      <c r="X1217" s="206">
        <f t="shared" ref="X1217:X1222" si="749">IF(AND($V1217&gt;0,$I1217=1),P1217/$E1217*$V1217,0)</f>
        <v>55</v>
      </c>
      <c r="Y1217" s="209">
        <f t="shared" ref="Y1217:Y1222" si="750">IF(AND($V1217&gt;0,$I1217&lt;&gt;1),Q1217/$E1217*$V1217,0)</f>
        <v>0</v>
      </c>
    </row>
    <row r="1218" spans="2:25" ht="45" x14ac:dyDescent="0.25">
      <c r="B1218" s="60">
        <f>B1217</f>
        <v>32</v>
      </c>
      <c r="C1218" s="102">
        <v>219</v>
      </c>
      <c r="D1218" s="192" t="str">
        <f t="shared" si="735"/>
        <v>IV</v>
      </c>
      <c r="E1218" s="62">
        <v>5</v>
      </c>
      <c r="F1218" s="105">
        <v>43664</v>
      </c>
      <c r="G1218" s="105">
        <v>43668</v>
      </c>
      <c r="H1218" s="61" t="s">
        <v>269</v>
      </c>
      <c r="I1218" s="61">
        <v>2</v>
      </c>
      <c r="J1218" s="62" t="s">
        <v>167</v>
      </c>
      <c r="K1218" s="63" t="s">
        <v>16</v>
      </c>
      <c r="L1218" s="61">
        <v>1</v>
      </c>
      <c r="M1218" s="61">
        <v>10</v>
      </c>
      <c r="N1218" s="111">
        <v>12</v>
      </c>
      <c r="O1218" s="112">
        <v>60</v>
      </c>
      <c r="P1218" s="113"/>
      <c r="Q1218" s="114">
        <v>60</v>
      </c>
      <c r="R1218" s="64" t="s">
        <v>4</v>
      </c>
      <c r="S1218" s="108">
        <v>43633</v>
      </c>
      <c r="T1218" s="203">
        <f t="shared" si="717"/>
        <v>43647</v>
      </c>
      <c r="U1218" s="204">
        <f t="shared" si="718"/>
        <v>43677</v>
      </c>
      <c r="V1218" s="207">
        <f t="shared" ref="V1218:V1223" si="751">IF(G1218-F1218+1-IF(G1218-U1218&gt;0,G1218-U1218,0)-IF(T1218-F1218&gt;0,T1218-F1218,0)&gt;0,G1218-F1218+1-IF(G1218-U1218&gt;0,G1218-U1218,0)-IF(T1218-F1218&gt;0,T1218-F1218,0),0)</f>
        <v>5</v>
      </c>
      <c r="W1218" s="206" t="str">
        <f t="shared" si="748"/>
        <v>Магдалена Великова</v>
      </c>
      <c r="X1218" s="206">
        <f t="shared" si="749"/>
        <v>0</v>
      </c>
      <c r="Y1218" s="209">
        <f t="shared" si="750"/>
        <v>60</v>
      </c>
    </row>
    <row r="1219" spans="2:25" ht="45" x14ac:dyDescent="0.25">
      <c r="B1219" s="60">
        <f>B1217</f>
        <v>32</v>
      </c>
      <c r="C1219" s="102">
        <v>220</v>
      </c>
      <c r="D1219" s="192" t="str">
        <f t="shared" si="735"/>
        <v>IV</v>
      </c>
      <c r="E1219" s="62">
        <v>5</v>
      </c>
      <c r="F1219" s="105">
        <v>43664</v>
      </c>
      <c r="G1219" s="105">
        <v>43668</v>
      </c>
      <c r="H1219" s="61" t="s">
        <v>270</v>
      </c>
      <c r="I1219" s="61">
        <v>2</v>
      </c>
      <c r="J1219" s="62" t="s">
        <v>167</v>
      </c>
      <c r="K1219" s="63" t="s">
        <v>16</v>
      </c>
      <c r="L1219" s="61">
        <v>1</v>
      </c>
      <c r="M1219" s="61">
        <v>10</v>
      </c>
      <c r="N1219" s="111">
        <v>12</v>
      </c>
      <c r="O1219" s="112">
        <v>60</v>
      </c>
      <c r="P1219" s="113"/>
      <c r="Q1219" s="114">
        <v>60</v>
      </c>
      <c r="R1219" s="64" t="s">
        <v>4</v>
      </c>
      <c r="S1219" s="108">
        <v>43633</v>
      </c>
      <c r="T1219" s="203">
        <f t="shared" si="717"/>
        <v>43647</v>
      </c>
      <c r="U1219" s="204">
        <f t="shared" si="718"/>
        <v>43677</v>
      </c>
      <c r="V1219" s="207">
        <f t="shared" si="751"/>
        <v>5</v>
      </c>
      <c r="W1219" s="206" t="str">
        <f t="shared" si="748"/>
        <v>Емилия Василева</v>
      </c>
      <c r="X1219" s="206">
        <f t="shared" si="749"/>
        <v>0</v>
      </c>
      <c r="Y1219" s="209">
        <f t="shared" si="750"/>
        <v>60</v>
      </c>
    </row>
    <row r="1220" spans="2:25" hidden="1" x14ac:dyDescent="0.25">
      <c r="B1220" s="60">
        <f>B1217</f>
        <v>32</v>
      </c>
      <c r="C1220" s="102">
        <v>221</v>
      </c>
      <c r="D1220" s="192" t="str">
        <f t="shared" si="735"/>
        <v>IV</v>
      </c>
      <c r="E1220" s="62"/>
      <c r="F1220" s="105"/>
      <c r="G1220" s="105"/>
      <c r="H1220" s="61"/>
      <c r="I1220" s="61"/>
      <c r="J1220" s="62"/>
      <c r="K1220" s="63"/>
      <c r="L1220" s="61"/>
      <c r="M1220" s="61"/>
      <c r="N1220" s="111"/>
      <c r="O1220" s="112"/>
      <c r="P1220" s="113"/>
      <c r="Q1220" s="114"/>
      <c r="R1220" s="64"/>
      <c r="S1220" s="108"/>
      <c r="T1220" s="203">
        <f t="shared" si="717"/>
        <v>43647</v>
      </c>
      <c r="U1220" s="204">
        <f t="shared" si="718"/>
        <v>43677</v>
      </c>
      <c r="V1220" s="207">
        <f t="shared" si="751"/>
        <v>0</v>
      </c>
      <c r="W1220" s="206" t="str">
        <f t="shared" si="748"/>
        <v/>
      </c>
      <c r="X1220" s="206">
        <f t="shared" si="749"/>
        <v>0</v>
      </c>
      <c r="Y1220" s="209">
        <f t="shared" si="750"/>
        <v>0</v>
      </c>
    </row>
    <row r="1221" spans="2:25" hidden="1" x14ac:dyDescent="0.25">
      <c r="B1221" s="60">
        <f>B1217</f>
        <v>32</v>
      </c>
      <c r="C1221" s="102">
        <v>222</v>
      </c>
      <c r="D1221" s="192" t="str">
        <f t="shared" si="735"/>
        <v>IV</v>
      </c>
      <c r="E1221" s="62"/>
      <c r="F1221" s="105"/>
      <c r="G1221" s="105"/>
      <c r="H1221" s="61"/>
      <c r="I1221" s="61"/>
      <c r="J1221" s="62"/>
      <c r="K1221" s="63"/>
      <c r="L1221" s="61"/>
      <c r="M1221" s="61"/>
      <c r="N1221" s="111"/>
      <c r="O1221" s="112"/>
      <c r="P1221" s="113"/>
      <c r="Q1221" s="114"/>
      <c r="R1221" s="64"/>
      <c r="S1221" s="108"/>
      <c r="T1221" s="203">
        <f t="shared" si="717"/>
        <v>43647</v>
      </c>
      <c r="U1221" s="204">
        <f t="shared" si="718"/>
        <v>43677</v>
      </c>
      <c r="V1221" s="207">
        <f t="shared" si="751"/>
        <v>0</v>
      </c>
      <c r="W1221" s="206" t="str">
        <f t="shared" si="748"/>
        <v/>
      </c>
      <c r="X1221" s="206">
        <f t="shared" si="749"/>
        <v>0</v>
      </c>
      <c r="Y1221" s="209">
        <f t="shared" si="750"/>
        <v>0</v>
      </c>
    </row>
    <row r="1222" spans="2:25" hidden="1" x14ac:dyDescent="0.25">
      <c r="B1222" s="60">
        <f>B1217</f>
        <v>32</v>
      </c>
      <c r="C1222" s="102">
        <v>223</v>
      </c>
      <c r="D1222" s="192" t="str">
        <f t="shared" si="735"/>
        <v>IV</v>
      </c>
      <c r="E1222" s="62"/>
      <c r="F1222" s="105"/>
      <c r="G1222" s="105"/>
      <c r="H1222" s="61"/>
      <c r="I1222" s="61"/>
      <c r="J1222" s="62"/>
      <c r="K1222" s="63"/>
      <c r="L1222" s="61"/>
      <c r="M1222" s="61"/>
      <c r="N1222" s="111"/>
      <c r="O1222" s="112"/>
      <c r="P1222" s="113"/>
      <c r="Q1222" s="114"/>
      <c r="R1222" s="64"/>
      <c r="S1222" s="108"/>
      <c r="T1222" s="203">
        <f t="shared" si="717"/>
        <v>43647</v>
      </c>
      <c r="U1222" s="204">
        <f t="shared" si="718"/>
        <v>43677</v>
      </c>
      <c r="V1222" s="207">
        <f t="shared" si="751"/>
        <v>0</v>
      </c>
      <c r="W1222" s="206" t="str">
        <f t="shared" si="748"/>
        <v/>
      </c>
      <c r="X1222" s="206">
        <f t="shared" si="749"/>
        <v>0</v>
      </c>
      <c r="Y1222" s="209">
        <f t="shared" si="750"/>
        <v>0</v>
      </c>
    </row>
    <row r="1223" spans="2:25" ht="15.75" thickBot="1" x14ac:dyDescent="0.3">
      <c r="B1223" s="141">
        <f>B1217</f>
        <v>32</v>
      </c>
      <c r="C1223" s="142">
        <v>224</v>
      </c>
      <c r="D1223" s="194" t="str">
        <f t="shared" si="735"/>
        <v>IV</v>
      </c>
      <c r="E1223" s="143"/>
      <c r="F1223" s="144"/>
      <c r="G1223" s="144"/>
      <c r="H1223" s="145"/>
      <c r="I1223" s="145"/>
      <c r="J1223" s="436" t="s">
        <v>181</v>
      </c>
      <c r="K1223" s="437"/>
      <c r="L1223" s="438"/>
      <c r="M1223" s="145"/>
      <c r="N1223" s="146">
        <v>10</v>
      </c>
      <c r="O1223" s="147">
        <v>10</v>
      </c>
      <c r="P1223" s="148"/>
      <c r="Q1223" s="149">
        <v>10</v>
      </c>
      <c r="R1223" s="150" t="s">
        <v>4</v>
      </c>
      <c r="S1223" s="151">
        <v>43633</v>
      </c>
      <c r="T1223" s="213">
        <f t="shared" si="717"/>
        <v>43647</v>
      </c>
      <c r="U1223" s="214">
        <f t="shared" si="718"/>
        <v>43677</v>
      </c>
      <c r="V1223" s="210">
        <f t="shared" si="751"/>
        <v>0</v>
      </c>
      <c r="W1223" s="211"/>
      <c r="X1223" s="211">
        <f>IF(AND($V1223&gt;0,$I1223=1),IF($E1223=10,P1223/10,P1223/$V1223),0)</f>
        <v>0</v>
      </c>
      <c r="Y1223" s="212">
        <f>IF(AND($V1217&gt;0,$I1223&lt;&gt;1),Q1223/E1217*V1217,0)</f>
        <v>10</v>
      </c>
    </row>
    <row r="1224" spans="2:25" ht="45.75" thickTop="1" x14ac:dyDescent="0.25">
      <c r="B1224" s="129">
        <f>B1222+1</f>
        <v>33</v>
      </c>
      <c r="C1224" s="130">
        <v>225</v>
      </c>
      <c r="D1224" s="196" t="str">
        <f t="shared" si="735"/>
        <v>IV</v>
      </c>
      <c r="E1224" s="152">
        <v>10</v>
      </c>
      <c r="F1224" s="153">
        <v>43664</v>
      </c>
      <c r="G1224" s="153">
        <v>43673</v>
      </c>
      <c r="H1224" s="154" t="s">
        <v>271</v>
      </c>
      <c r="I1224" s="154">
        <v>2</v>
      </c>
      <c r="J1224" s="152" t="s">
        <v>167</v>
      </c>
      <c r="K1224" s="155" t="s">
        <v>16</v>
      </c>
      <c r="L1224" s="154">
        <v>1</v>
      </c>
      <c r="M1224" s="154">
        <v>8</v>
      </c>
      <c r="N1224" s="156">
        <v>90</v>
      </c>
      <c r="O1224" s="157">
        <v>90</v>
      </c>
      <c r="P1224" s="158"/>
      <c r="Q1224" s="159">
        <v>90</v>
      </c>
      <c r="R1224" s="160" t="s">
        <v>4</v>
      </c>
      <c r="S1224" s="161">
        <v>43621</v>
      </c>
      <c r="T1224" s="203">
        <f t="shared" si="717"/>
        <v>43647</v>
      </c>
      <c r="U1224" s="204">
        <f t="shared" si="718"/>
        <v>43677</v>
      </c>
      <c r="V1224" s="207">
        <f>IF(G1224-F1224+1-IF(G1224-U1224&gt;0,G1224-U1224,0)-IF(T1224-F1224&gt;0,T1224-F1224,0)&gt;0,G1224-F1224+1-IF(G1224-U1224&gt;0,G1224-U1224,0)-IF(T1224-F1224&gt;0,T1224-F1224,0),0)</f>
        <v>10</v>
      </c>
      <c r="W1224" s="206" t="str">
        <f t="shared" ref="W1224:W1229" si="752">IF(V1224&gt;0,H1224,"")</f>
        <v>Михаил Сергеев Миланов</v>
      </c>
      <c r="X1224" s="206">
        <f t="shared" ref="X1224:X1229" si="753">IF(AND($V1224&gt;0,$I1224=1),P1224/$E1224*$V1224,0)</f>
        <v>0</v>
      </c>
      <c r="Y1224" s="209">
        <f t="shared" ref="Y1224:Y1229" si="754">IF(AND($V1224&gt;0,$I1224&lt;&gt;1),Q1224/$E1224*$V1224,0)</f>
        <v>90</v>
      </c>
    </row>
    <row r="1225" spans="2:25" hidden="1" x14ac:dyDescent="0.25">
      <c r="B1225" s="60">
        <f>B1224</f>
        <v>33</v>
      </c>
      <c r="C1225" s="102">
        <v>226</v>
      </c>
      <c r="D1225" s="192" t="str">
        <f t="shared" si="735"/>
        <v>IV</v>
      </c>
      <c r="E1225" s="162">
        <v>10</v>
      </c>
      <c r="F1225" s="163">
        <v>43664</v>
      </c>
      <c r="G1225" s="163">
        <v>43673</v>
      </c>
      <c r="H1225" s="164" t="s">
        <v>272</v>
      </c>
      <c r="I1225" s="164">
        <v>3</v>
      </c>
      <c r="J1225" s="162" t="s">
        <v>170</v>
      </c>
      <c r="K1225" s="165"/>
      <c r="L1225" s="164"/>
      <c r="M1225" s="164"/>
      <c r="N1225" s="166"/>
      <c r="O1225" s="167"/>
      <c r="P1225" s="168"/>
      <c r="Q1225" s="169"/>
      <c r="R1225" s="170" t="s">
        <v>4</v>
      </c>
      <c r="S1225" s="171">
        <v>43621</v>
      </c>
      <c r="T1225" s="203">
        <f t="shared" si="717"/>
        <v>43647</v>
      </c>
      <c r="U1225" s="204">
        <f t="shared" si="718"/>
        <v>43677</v>
      </c>
      <c r="V1225" s="207">
        <f t="shared" ref="V1225:V1230" si="755">IF(G1225-F1225+1-IF(G1225-U1225&gt;0,G1225-U1225,0)-IF(T1225-F1225&gt;0,T1225-F1225,0)&gt;0,G1225-F1225+1-IF(G1225-U1225&gt;0,G1225-U1225,0)-IF(T1225-F1225&gt;0,T1225-F1225,0),0)</f>
        <v>10</v>
      </c>
      <c r="W1225" s="206" t="str">
        <f t="shared" si="752"/>
        <v>Ангел Михайлов Миланов</v>
      </c>
      <c r="X1225" s="206">
        <f t="shared" si="753"/>
        <v>0</v>
      </c>
      <c r="Y1225" s="209">
        <f t="shared" si="754"/>
        <v>0</v>
      </c>
    </row>
    <row r="1226" spans="2:25" hidden="1" x14ac:dyDescent="0.25">
      <c r="B1226" s="60">
        <f>B1224</f>
        <v>33</v>
      </c>
      <c r="C1226" s="102">
        <v>227</v>
      </c>
      <c r="D1226" s="192" t="str">
        <f t="shared" si="735"/>
        <v>IV</v>
      </c>
      <c r="E1226" s="162"/>
      <c r="F1226" s="163"/>
      <c r="G1226" s="163"/>
      <c r="H1226" s="164"/>
      <c r="I1226" s="164"/>
      <c r="J1226" s="162"/>
      <c r="K1226" s="165"/>
      <c r="L1226" s="164"/>
      <c r="M1226" s="164"/>
      <c r="N1226" s="166"/>
      <c r="O1226" s="167"/>
      <c r="P1226" s="168"/>
      <c r="Q1226" s="169"/>
      <c r="R1226" s="170"/>
      <c r="S1226" s="171"/>
      <c r="T1226" s="203">
        <f t="shared" si="717"/>
        <v>43647</v>
      </c>
      <c r="U1226" s="204">
        <f t="shared" si="718"/>
        <v>43677</v>
      </c>
      <c r="V1226" s="207">
        <f t="shared" si="755"/>
        <v>0</v>
      </c>
      <c r="W1226" s="206" t="str">
        <f t="shared" si="752"/>
        <v/>
      </c>
      <c r="X1226" s="206">
        <f t="shared" si="753"/>
        <v>0</v>
      </c>
      <c r="Y1226" s="209">
        <f t="shared" si="754"/>
        <v>0</v>
      </c>
    </row>
    <row r="1227" spans="2:25" hidden="1" x14ac:dyDescent="0.25">
      <c r="B1227" s="60">
        <f>B1224</f>
        <v>33</v>
      </c>
      <c r="C1227" s="102">
        <v>228</v>
      </c>
      <c r="D1227" s="192" t="str">
        <f t="shared" si="735"/>
        <v>IV</v>
      </c>
      <c r="E1227" s="162"/>
      <c r="F1227" s="163"/>
      <c r="G1227" s="163"/>
      <c r="H1227" s="164"/>
      <c r="I1227" s="164"/>
      <c r="J1227" s="162"/>
      <c r="K1227" s="165"/>
      <c r="L1227" s="164"/>
      <c r="M1227" s="164"/>
      <c r="N1227" s="166"/>
      <c r="O1227" s="167"/>
      <c r="P1227" s="168"/>
      <c r="Q1227" s="169"/>
      <c r="R1227" s="170"/>
      <c r="S1227" s="171"/>
      <c r="T1227" s="203">
        <f t="shared" si="717"/>
        <v>43647</v>
      </c>
      <c r="U1227" s="204">
        <f t="shared" si="718"/>
        <v>43677</v>
      </c>
      <c r="V1227" s="207">
        <f t="shared" si="755"/>
        <v>0</v>
      </c>
      <c r="W1227" s="206" t="str">
        <f t="shared" si="752"/>
        <v/>
      </c>
      <c r="X1227" s="206">
        <f t="shared" si="753"/>
        <v>0</v>
      </c>
      <c r="Y1227" s="209">
        <f t="shared" si="754"/>
        <v>0</v>
      </c>
    </row>
    <row r="1228" spans="2:25" hidden="1" x14ac:dyDescent="0.25">
      <c r="B1228" s="60">
        <f>B1224</f>
        <v>33</v>
      </c>
      <c r="C1228" s="102">
        <v>229</v>
      </c>
      <c r="D1228" s="192" t="str">
        <f t="shared" si="735"/>
        <v>IV</v>
      </c>
      <c r="E1228" s="162"/>
      <c r="F1228" s="163"/>
      <c r="G1228" s="163"/>
      <c r="H1228" s="164"/>
      <c r="I1228" s="164"/>
      <c r="J1228" s="162"/>
      <c r="K1228" s="165"/>
      <c r="L1228" s="164"/>
      <c r="M1228" s="164"/>
      <c r="N1228" s="166"/>
      <c r="O1228" s="167"/>
      <c r="P1228" s="168"/>
      <c r="Q1228" s="169"/>
      <c r="R1228" s="170"/>
      <c r="S1228" s="171"/>
      <c r="T1228" s="203">
        <f t="shared" si="717"/>
        <v>43647</v>
      </c>
      <c r="U1228" s="204">
        <f t="shared" si="718"/>
        <v>43677</v>
      </c>
      <c r="V1228" s="207">
        <f t="shared" si="755"/>
        <v>0</v>
      </c>
      <c r="W1228" s="206" t="str">
        <f t="shared" si="752"/>
        <v/>
      </c>
      <c r="X1228" s="206">
        <f t="shared" si="753"/>
        <v>0</v>
      </c>
      <c r="Y1228" s="209">
        <f t="shared" si="754"/>
        <v>0</v>
      </c>
    </row>
    <row r="1229" spans="2:25" hidden="1" x14ac:dyDescent="0.25">
      <c r="B1229" s="60">
        <f>B1224</f>
        <v>33</v>
      </c>
      <c r="C1229" s="102">
        <v>230</v>
      </c>
      <c r="D1229" s="192" t="str">
        <f t="shared" si="735"/>
        <v>IV</v>
      </c>
      <c r="E1229" s="172"/>
      <c r="F1229" s="173"/>
      <c r="G1229" s="173"/>
      <c r="H1229" s="174"/>
      <c r="I1229" s="174"/>
      <c r="J1229" s="172"/>
      <c r="K1229" s="175"/>
      <c r="L1229" s="174"/>
      <c r="M1229" s="174"/>
      <c r="N1229" s="176"/>
      <c r="O1229" s="177"/>
      <c r="P1229" s="178"/>
      <c r="Q1229" s="179"/>
      <c r="R1229" s="180"/>
      <c r="S1229" s="181"/>
      <c r="T1229" s="203">
        <f t="shared" ref="T1229:T1292" si="756">$F$4</f>
        <v>43647</v>
      </c>
      <c r="U1229" s="204">
        <f t="shared" ref="U1229:U1292" si="757">$G$4</f>
        <v>43677</v>
      </c>
      <c r="V1229" s="207">
        <f t="shared" si="755"/>
        <v>0</v>
      </c>
      <c r="W1229" s="206" t="str">
        <f t="shared" si="752"/>
        <v/>
      </c>
      <c r="X1229" s="206">
        <f t="shared" si="753"/>
        <v>0</v>
      </c>
      <c r="Y1229" s="209">
        <f t="shared" si="754"/>
        <v>0</v>
      </c>
    </row>
    <row r="1230" spans="2:25" ht="15.75" thickBot="1" x14ac:dyDescent="0.3">
      <c r="B1230" s="141">
        <f>B1224</f>
        <v>33</v>
      </c>
      <c r="C1230" s="142">
        <v>231</v>
      </c>
      <c r="D1230" s="194" t="str">
        <f t="shared" si="735"/>
        <v>IV</v>
      </c>
      <c r="E1230" s="189"/>
      <c r="F1230" s="190"/>
      <c r="G1230" s="190"/>
      <c r="H1230" s="182"/>
      <c r="I1230" s="182"/>
      <c r="J1230" s="436" t="s">
        <v>181</v>
      </c>
      <c r="K1230" s="437"/>
      <c r="L1230" s="438"/>
      <c r="M1230" s="182"/>
      <c r="N1230" s="183">
        <v>10</v>
      </c>
      <c r="O1230" s="184">
        <v>10</v>
      </c>
      <c r="P1230" s="185"/>
      <c r="Q1230" s="186">
        <v>10</v>
      </c>
      <c r="R1230" s="187" t="s">
        <v>4</v>
      </c>
      <c r="S1230" s="188">
        <v>43621</v>
      </c>
      <c r="T1230" s="213">
        <f t="shared" si="756"/>
        <v>43647</v>
      </c>
      <c r="U1230" s="214">
        <f t="shared" si="757"/>
        <v>43677</v>
      </c>
      <c r="V1230" s="210">
        <f t="shared" si="755"/>
        <v>0</v>
      </c>
      <c r="W1230" s="211"/>
      <c r="X1230" s="211">
        <f>IF(AND($V1230&gt;0,$I1230=1),IF($E1230=10,P1230/10,P1230/$V1230),0)</f>
        <v>0</v>
      </c>
      <c r="Y1230" s="212">
        <f>IF(AND($V1224&gt;0,$I1230&lt;&gt;1),Q1230/E1224*V1224,0)</f>
        <v>10</v>
      </c>
    </row>
    <row r="1231" spans="2:25" ht="30.75" thickTop="1" x14ac:dyDescent="0.25">
      <c r="B1231" s="129">
        <f>B1229+1</f>
        <v>34</v>
      </c>
      <c r="C1231" s="130">
        <v>232</v>
      </c>
      <c r="D1231" s="196" t="str">
        <f t="shared" si="735"/>
        <v>IV</v>
      </c>
      <c r="E1231" s="131">
        <v>10</v>
      </c>
      <c r="F1231" s="132">
        <v>43664</v>
      </c>
      <c r="G1231" s="132">
        <v>43673</v>
      </c>
      <c r="H1231" s="133" t="s">
        <v>242</v>
      </c>
      <c r="I1231" s="133">
        <v>1</v>
      </c>
      <c r="J1231" s="131" t="s">
        <v>168</v>
      </c>
      <c r="K1231" s="134" t="s">
        <v>61</v>
      </c>
      <c r="L1231" s="133">
        <v>1.5</v>
      </c>
      <c r="M1231" s="133">
        <v>8</v>
      </c>
      <c r="N1231" s="135">
        <v>112.5</v>
      </c>
      <c r="O1231" s="136">
        <v>112.5</v>
      </c>
      <c r="P1231" s="137">
        <v>112.5</v>
      </c>
      <c r="Q1231" s="138"/>
      <c r="R1231" s="139" t="s">
        <v>4</v>
      </c>
      <c r="S1231" s="140">
        <v>43620</v>
      </c>
      <c r="T1231" s="203">
        <f t="shared" si="756"/>
        <v>43647</v>
      </c>
      <c r="U1231" s="204">
        <f t="shared" si="757"/>
        <v>43677</v>
      </c>
      <c r="V1231" s="207">
        <f>IF(G1231-F1231+1-IF(G1231-U1231&gt;0,G1231-U1231,0)-IF(T1231-F1231&gt;0,T1231-F1231,0)&gt;0,G1231-F1231+1-IF(G1231-U1231&gt;0,G1231-U1231,0)-IF(T1231-F1231&gt;0,T1231-F1231,0),0)</f>
        <v>10</v>
      </c>
      <c r="W1231" s="206" t="str">
        <f t="shared" ref="W1231:W1236" si="758">IF(V1231&gt;0,H1231,"")</f>
        <v>Ирина Христова</v>
      </c>
      <c r="X1231" s="206">
        <f t="shared" ref="X1231:X1236" si="759">IF(AND($V1231&gt;0,$I1231=1),P1231/$E1231*$V1231,0)</f>
        <v>112.5</v>
      </c>
      <c r="Y1231" s="209">
        <f t="shared" ref="Y1231:Y1236" si="760">IF(AND($V1231&gt;0,$I1231&lt;&gt;1),Q1231/$E1231*$V1231,0)</f>
        <v>0</v>
      </c>
    </row>
    <row r="1232" spans="2:25" hidden="1" x14ac:dyDescent="0.25">
      <c r="B1232" s="60">
        <f>B1231</f>
        <v>34</v>
      </c>
      <c r="C1232" s="102">
        <v>233</v>
      </c>
      <c r="D1232" s="192" t="str">
        <f t="shared" si="735"/>
        <v>IV</v>
      </c>
      <c r="E1232" s="62">
        <v>10</v>
      </c>
      <c r="F1232" s="105">
        <v>43664</v>
      </c>
      <c r="G1232" s="105">
        <v>43673</v>
      </c>
      <c r="H1232" s="61" t="s">
        <v>243</v>
      </c>
      <c r="I1232" s="61">
        <v>3</v>
      </c>
      <c r="J1232" s="62" t="s">
        <v>170</v>
      </c>
      <c r="K1232" s="63"/>
      <c r="L1232" s="61"/>
      <c r="M1232" s="61"/>
      <c r="N1232" s="111"/>
      <c r="O1232" s="112"/>
      <c r="P1232" s="113"/>
      <c r="Q1232" s="114"/>
      <c r="R1232" s="64" t="s">
        <v>4</v>
      </c>
      <c r="S1232" s="108">
        <v>43620</v>
      </c>
      <c r="T1232" s="203">
        <f t="shared" si="756"/>
        <v>43647</v>
      </c>
      <c r="U1232" s="204">
        <f t="shared" si="757"/>
        <v>43677</v>
      </c>
      <c r="V1232" s="207">
        <f t="shared" ref="V1232:V1237" si="761">IF(G1232-F1232+1-IF(G1232-U1232&gt;0,G1232-U1232,0)-IF(T1232-F1232&gt;0,T1232-F1232,0)&gt;0,G1232-F1232+1-IF(G1232-U1232&gt;0,G1232-U1232,0)-IF(T1232-F1232&gt;0,T1232-F1232,0),0)</f>
        <v>10</v>
      </c>
      <c r="W1232" s="206" t="str">
        <f t="shared" si="758"/>
        <v>Ема Михова</v>
      </c>
      <c r="X1232" s="206">
        <f t="shared" si="759"/>
        <v>0</v>
      </c>
      <c r="Y1232" s="209">
        <f t="shared" si="760"/>
        <v>0</v>
      </c>
    </row>
    <row r="1233" spans="2:25" ht="45" x14ac:dyDescent="0.25">
      <c r="B1233" s="60">
        <f>B1231</f>
        <v>34</v>
      </c>
      <c r="C1233" s="102">
        <v>234</v>
      </c>
      <c r="D1233" s="192" t="str">
        <f t="shared" si="735"/>
        <v>IV</v>
      </c>
      <c r="E1233" s="62">
        <v>10</v>
      </c>
      <c r="F1233" s="105">
        <v>43664</v>
      </c>
      <c r="G1233" s="105">
        <v>43673</v>
      </c>
      <c r="H1233" s="61" t="s">
        <v>273</v>
      </c>
      <c r="I1233" s="61">
        <v>2</v>
      </c>
      <c r="J1233" s="62" t="s">
        <v>167</v>
      </c>
      <c r="K1233" s="63" t="s">
        <v>61</v>
      </c>
      <c r="L1233" s="61">
        <v>1.5</v>
      </c>
      <c r="M1233" s="61">
        <v>8</v>
      </c>
      <c r="N1233" s="111">
        <v>135</v>
      </c>
      <c r="O1233" s="112">
        <v>135</v>
      </c>
      <c r="P1233" s="113"/>
      <c r="Q1233" s="114">
        <v>135</v>
      </c>
      <c r="R1233" s="64" t="s">
        <v>4</v>
      </c>
      <c r="S1233" s="108">
        <v>43620</v>
      </c>
      <c r="T1233" s="203">
        <f t="shared" si="756"/>
        <v>43647</v>
      </c>
      <c r="U1233" s="204">
        <f t="shared" si="757"/>
        <v>43677</v>
      </c>
      <c r="V1233" s="207">
        <f t="shared" si="761"/>
        <v>10</v>
      </c>
      <c r="W1233" s="206" t="str">
        <f t="shared" si="758"/>
        <v>Светлин Михов</v>
      </c>
      <c r="X1233" s="206">
        <f t="shared" si="759"/>
        <v>0</v>
      </c>
      <c r="Y1233" s="209">
        <f t="shared" si="760"/>
        <v>135</v>
      </c>
    </row>
    <row r="1234" spans="2:25" hidden="1" x14ac:dyDescent="0.25">
      <c r="B1234" s="60">
        <f>B1231</f>
        <v>34</v>
      </c>
      <c r="C1234" s="102">
        <v>235</v>
      </c>
      <c r="D1234" s="192" t="str">
        <f t="shared" si="735"/>
        <v>IV</v>
      </c>
      <c r="E1234" s="62"/>
      <c r="F1234" s="105"/>
      <c r="G1234" s="105"/>
      <c r="H1234" s="61"/>
      <c r="I1234" s="61"/>
      <c r="J1234" s="62"/>
      <c r="K1234" s="63"/>
      <c r="L1234" s="61"/>
      <c r="M1234" s="61"/>
      <c r="N1234" s="111"/>
      <c r="O1234" s="112"/>
      <c r="P1234" s="113"/>
      <c r="Q1234" s="114"/>
      <c r="R1234" s="64"/>
      <c r="S1234" s="108"/>
      <c r="T1234" s="203">
        <f t="shared" si="756"/>
        <v>43647</v>
      </c>
      <c r="U1234" s="204">
        <f t="shared" si="757"/>
        <v>43677</v>
      </c>
      <c r="V1234" s="207">
        <f t="shared" si="761"/>
        <v>0</v>
      </c>
      <c r="W1234" s="206" t="str">
        <f t="shared" si="758"/>
        <v/>
      </c>
      <c r="X1234" s="206">
        <f t="shared" si="759"/>
        <v>0</v>
      </c>
      <c r="Y1234" s="209">
        <f t="shared" si="760"/>
        <v>0</v>
      </c>
    </row>
    <row r="1235" spans="2:25" hidden="1" x14ac:dyDescent="0.25">
      <c r="B1235" s="60">
        <f>B1231</f>
        <v>34</v>
      </c>
      <c r="C1235" s="102">
        <v>236</v>
      </c>
      <c r="D1235" s="192" t="str">
        <f t="shared" si="735"/>
        <v>IV</v>
      </c>
      <c r="E1235" s="62"/>
      <c r="F1235" s="105"/>
      <c r="G1235" s="105"/>
      <c r="H1235" s="61"/>
      <c r="I1235" s="61"/>
      <c r="J1235" s="62"/>
      <c r="K1235" s="63"/>
      <c r="L1235" s="61"/>
      <c r="M1235" s="61"/>
      <c r="N1235" s="111"/>
      <c r="O1235" s="112"/>
      <c r="P1235" s="113"/>
      <c r="Q1235" s="114"/>
      <c r="R1235" s="64"/>
      <c r="S1235" s="108"/>
      <c r="T1235" s="203">
        <f t="shared" si="756"/>
        <v>43647</v>
      </c>
      <c r="U1235" s="204">
        <f t="shared" si="757"/>
        <v>43677</v>
      </c>
      <c r="V1235" s="207">
        <f t="shared" si="761"/>
        <v>0</v>
      </c>
      <c r="W1235" s="206" t="str">
        <f t="shared" si="758"/>
        <v/>
      </c>
      <c r="X1235" s="206">
        <f t="shared" si="759"/>
        <v>0</v>
      </c>
      <c r="Y1235" s="209">
        <f t="shared" si="760"/>
        <v>0</v>
      </c>
    </row>
    <row r="1236" spans="2:25" hidden="1" x14ac:dyDescent="0.25">
      <c r="B1236" s="60">
        <f>B1231</f>
        <v>34</v>
      </c>
      <c r="C1236" s="102">
        <v>237</v>
      </c>
      <c r="D1236" s="192" t="str">
        <f t="shared" si="735"/>
        <v>IV</v>
      </c>
      <c r="E1236" s="62"/>
      <c r="F1236" s="105"/>
      <c r="G1236" s="105"/>
      <c r="H1236" s="61"/>
      <c r="I1236" s="61"/>
      <c r="J1236" s="62"/>
      <c r="K1236" s="63"/>
      <c r="L1236" s="61"/>
      <c r="M1236" s="61"/>
      <c r="N1236" s="111"/>
      <c r="O1236" s="112"/>
      <c r="P1236" s="113"/>
      <c r="Q1236" s="114"/>
      <c r="R1236" s="64"/>
      <c r="S1236" s="108"/>
      <c r="T1236" s="203">
        <f t="shared" si="756"/>
        <v>43647</v>
      </c>
      <c r="U1236" s="204">
        <f t="shared" si="757"/>
        <v>43677</v>
      </c>
      <c r="V1236" s="207">
        <f t="shared" si="761"/>
        <v>0</v>
      </c>
      <c r="W1236" s="206" t="str">
        <f t="shared" si="758"/>
        <v/>
      </c>
      <c r="X1236" s="206">
        <f t="shared" si="759"/>
        <v>0</v>
      </c>
      <c r="Y1236" s="209">
        <f t="shared" si="760"/>
        <v>0</v>
      </c>
    </row>
    <row r="1237" spans="2:25" ht="15.75" thickBot="1" x14ac:dyDescent="0.3">
      <c r="B1237" s="141">
        <f>B1231</f>
        <v>34</v>
      </c>
      <c r="C1237" s="142">
        <v>238</v>
      </c>
      <c r="D1237" s="194" t="str">
        <f t="shared" si="735"/>
        <v>IV</v>
      </c>
      <c r="E1237" s="143"/>
      <c r="F1237" s="144"/>
      <c r="G1237" s="144"/>
      <c r="H1237" s="145"/>
      <c r="I1237" s="145"/>
      <c r="J1237" s="436" t="s">
        <v>181</v>
      </c>
      <c r="K1237" s="437"/>
      <c r="L1237" s="438"/>
      <c r="M1237" s="145"/>
      <c r="N1237" s="146">
        <v>10</v>
      </c>
      <c r="O1237" s="147">
        <v>10</v>
      </c>
      <c r="P1237" s="148"/>
      <c r="Q1237" s="149">
        <v>10</v>
      </c>
      <c r="R1237" s="150" t="s">
        <v>4</v>
      </c>
      <c r="S1237" s="151">
        <v>43620</v>
      </c>
      <c r="T1237" s="213">
        <f t="shared" si="756"/>
        <v>43647</v>
      </c>
      <c r="U1237" s="214">
        <f t="shared" si="757"/>
        <v>43677</v>
      </c>
      <c r="V1237" s="210">
        <f t="shared" si="761"/>
        <v>0</v>
      </c>
      <c r="W1237" s="211"/>
      <c r="X1237" s="211">
        <f>IF(AND($V1237&gt;0,$I1237=1),IF($E1237=10,P1237/10,P1237/$V1237),0)</f>
        <v>0</v>
      </c>
      <c r="Y1237" s="212">
        <f>IF(AND($V1231&gt;0,$I1237&lt;&gt;1),Q1237/E1231*V1231,0)</f>
        <v>10</v>
      </c>
    </row>
    <row r="1238" spans="2:25" ht="30.75" thickTop="1" x14ac:dyDescent="0.25">
      <c r="B1238" s="129">
        <f>B1236+1</f>
        <v>35</v>
      </c>
      <c r="C1238" s="130">
        <v>239</v>
      </c>
      <c r="D1238" s="196" t="str">
        <f t="shared" si="735"/>
        <v>IV</v>
      </c>
      <c r="E1238" s="152">
        <v>10</v>
      </c>
      <c r="F1238" s="153">
        <v>43664</v>
      </c>
      <c r="G1238" s="153">
        <v>43673</v>
      </c>
      <c r="H1238" s="154" t="s">
        <v>274</v>
      </c>
      <c r="I1238" s="154">
        <v>1</v>
      </c>
      <c r="J1238" s="152" t="s">
        <v>168</v>
      </c>
      <c r="K1238" s="155" t="s">
        <v>16</v>
      </c>
      <c r="L1238" s="154">
        <v>1</v>
      </c>
      <c r="M1238" s="154">
        <v>8</v>
      </c>
      <c r="N1238" s="156">
        <v>75</v>
      </c>
      <c r="O1238" s="157">
        <v>75</v>
      </c>
      <c r="P1238" s="158">
        <v>75</v>
      </c>
      <c r="Q1238" s="159"/>
      <c r="R1238" s="160" t="s">
        <v>4</v>
      </c>
      <c r="S1238" s="161">
        <v>43620</v>
      </c>
      <c r="T1238" s="203">
        <f t="shared" si="756"/>
        <v>43647</v>
      </c>
      <c r="U1238" s="204">
        <f t="shared" si="757"/>
        <v>43677</v>
      </c>
      <c r="V1238" s="207">
        <f>IF(G1238-F1238+1-IF(G1238-U1238&gt;0,G1238-U1238,0)-IF(T1238-F1238&gt;0,T1238-F1238,0)&gt;0,G1238-F1238+1-IF(G1238-U1238&gt;0,G1238-U1238,0)-IF(T1238-F1238&gt;0,T1238-F1238,0),0)</f>
        <v>10</v>
      </c>
      <c r="W1238" s="206" t="str">
        <f t="shared" ref="W1238:W1243" si="762">IF(V1238&gt;0,H1238,"")</f>
        <v>Силвия Георгиева Стоянова</v>
      </c>
      <c r="X1238" s="206">
        <f t="shared" ref="X1238:X1243" si="763">IF(AND($V1238&gt;0,$I1238=1),P1238/$E1238*$V1238,0)</f>
        <v>75</v>
      </c>
      <c r="Y1238" s="209">
        <f t="shared" ref="Y1238:Y1243" si="764">IF(AND($V1238&gt;0,$I1238&lt;&gt;1),Q1238/$E1238*$V1238,0)</f>
        <v>0</v>
      </c>
    </row>
    <row r="1239" spans="2:25" hidden="1" x14ac:dyDescent="0.25">
      <c r="B1239" s="60">
        <f>B1238</f>
        <v>35</v>
      </c>
      <c r="C1239" s="102">
        <v>240</v>
      </c>
      <c r="D1239" s="192" t="str">
        <f t="shared" si="735"/>
        <v>IV</v>
      </c>
      <c r="E1239" s="162"/>
      <c r="F1239" s="163"/>
      <c r="G1239" s="163"/>
      <c r="H1239" s="164"/>
      <c r="I1239" s="164"/>
      <c r="J1239" s="162"/>
      <c r="K1239" s="165"/>
      <c r="L1239" s="164"/>
      <c r="M1239" s="164"/>
      <c r="N1239" s="166"/>
      <c r="O1239" s="167"/>
      <c r="P1239" s="168"/>
      <c r="Q1239" s="169"/>
      <c r="R1239" s="170"/>
      <c r="S1239" s="171"/>
      <c r="T1239" s="203">
        <f t="shared" si="756"/>
        <v>43647</v>
      </c>
      <c r="U1239" s="204">
        <f t="shared" si="757"/>
        <v>43677</v>
      </c>
      <c r="V1239" s="207">
        <f t="shared" ref="V1239:V1244" si="765">IF(G1239-F1239+1-IF(G1239-U1239&gt;0,G1239-U1239,0)-IF(T1239-F1239&gt;0,T1239-F1239,0)&gt;0,G1239-F1239+1-IF(G1239-U1239&gt;0,G1239-U1239,0)-IF(T1239-F1239&gt;0,T1239-F1239,0),0)</f>
        <v>0</v>
      </c>
      <c r="W1239" s="206" t="str">
        <f t="shared" si="762"/>
        <v/>
      </c>
      <c r="X1239" s="206">
        <f t="shared" si="763"/>
        <v>0</v>
      </c>
      <c r="Y1239" s="209">
        <f t="shared" si="764"/>
        <v>0</v>
      </c>
    </row>
    <row r="1240" spans="2:25" hidden="1" x14ac:dyDescent="0.25">
      <c r="B1240" s="60">
        <f>B1238</f>
        <v>35</v>
      </c>
      <c r="C1240" s="102">
        <v>241</v>
      </c>
      <c r="D1240" s="192" t="str">
        <f t="shared" si="735"/>
        <v>IV</v>
      </c>
      <c r="E1240" s="162"/>
      <c r="F1240" s="163"/>
      <c r="G1240" s="163"/>
      <c r="H1240" s="164"/>
      <c r="I1240" s="164"/>
      <c r="J1240" s="162"/>
      <c r="K1240" s="165"/>
      <c r="L1240" s="164"/>
      <c r="M1240" s="164"/>
      <c r="N1240" s="166"/>
      <c r="O1240" s="167"/>
      <c r="P1240" s="168"/>
      <c r="Q1240" s="169"/>
      <c r="R1240" s="170"/>
      <c r="S1240" s="171"/>
      <c r="T1240" s="203">
        <f t="shared" si="756"/>
        <v>43647</v>
      </c>
      <c r="U1240" s="204">
        <f t="shared" si="757"/>
        <v>43677</v>
      </c>
      <c r="V1240" s="207">
        <f t="shared" si="765"/>
        <v>0</v>
      </c>
      <c r="W1240" s="206" t="str">
        <f t="shared" si="762"/>
        <v/>
      </c>
      <c r="X1240" s="206">
        <f t="shared" si="763"/>
        <v>0</v>
      </c>
      <c r="Y1240" s="209">
        <f t="shared" si="764"/>
        <v>0</v>
      </c>
    </row>
    <row r="1241" spans="2:25" hidden="1" x14ac:dyDescent="0.25">
      <c r="B1241" s="60">
        <f>B1238</f>
        <v>35</v>
      </c>
      <c r="C1241" s="102">
        <v>242</v>
      </c>
      <c r="D1241" s="192" t="str">
        <f t="shared" si="735"/>
        <v>IV</v>
      </c>
      <c r="E1241" s="162"/>
      <c r="F1241" s="163"/>
      <c r="G1241" s="163"/>
      <c r="H1241" s="164"/>
      <c r="I1241" s="164"/>
      <c r="J1241" s="162"/>
      <c r="K1241" s="165"/>
      <c r="L1241" s="164"/>
      <c r="M1241" s="164"/>
      <c r="N1241" s="166"/>
      <c r="O1241" s="167"/>
      <c r="P1241" s="168"/>
      <c r="Q1241" s="169"/>
      <c r="R1241" s="170"/>
      <c r="S1241" s="171"/>
      <c r="T1241" s="203">
        <f t="shared" si="756"/>
        <v>43647</v>
      </c>
      <c r="U1241" s="204">
        <f t="shared" si="757"/>
        <v>43677</v>
      </c>
      <c r="V1241" s="207">
        <f t="shared" si="765"/>
        <v>0</v>
      </c>
      <c r="W1241" s="206" t="str">
        <f t="shared" si="762"/>
        <v/>
      </c>
      <c r="X1241" s="206">
        <f t="shared" si="763"/>
        <v>0</v>
      </c>
      <c r="Y1241" s="209">
        <f t="shared" si="764"/>
        <v>0</v>
      </c>
    </row>
    <row r="1242" spans="2:25" hidden="1" x14ac:dyDescent="0.25">
      <c r="B1242" s="60">
        <f>B1238</f>
        <v>35</v>
      </c>
      <c r="C1242" s="102">
        <v>243</v>
      </c>
      <c r="D1242" s="192" t="str">
        <f t="shared" si="735"/>
        <v>IV</v>
      </c>
      <c r="E1242" s="162"/>
      <c r="F1242" s="163"/>
      <c r="G1242" s="163"/>
      <c r="H1242" s="164"/>
      <c r="I1242" s="164"/>
      <c r="J1242" s="162"/>
      <c r="K1242" s="165"/>
      <c r="L1242" s="164"/>
      <c r="M1242" s="164"/>
      <c r="N1242" s="166"/>
      <c r="O1242" s="167"/>
      <c r="P1242" s="168"/>
      <c r="Q1242" s="169"/>
      <c r="R1242" s="170"/>
      <c r="S1242" s="171"/>
      <c r="T1242" s="203">
        <f t="shared" si="756"/>
        <v>43647</v>
      </c>
      <c r="U1242" s="204">
        <f t="shared" si="757"/>
        <v>43677</v>
      </c>
      <c r="V1242" s="207">
        <f t="shared" si="765"/>
        <v>0</v>
      </c>
      <c r="W1242" s="206" t="str">
        <f t="shared" si="762"/>
        <v/>
      </c>
      <c r="X1242" s="206">
        <f t="shared" si="763"/>
        <v>0</v>
      </c>
      <c r="Y1242" s="209">
        <f t="shared" si="764"/>
        <v>0</v>
      </c>
    </row>
    <row r="1243" spans="2:25" hidden="1" x14ac:dyDescent="0.25">
      <c r="B1243" s="60">
        <f>B1238</f>
        <v>35</v>
      </c>
      <c r="C1243" s="102">
        <v>244</v>
      </c>
      <c r="D1243" s="192" t="str">
        <f t="shared" si="735"/>
        <v>IV</v>
      </c>
      <c r="E1243" s="172"/>
      <c r="F1243" s="173"/>
      <c r="G1243" s="173"/>
      <c r="H1243" s="174"/>
      <c r="I1243" s="174"/>
      <c r="J1243" s="172"/>
      <c r="K1243" s="175"/>
      <c r="L1243" s="174"/>
      <c r="M1243" s="174"/>
      <c r="N1243" s="176"/>
      <c r="O1243" s="177"/>
      <c r="P1243" s="178"/>
      <c r="Q1243" s="179"/>
      <c r="R1243" s="180"/>
      <c r="S1243" s="181"/>
      <c r="T1243" s="203">
        <f t="shared" si="756"/>
        <v>43647</v>
      </c>
      <c r="U1243" s="204">
        <f t="shared" si="757"/>
        <v>43677</v>
      </c>
      <c r="V1243" s="207">
        <f t="shared" si="765"/>
        <v>0</v>
      </c>
      <c r="W1243" s="206" t="str">
        <f t="shared" si="762"/>
        <v/>
      </c>
      <c r="X1243" s="206">
        <f t="shared" si="763"/>
        <v>0</v>
      </c>
      <c r="Y1243" s="209">
        <f t="shared" si="764"/>
        <v>0</v>
      </c>
    </row>
    <row r="1244" spans="2:25" ht="15.75" thickBot="1" x14ac:dyDescent="0.3">
      <c r="B1244" s="141">
        <f>B1238</f>
        <v>35</v>
      </c>
      <c r="C1244" s="142">
        <v>245</v>
      </c>
      <c r="D1244" s="194" t="str">
        <f t="shared" si="735"/>
        <v>IV</v>
      </c>
      <c r="E1244" s="189"/>
      <c r="F1244" s="190"/>
      <c r="G1244" s="190"/>
      <c r="H1244" s="182"/>
      <c r="I1244" s="182"/>
      <c r="J1244" s="436" t="s">
        <v>181</v>
      </c>
      <c r="K1244" s="437"/>
      <c r="L1244" s="438"/>
      <c r="M1244" s="182"/>
      <c r="N1244" s="183">
        <v>10</v>
      </c>
      <c r="O1244" s="184">
        <v>10</v>
      </c>
      <c r="P1244" s="185"/>
      <c r="Q1244" s="186">
        <v>10</v>
      </c>
      <c r="R1244" s="187" t="s">
        <v>4</v>
      </c>
      <c r="S1244" s="188">
        <v>43620</v>
      </c>
      <c r="T1244" s="213">
        <f t="shared" si="756"/>
        <v>43647</v>
      </c>
      <c r="U1244" s="214">
        <f t="shared" si="757"/>
        <v>43677</v>
      </c>
      <c r="V1244" s="210">
        <f t="shared" si="765"/>
        <v>0</v>
      </c>
      <c r="W1244" s="211"/>
      <c r="X1244" s="211">
        <f>IF(AND($V1244&gt;0,$I1244=1),IF($E1244=10,P1244/10,P1244/$V1244),0)</f>
        <v>0</v>
      </c>
      <c r="Y1244" s="212">
        <f>IF(AND($V1238&gt;0,$I1244&lt;&gt;1),Q1244/E1238*V1238,0)</f>
        <v>10</v>
      </c>
    </row>
    <row r="1245" spans="2:25" ht="30.75" thickTop="1" x14ac:dyDescent="0.25">
      <c r="B1245" s="129">
        <f>B1243+1</f>
        <v>36</v>
      </c>
      <c r="C1245" s="130">
        <v>246</v>
      </c>
      <c r="D1245" s="196" t="str">
        <f t="shared" si="735"/>
        <v>IV</v>
      </c>
      <c r="E1245" s="131">
        <v>10</v>
      </c>
      <c r="F1245" s="132">
        <v>43664</v>
      </c>
      <c r="G1245" s="132">
        <v>43673</v>
      </c>
      <c r="H1245" s="133" t="s">
        <v>275</v>
      </c>
      <c r="I1245" s="133">
        <v>1</v>
      </c>
      <c r="J1245" s="131" t="s">
        <v>168</v>
      </c>
      <c r="K1245" s="134" t="s">
        <v>61</v>
      </c>
      <c r="L1245" s="133">
        <v>1.5</v>
      </c>
      <c r="M1245" s="133">
        <v>8</v>
      </c>
      <c r="N1245" s="135">
        <v>112.5</v>
      </c>
      <c r="O1245" s="136">
        <v>112.5</v>
      </c>
      <c r="P1245" s="137">
        <v>112.5</v>
      </c>
      <c r="Q1245" s="138"/>
      <c r="R1245" s="139" t="s">
        <v>4</v>
      </c>
      <c r="S1245" s="140">
        <v>43621</v>
      </c>
      <c r="T1245" s="203">
        <f t="shared" si="756"/>
        <v>43647</v>
      </c>
      <c r="U1245" s="204">
        <f t="shared" si="757"/>
        <v>43677</v>
      </c>
      <c r="V1245" s="207">
        <f>IF(G1245-F1245+1-IF(G1245-U1245&gt;0,G1245-U1245,0)-IF(T1245-F1245&gt;0,T1245-F1245,0)&gt;0,G1245-F1245+1-IF(G1245-U1245&gt;0,G1245-U1245,0)-IF(T1245-F1245&gt;0,T1245-F1245,0),0)</f>
        <v>10</v>
      </c>
      <c r="W1245" s="206" t="str">
        <f t="shared" ref="W1245:W1250" si="766">IF(V1245&gt;0,H1245,"")</f>
        <v>Цвета Христова</v>
      </c>
      <c r="X1245" s="206">
        <f t="shared" ref="X1245:X1250" si="767">IF(AND($V1245&gt;0,$I1245=1),P1245/$E1245*$V1245,0)</f>
        <v>112.5</v>
      </c>
      <c r="Y1245" s="209">
        <f t="shared" ref="Y1245:Y1250" si="768">IF(AND($V1245&gt;0,$I1245&lt;&gt;1),Q1245/$E1245*$V1245,0)</f>
        <v>0</v>
      </c>
    </row>
    <row r="1246" spans="2:25" hidden="1" x14ac:dyDescent="0.25">
      <c r="B1246" s="60">
        <f>B1245</f>
        <v>36</v>
      </c>
      <c r="C1246" s="102">
        <v>247</v>
      </c>
      <c r="D1246" s="192" t="str">
        <f t="shared" si="735"/>
        <v>IV</v>
      </c>
      <c r="E1246" s="62"/>
      <c r="F1246" s="105"/>
      <c r="G1246" s="105"/>
      <c r="H1246" s="61"/>
      <c r="I1246" s="61"/>
      <c r="J1246" s="62"/>
      <c r="K1246" s="63"/>
      <c r="L1246" s="61"/>
      <c r="M1246" s="61"/>
      <c r="N1246" s="111"/>
      <c r="O1246" s="112"/>
      <c r="P1246" s="113"/>
      <c r="Q1246" s="114"/>
      <c r="R1246" s="64"/>
      <c r="S1246" s="108"/>
      <c r="T1246" s="203">
        <f t="shared" si="756"/>
        <v>43647</v>
      </c>
      <c r="U1246" s="204">
        <f t="shared" si="757"/>
        <v>43677</v>
      </c>
      <c r="V1246" s="207">
        <f t="shared" ref="V1246:V1251" si="769">IF(G1246-F1246+1-IF(G1246-U1246&gt;0,G1246-U1246,0)-IF(T1246-F1246&gt;0,T1246-F1246,0)&gt;0,G1246-F1246+1-IF(G1246-U1246&gt;0,G1246-U1246,0)-IF(T1246-F1246&gt;0,T1246-F1246,0),0)</f>
        <v>0</v>
      </c>
      <c r="W1246" s="206" t="str">
        <f t="shared" si="766"/>
        <v/>
      </c>
      <c r="X1246" s="206">
        <f t="shared" si="767"/>
        <v>0</v>
      </c>
      <c r="Y1246" s="209">
        <f t="shared" si="768"/>
        <v>0</v>
      </c>
    </row>
    <row r="1247" spans="2:25" hidden="1" x14ac:dyDescent="0.25">
      <c r="B1247" s="60">
        <f>B1245</f>
        <v>36</v>
      </c>
      <c r="C1247" s="102">
        <v>248</v>
      </c>
      <c r="D1247" s="192" t="str">
        <f t="shared" si="735"/>
        <v>IV</v>
      </c>
      <c r="E1247" s="62"/>
      <c r="F1247" s="105"/>
      <c r="G1247" s="105"/>
      <c r="H1247" s="61"/>
      <c r="I1247" s="61"/>
      <c r="J1247" s="62"/>
      <c r="K1247" s="63"/>
      <c r="L1247" s="61"/>
      <c r="M1247" s="61"/>
      <c r="N1247" s="111"/>
      <c r="O1247" s="112"/>
      <c r="P1247" s="113"/>
      <c r="Q1247" s="114"/>
      <c r="R1247" s="64"/>
      <c r="S1247" s="108"/>
      <c r="T1247" s="203">
        <f t="shared" si="756"/>
        <v>43647</v>
      </c>
      <c r="U1247" s="204">
        <f t="shared" si="757"/>
        <v>43677</v>
      </c>
      <c r="V1247" s="207">
        <f t="shared" si="769"/>
        <v>0</v>
      </c>
      <c r="W1247" s="206" t="str">
        <f t="shared" si="766"/>
        <v/>
      </c>
      <c r="X1247" s="206">
        <f t="shared" si="767"/>
        <v>0</v>
      </c>
      <c r="Y1247" s="209">
        <f t="shared" si="768"/>
        <v>0</v>
      </c>
    </row>
    <row r="1248" spans="2:25" hidden="1" x14ac:dyDescent="0.25">
      <c r="B1248" s="60">
        <f>B1245</f>
        <v>36</v>
      </c>
      <c r="C1248" s="102">
        <v>249</v>
      </c>
      <c r="D1248" s="192" t="str">
        <f t="shared" si="735"/>
        <v>IV</v>
      </c>
      <c r="E1248" s="62"/>
      <c r="F1248" s="105"/>
      <c r="G1248" s="105"/>
      <c r="H1248" s="61"/>
      <c r="I1248" s="61"/>
      <c r="J1248" s="62"/>
      <c r="K1248" s="63"/>
      <c r="L1248" s="61"/>
      <c r="M1248" s="61"/>
      <c r="N1248" s="111"/>
      <c r="O1248" s="112"/>
      <c r="P1248" s="113"/>
      <c r="Q1248" s="114"/>
      <c r="R1248" s="64"/>
      <c r="S1248" s="108"/>
      <c r="T1248" s="203">
        <f t="shared" si="756"/>
        <v>43647</v>
      </c>
      <c r="U1248" s="204">
        <f t="shared" si="757"/>
        <v>43677</v>
      </c>
      <c r="V1248" s="207">
        <f t="shared" si="769"/>
        <v>0</v>
      </c>
      <c r="W1248" s="206" t="str">
        <f t="shared" si="766"/>
        <v/>
      </c>
      <c r="X1248" s="206">
        <f t="shared" si="767"/>
        <v>0</v>
      </c>
      <c r="Y1248" s="209">
        <f t="shared" si="768"/>
        <v>0</v>
      </c>
    </row>
    <row r="1249" spans="2:25" hidden="1" x14ac:dyDescent="0.25">
      <c r="B1249" s="60">
        <f>B1245</f>
        <v>36</v>
      </c>
      <c r="C1249" s="102">
        <v>250</v>
      </c>
      <c r="D1249" s="192" t="str">
        <f t="shared" si="735"/>
        <v>IV</v>
      </c>
      <c r="E1249" s="62"/>
      <c r="F1249" s="105"/>
      <c r="G1249" s="105"/>
      <c r="H1249" s="61"/>
      <c r="I1249" s="61"/>
      <c r="J1249" s="62"/>
      <c r="K1249" s="63"/>
      <c r="L1249" s="61"/>
      <c r="M1249" s="61"/>
      <c r="N1249" s="111"/>
      <c r="O1249" s="112"/>
      <c r="P1249" s="113"/>
      <c r="Q1249" s="114"/>
      <c r="R1249" s="64"/>
      <c r="S1249" s="108"/>
      <c r="T1249" s="203">
        <f t="shared" si="756"/>
        <v>43647</v>
      </c>
      <c r="U1249" s="204">
        <f t="shared" si="757"/>
        <v>43677</v>
      </c>
      <c r="V1249" s="207">
        <f t="shared" si="769"/>
        <v>0</v>
      </c>
      <c r="W1249" s="206" t="str">
        <f t="shared" si="766"/>
        <v/>
      </c>
      <c r="X1249" s="206">
        <f t="shared" si="767"/>
        <v>0</v>
      </c>
      <c r="Y1249" s="209">
        <f t="shared" si="768"/>
        <v>0</v>
      </c>
    </row>
    <row r="1250" spans="2:25" hidden="1" x14ac:dyDescent="0.25">
      <c r="B1250" s="60">
        <f>B1245</f>
        <v>36</v>
      </c>
      <c r="C1250" s="102">
        <v>251</v>
      </c>
      <c r="D1250" s="192" t="str">
        <f t="shared" si="735"/>
        <v>IV</v>
      </c>
      <c r="E1250" s="62"/>
      <c r="F1250" s="105"/>
      <c r="G1250" s="105"/>
      <c r="H1250" s="61"/>
      <c r="I1250" s="61"/>
      <c r="J1250" s="62"/>
      <c r="K1250" s="63"/>
      <c r="L1250" s="61"/>
      <c r="M1250" s="61"/>
      <c r="N1250" s="111"/>
      <c r="O1250" s="112"/>
      <c r="P1250" s="113"/>
      <c r="Q1250" s="114"/>
      <c r="R1250" s="64"/>
      <c r="S1250" s="108"/>
      <c r="T1250" s="203">
        <f t="shared" si="756"/>
        <v>43647</v>
      </c>
      <c r="U1250" s="204">
        <f t="shared" si="757"/>
        <v>43677</v>
      </c>
      <c r="V1250" s="207">
        <f t="shared" si="769"/>
        <v>0</v>
      </c>
      <c r="W1250" s="206" t="str">
        <f t="shared" si="766"/>
        <v/>
      </c>
      <c r="X1250" s="206">
        <f t="shared" si="767"/>
        <v>0</v>
      </c>
      <c r="Y1250" s="209">
        <f t="shared" si="768"/>
        <v>0</v>
      </c>
    </row>
    <row r="1251" spans="2:25" ht="15.75" thickBot="1" x14ac:dyDescent="0.3">
      <c r="B1251" s="141">
        <f>B1245</f>
        <v>36</v>
      </c>
      <c r="C1251" s="142">
        <v>252</v>
      </c>
      <c r="D1251" s="194" t="str">
        <f t="shared" si="735"/>
        <v>IV</v>
      </c>
      <c r="E1251" s="143"/>
      <c r="F1251" s="144"/>
      <c r="G1251" s="144"/>
      <c r="H1251" s="145"/>
      <c r="I1251" s="145"/>
      <c r="J1251" s="436" t="s">
        <v>181</v>
      </c>
      <c r="K1251" s="437"/>
      <c r="L1251" s="438"/>
      <c r="M1251" s="145"/>
      <c r="N1251" s="146">
        <v>10</v>
      </c>
      <c r="O1251" s="147">
        <v>10</v>
      </c>
      <c r="P1251" s="148"/>
      <c r="Q1251" s="149">
        <v>10</v>
      </c>
      <c r="R1251" s="150" t="s">
        <v>4</v>
      </c>
      <c r="S1251" s="151">
        <v>43621</v>
      </c>
      <c r="T1251" s="213">
        <f t="shared" si="756"/>
        <v>43647</v>
      </c>
      <c r="U1251" s="214">
        <f t="shared" si="757"/>
        <v>43677</v>
      </c>
      <c r="V1251" s="210">
        <f t="shared" si="769"/>
        <v>0</v>
      </c>
      <c r="W1251" s="211"/>
      <c r="X1251" s="211">
        <f>IF(AND($V1251&gt;0,$I1251=1),IF($E1251=10,P1251/10,P1251/$V1251),0)</f>
        <v>0</v>
      </c>
      <c r="Y1251" s="212">
        <f>IF(AND($V1245&gt;0,$I1251&lt;&gt;1),Q1251/E1245*V1245,0)</f>
        <v>10</v>
      </c>
    </row>
    <row r="1252" spans="2:25" ht="30.75" thickTop="1" x14ac:dyDescent="0.25">
      <c r="B1252" s="129">
        <f>B1250+1</f>
        <v>37</v>
      </c>
      <c r="C1252" s="130">
        <v>253</v>
      </c>
      <c r="D1252" s="196" t="str">
        <f t="shared" si="735"/>
        <v>IV</v>
      </c>
      <c r="E1252" s="152">
        <v>10</v>
      </c>
      <c r="F1252" s="153">
        <v>43664</v>
      </c>
      <c r="G1252" s="153">
        <v>43673</v>
      </c>
      <c r="H1252" s="154" t="s">
        <v>244</v>
      </c>
      <c r="I1252" s="154">
        <v>1</v>
      </c>
      <c r="J1252" s="152" t="s">
        <v>168</v>
      </c>
      <c r="K1252" s="155" t="s">
        <v>16</v>
      </c>
      <c r="L1252" s="154">
        <v>1</v>
      </c>
      <c r="M1252" s="154">
        <v>8</v>
      </c>
      <c r="N1252" s="156">
        <v>75</v>
      </c>
      <c r="O1252" s="157">
        <v>75</v>
      </c>
      <c r="P1252" s="158">
        <v>75</v>
      </c>
      <c r="Q1252" s="159"/>
      <c r="R1252" s="160" t="s">
        <v>4</v>
      </c>
      <c r="S1252" s="161">
        <v>43620</v>
      </c>
      <c r="T1252" s="203">
        <f t="shared" si="756"/>
        <v>43647</v>
      </c>
      <c r="U1252" s="204">
        <f t="shared" si="757"/>
        <v>43677</v>
      </c>
      <c r="V1252" s="207">
        <f>IF(G1252-F1252+1-IF(G1252-U1252&gt;0,G1252-U1252,0)-IF(T1252-F1252&gt;0,T1252-F1252,0)&gt;0,G1252-F1252+1-IF(G1252-U1252&gt;0,G1252-U1252,0)-IF(T1252-F1252&gt;0,T1252-F1252,0),0)</f>
        <v>10</v>
      </c>
      <c r="W1252" s="206" t="str">
        <f t="shared" ref="W1252:W1257" si="770">IF(V1252&gt;0,H1252,"")</f>
        <v>Сехер Кадирова</v>
      </c>
      <c r="X1252" s="206">
        <f t="shared" ref="X1252:X1257" si="771">IF(AND($V1252&gt;0,$I1252=1),P1252/$E1252*$V1252,0)</f>
        <v>75</v>
      </c>
      <c r="Y1252" s="209">
        <f t="shared" ref="Y1252:Y1257" si="772">IF(AND($V1252&gt;0,$I1252&lt;&gt;1),Q1252/$E1252*$V1252,0)</f>
        <v>0</v>
      </c>
    </row>
    <row r="1253" spans="2:25" x14ac:dyDescent="0.25">
      <c r="B1253" s="60">
        <f>B1252</f>
        <v>37</v>
      </c>
      <c r="C1253" s="102">
        <v>254</v>
      </c>
      <c r="D1253" s="192" t="str">
        <f t="shared" si="735"/>
        <v>IV</v>
      </c>
      <c r="E1253" s="162">
        <v>10</v>
      </c>
      <c r="F1253" s="163">
        <v>43664</v>
      </c>
      <c r="G1253" s="163">
        <v>43673</v>
      </c>
      <c r="H1253" s="164" t="s">
        <v>245</v>
      </c>
      <c r="I1253" s="164">
        <v>3</v>
      </c>
      <c r="J1253" s="162" t="s">
        <v>170</v>
      </c>
      <c r="K1253" s="165" t="s">
        <v>16</v>
      </c>
      <c r="L1253" s="164">
        <v>1</v>
      </c>
      <c r="M1253" s="164">
        <v>8</v>
      </c>
      <c r="N1253" s="166">
        <v>0</v>
      </c>
      <c r="O1253" s="167">
        <v>0</v>
      </c>
      <c r="P1253" s="168"/>
      <c r="Q1253" s="169">
        <v>0</v>
      </c>
      <c r="R1253" s="170" t="s">
        <v>4</v>
      </c>
      <c r="S1253" s="171">
        <v>43620</v>
      </c>
      <c r="T1253" s="203">
        <f t="shared" si="756"/>
        <v>43647</v>
      </c>
      <c r="U1253" s="204">
        <f t="shared" si="757"/>
        <v>43677</v>
      </c>
      <c r="V1253" s="207">
        <f t="shared" ref="V1253:V1258" si="773">IF(G1253-F1253+1-IF(G1253-U1253&gt;0,G1253-U1253,0)-IF(T1253-F1253&gt;0,T1253-F1253,0)&gt;0,G1253-F1253+1-IF(G1253-U1253&gt;0,G1253-U1253,0)-IF(T1253-F1253&gt;0,T1253-F1253,0),0)</f>
        <v>10</v>
      </c>
      <c r="W1253" s="206" t="str">
        <f t="shared" si="770"/>
        <v>Иляйда Османова</v>
      </c>
      <c r="X1253" s="206">
        <f t="shared" si="771"/>
        <v>0</v>
      </c>
      <c r="Y1253" s="209">
        <f t="shared" si="772"/>
        <v>0</v>
      </c>
    </row>
    <row r="1254" spans="2:25" hidden="1" x14ac:dyDescent="0.25">
      <c r="B1254" s="60">
        <f>B1252</f>
        <v>37</v>
      </c>
      <c r="C1254" s="102">
        <v>255</v>
      </c>
      <c r="D1254" s="192" t="str">
        <f t="shared" si="735"/>
        <v>IV</v>
      </c>
      <c r="E1254" s="162"/>
      <c r="F1254" s="163"/>
      <c r="G1254" s="163"/>
      <c r="H1254" s="164"/>
      <c r="I1254" s="164"/>
      <c r="J1254" s="162"/>
      <c r="K1254" s="165"/>
      <c r="L1254" s="164"/>
      <c r="M1254" s="164"/>
      <c r="N1254" s="166"/>
      <c r="O1254" s="167"/>
      <c r="P1254" s="168"/>
      <c r="Q1254" s="169"/>
      <c r="R1254" s="170"/>
      <c r="S1254" s="171"/>
      <c r="T1254" s="203">
        <f t="shared" si="756"/>
        <v>43647</v>
      </c>
      <c r="U1254" s="204">
        <f t="shared" si="757"/>
        <v>43677</v>
      </c>
      <c r="V1254" s="207">
        <f t="shared" si="773"/>
        <v>0</v>
      </c>
      <c r="W1254" s="206" t="str">
        <f t="shared" si="770"/>
        <v/>
      </c>
      <c r="X1254" s="206">
        <f t="shared" si="771"/>
        <v>0</v>
      </c>
      <c r="Y1254" s="209">
        <f t="shared" si="772"/>
        <v>0</v>
      </c>
    </row>
    <row r="1255" spans="2:25" hidden="1" x14ac:dyDescent="0.25">
      <c r="B1255" s="60">
        <f>B1252</f>
        <v>37</v>
      </c>
      <c r="C1255" s="102">
        <v>256</v>
      </c>
      <c r="D1255" s="192" t="str">
        <f t="shared" si="735"/>
        <v>IV</v>
      </c>
      <c r="E1255" s="162"/>
      <c r="F1255" s="163"/>
      <c r="G1255" s="163"/>
      <c r="H1255" s="164"/>
      <c r="I1255" s="164"/>
      <c r="J1255" s="162"/>
      <c r="K1255" s="165"/>
      <c r="L1255" s="164"/>
      <c r="M1255" s="164"/>
      <c r="N1255" s="166"/>
      <c r="O1255" s="167"/>
      <c r="P1255" s="168"/>
      <c r="Q1255" s="169"/>
      <c r="R1255" s="170"/>
      <c r="S1255" s="171"/>
      <c r="T1255" s="203">
        <f t="shared" si="756"/>
        <v>43647</v>
      </c>
      <c r="U1255" s="204">
        <f t="shared" si="757"/>
        <v>43677</v>
      </c>
      <c r="V1255" s="207">
        <f t="shared" si="773"/>
        <v>0</v>
      </c>
      <c r="W1255" s="206" t="str">
        <f t="shared" si="770"/>
        <v/>
      </c>
      <c r="X1255" s="206">
        <f t="shared" si="771"/>
        <v>0</v>
      </c>
      <c r="Y1255" s="209">
        <f t="shared" si="772"/>
        <v>0</v>
      </c>
    </row>
    <row r="1256" spans="2:25" hidden="1" x14ac:dyDescent="0.25">
      <c r="B1256" s="60">
        <f>B1252</f>
        <v>37</v>
      </c>
      <c r="C1256" s="102">
        <v>257</v>
      </c>
      <c r="D1256" s="192" t="str">
        <f t="shared" si="735"/>
        <v>IV</v>
      </c>
      <c r="E1256" s="162"/>
      <c r="F1256" s="163"/>
      <c r="G1256" s="163"/>
      <c r="H1256" s="164"/>
      <c r="I1256" s="164"/>
      <c r="J1256" s="162"/>
      <c r="K1256" s="165"/>
      <c r="L1256" s="164"/>
      <c r="M1256" s="164"/>
      <c r="N1256" s="166"/>
      <c r="O1256" s="167"/>
      <c r="P1256" s="168"/>
      <c r="Q1256" s="169"/>
      <c r="R1256" s="170"/>
      <c r="S1256" s="171"/>
      <c r="T1256" s="203">
        <f t="shared" si="756"/>
        <v>43647</v>
      </c>
      <c r="U1256" s="204">
        <f t="shared" si="757"/>
        <v>43677</v>
      </c>
      <c r="V1256" s="207">
        <f t="shared" si="773"/>
        <v>0</v>
      </c>
      <c r="W1256" s="206" t="str">
        <f t="shared" si="770"/>
        <v/>
      </c>
      <c r="X1256" s="206">
        <f t="shared" si="771"/>
        <v>0</v>
      </c>
      <c r="Y1256" s="209">
        <f t="shared" si="772"/>
        <v>0</v>
      </c>
    </row>
    <row r="1257" spans="2:25" hidden="1" x14ac:dyDescent="0.25">
      <c r="B1257" s="60">
        <f>B1252</f>
        <v>37</v>
      </c>
      <c r="C1257" s="102">
        <v>258</v>
      </c>
      <c r="D1257" s="192" t="str">
        <f t="shared" si="735"/>
        <v>IV</v>
      </c>
      <c r="E1257" s="172"/>
      <c r="F1257" s="173"/>
      <c r="G1257" s="173"/>
      <c r="H1257" s="174"/>
      <c r="I1257" s="174"/>
      <c r="J1257" s="172"/>
      <c r="K1257" s="175"/>
      <c r="L1257" s="174"/>
      <c r="M1257" s="174"/>
      <c r="N1257" s="176"/>
      <c r="O1257" s="177"/>
      <c r="P1257" s="178"/>
      <c r="Q1257" s="179"/>
      <c r="R1257" s="180"/>
      <c r="S1257" s="181"/>
      <c r="T1257" s="203">
        <f t="shared" si="756"/>
        <v>43647</v>
      </c>
      <c r="U1257" s="204">
        <f t="shared" si="757"/>
        <v>43677</v>
      </c>
      <c r="V1257" s="207">
        <f t="shared" si="773"/>
        <v>0</v>
      </c>
      <c r="W1257" s="206" t="str">
        <f t="shared" si="770"/>
        <v/>
      </c>
      <c r="X1257" s="206">
        <f t="shared" si="771"/>
        <v>0</v>
      </c>
      <c r="Y1257" s="209">
        <f t="shared" si="772"/>
        <v>0</v>
      </c>
    </row>
    <row r="1258" spans="2:25" ht="15.75" thickBot="1" x14ac:dyDescent="0.3">
      <c r="B1258" s="141">
        <f>B1252</f>
        <v>37</v>
      </c>
      <c r="C1258" s="142">
        <v>259</v>
      </c>
      <c r="D1258" s="194" t="str">
        <f t="shared" ref="D1258:D1321" si="774">D1257</f>
        <v>IV</v>
      </c>
      <c r="E1258" s="189"/>
      <c r="F1258" s="190"/>
      <c r="G1258" s="190"/>
      <c r="H1258" s="182"/>
      <c r="I1258" s="182"/>
      <c r="J1258" s="436" t="s">
        <v>181</v>
      </c>
      <c r="K1258" s="437"/>
      <c r="L1258" s="438"/>
      <c r="M1258" s="182"/>
      <c r="N1258" s="183">
        <v>10</v>
      </c>
      <c r="O1258" s="184">
        <v>10</v>
      </c>
      <c r="P1258" s="185"/>
      <c r="Q1258" s="186">
        <v>10</v>
      </c>
      <c r="R1258" s="187" t="s">
        <v>4</v>
      </c>
      <c r="S1258" s="188">
        <v>43620</v>
      </c>
      <c r="T1258" s="213">
        <f t="shared" si="756"/>
        <v>43647</v>
      </c>
      <c r="U1258" s="214">
        <f t="shared" si="757"/>
        <v>43677</v>
      </c>
      <c r="V1258" s="210">
        <f t="shared" si="773"/>
        <v>0</v>
      </c>
      <c r="W1258" s="211"/>
      <c r="X1258" s="211">
        <f>IF(AND($V1258&gt;0,$I1258=1),IF($E1258=10,P1258/10,P1258/$V1258),0)</f>
        <v>0</v>
      </c>
      <c r="Y1258" s="212">
        <f>IF(AND($V1252&gt;0,$I1258&lt;&gt;1),Q1258/E1252*V1252,0)</f>
        <v>10</v>
      </c>
    </row>
    <row r="1259" spans="2:25" ht="30.75" thickTop="1" x14ac:dyDescent="0.25">
      <c r="B1259" s="129">
        <f>B1257+1</f>
        <v>38</v>
      </c>
      <c r="C1259" s="130">
        <v>260</v>
      </c>
      <c r="D1259" s="196" t="str">
        <f t="shared" si="774"/>
        <v>IV</v>
      </c>
      <c r="E1259" s="131">
        <v>10</v>
      </c>
      <c r="F1259" s="132">
        <v>43664</v>
      </c>
      <c r="G1259" s="132">
        <v>43673</v>
      </c>
      <c r="H1259" s="133" t="s">
        <v>276</v>
      </c>
      <c r="I1259" s="133">
        <v>1</v>
      </c>
      <c r="J1259" s="131" t="s">
        <v>168</v>
      </c>
      <c r="K1259" s="134" t="s">
        <v>61</v>
      </c>
      <c r="L1259" s="133">
        <v>1.5</v>
      </c>
      <c r="M1259" s="133">
        <v>8</v>
      </c>
      <c r="N1259" s="135">
        <v>112.5</v>
      </c>
      <c r="O1259" s="136">
        <v>112.5</v>
      </c>
      <c r="P1259" s="137">
        <v>112.5</v>
      </c>
      <c r="Q1259" s="138"/>
      <c r="R1259" s="139" t="s">
        <v>4</v>
      </c>
      <c r="S1259" s="140">
        <v>43620</v>
      </c>
      <c r="T1259" s="203">
        <f t="shared" si="756"/>
        <v>43647</v>
      </c>
      <c r="U1259" s="204">
        <f t="shared" si="757"/>
        <v>43677</v>
      </c>
      <c r="V1259" s="207">
        <f>IF(G1259-F1259+1-IF(G1259-U1259&gt;0,G1259-U1259,0)-IF(T1259-F1259&gt;0,T1259-F1259,0)&gt;0,G1259-F1259+1-IF(G1259-U1259&gt;0,G1259-U1259,0)-IF(T1259-F1259&gt;0,T1259-F1259,0),0)</f>
        <v>10</v>
      </c>
      <c r="W1259" s="206" t="str">
        <f t="shared" ref="W1259:W1264" si="775">IF(V1259&gt;0,H1259,"")</f>
        <v>Елица Куманова</v>
      </c>
      <c r="X1259" s="206">
        <f t="shared" ref="X1259:X1264" si="776">IF(AND($V1259&gt;0,$I1259=1),P1259/$E1259*$V1259,0)</f>
        <v>112.5</v>
      </c>
      <c r="Y1259" s="209">
        <f t="shared" ref="Y1259:Y1264" si="777">IF(AND($V1259&gt;0,$I1259&lt;&gt;1),Q1259/$E1259*$V1259,0)</f>
        <v>0</v>
      </c>
    </row>
    <row r="1260" spans="2:25" ht="45" x14ac:dyDescent="0.25">
      <c r="B1260" s="60">
        <f>B1259</f>
        <v>38</v>
      </c>
      <c r="C1260" s="102">
        <v>261</v>
      </c>
      <c r="D1260" s="192" t="str">
        <f t="shared" si="774"/>
        <v>IV</v>
      </c>
      <c r="E1260" s="62">
        <v>10</v>
      </c>
      <c r="F1260" s="105">
        <v>43664</v>
      </c>
      <c r="G1260" s="105">
        <v>43673</v>
      </c>
      <c r="H1260" s="61" t="s">
        <v>277</v>
      </c>
      <c r="I1260" s="61">
        <v>2</v>
      </c>
      <c r="J1260" s="62" t="s">
        <v>167</v>
      </c>
      <c r="K1260" s="63" t="s">
        <v>61</v>
      </c>
      <c r="L1260" s="61">
        <v>1.5</v>
      </c>
      <c r="M1260" s="61">
        <v>8</v>
      </c>
      <c r="N1260" s="111">
        <v>135</v>
      </c>
      <c r="O1260" s="112">
        <v>135</v>
      </c>
      <c r="P1260" s="113"/>
      <c r="Q1260" s="114">
        <v>135</v>
      </c>
      <c r="R1260" s="64" t="s">
        <v>4</v>
      </c>
      <c r="S1260" s="108">
        <v>43620</v>
      </c>
      <c r="T1260" s="203">
        <f t="shared" si="756"/>
        <v>43647</v>
      </c>
      <c r="U1260" s="204">
        <f t="shared" si="757"/>
        <v>43677</v>
      </c>
      <c r="V1260" s="207">
        <f t="shared" ref="V1260:V1265" si="778">IF(G1260-F1260+1-IF(G1260-U1260&gt;0,G1260-U1260,0)-IF(T1260-F1260&gt;0,T1260-F1260,0)&gt;0,G1260-F1260+1-IF(G1260-U1260&gt;0,G1260-U1260,0)-IF(T1260-F1260&gt;0,T1260-F1260,0),0)</f>
        <v>10</v>
      </c>
      <c r="W1260" s="206" t="str">
        <f t="shared" si="775"/>
        <v xml:space="preserve"> Данаил Куманов</v>
      </c>
      <c r="X1260" s="206">
        <f t="shared" si="776"/>
        <v>0</v>
      </c>
      <c r="Y1260" s="209">
        <f t="shared" si="777"/>
        <v>135</v>
      </c>
    </row>
    <row r="1261" spans="2:25" hidden="1" x14ac:dyDescent="0.25">
      <c r="B1261" s="60">
        <f>B1259</f>
        <v>38</v>
      </c>
      <c r="C1261" s="102">
        <v>262</v>
      </c>
      <c r="D1261" s="192" t="str">
        <f t="shared" si="774"/>
        <v>IV</v>
      </c>
      <c r="E1261" s="62"/>
      <c r="F1261" s="105"/>
      <c r="G1261" s="105"/>
      <c r="H1261" s="61"/>
      <c r="I1261" s="61"/>
      <c r="J1261" s="62"/>
      <c r="K1261" s="63"/>
      <c r="L1261" s="61"/>
      <c r="M1261" s="61"/>
      <c r="N1261" s="111"/>
      <c r="O1261" s="112"/>
      <c r="P1261" s="113"/>
      <c r="Q1261" s="114"/>
      <c r="R1261" s="64"/>
      <c r="S1261" s="108"/>
      <c r="T1261" s="203">
        <f t="shared" si="756"/>
        <v>43647</v>
      </c>
      <c r="U1261" s="204">
        <f t="shared" si="757"/>
        <v>43677</v>
      </c>
      <c r="V1261" s="207">
        <f t="shared" si="778"/>
        <v>0</v>
      </c>
      <c r="W1261" s="206" t="str">
        <f t="shared" si="775"/>
        <v/>
      </c>
      <c r="X1261" s="206">
        <f t="shared" si="776"/>
        <v>0</v>
      </c>
      <c r="Y1261" s="209">
        <f t="shared" si="777"/>
        <v>0</v>
      </c>
    </row>
    <row r="1262" spans="2:25" hidden="1" x14ac:dyDescent="0.25">
      <c r="B1262" s="60">
        <f>B1259</f>
        <v>38</v>
      </c>
      <c r="C1262" s="102">
        <v>263</v>
      </c>
      <c r="D1262" s="192" t="str">
        <f t="shared" si="774"/>
        <v>IV</v>
      </c>
      <c r="E1262" s="62"/>
      <c r="F1262" s="105"/>
      <c r="G1262" s="105"/>
      <c r="H1262" s="61"/>
      <c r="I1262" s="61"/>
      <c r="J1262" s="62"/>
      <c r="K1262" s="63"/>
      <c r="L1262" s="61"/>
      <c r="M1262" s="61"/>
      <c r="N1262" s="111"/>
      <c r="O1262" s="112"/>
      <c r="P1262" s="113"/>
      <c r="Q1262" s="114"/>
      <c r="R1262" s="64"/>
      <c r="S1262" s="108"/>
      <c r="T1262" s="203">
        <f t="shared" si="756"/>
        <v>43647</v>
      </c>
      <c r="U1262" s="204">
        <f t="shared" si="757"/>
        <v>43677</v>
      </c>
      <c r="V1262" s="207">
        <f t="shared" si="778"/>
        <v>0</v>
      </c>
      <c r="W1262" s="206" t="str">
        <f t="shared" si="775"/>
        <v/>
      </c>
      <c r="X1262" s="206">
        <f t="shared" si="776"/>
        <v>0</v>
      </c>
      <c r="Y1262" s="209">
        <f t="shared" si="777"/>
        <v>0</v>
      </c>
    </row>
    <row r="1263" spans="2:25" hidden="1" x14ac:dyDescent="0.25">
      <c r="B1263" s="60">
        <f>B1259</f>
        <v>38</v>
      </c>
      <c r="C1263" s="102">
        <v>264</v>
      </c>
      <c r="D1263" s="192" t="str">
        <f t="shared" si="774"/>
        <v>IV</v>
      </c>
      <c r="E1263" s="62"/>
      <c r="F1263" s="105"/>
      <c r="G1263" s="105"/>
      <c r="H1263" s="61"/>
      <c r="I1263" s="61"/>
      <c r="J1263" s="62"/>
      <c r="K1263" s="63"/>
      <c r="L1263" s="61"/>
      <c r="M1263" s="61"/>
      <c r="N1263" s="111"/>
      <c r="O1263" s="112"/>
      <c r="P1263" s="113"/>
      <c r="Q1263" s="114"/>
      <c r="R1263" s="64"/>
      <c r="S1263" s="108"/>
      <c r="T1263" s="203">
        <f t="shared" si="756"/>
        <v>43647</v>
      </c>
      <c r="U1263" s="204">
        <f t="shared" si="757"/>
        <v>43677</v>
      </c>
      <c r="V1263" s="207">
        <f t="shared" si="778"/>
        <v>0</v>
      </c>
      <c r="W1263" s="206" t="str">
        <f t="shared" si="775"/>
        <v/>
      </c>
      <c r="X1263" s="206">
        <f t="shared" si="776"/>
        <v>0</v>
      </c>
      <c r="Y1263" s="209">
        <f t="shared" si="777"/>
        <v>0</v>
      </c>
    </row>
    <row r="1264" spans="2:25" hidden="1" x14ac:dyDescent="0.25">
      <c r="B1264" s="60">
        <f>B1259</f>
        <v>38</v>
      </c>
      <c r="C1264" s="102">
        <v>265</v>
      </c>
      <c r="D1264" s="192" t="str">
        <f t="shared" si="774"/>
        <v>IV</v>
      </c>
      <c r="E1264" s="62"/>
      <c r="F1264" s="105"/>
      <c r="G1264" s="105"/>
      <c r="H1264" s="61"/>
      <c r="I1264" s="61"/>
      <c r="J1264" s="62"/>
      <c r="K1264" s="63"/>
      <c r="L1264" s="61"/>
      <c r="M1264" s="61"/>
      <c r="N1264" s="111"/>
      <c r="O1264" s="112"/>
      <c r="P1264" s="113"/>
      <c r="Q1264" s="114"/>
      <c r="R1264" s="64"/>
      <c r="S1264" s="108"/>
      <c r="T1264" s="203">
        <f t="shared" si="756"/>
        <v>43647</v>
      </c>
      <c r="U1264" s="204">
        <f t="shared" si="757"/>
        <v>43677</v>
      </c>
      <c r="V1264" s="207">
        <f t="shared" si="778"/>
        <v>0</v>
      </c>
      <c r="W1264" s="206" t="str">
        <f t="shared" si="775"/>
        <v/>
      </c>
      <c r="X1264" s="206">
        <f t="shared" si="776"/>
        <v>0</v>
      </c>
      <c r="Y1264" s="209">
        <f t="shared" si="777"/>
        <v>0</v>
      </c>
    </row>
    <row r="1265" spans="2:25" ht="15.75" thickBot="1" x14ac:dyDescent="0.3">
      <c r="B1265" s="141">
        <f>B1259</f>
        <v>38</v>
      </c>
      <c r="C1265" s="142">
        <v>266</v>
      </c>
      <c r="D1265" s="194" t="str">
        <f t="shared" si="774"/>
        <v>IV</v>
      </c>
      <c r="E1265" s="143"/>
      <c r="F1265" s="144"/>
      <c r="G1265" s="144"/>
      <c r="H1265" s="145"/>
      <c r="I1265" s="145"/>
      <c r="J1265" s="436" t="s">
        <v>181</v>
      </c>
      <c r="K1265" s="437"/>
      <c r="L1265" s="438"/>
      <c r="M1265" s="145"/>
      <c r="N1265" s="146">
        <v>10</v>
      </c>
      <c r="O1265" s="147">
        <v>10</v>
      </c>
      <c r="P1265" s="148"/>
      <c r="Q1265" s="149">
        <v>10</v>
      </c>
      <c r="R1265" s="150" t="s">
        <v>4</v>
      </c>
      <c r="S1265" s="151">
        <v>43620</v>
      </c>
      <c r="T1265" s="213">
        <f t="shared" si="756"/>
        <v>43647</v>
      </c>
      <c r="U1265" s="214">
        <f t="shared" si="757"/>
        <v>43677</v>
      </c>
      <c r="V1265" s="210">
        <f t="shared" si="778"/>
        <v>0</v>
      </c>
      <c r="W1265" s="211"/>
      <c r="X1265" s="211">
        <f>IF(AND($V1265&gt;0,$I1265=1),IF($E1265=10,P1265/10,P1265/$V1265),0)</f>
        <v>0</v>
      </c>
      <c r="Y1265" s="212">
        <f>IF(AND($V1259&gt;0,$I1265&lt;&gt;1),Q1265/E1259*V1259,0)</f>
        <v>10</v>
      </c>
    </row>
    <row r="1266" spans="2:25" ht="45.75" thickTop="1" x14ac:dyDescent="0.25">
      <c r="B1266" s="129">
        <f>B1264+1</f>
        <v>39</v>
      </c>
      <c r="C1266" s="130">
        <v>267</v>
      </c>
      <c r="D1266" s="196" t="str">
        <f t="shared" si="774"/>
        <v>IV</v>
      </c>
      <c r="E1266" s="152">
        <v>10</v>
      </c>
      <c r="F1266" s="153">
        <v>43664</v>
      </c>
      <c r="G1266" s="153">
        <v>43673</v>
      </c>
      <c r="H1266" s="154" t="s">
        <v>278</v>
      </c>
      <c r="I1266" s="154">
        <v>2</v>
      </c>
      <c r="J1266" s="152" t="s">
        <v>167</v>
      </c>
      <c r="K1266" s="155" t="s">
        <v>16</v>
      </c>
      <c r="L1266" s="154">
        <v>1</v>
      </c>
      <c r="M1266" s="154">
        <v>8</v>
      </c>
      <c r="N1266" s="156">
        <v>90</v>
      </c>
      <c r="O1266" s="157">
        <v>90</v>
      </c>
      <c r="P1266" s="158"/>
      <c r="Q1266" s="159">
        <v>90</v>
      </c>
      <c r="R1266" s="160" t="s">
        <v>4</v>
      </c>
      <c r="S1266" s="161">
        <v>43620</v>
      </c>
      <c r="T1266" s="203">
        <f t="shared" si="756"/>
        <v>43647</v>
      </c>
      <c r="U1266" s="204">
        <f t="shared" si="757"/>
        <v>43677</v>
      </c>
      <c r="V1266" s="207">
        <f>IF(G1266-F1266+1-IF(G1266-U1266&gt;0,G1266-U1266,0)-IF(T1266-F1266&gt;0,T1266-F1266,0)&gt;0,G1266-F1266+1-IF(G1266-U1266&gt;0,G1266-U1266,0)-IF(T1266-F1266&gt;0,T1266-F1266,0),0)</f>
        <v>10</v>
      </c>
      <c r="W1266" s="206" t="str">
        <f t="shared" ref="W1266:W1271" si="779">IF(V1266&gt;0,H1266,"")</f>
        <v>Бисерка Симеонова</v>
      </c>
      <c r="X1266" s="206">
        <f t="shared" ref="X1266:X1271" si="780">IF(AND($V1266&gt;0,$I1266=1),P1266/$E1266*$V1266,0)</f>
        <v>0</v>
      </c>
      <c r="Y1266" s="209">
        <f t="shared" ref="Y1266:Y1271" si="781">IF(AND($V1266&gt;0,$I1266&lt;&gt;1),Q1266/$E1266*$V1266,0)</f>
        <v>90</v>
      </c>
    </row>
    <row r="1267" spans="2:25" x14ac:dyDescent="0.25">
      <c r="B1267" s="60">
        <f>B1266</f>
        <v>39</v>
      </c>
      <c r="C1267" s="102">
        <v>268</v>
      </c>
      <c r="D1267" s="192" t="str">
        <f t="shared" si="774"/>
        <v>IV</v>
      </c>
      <c r="E1267" s="162">
        <v>10</v>
      </c>
      <c r="F1267" s="163">
        <v>43664</v>
      </c>
      <c r="G1267" s="163">
        <v>43673</v>
      </c>
      <c r="H1267" s="164" t="s">
        <v>279</v>
      </c>
      <c r="I1267" s="164">
        <v>3</v>
      </c>
      <c r="J1267" s="162" t="s">
        <v>170</v>
      </c>
      <c r="K1267" s="165" t="s">
        <v>16</v>
      </c>
      <c r="L1267" s="164">
        <v>1</v>
      </c>
      <c r="M1267" s="164">
        <v>8</v>
      </c>
      <c r="N1267" s="166">
        <v>0</v>
      </c>
      <c r="O1267" s="167">
        <v>0</v>
      </c>
      <c r="P1267" s="168"/>
      <c r="Q1267" s="169">
        <v>0</v>
      </c>
      <c r="R1267" s="170" t="s">
        <v>4</v>
      </c>
      <c r="S1267" s="171">
        <v>43620</v>
      </c>
      <c r="T1267" s="203">
        <f t="shared" si="756"/>
        <v>43647</v>
      </c>
      <c r="U1267" s="204">
        <f t="shared" si="757"/>
        <v>43677</v>
      </c>
      <c r="V1267" s="207">
        <f t="shared" ref="V1267:V1272" si="782">IF(G1267-F1267+1-IF(G1267-U1267&gt;0,G1267-U1267,0)-IF(T1267-F1267&gt;0,T1267-F1267,0)&gt;0,G1267-F1267+1-IF(G1267-U1267&gt;0,G1267-U1267,0)-IF(T1267-F1267&gt;0,T1267-F1267,0),0)</f>
        <v>10</v>
      </c>
      <c r="W1267" s="206" t="str">
        <f t="shared" si="779"/>
        <v>Радост Бранимирова</v>
      </c>
      <c r="X1267" s="206">
        <f t="shared" si="780"/>
        <v>0</v>
      </c>
      <c r="Y1267" s="209">
        <f t="shared" si="781"/>
        <v>0</v>
      </c>
    </row>
    <row r="1268" spans="2:25" hidden="1" x14ac:dyDescent="0.25">
      <c r="B1268" s="60">
        <f>B1266</f>
        <v>39</v>
      </c>
      <c r="C1268" s="102">
        <v>269</v>
      </c>
      <c r="D1268" s="192" t="str">
        <f t="shared" si="774"/>
        <v>IV</v>
      </c>
      <c r="E1268" s="162"/>
      <c r="F1268" s="163"/>
      <c r="G1268" s="163"/>
      <c r="H1268" s="164"/>
      <c r="I1268" s="164"/>
      <c r="J1268" s="162"/>
      <c r="K1268" s="165"/>
      <c r="L1268" s="164"/>
      <c r="M1268" s="164"/>
      <c r="N1268" s="166"/>
      <c r="O1268" s="167"/>
      <c r="P1268" s="168"/>
      <c r="Q1268" s="169"/>
      <c r="R1268" s="170"/>
      <c r="S1268" s="171"/>
      <c r="T1268" s="203">
        <f t="shared" si="756"/>
        <v>43647</v>
      </c>
      <c r="U1268" s="204">
        <f t="shared" si="757"/>
        <v>43677</v>
      </c>
      <c r="V1268" s="207">
        <f t="shared" si="782"/>
        <v>0</v>
      </c>
      <c r="W1268" s="206" t="str">
        <f t="shared" si="779"/>
        <v/>
      </c>
      <c r="X1268" s="206">
        <f t="shared" si="780"/>
        <v>0</v>
      </c>
      <c r="Y1268" s="209">
        <f t="shared" si="781"/>
        <v>0</v>
      </c>
    </row>
    <row r="1269" spans="2:25" hidden="1" x14ac:dyDescent="0.25">
      <c r="B1269" s="60">
        <f>B1266</f>
        <v>39</v>
      </c>
      <c r="C1269" s="102">
        <v>270</v>
      </c>
      <c r="D1269" s="192" t="str">
        <f t="shared" si="774"/>
        <v>IV</v>
      </c>
      <c r="E1269" s="162"/>
      <c r="F1269" s="163"/>
      <c r="G1269" s="163"/>
      <c r="H1269" s="164"/>
      <c r="I1269" s="164"/>
      <c r="J1269" s="162"/>
      <c r="K1269" s="165"/>
      <c r="L1269" s="164"/>
      <c r="M1269" s="164"/>
      <c r="N1269" s="166"/>
      <c r="O1269" s="167"/>
      <c r="P1269" s="168"/>
      <c r="Q1269" s="169"/>
      <c r="R1269" s="170"/>
      <c r="S1269" s="171"/>
      <c r="T1269" s="203">
        <f t="shared" si="756"/>
        <v>43647</v>
      </c>
      <c r="U1269" s="204">
        <f t="shared" si="757"/>
        <v>43677</v>
      </c>
      <c r="V1269" s="207">
        <f t="shared" si="782"/>
        <v>0</v>
      </c>
      <c r="W1269" s="206" t="str">
        <f t="shared" si="779"/>
        <v/>
      </c>
      <c r="X1269" s="206">
        <f t="shared" si="780"/>
        <v>0</v>
      </c>
      <c r="Y1269" s="209">
        <f t="shared" si="781"/>
        <v>0</v>
      </c>
    </row>
    <row r="1270" spans="2:25" hidden="1" x14ac:dyDescent="0.25">
      <c r="B1270" s="60">
        <f>B1266</f>
        <v>39</v>
      </c>
      <c r="C1270" s="102">
        <v>271</v>
      </c>
      <c r="D1270" s="192" t="str">
        <f t="shared" si="774"/>
        <v>IV</v>
      </c>
      <c r="E1270" s="162"/>
      <c r="F1270" s="163"/>
      <c r="G1270" s="163"/>
      <c r="H1270" s="164"/>
      <c r="I1270" s="164"/>
      <c r="J1270" s="162"/>
      <c r="K1270" s="165"/>
      <c r="L1270" s="164"/>
      <c r="M1270" s="164"/>
      <c r="N1270" s="166"/>
      <c r="O1270" s="167"/>
      <c r="P1270" s="168"/>
      <c r="Q1270" s="169"/>
      <c r="R1270" s="170"/>
      <c r="S1270" s="171"/>
      <c r="T1270" s="203">
        <f t="shared" si="756"/>
        <v>43647</v>
      </c>
      <c r="U1270" s="204">
        <f t="shared" si="757"/>
        <v>43677</v>
      </c>
      <c r="V1270" s="207">
        <f t="shared" si="782"/>
        <v>0</v>
      </c>
      <c r="W1270" s="206" t="str">
        <f t="shared" si="779"/>
        <v/>
      </c>
      <c r="X1270" s="206">
        <f t="shared" si="780"/>
        <v>0</v>
      </c>
      <c r="Y1270" s="209">
        <f t="shared" si="781"/>
        <v>0</v>
      </c>
    </row>
    <row r="1271" spans="2:25" hidden="1" x14ac:dyDescent="0.25">
      <c r="B1271" s="60">
        <f>B1266</f>
        <v>39</v>
      </c>
      <c r="C1271" s="102">
        <v>272</v>
      </c>
      <c r="D1271" s="192" t="str">
        <f t="shared" si="774"/>
        <v>IV</v>
      </c>
      <c r="E1271" s="172"/>
      <c r="F1271" s="173"/>
      <c r="G1271" s="173"/>
      <c r="H1271" s="174"/>
      <c r="I1271" s="174"/>
      <c r="J1271" s="172"/>
      <c r="K1271" s="175"/>
      <c r="L1271" s="174"/>
      <c r="M1271" s="174"/>
      <c r="N1271" s="176"/>
      <c r="O1271" s="177"/>
      <c r="P1271" s="178"/>
      <c r="Q1271" s="179"/>
      <c r="R1271" s="180"/>
      <c r="S1271" s="181"/>
      <c r="T1271" s="203">
        <f t="shared" si="756"/>
        <v>43647</v>
      </c>
      <c r="U1271" s="204">
        <f t="shared" si="757"/>
        <v>43677</v>
      </c>
      <c r="V1271" s="207">
        <f t="shared" si="782"/>
        <v>0</v>
      </c>
      <c r="W1271" s="206" t="str">
        <f t="shared" si="779"/>
        <v/>
      </c>
      <c r="X1271" s="206">
        <f t="shared" si="780"/>
        <v>0</v>
      </c>
      <c r="Y1271" s="209">
        <f t="shared" si="781"/>
        <v>0</v>
      </c>
    </row>
    <row r="1272" spans="2:25" ht="15.75" thickBot="1" x14ac:dyDescent="0.3">
      <c r="B1272" s="141">
        <f>B1266</f>
        <v>39</v>
      </c>
      <c r="C1272" s="142">
        <v>273</v>
      </c>
      <c r="D1272" s="194" t="str">
        <f t="shared" si="774"/>
        <v>IV</v>
      </c>
      <c r="E1272" s="189"/>
      <c r="F1272" s="190"/>
      <c r="G1272" s="190"/>
      <c r="H1272" s="182"/>
      <c r="I1272" s="182"/>
      <c r="J1272" s="436" t="s">
        <v>181</v>
      </c>
      <c r="K1272" s="437"/>
      <c r="L1272" s="438"/>
      <c r="M1272" s="182"/>
      <c r="N1272" s="183">
        <v>10</v>
      </c>
      <c r="O1272" s="184">
        <v>10</v>
      </c>
      <c r="P1272" s="185"/>
      <c r="Q1272" s="186">
        <v>10</v>
      </c>
      <c r="R1272" s="187" t="s">
        <v>4</v>
      </c>
      <c r="S1272" s="188">
        <v>43620</v>
      </c>
      <c r="T1272" s="213">
        <f t="shared" si="756"/>
        <v>43647</v>
      </c>
      <c r="U1272" s="214">
        <f t="shared" si="757"/>
        <v>43677</v>
      </c>
      <c r="V1272" s="210">
        <f t="shared" si="782"/>
        <v>0</v>
      </c>
      <c r="W1272" s="211"/>
      <c r="X1272" s="211">
        <f>IF(AND($V1272&gt;0,$I1272=1),IF($E1272=10,P1272/10,P1272/$V1272),0)</f>
        <v>0</v>
      </c>
      <c r="Y1272" s="212">
        <f>IF(AND($V1266&gt;0,$I1272&lt;&gt;1),Q1272/E1266*V1266,0)</f>
        <v>10</v>
      </c>
    </row>
    <row r="1273" spans="2:25" ht="30.75" thickTop="1" x14ac:dyDescent="0.25">
      <c r="B1273" s="129">
        <f>B1271+1</f>
        <v>40</v>
      </c>
      <c r="C1273" s="130">
        <v>274</v>
      </c>
      <c r="D1273" s="196" t="str">
        <f t="shared" si="774"/>
        <v>IV</v>
      </c>
      <c r="E1273" s="131">
        <v>10</v>
      </c>
      <c r="F1273" s="132">
        <v>43664</v>
      </c>
      <c r="G1273" s="132">
        <v>43673</v>
      </c>
      <c r="H1273" s="133" t="s">
        <v>280</v>
      </c>
      <c r="I1273" s="133">
        <v>1</v>
      </c>
      <c r="J1273" s="131" t="s">
        <v>168</v>
      </c>
      <c r="K1273" s="134" t="s">
        <v>16</v>
      </c>
      <c r="L1273" s="133">
        <v>1</v>
      </c>
      <c r="M1273" s="133">
        <v>7</v>
      </c>
      <c r="N1273" s="135">
        <v>44</v>
      </c>
      <c r="O1273" s="136">
        <v>44</v>
      </c>
      <c r="P1273" s="137">
        <v>44</v>
      </c>
      <c r="Q1273" s="138"/>
      <c r="R1273" s="139" t="s">
        <v>4</v>
      </c>
      <c r="S1273" s="140">
        <v>43634</v>
      </c>
      <c r="T1273" s="203">
        <f t="shared" si="756"/>
        <v>43647</v>
      </c>
      <c r="U1273" s="204">
        <f t="shared" si="757"/>
        <v>43677</v>
      </c>
      <c r="V1273" s="207">
        <f>IF(G1273-F1273+1-IF(G1273-U1273&gt;0,G1273-U1273,0)-IF(T1273-F1273&gt;0,T1273-F1273,0)&gt;0,G1273-F1273+1-IF(G1273-U1273&gt;0,G1273-U1273,0)-IF(T1273-F1273&gt;0,T1273-F1273,0),0)</f>
        <v>10</v>
      </c>
      <c r="W1273" s="206" t="str">
        <f t="shared" ref="W1273:W1278" si="783">IF(V1273&gt;0,H1273,"")</f>
        <v>Христина Соколова</v>
      </c>
      <c r="X1273" s="206">
        <f t="shared" ref="X1273:X1278" si="784">IF(AND($V1273&gt;0,$I1273=1),P1273/$E1273*$V1273,0)</f>
        <v>44</v>
      </c>
      <c r="Y1273" s="209">
        <f t="shared" ref="Y1273:Y1278" si="785">IF(AND($V1273&gt;0,$I1273&lt;&gt;1),Q1273/$E1273*$V1273,0)</f>
        <v>0</v>
      </c>
    </row>
    <row r="1274" spans="2:25" x14ac:dyDescent="0.25">
      <c r="B1274" s="60">
        <f>B1273</f>
        <v>40</v>
      </c>
      <c r="C1274" s="102">
        <v>275</v>
      </c>
      <c r="D1274" s="192" t="str">
        <f t="shared" si="774"/>
        <v>IV</v>
      </c>
      <c r="E1274" s="62">
        <v>10</v>
      </c>
      <c r="F1274" s="105">
        <v>43664</v>
      </c>
      <c r="G1274" s="105">
        <v>43673</v>
      </c>
      <c r="H1274" s="61" t="s">
        <v>281</v>
      </c>
      <c r="I1274" s="61">
        <v>6</v>
      </c>
      <c r="J1274" s="62" t="s">
        <v>166</v>
      </c>
      <c r="K1274" s="63" t="s">
        <v>16</v>
      </c>
      <c r="L1274" s="61">
        <v>1</v>
      </c>
      <c r="M1274" s="61">
        <v>7</v>
      </c>
      <c r="N1274" s="111">
        <v>120</v>
      </c>
      <c r="O1274" s="112">
        <v>120</v>
      </c>
      <c r="P1274" s="113"/>
      <c r="Q1274" s="114">
        <v>120</v>
      </c>
      <c r="R1274" s="64" t="s">
        <v>4</v>
      </c>
      <c r="S1274" s="108">
        <v>43634</v>
      </c>
      <c r="T1274" s="203">
        <f t="shared" si="756"/>
        <v>43647</v>
      </c>
      <c r="U1274" s="204">
        <f t="shared" si="757"/>
        <v>43677</v>
      </c>
      <c r="V1274" s="207">
        <f t="shared" ref="V1274:V1279" si="786">IF(G1274-F1274+1-IF(G1274-U1274&gt;0,G1274-U1274,0)-IF(T1274-F1274&gt;0,T1274-F1274,0)&gt;0,G1274-F1274+1-IF(G1274-U1274&gt;0,G1274-U1274,0)-IF(T1274-F1274&gt;0,T1274-F1274,0),0)</f>
        <v>10</v>
      </c>
      <c r="W1274" s="206" t="str">
        <f t="shared" si="783"/>
        <v>Виктория Димова</v>
      </c>
      <c r="X1274" s="206">
        <f t="shared" si="784"/>
        <v>0</v>
      </c>
      <c r="Y1274" s="209">
        <f t="shared" si="785"/>
        <v>120</v>
      </c>
    </row>
    <row r="1275" spans="2:25" hidden="1" x14ac:dyDescent="0.25">
      <c r="B1275" s="60">
        <f>B1273</f>
        <v>40</v>
      </c>
      <c r="C1275" s="102">
        <v>276</v>
      </c>
      <c r="D1275" s="192" t="str">
        <f t="shared" si="774"/>
        <v>IV</v>
      </c>
      <c r="E1275" s="62"/>
      <c r="F1275" s="105"/>
      <c r="G1275" s="105"/>
      <c r="H1275" s="61"/>
      <c r="I1275" s="61"/>
      <c r="J1275" s="62"/>
      <c r="K1275" s="63"/>
      <c r="L1275" s="61"/>
      <c r="M1275" s="61"/>
      <c r="N1275" s="111"/>
      <c r="O1275" s="112"/>
      <c r="P1275" s="113"/>
      <c r="Q1275" s="114"/>
      <c r="R1275" s="64"/>
      <c r="S1275" s="108"/>
      <c r="T1275" s="203">
        <f t="shared" si="756"/>
        <v>43647</v>
      </c>
      <c r="U1275" s="204">
        <f t="shared" si="757"/>
        <v>43677</v>
      </c>
      <c r="V1275" s="207">
        <f t="shared" si="786"/>
        <v>0</v>
      </c>
      <c r="W1275" s="206" t="str">
        <f t="shared" si="783"/>
        <v/>
      </c>
      <c r="X1275" s="206">
        <f t="shared" si="784"/>
        <v>0</v>
      </c>
      <c r="Y1275" s="209">
        <f t="shared" si="785"/>
        <v>0</v>
      </c>
    </row>
    <row r="1276" spans="2:25" hidden="1" x14ac:dyDescent="0.25">
      <c r="B1276" s="60">
        <f>B1273</f>
        <v>40</v>
      </c>
      <c r="C1276" s="102">
        <v>277</v>
      </c>
      <c r="D1276" s="192" t="str">
        <f t="shared" si="774"/>
        <v>IV</v>
      </c>
      <c r="E1276" s="62"/>
      <c r="F1276" s="105"/>
      <c r="G1276" s="105"/>
      <c r="H1276" s="61"/>
      <c r="I1276" s="61"/>
      <c r="J1276" s="62"/>
      <c r="K1276" s="63"/>
      <c r="L1276" s="61"/>
      <c r="M1276" s="61"/>
      <c r="N1276" s="111"/>
      <c r="O1276" s="112"/>
      <c r="P1276" s="113"/>
      <c r="Q1276" s="114"/>
      <c r="R1276" s="64"/>
      <c r="S1276" s="108"/>
      <c r="T1276" s="203">
        <f t="shared" si="756"/>
        <v>43647</v>
      </c>
      <c r="U1276" s="204">
        <f t="shared" si="757"/>
        <v>43677</v>
      </c>
      <c r="V1276" s="207">
        <f t="shared" si="786"/>
        <v>0</v>
      </c>
      <c r="W1276" s="206" t="str">
        <f t="shared" si="783"/>
        <v/>
      </c>
      <c r="X1276" s="206">
        <f t="shared" si="784"/>
        <v>0</v>
      </c>
      <c r="Y1276" s="209">
        <f t="shared" si="785"/>
        <v>0</v>
      </c>
    </row>
    <row r="1277" spans="2:25" hidden="1" x14ac:dyDescent="0.25">
      <c r="B1277" s="60">
        <f>B1273</f>
        <v>40</v>
      </c>
      <c r="C1277" s="102">
        <v>278</v>
      </c>
      <c r="D1277" s="192" t="str">
        <f t="shared" si="774"/>
        <v>IV</v>
      </c>
      <c r="E1277" s="62"/>
      <c r="F1277" s="105"/>
      <c r="G1277" s="105"/>
      <c r="H1277" s="61"/>
      <c r="I1277" s="61"/>
      <c r="J1277" s="62"/>
      <c r="K1277" s="63"/>
      <c r="L1277" s="61"/>
      <c r="M1277" s="61"/>
      <c r="N1277" s="111"/>
      <c r="O1277" s="112"/>
      <c r="P1277" s="113"/>
      <c r="Q1277" s="114"/>
      <c r="R1277" s="64"/>
      <c r="S1277" s="108"/>
      <c r="T1277" s="203">
        <f t="shared" si="756"/>
        <v>43647</v>
      </c>
      <c r="U1277" s="204">
        <f t="shared" si="757"/>
        <v>43677</v>
      </c>
      <c r="V1277" s="207">
        <f t="shared" si="786"/>
        <v>0</v>
      </c>
      <c r="W1277" s="206" t="str">
        <f t="shared" si="783"/>
        <v/>
      </c>
      <c r="X1277" s="206">
        <f t="shared" si="784"/>
        <v>0</v>
      </c>
      <c r="Y1277" s="209">
        <f t="shared" si="785"/>
        <v>0</v>
      </c>
    </row>
    <row r="1278" spans="2:25" hidden="1" x14ac:dyDescent="0.25">
      <c r="B1278" s="60">
        <f>B1273</f>
        <v>40</v>
      </c>
      <c r="C1278" s="102">
        <v>279</v>
      </c>
      <c r="D1278" s="192" t="str">
        <f t="shared" si="774"/>
        <v>IV</v>
      </c>
      <c r="E1278" s="62"/>
      <c r="F1278" s="105"/>
      <c r="G1278" s="105"/>
      <c r="H1278" s="61"/>
      <c r="I1278" s="61"/>
      <c r="J1278" s="62"/>
      <c r="K1278" s="63"/>
      <c r="L1278" s="61"/>
      <c r="M1278" s="61"/>
      <c r="N1278" s="111"/>
      <c r="O1278" s="112"/>
      <c r="P1278" s="113"/>
      <c r="Q1278" s="114"/>
      <c r="R1278" s="64"/>
      <c r="S1278" s="108"/>
      <c r="T1278" s="203">
        <f t="shared" si="756"/>
        <v>43647</v>
      </c>
      <c r="U1278" s="204">
        <f t="shared" si="757"/>
        <v>43677</v>
      </c>
      <c r="V1278" s="207">
        <f t="shared" si="786"/>
        <v>0</v>
      </c>
      <c r="W1278" s="206" t="str">
        <f t="shared" si="783"/>
        <v/>
      </c>
      <c r="X1278" s="206">
        <f t="shared" si="784"/>
        <v>0</v>
      </c>
      <c r="Y1278" s="209">
        <f t="shared" si="785"/>
        <v>0</v>
      </c>
    </row>
    <row r="1279" spans="2:25" ht="15.75" thickBot="1" x14ac:dyDescent="0.3">
      <c r="B1279" s="141">
        <f>B1273</f>
        <v>40</v>
      </c>
      <c r="C1279" s="142">
        <v>280</v>
      </c>
      <c r="D1279" s="194" t="str">
        <f t="shared" si="774"/>
        <v>IV</v>
      </c>
      <c r="E1279" s="143"/>
      <c r="F1279" s="144"/>
      <c r="G1279" s="144"/>
      <c r="H1279" s="145"/>
      <c r="I1279" s="145"/>
      <c r="J1279" s="436" t="s">
        <v>181</v>
      </c>
      <c r="K1279" s="437"/>
      <c r="L1279" s="438"/>
      <c r="M1279" s="145"/>
      <c r="N1279" s="146">
        <v>10</v>
      </c>
      <c r="O1279" s="147">
        <v>10</v>
      </c>
      <c r="P1279" s="148"/>
      <c r="Q1279" s="149">
        <v>10</v>
      </c>
      <c r="R1279" s="150" t="s">
        <v>4</v>
      </c>
      <c r="S1279" s="151">
        <v>43634</v>
      </c>
      <c r="T1279" s="213">
        <f t="shared" si="756"/>
        <v>43647</v>
      </c>
      <c r="U1279" s="214">
        <f t="shared" si="757"/>
        <v>43677</v>
      </c>
      <c r="V1279" s="210">
        <f t="shared" si="786"/>
        <v>0</v>
      </c>
      <c r="W1279" s="211"/>
      <c r="X1279" s="211">
        <f>IF(AND($V1279&gt;0,$I1279=1),IF($E1279=10,P1279/10,P1279/$V1279),0)</f>
        <v>0</v>
      </c>
      <c r="Y1279" s="212">
        <f>IF(AND($V1273&gt;0,$I1279&lt;&gt;1),Q1279/E1273*V1273,0)</f>
        <v>10</v>
      </c>
    </row>
    <row r="1280" spans="2:25" ht="30.75" thickTop="1" x14ac:dyDescent="0.25">
      <c r="B1280" s="129">
        <f>B1278+1</f>
        <v>41</v>
      </c>
      <c r="C1280" s="130">
        <v>281</v>
      </c>
      <c r="D1280" s="196" t="str">
        <f t="shared" si="774"/>
        <v>IV</v>
      </c>
      <c r="E1280" s="152">
        <v>10</v>
      </c>
      <c r="F1280" s="153">
        <v>43664</v>
      </c>
      <c r="G1280" s="153">
        <v>43673</v>
      </c>
      <c r="H1280" s="154" t="s">
        <v>241</v>
      </c>
      <c r="I1280" s="154">
        <v>1</v>
      </c>
      <c r="J1280" s="152" t="s">
        <v>168</v>
      </c>
      <c r="K1280" s="155" t="s">
        <v>16</v>
      </c>
      <c r="L1280" s="154">
        <v>1</v>
      </c>
      <c r="M1280" s="154">
        <v>8</v>
      </c>
      <c r="N1280" s="156">
        <v>75</v>
      </c>
      <c r="O1280" s="157">
        <v>75</v>
      </c>
      <c r="P1280" s="158">
        <v>75</v>
      </c>
      <c r="Q1280" s="159"/>
      <c r="R1280" s="160" t="s">
        <v>4</v>
      </c>
      <c r="S1280" s="161">
        <v>43620</v>
      </c>
      <c r="T1280" s="203">
        <f t="shared" si="756"/>
        <v>43647</v>
      </c>
      <c r="U1280" s="204">
        <f t="shared" si="757"/>
        <v>43677</v>
      </c>
      <c r="V1280" s="207">
        <f>IF(G1280-F1280+1-IF(G1280-U1280&gt;0,G1280-U1280,0)-IF(T1280-F1280&gt;0,T1280-F1280,0)&gt;0,G1280-F1280+1-IF(G1280-U1280&gt;0,G1280-U1280,0)-IF(T1280-F1280&gt;0,T1280-F1280,0),0)</f>
        <v>10</v>
      </c>
      <c r="W1280" s="206" t="str">
        <f t="shared" ref="W1280:W1285" si="787">IF(V1280&gt;0,H1280,"")</f>
        <v>Георги Кадикянов</v>
      </c>
      <c r="X1280" s="206">
        <f t="shared" ref="X1280:X1285" si="788">IF(AND($V1280&gt;0,$I1280=1),P1280/$E1280*$V1280,0)</f>
        <v>75</v>
      </c>
      <c r="Y1280" s="209">
        <f t="shared" ref="Y1280:Y1285" si="789">IF(AND($V1280&gt;0,$I1280&lt;&gt;1),Q1280/$E1280*$V1280,0)</f>
        <v>0</v>
      </c>
    </row>
    <row r="1281" spans="2:25" hidden="1" x14ac:dyDescent="0.25">
      <c r="B1281" s="60">
        <f>B1280</f>
        <v>41</v>
      </c>
      <c r="C1281" s="102">
        <v>282</v>
      </c>
      <c r="D1281" s="192" t="str">
        <f t="shared" si="774"/>
        <v>IV</v>
      </c>
      <c r="E1281" s="162"/>
      <c r="F1281" s="163"/>
      <c r="G1281" s="163"/>
      <c r="H1281" s="164"/>
      <c r="I1281" s="164"/>
      <c r="J1281" s="162"/>
      <c r="K1281" s="165"/>
      <c r="L1281" s="164"/>
      <c r="M1281" s="164"/>
      <c r="N1281" s="166"/>
      <c r="O1281" s="167"/>
      <c r="P1281" s="168"/>
      <c r="Q1281" s="169"/>
      <c r="R1281" s="170"/>
      <c r="S1281" s="171"/>
      <c r="T1281" s="203">
        <f t="shared" si="756"/>
        <v>43647</v>
      </c>
      <c r="U1281" s="204">
        <f t="shared" si="757"/>
        <v>43677</v>
      </c>
      <c r="V1281" s="207">
        <f t="shared" ref="V1281:V1286" si="790">IF(G1281-F1281+1-IF(G1281-U1281&gt;0,G1281-U1281,0)-IF(T1281-F1281&gt;0,T1281-F1281,0)&gt;0,G1281-F1281+1-IF(G1281-U1281&gt;0,G1281-U1281,0)-IF(T1281-F1281&gt;0,T1281-F1281,0),0)</f>
        <v>0</v>
      </c>
      <c r="W1281" s="206" t="str">
        <f t="shared" si="787"/>
        <v/>
      </c>
      <c r="X1281" s="206">
        <f t="shared" si="788"/>
        <v>0</v>
      </c>
      <c r="Y1281" s="209">
        <f t="shared" si="789"/>
        <v>0</v>
      </c>
    </row>
    <row r="1282" spans="2:25" hidden="1" x14ac:dyDescent="0.25">
      <c r="B1282" s="60">
        <f>B1280</f>
        <v>41</v>
      </c>
      <c r="C1282" s="102">
        <v>283</v>
      </c>
      <c r="D1282" s="192" t="str">
        <f t="shared" si="774"/>
        <v>IV</v>
      </c>
      <c r="E1282" s="162"/>
      <c r="F1282" s="163"/>
      <c r="G1282" s="163"/>
      <c r="H1282" s="164"/>
      <c r="I1282" s="164"/>
      <c r="J1282" s="162"/>
      <c r="K1282" s="165"/>
      <c r="L1282" s="164"/>
      <c r="M1282" s="164"/>
      <c r="N1282" s="166"/>
      <c r="O1282" s="167"/>
      <c r="P1282" s="168"/>
      <c r="Q1282" s="169"/>
      <c r="R1282" s="170"/>
      <c r="S1282" s="171"/>
      <c r="T1282" s="203">
        <f t="shared" si="756"/>
        <v>43647</v>
      </c>
      <c r="U1282" s="204">
        <f t="shared" si="757"/>
        <v>43677</v>
      </c>
      <c r="V1282" s="207">
        <f t="shared" si="790"/>
        <v>0</v>
      </c>
      <c r="W1282" s="206" t="str">
        <f t="shared" si="787"/>
        <v/>
      </c>
      <c r="X1282" s="206">
        <f t="shared" si="788"/>
        <v>0</v>
      </c>
      <c r="Y1282" s="209">
        <f t="shared" si="789"/>
        <v>0</v>
      </c>
    </row>
    <row r="1283" spans="2:25" hidden="1" x14ac:dyDescent="0.25">
      <c r="B1283" s="60">
        <f>B1280</f>
        <v>41</v>
      </c>
      <c r="C1283" s="102">
        <v>284</v>
      </c>
      <c r="D1283" s="192" t="str">
        <f t="shared" si="774"/>
        <v>IV</v>
      </c>
      <c r="E1283" s="162"/>
      <c r="F1283" s="163"/>
      <c r="G1283" s="163"/>
      <c r="H1283" s="164"/>
      <c r="I1283" s="164"/>
      <c r="J1283" s="162"/>
      <c r="K1283" s="165"/>
      <c r="L1283" s="164"/>
      <c r="M1283" s="164"/>
      <c r="N1283" s="166"/>
      <c r="O1283" s="167"/>
      <c r="P1283" s="168"/>
      <c r="Q1283" s="169"/>
      <c r="R1283" s="170"/>
      <c r="S1283" s="171"/>
      <c r="T1283" s="203">
        <f t="shared" si="756"/>
        <v>43647</v>
      </c>
      <c r="U1283" s="204">
        <f t="shared" si="757"/>
        <v>43677</v>
      </c>
      <c r="V1283" s="207">
        <f t="shared" si="790"/>
        <v>0</v>
      </c>
      <c r="W1283" s="206" t="str">
        <f t="shared" si="787"/>
        <v/>
      </c>
      <c r="X1283" s="206">
        <f t="shared" si="788"/>
        <v>0</v>
      </c>
      <c r="Y1283" s="209">
        <f t="shared" si="789"/>
        <v>0</v>
      </c>
    </row>
    <row r="1284" spans="2:25" hidden="1" x14ac:dyDescent="0.25">
      <c r="B1284" s="60">
        <f>B1280</f>
        <v>41</v>
      </c>
      <c r="C1284" s="102">
        <v>285</v>
      </c>
      <c r="D1284" s="192" t="str">
        <f t="shared" si="774"/>
        <v>IV</v>
      </c>
      <c r="E1284" s="162"/>
      <c r="F1284" s="163"/>
      <c r="G1284" s="163"/>
      <c r="H1284" s="164"/>
      <c r="I1284" s="164"/>
      <c r="J1284" s="162"/>
      <c r="K1284" s="165"/>
      <c r="L1284" s="164"/>
      <c r="M1284" s="164"/>
      <c r="N1284" s="166"/>
      <c r="O1284" s="167"/>
      <c r="P1284" s="168"/>
      <c r="Q1284" s="169"/>
      <c r="R1284" s="170"/>
      <c r="S1284" s="171"/>
      <c r="T1284" s="203">
        <f t="shared" si="756"/>
        <v>43647</v>
      </c>
      <c r="U1284" s="204">
        <f t="shared" si="757"/>
        <v>43677</v>
      </c>
      <c r="V1284" s="207">
        <f t="shared" si="790"/>
        <v>0</v>
      </c>
      <c r="W1284" s="206" t="str">
        <f t="shared" si="787"/>
        <v/>
      </c>
      <c r="X1284" s="206">
        <f t="shared" si="788"/>
        <v>0</v>
      </c>
      <c r="Y1284" s="209">
        <f t="shared" si="789"/>
        <v>0</v>
      </c>
    </row>
    <row r="1285" spans="2:25" hidden="1" x14ac:dyDescent="0.25">
      <c r="B1285" s="60">
        <f>B1280</f>
        <v>41</v>
      </c>
      <c r="C1285" s="102">
        <v>286</v>
      </c>
      <c r="D1285" s="192" t="str">
        <f t="shared" si="774"/>
        <v>IV</v>
      </c>
      <c r="E1285" s="172"/>
      <c r="F1285" s="173"/>
      <c r="G1285" s="173"/>
      <c r="H1285" s="174"/>
      <c r="I1285" s="174"/>
      <c r="J1285" s="172"/>
      <c r="K1285" s="175"/>
      <c r="L1285" s="174"/>
      <c r="M1285" s="174"/>
      <c r="N1285" s="176"/>
      <c r="O1285" s="177"/>
      <c r="P1285" s="178"/>
      <c r="Q1285" s="179"/>
      <c r="R1285" s="180"/>
      <c r="S1285" s="181"/>
      <c r="T1285" s="203">
        <f t="shared" si="756"/>
        <v>43647</v>
      </c>
      <c r="U1285" s="204">
        <f t="shared" si="757"/>
        <v>43677</v>
      </c>
      <c r="V1285" s="207">
        <f t="shared" si="790"/>
        <v>0</v>
      </c>
      <c r="W1285" s="206" t="str">
        <f t="shared" si="787"/>
        <v/>
      </c>
      <c r="X1285" s="206">
        <f t="shared" si="788"/>
        <v>0</v>
      </c>
      <c r="Y1285" s="209">
        <f t="shared" si="789"/>
        <v>0</v>
      </c>
    </row>
    <row r="1286" spans="2:25" ht="15.75" thickBot="1" x14ac:dyDescent="0.3">
      <c r="B1286" s="141">
        <f>B1280</f>
        <v>41</v>
      </c>
      <c r="C1286" s="142">
        <v>287</v>
      </c>
      <c r="D1286" s="194" t="str">
        <f t="shared" si="774"/>
        <v>IV</v>
      </c>
      <c r="E1286" s="189"/>
      <c r="F1286" s="190"/>
      <c r="G1286" s="190"/>
      <c r="H1286" s="182"/>
      <c r="I1286" s="182"/>
      <c r="J1286" s="436" t="s">
        <v>181</v>
      </c>
      <c r="K1286" s="437"/>
      <c r="L1286" s="438"/>
      <c r="M1286" s="182"/>
      <c r="N1286" s="183">
        <v>10</v>
      </c>
      <c r="O1286" s="184">
        <v>10</v>
      </c>
      <c r="P1286" s="185"/>
      <c r="Q1286" s="186">
        <v>10</v>
      </c>
      <c r="R1286" s="187" t="s">
        <v>4</v>
      </c>
      <c r="S1286" s="188">
        <v>43620</v>
      </c>
      <c r="T1286" s="213">
        <f t="shared" si="756"/>
        <v>43647</v>
      </c>
      <c r="U1286" s="214">
        <f t="shared" si="757"/>
        <v>43677</v>
      </c>
      <c r="V1286" s="210">
        <f t="shared" si="790"/>
        <v>0</v>
      </c>
      <c r="W1286" s="211"/>
      <c r="X1286" s="211">
        <f>IF(AND($V1286&gt;0,$I1286=1),IF($E1286=10,P1286/10,P1286/$V1286),0)</f>
        <v>0</v>
      </c>
      <c r="Y1286" s="212">
        <f>IF(AND($V1280&gt;0,$I1286&lt;&gt;1),Q1286/E1280*V1280,0)</f>
        <v>10</v>
      </c>
    </row>
    <row r="1287" spans="2:25" ht="15.75" thickTop="1" x14ac:dyDescent="0.25">
      <c r="B1287" s="129">
        <f>B1285+1</f>
        <v>42</v>
      </c>
      <c r="C1287" s="130">
        <v>288</v>
      </c>
      <c r="D1287" s="196" t="str">
        <f t="shared" si="774"/>
        <v>IV</v>
      </c>
      <c r="E1287" s="131">
        <v>10</v>
      </c>
      <c r="F1287" s="132">
        <v>43664</v>
      </c>
      <c r="G1287" s="132">
        <v>43673</v>
      </c>
      <c r="H1287" s="133" t="s">
        <v>282</v>
      </c>
      <c r="I1287" s="133">
        <v>6</v>
      </c>
      <c r="J1287" s="131" t="s">
        <v>166</v>
      </c>
      <c r="K1287" s="134" t="s">
        <v>16</v>
      </c>
      <c r="L1287" s="133">
        <v>1</v>
      </c>
      <c r="M1287" s="133">
        <v>8</v>
      </c>
      <c r="N1287" s="135">
        <v>180</v>
      </c>
      <c r="O1287" s="136">
        <v>180</v>
      </c>
      <c r="P1287" s="137"/>
      <c r="Q1287" s="138">
        <v>180</v>
      </c>
      <c r="R1287" s="139" t="s">
        <v>4</v>
      </c>
      <c r="S1287" s="140">
        <v>43621</v>
      </c>
      <c r="T1287" s="203">
        <f t="shared" si="756"/>
        <v>43647</v>
      </c>
      <c r="U1287" s="204">
        <f t="shared" si="757"/>
        <v>43677</v>
      </c>
      <c r="V1287" s="207">
        <f>IF(G1287-F1287+1-IF(G1287-U1287&gt;0,G1287-U1287,0)-IF(T1287-F1287&gt;0,T1287-F1287,0)&gt;0,G1287-F1287+1-IF(G1287-U1287&gt;0,G1287-U1287,0)-IF(T1287-F1287&gt;0,T1287-F1287,0),0)</f>
        <v>10</v>
      </c>
      <c r="W1287" s="206" t="str">
        <f t="shared" ref="W1287:W1292" si="791">IF(V1287&gt;0,H1287,"")</f>
        <v>Даниела Ненова</v>
      </c>
      <c r="X1287" s="206">
        <f t="shared" ref="X1287:X1292" si="792">IF(AND($V1287&gt;0,$I1287=1),P1287/$E1287*$V1287,0)</f>
        <v>0</v>
      </c>
      <c r="Y1287" s="209">
        <f t="shared" ref="Y1287:Y1292" si="793">IF(AND($V1287&gt;0,$I1287&lt;&gt;1),Q1287/$E1287*$V1287,0)</f>
        <v>180</v>
      </c>
    </row>
    <row r="1288" spans="2:25" hidden="1" x14ac:dyDescent="0.25">
      <c r="B1288" s="60">
        <f>B1287</f>
        <v>42</v>
      </c>
      <c r="C1288" s="102">
        <v>289</v>
      </c>
      <c r="D1288" s="192" t="str">
        <f t="shared" si="774"/>
        <v>IV</v>
      </c>
      <c r="E1288" s="62"/>
      <c r="F1288" s="105"/>
      <c r="G1288" s="105"/>
      <c r="H1288" s="61"/>
      <c r="I1288" s="61"/>
      <c r="J1288" s="62"/>
      <c r="K1288" s="63"/>
      <c r="L1288" s="61"/>
      <c r="M1288" s="61"/>
      <c r="N1288" s="111"/>
      <c r="O1288" s="112"/>
      <c r="P1288" s="113"/>
      <c r="Q1288" s="114"/>
      <c r="R1288" s="64"/>
      <c r="S1288" s="108"/>
      <c r="T1288" s="203">
        <f t="shared" si="756"/>
        <v>43647</v>
      </c>
      <c r="U1288" s="204">
        <f t="shared" si="757"/>
        <v>43677</v>
      </c>
      <c r="V1288" s="207">
        <f t="shared" ref="V1288:V1293" si="794">IF(G1288-F1288+1-IF(G1288-U1288&gt;0,G1288-U1288,0)-IF(T1288-F1288&gt;0,T1288-F1288,0)&gt;0,G1288-F1288+1-IF(G1288-U1288&gt;0,G1288-U1288,0)-IF(T1288-F1288&gt;0,T1288-F1288,0),0)</f>
        <v>0</v>
      </c>
      <c r="W1288" s="206" t="str">
        <f t="shared" si="791"/>
        <v/>
      </c>
      <c r="X1288" s="206">
        <f t="shared" si="792"/>
        <v>0</v>
      </c>
      <c r="Y1288" s="209">
        <f t="shared" si="793"/>
        <v>0</v>
      </c>
    </row>
    <row r="1289" spans="2:25" hidden="1" x14ac:dyDescent="0.25">
      <c r="B1289" s="60">
        <f>B1287</f>
        <v>42</v>
      </c>
      <c r="C1289" s="102">
        <v>290</v>
      </c>
      <c r="D1289" s="192" t="str">
        <f t="shared" si="774"/>
        <v>IV</v>
      </c>
      <c r="E1289" s="62"/>
      <c r="F1289" s="105"/>
      <c r="G1289" s="105"/>
      <c r="H1289" s="61"/>
      <c r="I1289" s="61"/>
      <c r="J1289" s="62"/>
      <c r="K1289" s="63"/>
      <c r="L1289" s="61"/>
      <c r="M1289" s="61"/>
      <c r="N1289" s="111"/>
      <c r="O1289" s="112"/>
      <c r="P1289" s="113"/>
      <c r="Q1289" s="114"/>
      <c r="R1289" s="64"/>
      <c r="S1289" s="108"/>
      <c r="T1289" s="203">
        <f t="shared" si="756"/>
        <v>43647</v>
      </c>
      <c r="U1289" s="204">
        <f t="shared" si="757"/>
        <v>43677</v>
      </c>
      <c r="V1289" s="207">
        <f t="shared" si="794"/>
        <v>0</v>
      </c>
      <c r="W1289" s="206" t="str">
        <f t="shared" si="791"/>
        <v/>
      </c>
      <c r="X1289" s="206">
        <f t="shared" si="792"/>
        <v>0</v>
      </c>
      <c r="Y1289" s="209">
        <f t="shared" si="793"/>
        <v>0</v>
      </c>
    </row>
    <row r="1290" spans="2:25" hidden="1" x14ac:dyDescent="0.25">
      <c r="B1290" s="60">
        <f>B1287</f>
        <v>42</v>
      </c>
      <c r="C1290" s="102">
        <v>291</v>
      </c>
      <c r="D1290" s="192" t="str">
        <f t="shared" si="774"/>
        <v>IV</v>
      </c>
      <c r="E1290" s="62"/>
      <c r="F1290" s="105"/>
      <c r="G1290" s="105"/>
      <c r="H1290" s="61"/>
      <c r="I1290" s="61"/>
      <c r="J1290" s="62"/>
      <c r="K1290" s="63"/>
      <c r="L1290" s="61"/>
      <c r="M1290" s="61"/>
      <c r="N1290" s="111"/>
      <c r="O1290" s="112"/>
      <c r="P1290" s="113"/>
      <c r="Q1290" s="114"/>
      <c r="R1290" s="64"/>
      <c r="S1290" s="108"/>
      <c r="T1290" s="203">
        <f t="shared" si="756"/>
        <v>43647</v>
      </c>
      <c r="U1290" s="204">
        <f t="shared" si="757"/>
        <v>43677</v>
      </c>
      <c r="V1290" s="207">
        <f t="shared" si="794"/>
        <v>0</v>
      </c>
      <c r="W1290" s="206" t="str">
        <f t="shared" si="791"/>
        <v/>
      </c>
      <c r="X1290" s="206">
        <f t="shared" si="792"/>
        <v>0</v>
      </c>
      <c r="Y1290" s="209">
        <f t="shared" si="793"/>
        <v>0</v>
      </c>
    </row>
    <row r="1291" spans="2:25" hidden="1" x14ac:dyDescent="0.25">
      <c r="B1291" s="60">
        <f>B1287</f>
        <v>42</v>
      </c>
      <c r="C1291" s="102">
        <v>292</v>
      </c>
      <c r="D1291" s="192" t="str">
        <f t="shared" si="774"/>
        <v>IV</v>
      </c>
      <c r="E1291" s="62"/>
      <c r="F1291" s="105"/>
      <c r="G1291" s="105"/>
      <c r="H1291" s="61"/>
      <c r="I1291" s="61"/>
      <c r="J1291" s="62"/>
      <c r="K1291" s="63"/>
      <c r="L1291" s="61"/>
      <c r="M1291" s="61"/>
      <c r="N1291" s="111"/>
      <c r="O1291" s="112"/>
      <c r="P1291" s="113"/>
      <c r="Q1291" s="114"/>
      <c r="R1291" s="64"/>
      <c r="S1291" s="108"/>
      <c r="T1291" s="203">
        <f t="shared" si="756"/>
        <v>43647</v>
      </c>
      <c r="U1291" s="204">
        <f t="shared" si="757"/>
        <v>43677</v>
      </c>
      <c r="V1291" s="207">
        <f t="shared" si="794"/>
        <v>0</v>
      </c>
      <c r="W1291" s="206" t="str">
        <f t="shared" si="791"/>
        <v/>
      </c>
      <c r="X1291" s="206">
        <f t="shared" si="792"/>
        <v>0</v>
      </c>
      <c r="Y1291" s="209">
        <f t="shared" si="793"/>
        <v>0</v>
      </c>
    </row>
    <row r="1292" spans="2:25" hidden="1" x14ac:dyDescent="0.25">
      <c r="B1292" s="60">
        <f>B1287</f>
        <v>42</v>
      </c>
      <c r="C1292" s="102">
        <v>293</v>
      </c>
      <c r="D1292" s="192" t="str">
        <f t="shared" si="774"/>
        <v>IV</v>
      </c>
      <c r="E1292" s="62"/>
      <c r="F1292" s="105"/>
      <c r="G1292" s="105"/>
      <c r="H1292" s="61"/>
      <c r="I1292" s="61"/>
      <c r="J1292" s="62"/>
      <c r="K1292" s="63"/>
      <c r="L1292" s="61"/>
      <c r="M1292" s="61"/>
      <c r="N1292" s="111"/>
      <c r="O1292" s="112"/>
      <c r="P1292" s="113"/>
      <c r="Q1292" s="114"/>
      <c r="R1292" s="64"/>
      <c r="S1292" s="108"/>
      <c r="T1292" s="203">
        <f t="shared" si="756"/>
        <v>43647</v>
      </c>
      <c r="U1292" s="204">
        <f t="shared" si="757"/>
        <v>43677</v>
      </c>
      <c r="V1292" s="207">
        <f t="shared" si="794"/>
        <v>0</v>
      </c>
      <c r="W1292" s="206" t="str">
        <f t="shared" si="791"/>
        <v/>
      </c>
      <c r="X1292" s="206">
        <f t="shared" si="792"/>
        <v>0</v>
      </c>
      <c r="Y1292" s="209">
        <f t="shared" si="793"/>
        <v>0</v>
      </c>
    </row>
    <row r="1293" spans="2:25" ht="15.75" thickBot="1" x14ac:dyDescent="0.3">
      <c r="B1293" s="141">
        <f>B1287</f>
        <v>42</v>
      </c>
      <c r="C1293" s="142">
        <v>294</v>
      </c>
      <c r="D1293" s="194" t="str">
        <f t="shared" si="774"/>
        <v>IV</v>
      </c>
      <c r="E1293" s="143"/>
      <c r="F1293" s="144"/>
      <c r="G1293" s="144"/>
      <c r="H1293" s="145"/>
      <c r="I1293" s="145"/>
      <c r="J1293" s="436" t="s">
        <v>181</v>
      </c>
      <c r="K1293" s="437"/>
      <c r="L1293" s="438"/>
      <c r="M1293" s="145"/>
      <c r="N1293" s="146">
        <v>10</v>
      </c>
      <c r="O1293" s="147">
        <v>10</v>
      </c>
      <c r="P1293" s="148"/>
      <c r="Q1293" s="149">
        <v>10</v>
      </c>
      <c r="R1293" s="150" t="s">
        <v>4</v>
      </c>
      <c r="S1293" s="151">
        <v>43621</v>
      </c>
      <c r="T1293" s="213">
        <f t="shared" ref="T1293:T1356" si="795">$F$4</f>
        <v>43647</v>
      </c>
      <c r="U1293" s="214">
        <f t="shared" ref="U1293:U1356" si="796">$G$4</f>
        <v>43677</v>
      </c>
      <c r="V1293" s="210">
        <f t="shared" si="794"/>
        <v>0</v>
      </c>
      <c r="W1293" s="211"/>
      <c r="X1293" s="211">
        <f>IF(AND($V1293&gt;0,$I1293=1),IF($E1293=10,P1293/10,P1293/$V1293),0)</f>
        <v>0</v>
      </c>
      <c r="Y1293" s="212">
        <f>IF(AND($V1287&gt;0,$I1293&lt;&gt;1),Q1293/E1287*V1287,0)</f>
        <v>10</v>
      </c>
    </row>
    <row r="1294" spans="2:25" ht="16.5" hidden="1" thickTop="1" thickBot="1" x14ac:dyDescent="0.3">
      <c r="B1294" s="129">
        <f>B1292+1</f>
        <v>43</v>
      </c>
      <c r="C1294" s="130">
        <v>295</v>
      </c>
      <c r="D1294" s="196" t="str">
        <f t="shared" si="774"/>
        <v>IV</v>
      </c>
      <c r="E1294" s="152"/>
      <c r="F1294" s="153"/>
      <c r="G1294" s="153"/>
      <c r="H1294" s="154"/>
      <c r="I1294" s="154"/>
      <c r="J1294" s="152"/>
      <c r="K1294" s="155"/>
      <c r="L1294" s="154"/>
      <c r="M1294" s="154"/>
      <c r="N1294" s="156"/>
      <c r="O1294" s="157"/>
      <c r="P1294" s="158"/>
      <c r="Q1294" s="159"/>
      <c r="R1294" s="160"/>
      <c r="S1294" s="161"/>
      <c r="T1294" s="203">
        <f t="shared" si="795"/>
        <v>43647</v>
      </c>
      <c r="U1294" s="204">
        <f t="shared" si="796"/>
        <v>43677</v>
      </c>
      <c r="V1294" s="207">
        <f>IF(G1294-F1294+1-IF(G1294-U1294&gt;0,G1294-U1294,0)-IF(T1294-F1294&gt;0,T1294-F1294,0)&gt;0,G1294-F1294+1-IF(G1294-U1294&gt;0,G1294-U1294,0)-IF(T1294-F1294&gt;0,T1294-F1294,0),0)</f>
        <v>0</v>
      </c>
      <c r="W1294" s="206" t="str">
        <f t="shared" ref="W1294:W1299" si="797">IF(V1294&gt;0,H1294,"")</f>
        <v/>
      </c>
      <c r="X1294" s="206">
        <f t="shared" ref="X1294:X1299" si="798">IF(AND($V1294&gt;0,$I1294=1),P1294/$E1294*$V1294,0)</f>
        <v>0</v>
      </c>
      <c r="Y1294" s="209">
        <f t="shared" ref="Y1294:Y1299" si="799">IF(AND($V1294&gt;0,$I1294&lt;&gt;1),Q1294/$E1294*$V1294,0)</f>
        <v>0</v>
      </c>
    </row>
    <row r="1295" spans="2:25" ht="16.5" hidden="1" thickTop="1" thickBot="1" x14ac:dyDescent="0.3">
      <c r="B1295" s="60">
        <f>B1294</f>
        <v>43</v>
      </c>
      <c r="C1295" s="102">
        <v>296</v>
      </c>
      <c r="D1295" s="192" t="str">
        <f t="shared" si="774"/>
        <v>IV</v>
      </c>
      <c r="E1295" s="162"/>
      <c r="F1295" s="163"/>
      <c r="G1295" s="163"/>
      <c r="H1295" s="164"/>
      <c r="I1295" s="164"/>
      <c r="J1295" s="162"/>
      <c r="K1295" s="165"/>
      <c r="L1295" s="164"/>
      <c r="M1295" s="164"/>
      <c r="N1295" s="166"/>
      <c r="O1295" s="167"/>
      <c r="P1295" s="168"/>
      <c r="Q1295" s="169"/>
      <c r="R1295" s="170"/>
      <c r="S1295" s="171"/>
      <c r="T1295" s="203">
        <f t="shared" si="795"/>
        <v>43647</v>
      </c>
      <c r="U1295" s="204">
        <f t="shared" si="796"/>
        <v>43677</v>
      </c>
      <c r="V1295" s="207">
        <f t="shared" ref="V1295:V1300" si="800">IF(G1295-F1295+1-IF(G1295-U1295&gt;0,G1295-U1295,0)-IF(T1295-F1295&gt;0,T1295-F1295,0)&gt;0,G1295-F1295+1-IF(G1295-U1295&gt;0,G1295-U1295,0)-IF(T1295-F1295&gt;0,T1295-F1295,0),0)</f>
        <v>0</v>
      </c>
      <c r="W1295" s="206" t="str">
        <f t="shared" si="797"/>
        <v/>
      </c>
      <c r="X1295" s="206">
        <f t="shared" si="798"/>
        <v>0</v>
      </c>
      <c r="Y1295" s="209">
        <f t="shared" si="799"/>
        <v>0</v>
      </c>
    </row>
    <row r="1296" spans="2:25" ht="16.5" hidden="1" thickTop="1" thickBot="1" x14ac:dyDescent="0.3">
      <c r="B1296" s="60">
        <f>B1294</f>
        <v>43</v>
      </c>
      <c r="C1296" s="102">
        <v>297</v>
      </c>
      <c r="D1296" s="192" t="str">
        <f t="shared" si="774"/>
        <v>IV</v>
      </c>
      <c r="E1296" s="162"/>
      <c r="F1296" s="163"/>
      <c r="G1296" s="163"/>
      <c r="H1296" s="164"/>
      <c r="I1296" s="164"/>
      <c r="J1296" s="162"/>
      <c r="K1296" s="165"/>
      <c r="L1296" s="164"/>
      <c r="M1296" s="164"/>
      <c r="N1296" s="166"/>
      <c r="O1296" s="167"/>
      <c r="P1296" s="168"/>
      <c r="Q1296" s="169"/>
      <c r="R1296" s="170"/>
      <c r="S1296" s="171"/>
      <c r="T1296" s="203">
        <f t="shared" si="795"/>
        <v>43647</v>
      </c>
      <c r="U1296" s="204">
        <f t="shared" si="796"/>
        <v>43677</v>
      </c>
      <c r="V1296" s="207">
        <f t="shared" si="800"/>
        <v>0</v>
      </c>
      <c r="W1296" s="206" t="str">
        <f t="shared" si="797"/>
        <v/>
      </c>
      <c r="X1296" s="206">
        <f t="shared" si="798"/>
        <v>0</v>
      </c>
      <c r="Y1296" s="209">
        <f t="shared" si="799"/>
        <v>0</v>
      </c>
    </row>
    <row r="1297" spans="2:25" ht="16.5" hidden="1" thickTop="1" thickBot="1" x14ac:dyDescent="0.3">
      <c r="B1297" s="60">
        <f>B1294</f>
        <v>43</v>
      </c>
      <c r="C1297" s="102">
        <v>298</v>
      </c>
      <c r="D1297" s="192" t="str">
        <f t="shared" si="774"/>
        <v>IV</v>
      </c>
      <c r="E1297" s="162"/>
      <c r="F1297" s="163"/>
      <c r="G1297" s="163"/>
      <c r="H1297" s="164"/>
      <c r="I1297" s="164"/>
      <c r="J1297" s="162"/>
      <c r="K1297" s="165"/>
      <c r="L1297" s="164"/>
      <c r="M1297" s="164"/>
      <c r="N1297" s="166"/>
      <c r="O1297" s="167"/>
      <c r="P1297" s="168"/>
      <c r="Q1297" s="169"/>
      <c r="R1297" s="170"/>
      <c r="S1297" s="171"/>
      <c r="T1297" s="203">
        <f t="shared" si="795"/>
        <v>43647</v>
      </c>
      <c r="U1297" s="204">
        <f t="shared" si="796"/>
        <v>43677</v>
      </c>
      <c r="V1297" s="207">
        <f t="shared" si="800"/>
        <v>0</v>
      </c>
      <c r="W1297" s="206" t="str">
        <f t="shared" si="797"/>
        <v/>
      </c>
      <c r="X1297" s="206">
        <f t="shared" si="798"/>
        <v>0</v>
      </c>
      <c r="Y1297" s="209">
        <f t="shared" si="799"/>
        <v>0</v>
      </c>
    </row>
    <row r="1298" spans="2:25" ht="16.5" hidden="1" thickTop="1" thickBot="1" x14ac:dyDescent="0.3">
      <c r="B1298" s="60">
        <f>B1294</f>
        <v>43</v>
      </c>
      <c r="C1298" s="102">
        <v>299</v>
      </c>
      <c r="D1298" s="192" t="str">
        <f t="shared" si="774"/>
        <v>IV</v>
      </c>
      <c r="E1298" s="162"/>
      <c r="F1298" s="163"/>
      <c r="G1298" s="163"/>
      <c r="H1298" s="164"/>
      <c r="I1298" s="164"/>
      <c r="J1298" s="162"/>
      <c r="K1298" s="165"/>
      <c r="L1298" s="164"/>
      <c r="M1298" s="164"/>
      <c r="N1298" s="166"/>
      <c r="O1298" s="167"/>
      <c r="P1298" s="168"/>
      <c r="Q1298" s="169"/>
      <c r="R1298" s="170"/>
      <c r="S1298" s="171"/>
      <c r="T1298" s="203">
        <f t="shared" si="795"/>
        <v>43647</v>
      </c>
      <c r="U1298" s="204">
        <f t="shared" si="796"/>
        <v>43677</v>
      </c>
      <c r="V1298" s="207">
        <f t="shared" si="800"/>
        <v>0</v>
      </c>
      <c r="W1298" s="206" t="str">
        <f t="shared" si="797"/>
        <v/>
      </c>
      <c r="X1298" s="206">
        <f t="shared" si="798"/>
        <v>0</v>
      </c>
      <c r="Y1298" s="209">
        <f t="shared" si="799"/>
        <v>0</v>
      </c>
    </row>
    <row r="1299" spans="2:25" ht="16.5" hidden="1" thickTop="1" thickBot="1" x14ac:dyDescent="0.3">
      <c r="B1299" s="60">
        <f>B1294</f>
        <v>43</v>
      </c>
      <c r="C1299" s="102">
        <v>300</v>
      </c>
      <c r="D1299" s="192" t="str">
        <f t="shared" si="774"/>
        <v>IV</v>
      </c>
      <c r="E1299" s="172"/>
      <c r="F1299" s="173"/>
      <c r="G1299" s="173"/>
      <c r="H1299" s="174"/>
      <c r="I1299" s="174"/>
      <c r="J1299" s="172"/>
      <c r="K1299" s="175"/>
      <c r="L1299" s="174"/>
      <c r="M1299" s="174"/>
      <c r="N1299" s="176"/>
      <c r="O1299" s="177"/>
      <c r="P1299" s="178"/>
      <c r="Q1299" s="179"/>
      <c r="R1299" s="180"/>
      <c r="S1299" s="181"/>
      <c r="T1299" s="203">
        <f t="shared" si="795"/>
        <v>43647</v>
      </c>
      <c r="U1299" s="204">
        <f t="shared" si="796"/>
        <v>43677</v>
      </c>
      <c r="V1299" s="207">
        <f t="shared" si="800"/>
        <v>0</v>
      </c>
      <c r="W1299" s="206" t="str">
        <f t="shared" si="797"/>
        <v/>
      </c>
      <c r="X1299" s="206">
        <f t="shared" si="798"/>
        <v>0</v>
      </c>
      <c r="Y1299" s="209">
        <f t="shared" si="799"/>
        <v>0</v>
      </c>
    </row>
    <row r="1300" spans="2:25" ht="16.5" hidden="1" thickTop="1" thickBot="1" x14ac:dyDescent="0.3">
      <c r="B1300" s="141">
        <f>B1294</f>
        <v>43</v>
      </c>
      <c r="C1300" s="142">
        <v>301</v>
      </c>
      <c r="D1300" s="194" t="str">
        <f t="shared" si="774"/>
        <v>IV</v>
      </c>
      <c r="E1300" s="189"/>
      <c r="F1300" s="190"/>
      <c r="G1300" s="190"/>
      <c r="H1300" s="182"/>
      <c r="I1300" s="182"/>
      <c r="J1300" s="436" t="s">
        <v>181</v>
      </c>
      <c r="K1300" s="437"/>
      <c r="L1300" s="438"/>
      <c r="M1300" s="182"/>
      <c r="N1300" s="183"/>
      <c r="O1300" s="184"/>
      <c r="P1300" s="185"/>
      <c r="Q1300" s="186"/>
      <c r="R1300" s="187"/>
      <c r="S1300" s="188"/>
      <c r="T1300" s="213">
        <f t="shared" si="795"/>
        <v>43647</v>
      </c>
      <c r="U1300" s="214">
        <f t="shared" si="796"/>
        <v>43677</v>
      </c>
      <c r="V1300" s="210">
        <f t="shared" si="800"/>
        <v>0</v>
      </c>
      <c r="W1300" s="211"/>
      <c r="X1300" s="211">
        <f>IF(AND($V1300&gt;0,$I1300=1),IF($E1300=10,P1300/10,P1300/$V1300),0)</f>
        <v>0</v>
      </c>
      <c r="Y1300" s="212">
        <f>IF(AND($V1294&gt;0,$I1300&lt;&gt;1),Q1300/E1294*V1294,0)</f>
        <v>0</v>
      </c>
    </row>
    <row r="1301" spans="2:25" ht="16.5" hidden="1" thickTop="1" thickBot="1" x14ac:dyDescent="0.3">
      <c r="B1301" s="129">
        <f>B1299+1</f>
        <v>44</v>
      </c>
      <c r="C1301" s="130">
        <v>302</v>
      </c>
      <c r="D1301" s="196" t="str">
        <f t="shared" si="774"/>
        <v>IV</v>
      </c>
      <c r="E1301" s="131"/>
      <c r="F1301" s="132"/>
      <c r="G1301" s="132"/>
      <c r="H1301" s="133"/>
      <c r="I1301" s="133"/>
      <c r="J1301" s="131"/>
      <c r="K1301" s="134"/>
      <c r="L1301" s="133"/>
      <c r="M1301" s="133"/>
      <c r="N1301" s="135"/>
      <c r="O1301" s="136"/>
      <c r="P1301" s="137"/>
      <c r="Q1301" s="138"/>
      <c r="R1301" s="139"/>
      <c r="S1301" s="140"/>
      <c r="T1301" s="203">
        <f t="shared" si="795"/>
        <v>43647</v>
      </c>
      <c r="U1301" s="204">
        <f t="shared" si="796"/>
        <v>43677</v>
      </c>
      <c r="V1301" s="207">
        <f>IF(G1301-F1301+1-IF(G1301-U1301&gt;0,G1301-U1301,0)-IF(T1301-F1301&gt;0,T1301-F1301,0)&gt;0,G1301-F1301+1-IF(G1301-U1301&gt;0,G1301-U1301,0)-IF(T1301-F1301&gt;0,T1301-F1301,0),0)</f>
        <v>0</v>
      </c>
      <c r="W1301" s="206" t="str">
        <f t="shared" ref="W1301:W1306" si="801">IF(V1301&gt;0,H1301,"")</f>
        <v/>
      </c>
      <c r="X1301" s="206">
        <f t="shared" ref="X1301:X1306" si="802">IF(AND($V1301&gt;0,$I1301=1),P1301/$E1301*$V1301,0)</f>
        <v>0</v>
      </c>
      <c r="Y1301" s="209">
        <f t="shared" ref="Y1301:Y1306" si="803">IF(AND($V1301&gt;0,$I1301&lt;&gt;1),Q1301/$E1301*$V1301,0)</f>
        <v>0</v>
      </c>
    </row>
    <row r="1302" spans="2:25" ht="16.5" hidden="1" thickTop="1" thickBot="1" x14ac:dyDescent="0.3">
      <c r="B1302" s="60">
        <f>B1301</f>
        <v>44</v>
      </c>
      <c r="C1302" s="102">
        <v>303</v>
      </c>
      <c r="D1302" s="192" t="str">
        <f t="shared" si="774"/>
        <v>IV</v>
      </c>
      <c r="E1302" s="62"/>
      <c r="F1302" s="105"/>
      <c r="G1302" s="105"/>
      <c r="H1302" s="61"/>
      <c r="I1302" s="61"/>
      <c r="J1302" s="62"/>
      <c r="K1302" s="63"/>
      <c r="L1302" s="61"/>
      <c r="M1302" s="61"/>
      <c r="N1302" s="111"/>
      <c r="O1302" s="112"/>
      <c r="P1302" s="113"/>
      <c r="Q1302" s="114"/>
      <c r="R1302" s="64"/>
      <c r="S1302" s="108"/>
      <c r="T1302" s="203">
        <f t="shared" si="795"/>
        <v>43647</v>
      </c>
      <c r="U1302" s="204">
        <f t="shared" si="796"/>
        <v>43677</v>
      </c>
      <c r="V1302" s="207">
        <f t="shared" ref="V1302:V1307" si="804">IF(G1302-F1302+1-IF(G1302-U1302&gt;0,G1302-U1302,0)-IF(T1302-F1302&gt;0,T1302-F1302,0)&gt;0,G1302-F1302+1-IF(G1302-U1302&gt;0,G1302-U1302,0)-IF(T1302-F1302&gt;0,T1302-F1302,0),0)</f>
        <v>0</v>
      </c>
      <c r="W1302" s="206" t="str">
        <f t="shared" si="801"/>
        <v/>
      </c>
      <c r="X1302" s="206">
        <f t="shared" si="802"/>
        <v>0</v>
      </c>
      <c r="Y1302" s="209">
        <f t="shared" si="803"/>
        <v>0</v>
      </c>
    </row>
    <row r="1303" spans="2:25" ht="16.5" hidden="1" thickTop="1" thickBot="1" x14ac:dyDescent="0.3">
      <c r="B1303" s="60">
        <f>B1301</f>
        <v>44</v>
      </c>
      <c r="C1303" s="102">
        <v>304</v>
      </c>
      <c r="D1303" s="192" t="str">
        <f t="shared" si="774"/>
        <v>IV</v>
      </c>
      <c r="E1303" s="62"/>
      <c r="F1303" s="105"/>
      <c r="G1303" s="105"/>
      <c r="H1303" s="61"/>
      <c r="I1303" s="61"/>
      <c r="J1303" s="62"/>
      <c r="K1303" s="63"/>
      <c r="L1303" s="61"/>
      <c r="M1303" s="61"/>
      <c r="N1303" s="111"/>
      <c r="O1303" s="112"/>
      <c r="P1303" s="113"/>
      <c r="Q1303" s="114"/>
      <c r="R1303" s="64"/>
      <c r="S1303" s="108"/>
      <c r="T1303" s="203">
        <f t="shared" si="795"/>
        <v>43647</v>
      </c>
      <c r="U1303" s="204">
        <f t="shared" si="796"/>
        <v>43677</v>
      </c>
      <c r="V1303" s="207">
        <f t="shared" si="804"/>
        <v>0</v>
      </c>
      <c r="W1303" s="206" t="str">
        <f t="shared" si="801"/>
        <v/>
      </c>
      <c r="X1303" s="206">
        <f t="shared" si="802"/>
        <v>0</v>
      </c>
      <c r="Y1303" s="209">
        <f t="shared" si="803"/>
        <v>0</v>
      </c>
    </row>
    <row r="1304" spans="2:25" ht="16.5" hidden="1" thickTop="1" thickBot="1" x14ac:dyDescent="0.3">
      <c r="B1304" s="60">
        <f>B1301</f>
        <v>44</v>
      </c>
      <c r="C1304" s="102">
        <v>305</v>
      </c>
      <c r="D1304" s="192" t="str">
        <f t="shared" si="774"/>
        <v>IV</v>
      </c>
      <c r="E1304" s="62"/>
      <c r="F1304" s="105"/>
      <c r="G1304" s="105"/>
      <c r="H1304" s="61"/>
      <c r="I1304" s="61"/>
      <c r="J1304" s="62"/>
      <c r="K1304" s="63"/>
      <c r="L1304" s="61"/>
      <c r="M1304" s="61"/>
      <c r="N1304" s="111"/>
      <c r="O1304" s="112"/>
      <c r="P1304" s="113"/>
      <c r="Q1304" s="114"/>
      <c r="R1304" s="64"/>
      <c r="S1304" s="108"/>
      <c r="T1304" s="203">
        <f t="shared" si="795"/>
        <v>43647</v>
      </c>
      <c r="U1304" s="204">
        <f t="shared" si="796"/>
        <v>43677</v>
      </c>
      <c r="V1304" s="207">
        <f t="shared" si="804"/>
        <v>0</v>
      </c>
      <c r="W1304" s="206" t="str">
        <f t="shared" si="801"/>
        <v/>
      </c>
      <c r="X1304" s="206">
        <f t="shared" si="802"/>
        <v>0</v>
      </c>
      <c r="Y1304" s="209">
        <f t="shared" si="803"/>
        <v>0</v>
      </c>
    </row>
    <row r="1305" spans="2:25" ht="16.5" hidden="1" thickTop="1" thickBot="1" x14ac:dyDescent="0.3">
      <c r="B1305" s="60">
        <f>B1301</f>
        <v>44</v>
      </c>
      <c r="C1305" s="102">
        <v>306</v>
      </c>
      <c r="D1305" s="192" t="str">
        <f t="shared" si="774"/>
        <v>IV</v>
      </c>
      <c r="E1305" s="62"/>
      <c r="F1305" s="105"/>
      <c r="G1305" s="105"/>
      <c r="H1305" s="61"/>
      <c r="I1305" s="61"/>
      <c r="J1305" s="62"/>
      <c r="K1305" s="63"/>
      <c r="L1305" s="61"/>
      <c r="M1305" s="61"/>
      <c r="N1305" s="111"/>
      <c r="O1305" s="112"/>
      <c r="P1305" s="113"/>
      <c r="Q1305" s="114"/>
      <c r="R1305" s="64"/>
      <c r="S1305" s="108"/>
      <c r="T1305" s="203">
        <f t="shared" si="795"/>
        <v>43647</v>
      </c>
      <c r="U1305" s="204">
        <f t="shared" si="796"/>
        <v>43677</v>
      </c>
      <c r="V1305" s="207">
        <f t="shared" si="804"/>
        <v>0</v>
      </c>
      <c r="W1305" s="206" t="str">
        <f t="shared" si="801"/>
        <v/>
      </c>
      <c r="X1305" s="206">
        <f t="shared" si="802"/>
        <v>0</v>
      </c>
      <c r="Y1305" s="209">
        <f t="shared" si="803"/>
        <v>0</v>
      </c>
    </row>
    <row r="1306" spans="2:25" ht="16.5" hidden="1" thickTop="1" thickBot="1" x14ac:dyDescent="0.3">
      <c r="B1306" s="60">
        <f>B1301</f>
        <v>44</v>
      </c>
      <c r="C1306" s="102">
        <v>307</v>
      </c>
      <c r="D1306" s="192" t="str">
        <f t="shared" si="774"/>
        <v>IV</v>
      </c>
      <c r="E1306" s="62"/>
      <c r="F1306" s="105"/>
      <c r="G1306" s="105"/>
      <c r="H1306" s="61"/>
      <c r="I1306" s="61"/>
      <c r="J1306" s="62"/>
      <c r="K1306" s="63"/>
      <c r="L1306" s="61"/>
      <c r="M1306" s="61"/>
      <c r="N1306" s="111"/>
      <c r="O1306" s="112"/>
      <c r="P1306" s="113"/>
      <c r="Q1306" s="114"/>
      <c r="R1306" s="64"/>
      <c r="S1306" s="108"/>
      <c r="T1306" s="203">
        <f t="shared" si="795"/>
        <v>43647</v>
      </c>
      <c r="U1306" s="204">
        <f t="shared" si="796"/>
        <v>43677</v>
      </c>
      <c r="V1306" s="207">
        <f t="shared" si="804"/>
        <v>0</v>
      </c>
      <c r="W1306" s="206" t="str">
        <f t="shared" si="801"/>
        <v/>
      </c>
      <c r="X1306" s="206">
        <f t="shared" si="802"/>
        <v>0</v>
      </c>
      <c r="Y1306" s="209">
        <f t="shared" si="803"/>
        <v>0</v>
      </c>
    </row>
    <row r="1307" spans="2:25" ht="16.5" hidden="1" thickTop="1" thickBot="1" x14ac:dyDescent="0.3">
      <c r="B1307" s="141">
        <f>B1301</f>
        <v>44</v>
      </c>
      <c r="C1307" s="142">
        <v>308</v>
      </c>
      <c r="D1307" s="194" t="str">
        <f t="shared" si="774"/>
        <v>IV</v>
      </c>
      <c r="E1307" s="143"/>
      <c r="F1307" s="144"/>
      <c r="G1307" s="144"/>
      <c r="H1307" s="145"/>
      <c r="I1307" s="145"/>
      <c r="J1307" s="436" t="s">
        <v>181</v>
      </c>
      <c r="K1307" s="437"/>
      <c r="L1307" s="438"/>
      <c r="M1307" s="145"/>
      <c r="N1307" s="146"/>
      <c r="O1307" s="147"/>
      <c r="P1307" s="148"/>
      <c r="Q1307" s="149"/>
      <c r="R1307" s="150"/>
      <c r="S1307" s="151"/>
      <c r="T1307" s="213">
        <f t="shared" si="795"/>
        <v>43647</v>
      </c>
      <c r="U1307" s="214">
        <f t="shared" si="796"/>
        <v>43677</v>
      </c>
      <c r="V1307" s="210">
        <f t="shared" si="804"/>
        <v>0</v>
      </c>
      <c r="W1307" s="211"/>
      <c r="X1307" s="211">
        <f>IF(AND($V1307&gt;0,$I1307=1),IF($E1307=10,P1307/10,P1307/$V1307),0)</f>
        <v>0</v>
      </c>
      <c r="Y1307" s="212">
        <f>IF(AND($V1301&gt;0,$I1307&lt;&gt;1),Q1307/E1301*V1301,0)</f>
        <v>0</v>
      </c>
    </row>
    <row r="1308" spans="2:25" ht="45.75" thickTop="1" x14ac:dyDescent="0.25">
      <c r="B1308" s="129">
        <f>B1306+1</f>
        <v>45</v>
      </c>
      <c r="C1308" s="130">
        <v>309</v>
      </c>
      <c r="D1308" s="196" t="str">
        <f t="shared" si="774"/>
        <v>IV</v>
      </c>
      <c r="E1308" s="152">
        <v>10</v>
      </c>
      <c r="F1308" s="153">
        <v>43664</v>
      </c>
      <c r="G1308" s="153">
        <v>43673</v>
      </c>
      <c r="H1308" s="154" t="s">
        <v>283</v>
      </c>
      <c r="I1308" s="154">
        <v>2</v>
      </c>
      <c r="J1308" s="152" t="s">
        <v>167</v>
      </c>
      <c r="K1308" s="155" t="s">
        <v>16</v>
      </c>
      <c r="L1308" s="154">
        <v>1</v>
      </c>
      <c r="M1308" s="154">
        <v>8</v>
      </c>
      <c r="N1308" s="156">
        <v>90</v>
      </c>
      <c r="O1308" s="157">
        <v>90</v>
      </c>
      <c r="P1308" s="158"/>
      <c r="Q1308" s="159">
        <v>90</v>
      </c>
      <c r="R1308" s="160" t="s">
        <v>4</v>
      </c>
      <c r="S1308" s="161">
        <v>43620</v>
      </c>
      <c r="T1308" s="203">
        <f t="shared" si="795"/>
        <v>43647</v>
      </c>
      <c r="U1308" s="204">
        <f t="shared" si="796"/>
        <v>43677</v>
      </c>
      <c r="V1308" s="207">
        <f>IF(G1308-F1308+1-IF(G1308-U1308&gt;0,G1308-U1308,0)-IF(T1308-F1308&gt;0,T1308-F1308,0)&gt;0,G1308-F1308+1-IF(G1308-U1308&gt;0,G1308-U1308,0)-IF(T1308-F1308&gt;0,T1308-F1308,0),0)</f>
        <v>10</v>
      </c>
      <c r="W1308" s="206" t="str">
        <f t="shared" ref="W1308:W1313" si="805">IF(V1308&gt;0,H1308,"")</f>
        <v>Гюлтен Мустафа</v>
      </c>
      <c r="X1308" s="206">
        <f t="shared" ref="X1308:X1313" si="806">IF(AND($V1308&gt;0,$I1308=1),P1308/$E1308*$V1308,0)</f>
        <v>0</v>
      </c>
      <c r="Y1308" s="209">
        <f t="shared" ref="Y1308:Y1313" si="807">IF(AND($V1308&gt;0,$I1308&lt;&gt;1),Q1308/$E1308*$V1308,0)</f>
        <v>90</v>
      </c>
    </row>
    <row r="1309" spans="2:25" ht="45" x14ac:dyDescent="0.25">
      <c r="B1309" s="60">
        <f>B1308</f>
        <v>45</v>
      </c>
      <c r="C1309" s="102">
        <v>310</v>
      </c>
      <c r="D1309" s="192" t="str">
        <f t="shared" si="774"/>
        <v>IV</v>
      </c>
      <c r="E1309" s="162">
        <v>10</v>
      </c>
      <c r="F1309" s="163">
        <v>43664</v>
      </c>
      <c r="G1309" s="163">
        <v>43673</v>
      </c>
      <c r="H1309" s="164" t="s">
        <v>284</v>
      </c>
      <c r="I1309" s="164">
        <v>2</v>
      </c>
      <c r="J1309" s="162" t="s">
        <v>167</v>
      </c>
      <c r="K1309" s="165" t="s">
        <v>16</v>
      </c>
      <c r="L1309" s="164">
        <v>1</v>
      </c>
      <c r="M1309" s="164">
        <v>8</v>
      </c>
      <c r="N1309" s="166">
        <v>90</v>
      </c>
      <c r="O1309" s="167">
        <v>90</v>
      </c>
      <c r="P1309" s="168"/>
      <c r="Q1309" s="169">
        <v>90</v>
      </c>
      <c r="R1309" s="170" t="s">
        <v>4</v>
      </c>
      <c r="S1309" s="171">
        <v>43620</v>
      </c>
      <c r="T1309" s="203">
        <f t="shared" si="795"/>
        <v>43647</v>
      </c>
      <c r="U1309" s="204">
        <f t="shared" si="796"/>
        <v>43677</v>
      </c>
      <c r="V1309" s="207">
        <f t="shared" ref="V1309:V1314" si="808">IF(G1309-F1309+1-IF(G1309-U1309&gt;0,G1309-U1309,0)-IF(T1309-F1309&gt;0,T1309-F1309,0)&gt;0,G1309-F1309+1-IF(G1309-U1309&gt;0,G1309-U1309,0)-IF(T1309-F1309&gt;0,T1309-F1309,0),0)</f>
        <v>10</v>
      </c>
      <c r="W1309" s="206" t="str">
        <f t="shared" si="805"/>
        <v>Фериде Хасан</v>
      </c>
      <c r="X1309" s="206">
        <f t="shared" si="806"/>
        <v>0</v>
      </c>
      <c r="Y1309" s="209">
        <f t="shared" si="807"/>
        <v>90</v>
      </c>
    </row>
    <row r="1310" spans="2:25" hidden="1" x14ac:dyDescent="0.25">
      <c r="B1310" s="60">
        <f>B1308</f>
        <v>45</v>
      </c>
      <c r="C1310" s="102">
        <v>311</v>
      </c>
      <c r="D1310" s="192" t="str">
        <f t="shared" si="774"/>
        <v>IV</v>
      </c>
      <c r="E1310" s="162"/>
      <c r="F1310" s="163"/>
      <c r="G1310" s="163"/>
      <c r="H1310" s="164"/>
      <c r="I1310" s="164"/>
      <c r="J1310" s="162"/>
      <c r="K1310" s="165"/>
      <c r="L1310" s="164"/>
      <c r="M1310" s="164"/>
      <c r="N1310" s="166"/>
      <c r="O1310" s="167"/>
      <c r="P1310" s="168"/>
      <c r="Q1310" s="169"/>
      <c r="R1310" s="170"/>
      <c r="S1310" s="171"/>
      <c r="T1310" s="203">
        <f t="shared" si="795"/>
        <v>43647</v>
      </c>
      <c r="U1310" s="204">
        <f t="shared" si="796"/>
        <v>43677</v>
      </c>
      <c r="V1310" s="207">
        <f t="shared" si="808"/>
        <v>0</v>
      </c>
      <c r="W1310" s="206" t="str">
        <f t="shared" si="805"/>
        <v/>
      </c>
      <c r="X1310" s="206">
        <f t="shared" si="806"/>
        <v>0</v>
      </c>
      <c r="Y1310" s="209">
        <f t="shared" si="807"/>
        <v>0</v>
      </c>
    </row>
    <row r="1311" spans="2:25" hidden="1" x14ac:dyDescent="0.25">
      <c r="B1311" s="60">
        <f>B1308</f>
        <v>45</v>
      </c>
      <c r="C1311" s="102">
        <v>312</v>
      </c>
      <c r="D1311" s="192" t="str">
        <f t="shared" si="774"/>
        <v>IV</v>
      </c>
      <c r="E1311" s="162"/>
      <c r="F1311" s="163"/>
      <c r="G1311" s="163"/>
      <c r="H1311" s="164"/>
      <c r="I1311" s="164"/>
      <c r="J1311" s="162"/>
      <c r="K1311" s="165"/>
      <c r="L1311" s="164"/>
      <c r="M1311" s="164"/>
      <c r="N1311" s="166"/>
      <c r="O1311" s="167"/>
      <c r="P1311" s="168"/>
      <c r="Q1311" s="169"/>
      <c r="R1311" s="170"/>
      <c r="S1311" s="171"/>
      <c r="T1311" s="203">
        <f t="shared" si="795"/>
        <v>43647</v>
      </c>
      <c r="U1311" s="204">
        <f t="shared" si="796"/>
        <v>43677</v>
      </c>
      <c r="V1311" s="207">
        <f t="shared" si="808"/>
        <v>0</v>
      </c>
      <c r="W1311" s="206" t="str">
        <f t="shared" si="805"/>
        <v/>
      </c>
      <c r="X1311" s="206">
        <f t="shared" si="806"/>
        <v>0</v>
      </c>
      <c r="Y1311" s="209">
        <f t="shared" si="807"/>
        <v>0</v>
      </c>
    </row>
    <row r="1312" spans="2:25" hidden="1" x14ac:dyDescent="0.25">
      <c r="B1312" s="60">
        <f>B1308</f>
        <v>45</v>
      </c>
      <c r="C1312" s="102">
        <v>313</v>
      </c>
      <c r="D1312" s="192" t="str">
        <f t="shared" si="774"/>
        <v>IV</v>
      </c>
      <c r="E1312" s="162"/>
      <c r="F1312" s="163"/>
      <c r="G1312" s="163"/>
      <c r="H1312" s="164"/>
      <c r="I1312" s="164"/>
      <c r="J1312" s="162"/>
      <c r="K1312" s="165"/>
      <c r="L1312" s="164"/>
      <c r="M1312" s="164"/>
      <c r="N1312" s="166"/>
      <c r="O1312" s="167"/>
      <c r="P1312" s="168"/>
      <c r="Q1312" s="169"/>
      <c r="R1312" s="170"/>
      <c r="S1312" s="171"/>
      <c r="T1312" s="203">
        <f t="shared" si="795"/>
        <v>43647</v>
      </c>
      <c r="U1312" s="204">
        <f t="shared" si="796"/>
        <v>43677</v>
      </c>
      <c r="V1312" s="207">
        <f t="shared" si="808"/>
        <v>0</v>
      </c>
      <c r="W1312" s="206" t="str">
        <f t="shared" si="805"/>
        <v/>
      </c>
      <c r="X1312" s="206">
        <f t="shared" si="806"/>
        <v>0</v>
      </c>
      <c r="Y1312" s="209">
        <f t="shared" si="807"/>
        <v>0</v>
      </c>
    </row>
    <row r="1313" spans="2:25" hidden="1" x14ac:dyDescent="0.25">
      <c r="B1313" s="60">
        <f>B1308</f>
        <v>45</v>
      </c>
      <c r="C1313" s="102">
        <v>314</v>
      </c>
      <c r="D1313" s="192" t="str">
        <f t="shared" si="774"/>
        <v>IV</v>
      </c>
      <c r="E1313" s="172"/>
      <c r="F1313" s="173"/>
      <c r="G1313" s="173"/>
      <c r="H1313" s="174"/>
      <c r="I1313" s="174"/>
      <c r="J1313" s="172"/>
      <c r="K1313" s="175"/>
      <c r="L1313" s="174"/>
      <c r="M1313" s="174"/>
      <c r="N1313" s="176"/>
      <c r="O1313" s="177"/>
      <c r="P1313" s="178"/>
      <c r="Q1313" s="179"/>
      <c r="R1313" s="180"/>
      <c r="S1313" s="181"/>
      <c r="T1313" s="203">
        <f t="shared" si="795"/>
        <v>43647</v>
      </c>
      <c r="U1313" s="204">
        <f t="shared" si="796"/>
        <v>43677</v>
      </c>
      <c r="V1313" s="207">
        <f t="shared" si="808"/>
        <v>0</v>
      </c>
      <c r="W1313" s="206" t="str">
        <f t="shared" si="805"/>
        <v/>
      </c>
      <c r="X1313" s="206">
        <f t="shared" si="806"/>
        <v>0</v>
      </c>
      <c r="Y1313" s="209">
        <f t="shared" si="807"/>
        <v>0</v>
      </c>
    </row>
    <row r="1314" spans="2:25" ht="15.75" thickBot="1" x14ac:dyDescent="0.3">
      <c r="B1314" s="141">
        <f>B1308</f>
        <v>45</v>
      </c>
      <c r="C1314" s="142">
        <v>315</v>
      </c>
      <c r="D1314" s="194" t="str">
        <f t="shared" si="774"/>
        <v>IV</v>
      </c>
      <c r="E1314" s="189"/>
      <c r="F1314" s="190"/>
      <c r="G1314" s="190"/>
      <c r="H1314" s="182"/>
      <c r="I1314" s="182"/>
      <c r="J1314" s="436" t="s">
        <v>181</v>
      </c>
      <c r="K1314" s="437"/>
      <c r="L1314" s="438"/>
      <c r="M1314" s="182"/>
      <c r="N1314" s="183">
        <v>10</v>
      </c>
      <c r="O1314" s="184">
        <v>10</v>
      </c>
      <c r="P1314" s="185"/>
      <c r="Q1314" s="186">
        <v>10</v>
      </c>
      <c r="R1314" s="187" t="s">
        <v>4</v>
      </c>
      <c r="S1314" s="188">
        <v>43620</v>
      </c>
      <c r="T1314" s="213">
        <f t="shared" si="795"/>
        <v>43647</v>
      </c>
      <c r="U1314" s="214">
        <f t="shared" si="796"/>
        <v>43677</v>
      </c>
      <c r="V1314" s="210">
        <f t="shared" si="808"/>
        <v>0</v>
      </c>
      <c r="W1314" s="211"/>
      <c r="X1314" s="211">
        <f>IF(AND($V1314&gt;0,$I1314=1),IF($E1314=10,P1314/10,P1314/$V1314),0)</f>
        <v>0</v>
      </c>
      <c r="Y1314" s="212">
        <f>IF(AND($V1308&gt;0,$I1314&lt;&gt;1),Q1314/E1308*V1308,0)</f>
        <v>10</v>
      </c>
    </row>
    <row r="1315" spans="2:25" ht="30.75" thickTop="1" x14ac:dyDescent="0.25">
      <c r="B1315" s="129">
        <f>B1313+1</f>
        <v>46</v>
      </c>
      <c r="C1315" s="130">
        <v>316</v>
      </c>
      <c r="D1315" s="196" t="str">
        <f t="shared" si="774"/>
        <v>IV</v>
      </c>
      <c r="E1315" s="131">
        <v>10</v>
      </c>
      <c r="F1315" s="132">
        <v>43664</v>
      </c>
      <c r="G1315" s="132">
        <v>43673</v>
      </c>
      <c r="H1315" s="133" t="s">
        <v>285</v>
      </c>
      <c r="I1315" s="133">
        <v>1</v>
      </c>
      <c r="J1315" s="131" t="s">
        <v>168</v>
      </c>
      <c r="K1315" s="134" t="s">
        <v>61</v>
      </c>
      <c r="L1315" s="133">
        <v>1.5</v>
      </c>
      <c r="M1315" s="133">
        <v>8</v>
      </c>
      <c r="N1315" s="135">
        <v>112.5</v>
      </c>
      <c r="O1315" s="136">
        <v>112.5</v>
      </c>
      <c r="P1315" s="137">
        <v>112.5</v>
      </c>
      <c r="Q1315" s="138"/>
      <c r="R1315" s="139" t="s">
        <v>4</v>
      </c>
      <c r="S1315" s="140">
        <v>43620</v>
      </c>
      <c r="T1315" s="203">
        <f t="shared" si="795"/>
        <v>43647</v>
      </c>
      <c r="U1315" s="204">
        <f t="shared" si="796"/>
        <v>43677</v>
      </c>
      <c r="V1315" s="207">
        <f>IF(G1315-F1315+1-IF(G1315-U1315&gt;0,G1315-U1315,0)-IF(T1315-F1315&gt;0,T1315-F1315,0)&gt;0,G1315-F1315+1-IF(G1315-U1315&gt;0,G1315-U1315,0)-IF(T1315-F1315&gt;0,T1315-F1315,0),0)</f>
        <v>10</v>
      </c>
      <c r="W1315" s="206" t="str">
        <f t="shared" ref="W1315:W1320" si="809">IF(V1315&gt;0,H1315,"")</f>
        <v>Емилия Големанова</v>
      </c>
      <c r="X1315" s="206">
        <f t="shared" ref="X1315:X1320" si="810">IF(AND($V1315&gt;0,$I1315=1),P1315/$E1315*$V1315,0)</f>
        <v>112.5</v>
      </c>
      <c r="Y1315" s="209">
        <f t="shared" ref="Y1315:Y1320" si="811">IF(AND($V1315&gt;0,$I1315&lt;&gt;1),Q1315/$E1315*$V1315,0)</f>
        <v>0</v>
      </c>
    </row>
    <row r="1316" spans="2:25" ht="30" x14ac:dyDescent="0.25">
      <c r="B1316" s="60">
        <f>B1315</f>
        <v>46</v>
      </c>
      <c r="C1316" s="102">
        <v>317</v>
      </c>
      <c r="D1316" s="192" t="str">
        <f t="shared" si="774"/>
        <v>IV</v>
      </c>
      <c r="E1316" s="62">
        <v>10</v>
      </c>
      <c r="F1316" s="105">
        <v>43664</v>
      </c>
      <c r="G1316" s="105">
        <v>43673</v>
      </c>
      <c r="H1316" s="61" t="s">
        <v>286</v>
      </c>
      <c r="I1316" s="61">
        <v>1</v>
      </c>
      <c r="J1316" s="62" t="s">
        <v>168</v>
      </c>
      <c r="K1316" s="63" t="s">
        <v>61</v>
      </c>
      <c r="L1316" s="61">
        <v>1.5</v>
      </c>
      <c r="M1316" s="61">
        <v>8</v>
      </c>
      <c r="N1316" s="111">
        <v>112.5</v>
      </c>
      <c r="O1316" s="112">
        <v>112.5</v>
      </c>
      <c r="P1316" s="113">
        <v>112.5</v>
      </c>
      <c r="Q1316" s="114"/>
      <c r="R1316" s="64" t="s">
        <v>4</v>
      </c>
      <c r="S1316" s="108">
        <v>43620</v>
      </c>
      <c r="T1316" s="203">
        <f t="shared" si="795"/>
        <v>43647</v>
      </c>
      <c r="U1316" s="204">
        <f t="shared" si="796"/>
        <v>43677</v>
      </c>
      <c r="V1316" s="207">
        <f t="shared" ref="V1316:V1321" si="812">IF(G1316-F1316+1-IF(G1316-U1316&gt;0,G1316-U1316,0)-IF(T1316-F1316&gt;0,T1316-F1316,0)&gt;0,G1316-F1316+1-IF(G1316-U1316&gt;0,G1316-U1316,0)-IF(T1316-F1316&gt;0,T1316-F1316,0),0)</f>
        <v>10</v>
      </c>
      <c r="W1316" s="206" t="str">
        <f t="shared" si="809"/>
        <v>Цанко Големанов</v>
      </c>
      <c r="X1316" s="206">
        <f t="shared" si="810"/>
        <v>112.5</v>
      </c>
      <c r="Y1316" s="209">
        <f t="shared" si="811"/>
        <v>0</v>
      </c>
    </row>
    <row r="1317" spans="2:25" hidden="1" x14ac:dyDescent="0.25">
      <c r="B1317" s="60">
        <f>B1315</f>
        <v>46</v>
      </c>
      <c r="C1317" s="102">
        <v>318</v>
      </c>
      <c r="D1317" s="192" t="str">
        <f t="shared" si="774"/>
        <v>IV</v>
      </c>
      <c r="E1317" s="62"/>
      <c r="F1317" s="105"/>
      <c r="G1317" s="105"/>
      <c r="H1317" s="61"/>
      <c r="I1317" s="61"/>
      <c r="J1317" s="62"/>
      <c r="K1317" s="63"/>
      <c r="L1317" s="61"/>
      <c r="M1317" s="61"/>
      <c r="N1317" s="111"/>
      <c r="O1317" s="112"/>
      <c r="P1317" s="113"/>
      <c r="Q1317" s="114"/>
      <c r="R1317" s="64"/>
      <c r="S1317" s="108"/>
      <c r="T1317" s="203">
        <f t="shared" si="795"/>
        <v>43647</v>
      </c>
      <c r="U1317" s="204">
        <f t="shared" si="796"/>
        <v>43677</v>
      </c>
      <c r="V1317" s="207">
        <f t="shared" si="812"/>
        <v>0</v>
      </c>
      <c r="W1317" s="206" t="str">
        <f t="shared" si="809"/>
        <v/>
      </c>
      <c r="X1317" s="206">
        <f t="shared" si="810"/>
        <v>0</v>
      </c>
      <c r="Y1317" s="209">
        <f t="shared" si="811"/>
        <v>0</v>
      </c>
    </row>
    <row r="1318" spans="2:25" hidden="1" x14ac:dyDescent="0.25">
      <c r="B1318" s="60">
        <f>B1315</f>
        <v>46</v>
      </c>
      <c r="C1318" s="102">
        <v>319</v>
      </c>
      <c r="D1318" s="192" t="str">
        <f t="shared" si="774"/>
        <v>IV</v>
      </c>
      <c r="E1318" s="62"/>
      <c r="F1318" s="105"/>
      <c r="G1318" s="105"/>
      <c r="H1318" s="61"/>
      <c r="I1318" s="61"/>
      <c r="J1318" s="62"/>
      <c r="K1318" s="63"/>
      <c r="L1318" s="61"/>
      <c r="M1318" s="61"/>
      <c r="N1318" s="111"/>
      <c r="O1318" s="112"/>
      <c r="P1318" s="113"/>
      <c r="Q1318" s="114"/>
      <c r="R1318" s="64"/>
      <c r="S1318" s="108"/>
      <c r="T1318" s="203">
        <f t="shared" si="795"/>
        <v>43647</v>
      </c>
      <c r="U1318" s="204">
        <f t="shared" si="796"/>
        <v>43677</v>
      </c>
      <c r="V1318" s="207">
        <f t="shared" si="812"/>
        <v>0</v>
      </c>
      <c r="W1318" s="206" t="str">
        <f t="shared" si="809"/>
        <v/>
      </c>
      <c r="X1318" s="206">
        <f t="shared" si="810"/>
        <v>0</v>
      </c>
      <c r="Y1318" s="209">
        <f t="shared" si="811"/>
        <v>0</v>
      </c>
    </row>
    <row r="1319" spans="2:25" hidden="1" x14ac:dyDescent="0.25">
      <c r="B1319" s="60">
        <f>B1315</f>
        <v>46</v>
      </c>
      <c r="C1319" s="102">
        <v>320</v>
      </c>
      <c r="D1319" s="192" t="str">
        <f t="shared" si="774"/>
        <v>IV</v>
      </c>
      <c r="E1319" s="62"/>
      <c r="F1319" s="105"/>
      <c r="G1319" s="105"/>
      <c r="H1319" s="61"/>
      <c r="I1319" s="61"/>
      <c r="J1319" s="62"/>
      <c r="K1319" s="63"/>
      <c r="L1319" s="61"/>
      <c r="M1319" s="61"/>
      <c r="N1319" s="111"/>
      <c r="O1319" s="112"/>
      <c r="P1319" s="113"/>
      <c r="Q1319" s="114"/>
      <c r="R1319" s="64"/>
      <c r="S1319" s="108"/>
      <c r="T1319" s="203">
        <f t="shared" si="795"/>
        <v>43647</v>
      </c>
      <c r="U1319" s="204">
        <f t="shared" si="796"/>
        <v>43677</v>
      </c>
      <c r="V1319" s="207">
        <f t="shared" si="812"/>
        <v>0</v>
      </c>
      <c r="W1319" s="206" t="str">
        <f t="shared" si="809"/>
        <v/>
      </c>
      <c r="X1319" s="206">
        <f t="shared" si="810"/>
        <v>0</v>
      </c>
      <c r="Y1319" s="209">
        <f t="shared" si="811"/>
        <v>0</v>
      </c>
    </row>
    <row r="1320" spans="2:25" hidden="1" x14ac:dyDescent="0.25">
      <c r="B1320" s="60">
        <f>B1315</f>
        <v>46</v>
      </c>
      <c r="C1320" s="102">
        <v>321</v>
      </c>
      <c r="D1320" s="192" t="str">
        <f t="shared" si="774"/>
        <v>IV</v>
      </c>
      <c r="E1320" s="62"/>
      <c r="F1320" s="105"/>
      <c r="G1320" s="105"/>
      <c r="H1320" s="61"/>
      <c r="I1320" s="61"/>
      <c r="J1320" s="62"/>
      <c r="K1320" s="63"/>
      <c r="L1320" s="61"/>
      <c r="M1320" s="61"/>
      <c r="N1320" s="111"/>
      <c r="O1320" s="112"/>
      <c r="P1320" s="113"/>
      <c r="Q1320" s="114"/>
      <c r="R1320" s="64"/>
      <c r="S1320" s="108"/>
      <c r="T1320" s="203">
        <f t="shared" si="795"/>
        <v>43647</v>
      </c>
      <c r="U1320" s="204">
        <f t="shared" si="796"/>
        <v>43677</v>
      </c>
      <c r="V1320" s="207">
        <f t="shared" si="812"/>
        <v>0</v>
      </c>
      <c r="W1320" s="206" t="str">
        <f t="shared" si="809"/>
        <v/>
      </c>
      <c r="X1320" s="206">
        <f t="shared" si="810"/>
        <v>0</v>
      </c>
      <c r="Y1320" s="209">
        <f t="shared" si="811"/>
        <v>0</v>
      </c>
    </row>
    <row r="1321" spans="2:25" ht="15.75" thickBot="1" x14ac:dyDescent="0.3">
      <c r="B1321" s="141">
        <f>B1315</f>
        <v>46</v>
      </c>
      <c r="C1321" s="142">
        <v>322</v>
      </c>
      <c r="D1321" s="194" t="str">
        <f t="shared" si="774"/>
        <v>IV</v>
      </c>
      <c r="E1321" s="143"/>
      <c r="F1321" s="144"/>
      <c r="G1321" s="144"/>
      <c r="H1321" s="145"/>
      <c r="I1321" s="145"/>
      <c r="J1321" s="436" t="s">
        <v>181</v>
      </c>
      <c r="K1321" s="437"/>
      <c r="L1321" s="438"/>
      <c r="M1321" s="145"/>
      <c r="N1321" s="146">
        <v>10</v>
      </c>
      <c r="O1321" s="147">
        <v>10</v>
      </c>
      <c r="P1321" s="148"/>
      <c r="Q1321" s="149">
        <v>10</v>
      </c>
      <c r="R1321" s="150" t="s">
        <v>4</v>
      </c>
      <c r="S1321" s="151">
        <v>43620</v>
      </c>
      <c r="T1321" s="213">
        <f t="shared" si="795"/>
        <v>43647</v>
      </c>
      <c r="U1321" s="214">
        <f t="shared" si="796"/>
        <v>43677</v>
      </c>
      <c r="V1321" s="210">
        <f t="shared" si="812"/>
        <v>0</v>
      </c>
      <c r="W1321" s="211"/>
      <c r="X1321" s="211">
        <f>IF(AND($V1321&gt;0,$I1321=1),IF($E1321=10,P1321/10,P1321/$V1321),0)</f>
        <v>0</v>
      </c>
      <c r="Y1321" s="212">
        <f>IF(AND($V1315&gt;0,$I1321&lt;&gt;1),Q1321/E1315*V1315,0)</f>
        <v>10</v>
      </c>
    </row>
    <row r="1322" spans="2:25" ht="30.75" thickTop="1" x14ac:dyDescent="0.25">
      <c r="B1322" s="129">
        <f>B1320+1</f>
        <v>47</v>
      </c>
      <c r="C1322" s="130">
        <v>323</v>
      </c>
      <c r="D1322" s="196" t="str">
        <f t="shared" ref="D1322:D1328" si="813">D1321</f>
        <v>IV</v>
      </c>
      <c r="E1322" s="152">
        <v>10</v>
      </c>
      <c r="F1322" s="153">
        <v>43664</v>
      </c>
      <c r="G1322" s="153">
        <v>43673</v>
      </c>
      <c r="H1322" s="154" t="s">
        <v>287</v>
      </c>
      <c r="I1322" s="154">
        <v>1</v>
      </c>
      <c r="J1322" s="152" t="s">
        <v>168</v>
      </c>
      <c r="K1322" s="155" t="s">
        <v>16</v>
      </c>
      <c r="L1322" s="154">
        <v>1</v>
      </c>
      <c r="M1322" s="154">
        <v>8</v>
      </c>
      <c r="N1322" s="156">
        <v>75</v>
      </c>
      <c r="O1322" s="157">
        <v>75</v>
      </c>
      <c r="P1322" s="158">
        <v>75</v>
      </c>
      <c r="Q1322" s="159"/>
      <c r="R1322" s="160" t="s">
        <v>4</v>
      </c>
      <c r="S1322" s="161">
        <v>43620</v>
      </c>
      <c r="T1322" s="215">
        <f t="shared" si="795"/>
        <v>43647</v>
      </c>
      <c r="U1322" s="216">
        <f t="shared" si="796"/>
        <v>43677</v>
      </c>
      <c r="V1322" s="217">
        <f>IF(G1322-F1322+1-IF(G1322-U1322&gt;0,G1322-U1322,0)-IF(T1322-F1322&gt;0,T1322-F1322,0)&gt;0,G1322-F1322+1-IF(G1322-U1322&gt;0,G1322-U1322,0)-IF(T1322-F1322&gt;0,T1322-F1322,0),0)</f>
        <v>10</v>
      </c>
      <c r="W1322" s="218" t="str">
        <f t="shared" ref="W1322:W1327" si="814">IF(V1322&gt;0,H1322,"")</f>
        <v>проф. Пламен Даскалов</v>
      </c>
      <c r="X1322" s="218">
        <f t="shared" ref="X1322:X1327" si="815">IF(AND($V1322&gt;0,$I1322=1),P1322/$E1322*$V1322,0)</f>
        <v>75</v>
      </c>
      <c r="Y1322" s="219">
        <f t="shared" ref="Y1322:Y1327" si="816">IF(AND($V1322&gt;0,$I1322&lt;&gt;1),Q1322/$E1322*$V1322,0)</f>
        <v>0</v>
      </c>
    </row>
    <row r="1323" spans="2:25" ht="30" x14ac:dyDescent="0.25">
      <c r="B1323" s="60">
        <f>B1322</f>
        <v>47</v>
      </c>
      <c r="C1323" s="102">
        <v>324</v>
      </c>
      <c r="D1323" s="192" t="str">
        <f t="shared" si="813"/>
        <v>IV</v>
      </c>
      <c r="E1323" s="162">
        <v>10</v>
      </c>
      <c r="F1323" s="163">
        <v>43664</v>
      </c>
      <c r="G1323" s="163">
        <v>43673</v>
      </c>
      <c r="H1323" s="164" t="s">
        <v>288</v>
      </c>
      <c r="I1323" s="164">
        <v>1</v>
      </c>
      <c r="J1323" s="162" t="s">
        <v>168</v>
      </c>
      <c r="K1323" s="165" t="s">
        <v>16</v>
      </c>
      <c r="L1323" s="164">
        <v>1</v>
      </c>
      <c r="M1323" s="164">
        <v>8</v>
      </c>
      <c r="N1323" s="166">
        <v>75</v>
      </c>
      <c r="O1323" s="167">
        <v>75</v>
      </c>
      <c r="P1323" s="168">
        <v>75</v>
      </c>
      <c r="Q1323" s="169"/>
      <c r="R1323" s="170" t="s">
        <v>4</v>
      </c>
      <c r="S1323" s="171">
        <v>43620</v>
      </c>
      <c r="T1323" s="203">
        <f t="shared" si="795"/>
        <v>43647</v>
      </c>
      <c r="U1323" s="205">
        <f t="shared" si="796"/>
        <v>43677</v>
      </c>
      <c r="V1323" s="207">
        <f t="shared" ref="V1323:V1328" si="817">IF(G1323-F1323+1-IF(G1323-U1323&gt;0,G1323-U1323,0)-IF(T1323-F1323&gt;0,T1323-F1323,0)&gt;0,G1323-F1323+1-IF(G1323-U1323&gt;0,G1323-U1323,0)-IF(T1323-F1323&gt;0,T1323-F1323,0),0)</f>
        <v>10</v>
      </c>
      <c r="W1323" s="206" t="str">
        <f t="shared" si="814"/>
        <v>Галина Даскалова</v>
      </c>
      <c r="X1323" s="206">
        <f t="shared" si="815"/>
        <v>75</v>
      </c>
      <c r="Y1323" s="208">
        <f t="shared" si="816"/>
        <v>0</v>
      </c>
    </row>
    <row r="1324" spans="2:25" hidden="1" x14ac:dyDescent="0.25">
      <c r="B1324" s="60">
        <f>B1322</f>
        <v>47</v>
      </c>
      <c r="C1324" s="102">
        <v>325</v>
      </c>
      <c r="D1324" s="192" t="str">
        <f t="shared" si="813"/>
        <v>IV</v>
      </c>
      <c r="E1324" s="162"/>
      <c r="F1324" s="163"/>
      <c r="G1324" s="163"/>
      <c r="H1324" s="164"/>
      <c r="I1324" s="164"/>
      <c r="J1324" s="162"/>
      <c r="K1324" s="165"/>
      <c r="L1324" s="164"/>
      <c r="M1324" s="164"/>
      <c r="N1324" s="166"/>
      <c r="O1324" s="167"/>
      <c r="P1324" s="168"/>
      <c r="Q1324" s="169"/>
      <c r="R1324" s="170"/>
      <c r="S1324" s="171"/>
      <c r="T1324" s="203">
        <f t="shared" si="795"/>
        <v>43647</v>
      </c>
      <c r="U1324" s="205">
        <f t="shared" si="796"/>
        <v>43677</v>
      </c>
      <c r="V1324" s="207">
        <f t="shared" si="817"/>
        <v>0</v>
      </c>
      <c r="W1324" s="206" t="str">
        <f t="shared" si="814"/>
        <v/>
      </c>
      <c r="X1324" s="206">
        <f t="shared" si="815"/>
        <v>0</v>
      </c>
      <c r="Y1324" s="208">
        <f t="shared" si="816"/>
        <v>0</v>
      </c>
    </row>
    <row r="1325" spans="2:25" hidden="1" x14ac:dyDescent="0.25">
      <c r="B1325" s="60">
        <f>B1322</f>
        <v>47</v>
      </c>
      <c r="C1325" s="102">
        <v>326</v>
      </c>
      <c r="D1325" s="192" t="str">
        <f t="shared" si="813"/>
        <v>IV</v>
      </c>
      <c r="E1325" s="162"/>
      <c r="F1325" s="163"/>
      <c r="G1325" s="163"/>
      <c r="H1325" s="164"/>
      <c r="I1325" s="164"/>
      <c r="J1325" s="162"/>
      <c r="K1325" s="165"/>
      <c r="L1325" s="164"/>
      <c r="M1325" s="164"/>
      <c r="N1325" s="166"/>
      <c r="O1325" s="167"/>
      <c r="P1325" s="168"/>
      <c r="Q1325" s="169"/>
      <c r="R1325" s="170"/>
      <c r="S1325" s="171"/>
      <c r="T1325" s="203">
        <f t="shared" si="795"/>
        <v>43647</v>
      </c>
      <c r="U1325" s="205">
        <f t="shared" si="796"/>
        <v>43677</v>
      </c>
      <c r="V1325" s="207">
        <f t="shared" si="817"/>
        <v>0</v>
      </c>
      <c r="W1325" s="206" t="str">
        <f t="shared" si="814"/>
        <v/>
      </c>
      <c r="X1325" s="206">
        <f t="shared" si="815"/>
        <v>0</v>
      </c>
      <c r="Y1325" s="208">
        <f t="shared" si="816"/>
        <v>0</v>
      </c>
    </row>
    <row r="1326" spans="2:25" hidden="1" x14ac:dyDescent="0.25">
      <c r="B1326" s="60">
        <f>B1322</f>
        <v>47</v>
      </c>
      <c r="C1326" s="102">
        <v>327</v>
      </c>
      <c r="D1326" s="192" t="str">
        <f t="shared" si="813"/>
        <v>IV</v>
      </c>
      <c r="E1326" s="162"/>
      <c r="F1326" s="163"/>
      <c r="G1326" s="163"/>
      <c r="H1326" s="164"/>
      <c r="I1326" s="164"/>
      <c r="J1326" s="162"/>
      <c r="K1326" s="165"/>
      <c r="L1326" s="164"/>
      <c r="M1326" s="164"/>
      <c r="N1326" s="166"/>
      <c r="O1326" s="167"/>
      <c r="P1326" s="168"/>
      <c r="Q1326" s="169"/>
      <c r="R1326" s="170"/>
      <c r="S1326" s="171"/>
      <c r="T1326" s="203">
        <f t="shared" si="795"/>
        <v>43647</v>
      </c>
      <c r="U1326" s="205">
        <f t="shared" si="796"/>
        <v>43677</v>
      </c>
      <c r="V1326" s="207">
        <f t="shared" si="817"/>
        <v>0</v>
      </c>
      <c r="W1326" s="206" t="str">
        <f t="shared" si="814"/>
        <v/>
      </c>
      <c r="X1326" s="206">
        <f t="shared" si="815"/>
        <v>0</v>
      </c>
      <c r="Y1326" s="208">
        <f t="shared" si="816"/>
        <v>0</v>
      </c>
    </row>
    <row r="1327" spans="2:25" hidden="1" x14ac:dyDescent="0.25">
      <c r="B1327" s="60">
        <f>B1322</f>
        <v>47</v>
      </c>
      <c r="C1327" s="102">
        <v>328</v>
      </c>
      <c r="D1327" s="192" t="str">
        <f t="shared" si="813"/>
        <v>IV</v>
      </c>
      <c r="E1327" s="172"/>
      <c r="F1327" s="173"/>
      <c r="G1327" s="173"/>
      <c r="H1327" s="174"/>
      <c r="I1327" s="174"/>
      <c r="J1327" s="172"/>
      <c r="K1327" s="175"/>
      <c r="L1327" s="174"/>
      <c r="M1327" s="174"/>
      <c r="N1327" s="176"/>
      <c r="O1327" s="177"/>
      <c r="P1327" s="178"/>
      <c r="Q1327" s="179"/>
      <c r="R1327" s="180"/>
      <c r="S1327" s="181"/>
      <c r="T1327" s="203">
        <f t="shared" si="795"/>
        <v>43647</v>
      </c>
      <c r="U1327" s="205">
        <f t="shared" si="796"/>
        <v>43677</v>
      </c>
      <c r="V1327" s="207">
        <f t="shared" si="817"/>
        <v>0</v>
      </c>
      <c r="W1327" s="206" t="str">
        <f t="shared" si="814"/>
        <v/>
      </c>
      <c r="X1327" s="206">
        <f t="shared" si="815"/>
        <v>0</v>
      </c>
      <c r="Y1327" s="208">
        <f t="shared" si="816"/>
        <v>0</v>
      </c>
    </row>
    <row r="1328" spans="2:25" ht="15.75" thickBot="1" x14ac:dyDescent="0.3">
      <c r="B1328" s="141">
        <f>B1322</f>
        <v>47</v>
      </c>
      <c r="C1328" s="142">
        <v>329</v>
      </c>
      <c r="D1328" s="194" t="str">
        <f t="shared" si="813"/>
        <v>IV</v>
      </c>
      <c r="E1328" s="189"/>
      <c r="F1328" s="190"/>
      <c r="G1328" s="190"/>
      <c r="H1328" s="182"/>
      <c r="I1328" s="182"/>
      <c r="J1328" s="436" t="s">
        <v>181</v>
      </c>
      <c r="K1328" s="437"/>
      <c r="L1328" s="438"/>
      <c r="M1328" s="182"/>
      <c r="N1328" s="183">
        <v>10</v>
      </c>
      <c r="O1328" s="184">
        <v>10</v>
      </c>
      <c r="P1328" s="185"/>
      <c r="Q1328" s="186">
        <v>10</v>
      </c>
      <c r="R1328" s="187" t="s">
        <v>4</v>
      </c>
      <c r="S1328" s="188">
        <v>43620</v>
      </c>
      <c r="T1328" s="213">
        <f t="shared" si="795"/>
        <v>43647</v>
      </c>
      <c r="U1328" s="214">
        <f t="shared" si="796"/>
        <v>43677</v>
      </c>
      <c r="V1328" s="210">
        <f t="shared" si="817"/>
        <v>0</v>
      </c>
      <c r="W1328" s="211"/>
      <c r="X1328" s="211">
        <f>IF(AND($V1328&gt;0,$I1328=1),IF($E1328=10,P1328/10,P1328/$V1328),0)</f>
        <v>0</v>
      </c>
      <c r="Y1328" s="212">
        <f>IF(AND($V1322&gt;0,$I1328&lt;&gt;1),Q1328/E1322*V1322,0)</f>
        <v>10</v>
      </c>
    </row>
    <row r="1329" spans="2:25" ht="16.5" hidden="1" thickTop="1" thickBot="1" x14ac:dyDescent="0.3">
      <c r="B1329" s="129">
        <v>1</v>
      </c>
      <c r="C1329" s="130">
        <v>1</v>
      </c>
      <c r="D1329" s="191" t="s">
        <v>39</v>
      </c>
      <c r="E1329" s="152"/>
      <c r="F1329" s="153"/>
      <c r="G1329" s="153"/>
      <c r="H1329" s="154"/>
      <c r="I1329" s="154"/>
      <c r="J1329" s="152"/>
      <c r="K1329" s="155"/>
      <c r="L1329" s="154"/>
      <c r="M1329" s="154"/>
      <c r="N1329" s="156"/>
      <c r="O1329" s="157"/>
      <c r="P1329" s="158"/>
      <c r="Q1329" s="159"/>
      <c r="R1329" s="160"/>
      <c r="S1329" s="161"/>
      <c r="T1329" s="215">
        <f t="shared" si="795"/>
        <v>43647</v>
      </c>
      <c r="U1329" s="216">
        <f t="shared" si="796"/>
        <v>43677</v>
      </c>
      <c r="V1329" s="217">
        <f>IF(G1329-F1329+1-IF(G1329-U1329&gt;0,G1329-U1329,0)-IF(T1329-F1329&gt;0,T1329-F1329,0)&gt;0,G1329-F1329+1-IF(G1329-U1329&gt;0,G1329-U1329,0)-IF(T1329-F1329&gt;0,T1329-F1329,0),0)</f>
        <v>0</v>
      </c>
      <c r="W1329" s="206" t="str">
        <f t="shared" ref="W1329:W1334" si="818">IF(V1329&gt;0,H1329,"")</f>
        <v/>
      </c>
      <c r="X1329" s="218">
        <f t="shared" ref="X1329:X1334" si="819">IF(AND($V1329&gt;0,$I1329=1),P1329/$E1329*$V1329,0)</f>
        <v>0</v>
      </c>
      <c r="Y1329" s="219">
        <f t="shared" ref="Y1329:Y1334" si="820">IF(AND($V1329&gt;0,$I1329&lt;&gt;1),Q1329/$E1329*$V1329,0)</f>
        <v>0</v>
      </c>
    </row>
    <row r="1330" spans="2:25" ht="16.5" hidden="1" thickTop="1" thickBot="1" x14ac:dyDescent="0.3">
      <c r="B1330" s="60">
        <f>B1329</f>
        <v>1</v>
      </c>
      <c r="C1330" s="102">
        <v>2</v>
      </c>
      <c r="D1330" s="192" t="str">
        <f>D1329</f>
        <v>V</v>
      </c>
      <c r="E1330" s="162"/>
      <c r="F1330" s="163"/>
      <c r="G1330" s="163"/>
      <c r="H1330" s="164"/>
      <c r="I1330" s="164"/>
      <c r="J1330" s="162"/>
      <c r="K1330" s="165"/>
      <c r="L1330" s="164"/>
      <c r="M1330" s="164"/>
      <c r="N1330" s="166"/>
      <c r="O1330" s="167"/>
      <c r="P1330" s="168"/>
      <c r="Q1330" s="169"/>
      <c r="R1330" s="170"/>
      <c r="S1330" s="171"/>
      <c r="T1330" s="203">
        <f t="shared" si="795"/>
        <v>43647</v>
      </c>
      <c r="U1330" s="205">
        <f t="shared" si="796"/>
        <v>43677</v>
      </c>
      <c r="V1330" s="207">
        <f t="shared" ref="V1330:V1335" si="821">IF(G1330-F1330+1-IF(G1330-U1330&gt;0,G1330-U1330,0)-IF(T1330-F1330&gt;0,T1330-F1330,0)&gt;0,G1330-F1330+1-IF(G1330-U1330&gt;0,G1330-U1330,0)-IF(T1330-F1330&gt;0,T1330-F1330,0),0)</f>
        <v>0</v>
      </c>
      <c r="W1330" s="206" t="str">
        <f t="shared" si="818"/>
        <v/>
      </c>
      <c r="X1330" s="206">
        <f t="shared" si="819"/>
        <v>0</v>
      </c>
      <c r="Y1330" s="208">
        <f t="shared" si="820"/>
        <v>0</v>
      </c>
    </row>
    <row r="1331" spans="2:25" ht="16.5" hidden="1" thickTop="1" thickBot="1" x14ac:dyDescent="0.3">
      <c r="B1331" s="60">
        <f>B1329</f>
        <v>1</v>
      </c>
      <c r="C1331" s="102">
        <v>3</v>
      </c>
      <c r="D1331" s="192" t="str">
        <f t="shared" ref="D1331:D1394" si="822">D1330</f>
        <v>V</v>
      </c>
      <c r="E1331" s="162"/>
      <c r="F1331" s="163"/>
      <c r="G1331" s="163"/>
      <c r="H1331" s="164"/>
      <c r="I1331" s="164"/>
      <c r="J1331" s="162"/>
      <c r="K1331" s="165"/>
      <c r="L1331" s="164"/>
      <c r="M1331" s="164"/>
      <c r="N1331" s="166"/>
      <c r="O1331" s="167"/>
      <c r="P1331" s="168"/>
      <c r="Q1331" s="169"/>
      <c r="R1331" s="170"/>
      <c r="S1331" s="171"/>
      <c r="T1331" s="203">
        <f t="shared" si="795"/>
        <v>43647</v>
      </c>
      <c r="U1331" s="205">
        <f t="shared" si="796"/>
        <v>43677</v>
      </c>
      <c r="V1331" s="207">
        <f t="shared" si="821"/>
        <v>0</v>
      </c>
      <c r="W1331" s="206" t="str">
        <f t="shared" si="818"/>
        <v/>
      </c>
      <c r="X1331" s="206">
        <f t="shared" si="819"/>
        <v>0</v>
      </c>
      <c r="Y1331" s="208">
        <f t="shared" si="820"/>
        <v>0</v>
      </c>
    </row>
    <row r="1332" spans="2:25" ht="16.5" hidden="1" thickTop="1" thickBot="1" x14ac:dyDescent="0.3">
      <c r="B1332" s="60">
        <f>B1329</f>
        <v>1</v>
      </c>
      <c r="C1332" s="102">
        <v>4</v>
      </c>
      <c r="D1332" s="192" t="str">
        <f t="shared" si="822"/>
        <v>V</v>
      </c>
      <c r="E1332" s="162"/>
      <c r="F1332" s="163"/>
      <c r="G1332" s="163"/>
      <c r="H1332" s="164"/>
      <c r="I1332" s="164"/>
      <c r="J1332" s="162"/>
      <c r="K1332" s="165"/>
      <c r="L1332" s="164"/>
      <c r="M1332" s="164"/>
      <c r="N1332" s="166"/>
      <c r="O1332" s="167"/>
      <c r="P1332" s="168"/>
      <c r="Q1332" s="169"/>
      <c r="R1332" s="170"/>
      <c r="S1332" s="171"/>
      <c r="T1332" s="203">
        <f t="shared" si="795"/>
        <v>43647</v>
      </c>
      <c r="U1332" s="205">
        <f t="shared" si="796"/>
        <v>43677</v>
      </c>
      <c r="V1332" s="207">
        <f t="shared" si="821"/>
        <v>0</v>
      </c>
      <c r="W1332" s="206" t="str">
        <f t="shared" si="818"/>
        <v/>
      </c>
      <c r="X1332" s="206">
        <f t="shared" si="819"/>
        <v>0</v>
      </c>
      <c r="Y1332" s="208">
        <f t="shared" si="820"/>
        <v>0</v>
      </c>
    </row>
    <row r="1333" spans="2:25" ht="16.5" hidden="1" thickTop="1" thickBot="1" x14ac:dyDescent="0.3">
      <c r="B1333" s="60">
        <f>B1329</f>
        <v>1</v>
      </c>
      <c r="C1333" s="102">
        <v>5</v>
      </c>
      <c r="D1333" s="192" t="str">
        <f t="shared" si="822"/>
        <v>V</v>
      </c>
      <c r="E1333" s="162"/>
      <c r="F1333" s="163"/>
      <c r="G1333" s="163"/>
      <c r="H1333" s="164"/>
      <c r="I1333" s="164"/>
      <c r="J1333" s="162"/>
      <c r="K1333" s="165"/>
      <c r="L1333" s="164"/>
      <c r="M1333" s="164"/>
      <c r="N1333" s="166"/>
      <c r="O1333" s="167"/>
      <c r="P1333" s="168"/>
      <c r="Q1333" s="169"/>
      <c r="R1333" s="170"/>
      <c r="S1333" s="171"/>
      <c r="T1333" s="203">
        <f t="shared" si="795"/>
        <v>43647</v>
      </c>
      <c r="U1333" s="205">
        <f t="shared" si="796"/>
        <v>43677</v>
      </c>
      <c r="V1333" s="207">
        <f t="shared" si="821"/>
        <v>0</v>
      </c>
      <c r="W1333" s="206" t="str">
        <f t="shared" si="818"/>
        <v/>
      </c>
      <c r="X1333" s="206">
        <f t="shared" si="819"/>
        <v>0</v>
      </c>
      <c r="Y1333" s="208">
        <f t="shared" si="820"/>
        <v>0</v>
      </c>
    </row>
    <row r="1334" spans="2:25" ht="16.5" hidden="1" thickTop="1" thickBot="1" x14ac:dyDescent="0.3">
      <c r="B1334" s="86">
        <f>B1333</f>
        <v>1</v>
      </c>
      <c r="C1334" s="103">
        <v>6</v>
      </c>
      <c r="D1334" s="193" t="str">
        <f t="shared" si="822"/>
        <v>V</v>
      </c>
      <c r="E1334" s="172"/>
      <c r="F1334" s="173"/>
      <c r="G1334" s="173"/>
      <c r="H1334" s="174"/>
      <c r="I1334" s="174"/>
      <c r="J1334" s="172"/>
      <c r="K1334" s="175"/>
      <c r="L1334" s="174"/>
      <c r="M1334" s="174"/>
      <c r="N1334" s="176"/>
      <c r="O1334" s="177"/>
      <c r="P1334" s="178"/>
      <c r="Q1334" s="179"/>
      <c r="R1334" s="180"/>
      <c r="S1334" s="181"/>
      <c r="T1334" s="203">
        <f t="shared" si="795"/>
        <v>43647</v>
      </c>
      <c r="U1334" s="205">
        <f t="shared" si="796"/>
        <v>43677</v>
      </c>
      <c r="V1334" s="207">
        <f t="shared" si="821"/>
        <v>0</v>
      </c>
      <c r="W1334" s="206" t="str">
        <f t="shared" si="818"/>
        <v/>
      </c>
      <c r="X1334" s="206">
        <f t="shared" si="819"/>
        <v>0</v>
      </c>
      <c r="Y1334" s="208">
        <f t="shared" si="820"/>
        <v>0</v>
      </c>
    </row>
    <row r="1335" spans="2:25" ht="16.5" hidden="1" thickTop="1" thickBot="1" x14ac:dyDescent="0.3">
      <c r="B1335" s="141">
        <f>B1329</f>
        <v>1</v>
      </c>
      <c r="C1335" s="142">
        <v>7</v>
      </c>
      <c r="D1335" s="194" t="str">
        <f t="shared" si="822"/>
        <v>V</v>
      </c>
      <c r="E1335" s="189"/>
      <c r="F1335" s="190"/>
      <c r="G1335" s="190"/>
      <c r="H1335" s="182"/>
      <c r="I1335" s="182"/>
      <c r="J1335" s="436" t="s">
        <v>181</v>
      </c>
      <c r="K1335" s="437"/>
      <c r="L1335" s="438"/>
      <c r="M1335" s="182"/>
      <c r="N1335" s="183"/>
      <c r="O1335" s="184"/>
      <c r="P1335" s="185"/>
      <c r="Q1335" s="186"/>
      <c r="R1335" s="187"/>
      <c r="S1335" s="188"/>
      <c r="T1335" s="213">
        <f t="shared" si="795"/>
        <v>43647</v>
      </c>
      <c r="U1335" s="214">
        <f t="shared" si="796"/>
        <v>43677</v>
      </c>
      <c r="V1335" s="210">
        <f t="shared" si="821"/>
        <v>0</v>
      </c>
      <c r="W1335" s="211"/>
      <c r="X1335" s="211">
        <f>IF(AND($V1335&gt;0,$I1335=1),IF($E1335=10,P1335/10,P1335/$V1335),0)</f>
        <v>0</v>
      </c>
      <c r="Y1335" s="212">
        <f>IF(AND($V1329&gt;0,$I1335&lt;&gt;1),Q1335/E1329*V1329,0)</f>
        <v>0</v>
      </c>
    </row>
    <row r="1336" spans="2:25" ht="16.5" hidden="1" thickTop="1" thickBot="1" x14ac:dyDescent="0.3">
      <c r="B1336" s="91">
        <f>B1335+1</f>
        <v>2</v>
      </c>
      <c r="C1336" s="104">
        <v>8</v>
      </c>
      <c r="D1336" s="195" t="str">
        <f t="shared" si="822"/>
        <v>V</v>
      </c>
      <c r="E1336" s="92"/>
      <c r="F1336" s="107"/>
      <c r="G1336" s="107"/>
      <c r="H1336" s="93"/>
      <c r="I1336" s="93"/>
      <c r="J1336" s="92"/>
      <c r="K1336" s="94"/>
      <c r="L1336" s="93"/>
      <c r="M1336" s="93"/>
      <c r="N1336" s="119"/>
      <c r="O1336" s="120"/>
      <c r="P1336" s="121"/>
      <c r="Q1336" s="122"/>
      <c r="R1336" s="95"/>
      <c r="S1336" s="110"/>
      <c r="T1336" s="201">
        <f t="shared" si="795"/>
        <v>43647</v>
      </c>
      <c r="U1336" s="202">
        <f t="shared" si="796"/>
        <v>43677</v>
      </c>
      <c r="V1336" s="207">
        <f>IF(G1336-F1336+1-IF(G1336-U1336&gt;0,G1336-U1336,0)-IF(T1336-F1336&gt;0,T1336-F1336,0)&gt;0,G1336-F1336+1-IF(G1336-U1336&gt;0,G1336-U1336,0)-IF(T1336-F1336&gt;0,T1336-F1336,0),0)</f>
        <v>0</v>
      </c>
      <c r="W1336" s="206" t="str">
        <f t="shared" ref="W1336:W1341" si="823">IF(V1336&gt;0,H1336,"")</f>
        <v/>
      </c>
      <c r="X1336" s="206">
        <f t="shared" ref="X1336:X1341" si="824">IF(AND($V1336&gt;0,$I1336=1),P1336/$E1336*$V1336,0)</f>
        <v>0</v>
      </c>
      <c r="Y1336" s="209">
        <f t="shared" ref="Y1336:Y1341" si="825">IF(AND($V1336&gt;0,$I1336&lt;&gt;1),Q1336/$E1336*$V1336,0)</f>
        <v>0</v>
      </c>
    </row>
    <row r="1337" spans="2:25" ht="16.5" hidden="1" thickTop="1" thickBot="1" x14ac:dyDescent="0.3">
      <c r="B1337" s="60">
        <f>B1336</f>
        <v>2</v>
      </c>
      <c r="C1337" s="102">
        <v>9</v>
      </c>
      <c r="D1337" s="192" t="str">
        <f t="shared" si="822"/>
        <v>V</v>
      </c>
      <c r="E1337" s="62"/>
      <c r="F1337" s="105"/>
      <c r="G1337" s="105"/>
      <c r="H1337" s="61"/>
      <c r="I1337" s="61"/>
      <c r="J1337" s="62"/>
      <c r="K1337" s="63"/>
      <c r="L1337" s="61"/>
      <c r="M1337" s="61"/>
      <c r="N1337" s="111"/>
      <c r="O1337" s="112"/>
      <c r="P1337" s="113"/>
      <c r="Q1337" s="114"/>
      <c r="R1337" s="64"/>
      <c r="S1337" s="108"/>
      <c r="T1337" s="203">
        <f t="shared" si="795"/>
        <v>43647</v>
      </c>
      <c r="U1337" s="204">
        <f t="shared" si="796"/>
        <v>43677</v>
      </c>
      <c r="V1337" s="207">
        <f t="shared" ref="V1337:V1342" si="826">IF(G1337-F1337+1-IF(G1337-U1337&gt;0,G1337-U1337,0)-IF(T1337-F1337&gt;0,T1337-F1337,0)&gt;0,G1337-F1337+1-IF(G1337-U1337&gt;0,G1337-U1337,0)-IF(T1337-F1337&gt;0,T1337-F1337,0),0)</f>
        <v>0</v>
      </c>
      <c r="W1337" s="206" t="str">
        <f t="shared" si="823"/>
        <v/>
      </c>
      <c r="X1337" s="206">
        <f t="shared" si="824"/>
        <v>0</v>
      </c>
      <c r="Y1337" s="209">
        <f t="shared" si="825"/>
        <v>0</v>
      </c>
    </row>
    <row r="1338" spans="2:25" ht="16.5" hidden="1" thickTop="1" thickBot="1" x14ac:dyDescent="0.3">
      <c r="B1338" s="60">
        <f>B1336</f>
        <v>2</v>
      </c>
      <c r="C1338" s="102">
        <v>10</v>
      </c>
      <c r="D1338" s="192" t="str">
        <f t="shared" si="822"/>
        <v>V</v>
      </c>
      <c r="E1338" s="62"/>
      <c r="F1338" s="105"/>
      <c r="G1338" s="105"/>
      <c r="H1338" s="61"/>
      <c r="I1338" s="61"/>
      <c r="J1338" s="62"/>
      <c r="K1338" s="63"/>
      <c r="L1338" s="61"/>
      <c r="M1338" s="61"/>
      <c r="N1338" s="111"/>
      <c r="O1338" s="112"/>
      <c r="P1338" s="113"/>
      <c r="Q1338" s="114"/>
      <c r="R1338" s="64"/>
      <c r="S1338" s="108"/>
      <c r="T1338" s="203">
        <f t="shared" si="795"/>
        <v>43647</v>
      </c>
      <c r="U1338" s="204">
        <f t="shared" si="796"/>
        <v>43677</v>
      </c>
      <c r="V1338" s="207">
        <f t="shared" si="826"/>
        <v>0</v>
      </c>
      <c r="W1338" s="206" t="str">
        <f t="shared" si="823"/>
        <v/>
      </c>
      <c r="X1338" s="206">
        <f t="shared" si="824"/>
        <v>0</v>
      </c>
      <c r="Y1338" s="209">
        <f t="shared" si="825"/>
        <v>0</v>
      </c>
    </row>
    <row r="1339" spans="2:25" ht="16.5" hidden="1" thickTop="1" thickBot="1" x14ac:dyDescent="0.3">
      <c r="B1339" s="60">
        <f>B1336</f>
        <v>2</v>
      </c>
      <c r="C1339" s="102">
        <v>11</v>
      </c>
      <c r="D1339" s="192" t="str">
        <f t="shared" si="822"/>
        <v>V</v>
      </c>
      <c r="E1339" s="62"/>
      <c r="F1339" s="105"/>
      <c r="G1339" s="105"/>
      <c r="H1339" s="61"/>
      <c r="I1339" s="61"/>
      <c r="J1339" s="62"/>
      <c r="K1339" s="63"/>
      <c r="L1339" s="61"/>
      <c r="M1339" s="61"/>
      <c r="N1339" s="111"/>
      <c r="O1339" s="112"/>
      <c r="P1339" s="113"/>
      <c r="Q1339" s="114"/>
      <c r="R1339" s="64"/>
      <c r="S1339" s="108"/>
      <c r="T1339" s="203">
        <f t="shared" si="795"/>
        <v>43647</v>
      </c>
      <c r="U1339" s="204">
        <f t="shared" si="796"/>
        <v>43677</v>
      </c>
      <c r="V1339" s="207">
        <f t="shared" si="826"/>
        <v>0</v>
      </c>
      <c r="W1339" s="206" t="str">
        <f t="shared" si="823"/>
        <v/>
      </c>
      <c r="X1339" s="206">
        <f t="shared" si="824"/>
        <v>0</v>
      </c>
      <c r="Y1339" s="209">
        <f t="shared" si="825"/>
        <v>0</v>
      </c>
    </row>
    <row r="1340" spans="2:25" ht="16.5" hidden="1" thickTop="1" thickBot="1" x14ac:dyDescent="0.3">
      <c r="B1340" s="60">
        <f>B1336</f>
        <v>2</v>
      </c>
      <c r="C1340" s="102">
        <v>12</v>
      </c>
      <c r="D1340" s="192" t="str">
        <f t="shared" si="822"/>
        <v>V</v>
      </c>
      <c r="E1340" s="62"/>
      <c r="F1340" s="105"/>
      <c r="G1340" s="105"/>
      <c r="H1340" s="61"/>
      <c r="I1340" s="61"/>
      <c r="J1340" s="62"/>
      <c r="K1340" s="63"/>
      <c r="L1340" s="61"/>
      <c r="M1340" s="61"/>
      <c r="N1340" s="111"/>
      <c r="O1340" s="112"/>
      <c r="P1340" s="113"/>
      <c r="Q1340" s="114"/>
      <c r="R1340" s="64"/>
      <c r="S1340" s="108"/>
      <c r="T1340" s="203">
        <f t="shared" si="795"/>
        <v>43647</v>
      </c>
      <c r="U1340" s="204">
        <f t="shared" si="796"/>
        <v>43677</v>
      </c>
      <c r="V1340" s="207">
        <f t="shared" si="826"/>
        <v>0</v>
      </c>
      <c r="W1340" s="206" t="str">
        <f t="shared" si="823"/>
        <v/>
      </c>
      <c r="X1340" s="206">
        <f t="shared" si="824"/>
        <v>0</v>
      </c>
      <c r="Y1340" s="209">
        <f t="shared" si="825"/>
        <v>0</v>
      </c>
    </row>
    <row r="1341" spans="2:25" ht="16.5" hidden="1" thickTop="1" thickBot="1" x14ac:dyDescent="0.3">
      <c r="B1341" s="86">
        <f>B1336</f>
        <v>2</v>
      </c>
      <c r="C1341" s="103">
        <v>13</v>
      </c>
      <c r="D1341" s="193" t="str">
        <f t="shared" si="822"/>
        <v>V</v>
      </c>
      <c r="E1341" s="87"/>
      <c r="F1341" s="106"/>
      <c r="G1341" s="106"/>
      <c r="H1341" s="88"/>
      <c r="I1341" s="88"/>
      <c r="J1341" s="87"/>
      <c r="K1341" s="89"/>
      <c r="L1341" s="88"/>
      <c r="M1341" s="88"/>
      <c r="N1341" s="115"/>
      <c r="O1341" s="116"/>
      <c r="P1341" s="117"/>
      <c r="Q1341" s="118"/>
      <c r="R1341" s="90"/>
      <c r="S1341" s="109"/>
      <c r="T1341" s="203">
        <f t="shared" si="795"/>
        <v>43647</v>
      </c>
      <c r="U1341" s="204">
        <f t="shared" si="796"/>
        <v>43677</v>
      </c>
      <c r="V1341" s="207">
        <f t="shared" si="826"/>
        <v>0</v>
      </c>
      <c r="W1341" s="206" t="str">
        <f t="shared" si="823"/>
        <v/>
      </c>
      <c r="X1341" s="206">
        <f t="shared" si="824"/>
        <v>0</v>
      </c>
      <c r="Y1341" s="209">
        <f t="shared" si="825"/>
        <v>0</v>
      </c>
    </row>
    <row r="1342" spans="2:25" ht="16.5" hidden="1" thickTop="1" thickBot="1" x14ac:dyDescent="0.3">
      <c r="B1342" s="141">
        <f>B1336</f>
        <v>2</v>
      </c>
      <c r="C1342" s="142">
        <v>14</v>
      </c>
      <c r="D1342" s="194" t="str">
        <f t="shared" si="822"/>
        <v>V</v>
      </c>
      <c r="E1342" s="143"/>
      <c r="F1342" s="144"/>
      <c r="G1342" s="144"/>
      <c r="H1342" s="145"/>
      <c r="I1342" s="145"/>
      <c r="J1342" s="436" t="s">
        <v>181</v>
      </c>
      <c r="K1342" s="437"/>
      <c r="L1342" s="438"/>
      <c r="M1342" s="145"/>
      <c r="N1342" s="146"/>
      <c r="O1342" s="147"/>
      <c r="P1342" s="148"/>
      <c r="Q1342" s="149"/>
      <c r="R1342" s="150"/>
      <c r="S1342" s="151"/>
      <c r="T1342" s="213">
        <f t="shared" si="795"/>
        <v>43647</v>
      </c>
      <c r="U1342" s="214">
        <f t="shared" si="796"/>
        <v>43677</v>
      </c>
      <c r="V1342" s="210">
        <f t="shared" si="826"/>
        <v>0</v>
      </c>
      <c r="W1342" s="211"/>
      <c r="X1342" s="211">
        <f>IF(AND($V1342&gt;0,$I1342=1),IF($E1342=10,P1342/10,P1342/$V1342),0)</f>
        <v>0</v>
      </c>
      <c r="Y1342" s="212">
        <f>IF(AND($V1336&gt;0,$I1342&lt;&gt;1),Q1342/E1336*V1336,0)</f>
        <v>0</v>
      </c>
    </row>
    <row r="1343" spans="2:25" ht="16.5" hidden="1" thickTop="1" thickBot="1" x14ac:dyDescent="0.3">
      <c r="B1343" s="129">
        <f>B1341+1</f>
        <v>3</v>
      </c>
      <c r="C1343" s="130">
        <v>15</v>
      </c>
      <c r="D1343" s="196" t="str">
        <f t="shared" si="822"/>
        <v>V</v>
      </c>
      <c r="E1343" s="152"/>
      <c r="F1343" s="153"/>
      <c r="G1343" s="153"/>
      <c r="H1343" s="154"/>
      <c r="I1343" s="154"/>
      <c r="J1343" s="152"/>
      <c r="K1343" s="155"/>
      <c r="L1343" s="154"/>
      <c r="M1343" s="154"/>
      <c r="N1343" s="156"/>
      <c r="O1343" s="157"/>
      <c r="P1343" s="158"/>
      <c r="Q1343" s="159"/>
      <c r="R1343" s="160"/>
      <c r="S1343" s="161"/>
      <c r="T1343" s="203">
        <f t="shared" si="795"/>
        <v>43647</v>
      </c>
      <c r="U1343" s="204">
        <f t="shared" si="796"/>
        <v>43677</v>
      </c>
      <c r="V1343" s="207">
        <f>IF(G1343-F1343+1-IF(G1343-U1343&gt;0,G1343-U1343,0)-IF(T1343-F1343&gt;0,T1343-F1343,0)&gt;0,G1343-F1343+1-IF(G1343-U1343&gt;0,G1343-U1343,0)-IF(T1343-F1343&gt;0,T1343-F1343,0),0)</f>
        <v>0</v>
      </c>
      <c r="W1343" s="206" t="str">
        <f t="shared" ref="W1343:W1348" si="827">IF(V1343&gt;0,H1343,"")</f>
        <v/>
      </c>
      <c r="X1343" s="206">
        <f t="shared" ref="X1343:X1348" si="828">IF(AND($V1343&gt;0,$I1343=1),P1343/$E1343*$V1343,0)</f>
        <v>0</v>
      </c>
      <c r="Y1343" s="209">
        <f t="shared" ref="Y1343:Y1348" si="829">IF(AND($V1343&gt;0,$I1343&lt;&gt;1),Q1343/$E1343*$V1343,0)</f>
        <v>0</v>
      </c>
    </row>
    <row r="1344" spans="2:25" ht="16.5" hidden="1" thickTop="1" thickBot="1" x14ac:dyDescent="0.3">
      <c r="B1344" s="60">
        <f>B1343</f>
        <v>3</v>
      </c>
      <c r="C1344" s="102">
        <v>16</v>
      </c>
      <c r="D1344" s="192" t="str">
        <f t="shared" si="822"/>
        <v>V</v>
      </c>
      <c r="E1344" s="162"/>
      <c r="F1344" s="163"/>
      <c r="G1344" s="163"/>
      <c r="H1344" s="164"/>
      <c r="I1344" s="164"/>
      <c r="J1344" s="162"/>
      <c r="K1344" s="165"/>
      <c r="L1344" s="164"/>
      <c r="M1344" s="164"/>
      <c r="N1344" s="166"/>
      <c r="O1344" s="167"/>
      <c r="P1344" s="168"/>
      <c r="Q1344" s="169"/>
      <c r="R1344" s="170"/>
      <c r="S1344" s="171"/>
      <c r="T1344" s="203">
        <f t="shared" si="795"/>
        <v>43647</v>
      </c>
      <c r="U1344" s="204">
        <f t="shared" si="796"/>
        <v>43677</v>
      </c>
      <c r="V1344" s="207">
        <f t="shared" ref="V1344:V1349" si="830">IF(G1344-F1344+1-IF(G1344-U1344&gt;0,G1344-U1344,0)-IF(T1344-F1344&gt;0,T1344-F1344,0)&gt;0,G1344-F1344+1-IF(G1344-U1344&gt;0,G1344-U1344,0)-IF(T1344-F1344&gt;0,T1344-F1344,0),0)</f>
        <v>0</v>
      </c>
      <c r="W1344" s="206" t="str">
        <f t="shared" si="827"/>
        <v/>
      </c>
      <c r="X1344" s="206">
        <f t="shared" si="828"/>
        <v>0</v>
      </c>
      <c r="Y1344" s="209">
        <f t="shared" si="829"/>
        <v>0</v>
      </c>
    </row>
    <row r="1345" spans="2:25" ht="16.5" hidden="1" thickTop="1" thickBot="1" x14ac:dyDescent="0.3">
      <c r="B1345" s="60">
        <f>B1343</f>
        <v>3</v>
      </c>
      <c r="C1345" s="102">
        <v>17</v>
      </c>
      <c r="D1345" s="192" t="str">
        <f t="shared" si="822"/>
        <v>V</v>
      </c>
      <c r="E1345" s="162"/>
      <c r="F1345" s="163"/>
      <c r="G1345" s="163"/>
      <c r="H1345" s="164"/>
      <c r="I1345" s="164"/>
      <c r="J1345" s="162"/>
      <c r="K1345" s="165"/>
      <c r="L1345" s="164"/>
      <c r="M1345" s="164"/>
      <c r="N1345" s="166"/>
      <c r="O1345" s="167"/>
      <c r="P1345" s="168"/>
      <c r="Q1345" s="169"/>
      <c r="R1345" s="170"/>
      <c r="S1345" s="171"/>
      <c r="T1345" s="203">
        <f t="shared" si="795"/>
        <v>43647</v>
      </c>
      <c r="U1345" s="204">
        <f t="shared" si="796"/>
        <v>43677</v>
      </c>
      <c r="V1345" s="207">
        <f t="shared" si="830"/>
        <v>0</v>
      </c>
      <c r="W1345" s="206" t="str">
        <f t="shared" si="827"/>
        <v/>
      </c>
      <c r="X1345" s="206">
        <f t="shared" si="828"/>
        <v>0</v>
      </c>
      <c r="Y1345" s="209">
        <f t="shared" si="829"/>
        <v>0</v>
      </c>
    </row>
    <row r="1346" spans="2:25" ht="16.5" hidden="1" thickTop="1" thickBot="1" x14ac:dyDescent="0.3">
      <c r="B1346" s="60">
        <f>B1343</f>
        <v>3</v>
      </c>
      <c r="C1346" s="102">
        <v>18</v>
      </c>
      <c r="D1346" s="192" t="str">
        <f t="shared" si="822"/>
        <v>V</v>
      </c>
      <c r="E1346" s="162"/>
      <c r="F1346" s="163"/>
      <c r="G1346" s="163"/>
      <c r="H1346" s="164"/>
      <c r="I1346" s="164"/>
      <c r="J1346" s="162"/>
      <c r="K1346" s="165"/>
      <c r="L1346" s="164"/>
      <c r="M1346" s="164"/>
      <c r="N1346" s="166"/>
      <c r="O1346" s="167"/>
      <c r="P1346" s="168"/>
      <c r="Q1346" s="169"/>
      <c r="R1346" s="170"/>
      <c r="S1346" s="171"/>
      <c r="T1346" s="203">
        <f t="shared" si="795"/>
        <v>43647</v>
      </c>
      <c r="U1346" s="204">
        <f t="shared" si="796"/>
        <v>43677</v>
      </c>
      <c r="V1346" s="207">
        <f t="shared" si="830"/>
        <v>0</v>
      </c>
      <c r="W1346" s="206" t="str">
        <f t="shared" si="827"/>
        <v/>
      </c>
      <c r="X1346" s="206">
        <f t="shared" si="828"/>
        <v>0</v>
      </c>
      <c r="Y1346" s="209">
        <f t="shared" si="829"/>
        <v>0</v>
      </c>
    </row>
    <row r="1347" spans="2:25" ht="16.5" hidden="1" thickTop="1" thickBot="1" x14ac:dyDescent="0.3">
      <c r="B1347" s="60">
        <f>B1343</f>
        <v>3</v>
      </c>
      <c r="C1347" s="102">
        <v>19</v>
      </c>
      <c r="D1347" s="192" t="str">
        <f t="shared" si="822"/>
        <v>V</v>
      </c>
      <c r="E1347" s="162"/>
      <c r="F1347" s="163"/>
      <c r="G1347" s="163"/>
      <c r="H1347" s="164"/>
      <c r="I1347" s="164"/>
      <c r="J1347" s="162"/>
      <c r="K1347" s="165"/>
      <c r="L1347" s="164"/>
      <c r="M1347" s="164"/>
      <c r="N1347" s="166"/>
      <c r="O1347" s="167"/>
      <c r="P1347" s="168"/>
      <c r="Q1347" s="169"/>
      <c r="R1347" s="170"/>
      <c r="S1347" s="171"/>
      <c r="T1347" s="203">
        <f t="shared" si="795"/>
        <v>43647</v>
      </c>
      <c r="U1347" s="204">
        <f t="shared" si="796"/>
        <v>43677</v>
      </c>
      <c r="V1347" s="207">
        <f t="shared" si="830"/>
        <v>0</v>
      </c>
      <c r="W1347" s="206" t="str">
        <f t="shared" si="827"/>
        <v/>
      </c>
      <c r="X1347" s="206">
        <f t="shared" si="828"/>
        <v>0</v>
      </c>
      <c r="Y1347" s="209">
        <f t="shared" si="829"/>
        <v>0</v>
      </c>
    </row>
    <row r="1348" spans="2:25" ht="16.5" hidden="1" thickTop="1" thickBot="1" x14ac:dyDescent="0.3">
      <c r="B1348" s="60">
        <f>B1343</f>
        <v>3</v>
      </c>
      <c r="C1348" s="102">
        <v>20</v>
      </c>
      <c r="D1348" s="192" t="str">
        <f t="shared" si="822"/>
        <v>V</v>
      </c>
      <c r="E1348" s="172"/>
      <c r="F1348" s="173"/>
      <c r="G1348" s="173"/>
      <c r="H1348" s="174"/>
      <c r="I1348" s="174"/>
      <c r="J1348" s="172"/>
      <c r="K1348" s="175"/>
      <c r="L1348" s="174"/>
      <c r="M1348" s="174"/>
      <c r="N1348" s="176"/>
      <c r="O1348" s="177"/>
      <c r="P1348" s="178"/>
      <c r="Q1348" s="179"/>
      <c r="R1348" s="180"/>
      <c r="S1348" s="181"/>
      <c r="T1348" s="203">
        <f t="shared" si="795"/>
        <v>43647</v>
      </c>
      <c r="U1348" s="204">
        <f t="shared" si="796"/>
        <v>43677</v>
      </c>
      <c r="V1348" s="207">
        <f t="shared" si="830"/>
        <v>0</v>
      </c>
      <c r="W1348" s="206" t="str">
        <f t="shared" si="827"/>
        <v/>
      </c>
      <c r="X1348" s="206">
        <f t="shared" si="828"/>
        <v>0</v>
      </c>
      <c r="Y1348" s="209">
        <f t="shared" si="829"/>
        <v>0</v>
      </c>
    </row>
    <row r="1349" spans="2:25" ht="16.5" hidden="1" thickTop="1" thickBot="1" x14ac:dyDescent="0.3">
      <c r="B1349" s="141">
        <f>B1343</f>
        <v>3</v>
      </c>
      <c r="C1349" s="142">
        <v>21</v>
      </c>
      <c r="D1349" s="194" t="str">
        <f t="shared" si="822"/>
        <v>V</v>
      </c>
      <c r="E1349" s="189"/>
      <c r="F1349" s="190"/>
      <c r="G1349" s="190"/>
      <c r="H1349" s="182"/>
      <c r="I1349" s="182"/>
      <c r="J1349" s="436" t="s">
        <v>181</v>
      </c>
      <c r="K1349" s="437"/>
      <c r="L1349" s="438"/>
      <c r="M1349" s="182"/>
      <c r="N1349" s="183"/>
      <c r="O1349" s="184"/>
      <c r="P1349" s="185"/>
      <c r="Q1349" s="186"/>
      <c r="R1349" s="187"/>
      <c r="S1349" s="188"/>
      <c r="T1349" s="213">
        <f t="shared" si="795"/>
        <v>43647</v>
      </c>
      <c r="U1349" s="214">
        <f t="shared" si="796"/>
        <v>43677</v>
      </c>
      <c r="V1349" s="210">
        <f t="shared" si="830"/>
        <v>0</v>
      </c>
      <c r="W1349" s="211"/>
      <c r="X1349" s="211">
        <f>IF(AND($V1349&gt;0,$I1349=1),IF($E1349=10,P1349/10,P1349/$V1349),0)</f>
        <v>0</v>
      </c>
      <c r="Y1349" s="212">
        <f>IF(AND($V1343&gt;0,$I1349&lt;&gt;1),Q1349/E1343*V1343,0)</f>
        <v>0</v>
      </c>
    </row>
    <row r="1350" spans="2:25" ht="45.75" thickTop="1" x14ac:dyDescent="0.25">
      <c r="B1350" s="129">
        <f>B1348+1</f>
        <v>4</v>
      </c>
      <c r="C1350" s="130">
        <v>22</v>
      </c>
      <c r="D1350" s="196" t="str">
        <f t="shared" si="822"/>
        <v>V</v>
      </c>
      <c r="E1350" s="131">
        <v>10</v>
      </c>
      <c r="F1350" s="132">
        <v>43675</v>
      </c>
      <c r="G1350" s="132">
        <v>43684</v>
      </c>
      <c r="H1350" s="133" t="s">
        <v>317</v>
      </c>
      <c r="I1350" s="133">
        <v>2</v>
      </c>
      <c r="J1350" s="131" t="s">
        <v>167</v>
      </c>
      <c r="K1350" s="134" t="s">
        <v>16</v>
      </c>
      <c r="L1350" s="133">
        <v>1</v>
      </c>
      <c r="M1350" s="133">
        <v>7</v>
      </c>
      <c r="N1350" s="135">
        <v>53</v>
      </c>
      <c r="O1350" s="136">
        <v>53</v>
      </c>
      <c r="P1350" s="137"/>
      <c r="Q1350" s="138">
        <v>53</v>
      </c>
      <c r="R1350" s="139" t="s">
        <v>4</v>
      </c>
      <c r="S1350" s="140">
        <v>43620</v>
      </c>
      <c r="T1350" s="203">
        <f t="shared" si="795"/>
        <v>43647</v>
      </c>
      <c r="U1350" s="204">
        <f t="shared" si="796"/>
        <v>43677</v>
      </c>
      <c r="V1350" s="207">
        <f>IF(G1350-F1350+1-IF(G1350-U1350&gt;0,G1350-U1350,0)-IF(T1350-F1350&gt;0,T1350-F1350,0)&gt;0,G1350-F1350+1-IF(G1350-U1350&gt;0,G1350-U1350,0)-IF(T1350-F1350&gt;0,T1350-F1350,0),0)</f>
        <v>3</v>
      </c>
      <c r="W1350" s="206" t="str">
        <f t="shared" ref="W1350:W1355" si="831">IF(V1350&gt;0,H1350,"")</f>
        <v>Любомир Златев</v>
      </c>
      <c r="X1350" s="206">
        <f t="shared" ref="X1350:X1355" si="832">IF(AND($V1350&gt;0,$I1350=1),P1350/$E1350*$V1350,0)</f>
        <v>0</v>
      </c>
      <c r="Y1350" s="209">
        <f t="shared" ref="Y1350:Y1355" si="833">IF(AND($V1350&gt;0,$I1350&lt;&gt;1),Q1350/$E1350*$V1350,0)</f>
        <v>15.899999999999999</v>
      </c>
    </row>
    <row r="1351" spans="2:25" ht="45" x14ac:dyDescent="0.25">
      <c r="B1351" s="60">
        <f>B1350</f>
        <v>4</v>
      </c>
      <c r="C1351" s="102">
        <v>23</v>
      </c>
      <c r="D1351" s="192" t="str">
        <f t="shared" si="822"/>
        <v>V</v>
      </c>
      <c r="E1351" s="62">
        <v>10</v>
      </c>
      <c r="F1351" s="105">
        <v>43675</v>
      </c>
      <c r="G1351" s="105">
        <v>43684</v>
      </c>
      <c r="H1351" s="61" t="s">
        <v>318</v>
      </c>
      <c r="I1351" s="61">
        <v>2</v>
      </c>
      <c r="J1351" s="62" t="s">
        <v>167</v>
      </c>
      <c r="K1351" s="63" t="s">
        <v>16</v>
      </c>
      <c r="L1351" s="61">
        <v>1</v>
      </c>
      <c r="M1351" s="61">
        <v>7</v>
      </c>
      <c r="N1351" s="111">
        <v>53</v>
      </c>
      <c r="O1351" s="112">
        <v>53</v>
      </c>
      <c r="P1351" s="113"/>
      <c r="Q1351" s="114">
        <v>53</v>
      </c>
      <c r="R1351" s="64" t="s">
        <v>4</v>
      </c>
      <c r="S1351" s="108">
        <v>43620</v>
      </c>
      <c r="T1351" s="203">
        <f t="shared" si="795"/>
        <v>43647</v>
      </c>
      <c r="U1351" s="204">
        <f t="shared" si="796"/>
        <v>43677</v>
      </c>
      <c r="V1351" s="207">
        <f t="shared" ref="V1351:V1356" si="834">IF(G1351-F1351+1-IF(G1351-U1351&gt;0,G1351-U1351,0)-IF(T1351-F1351&gt;0,T1351-F1351,0)&gt;0,G1351-F1351+1-IF(G1351-U1351&gt;0,G1351-U1351,0)-IF(T1351-F1351&gt;0,T1351-F1351,0),0)</f>
        <v>3</v>
      </c>
      <c r="W1351" s="206" t="str">
        <f t="shared" si="831"/>
        <v>Теменуга Златева</v>
      </c>
      <c r="X1351" s="206">
        <f t="shared" si="832"/>
        <v>0</v>
      </c>
      <c r="Y1351" s="209">
        <f t="shared" si="833"/>
        <v>15.899999999999999</v>
      </c>
    </row>
    <row r="1352" spans="2:25" hidden="1" x14ac:dyDescent="0.25">
      <c r="B1352" s="60">
        <f>B1350</f>
        <v>4</v>
      </c>
      <c r="C1352" s="102">
        <v>24</v>
      </c>
      <c r="D1352" s="192" t="str">
        <f t="shared" si="822"/>
        <v>V</v>
      </c>
      <c r="E1352" s="62"/>
      <c r="F1352" s="105"/>
      <c r="G1352" s="105"/>
      <c r="H1352" s="61"/>
      <c r="I1352" s="61"/>
      <c r="J1352" s="62"/>
      <c r="K1352" s="63"/>
      <c r="L1352" s="61"/>
      <c r="M1352" s="61"/>
      <c r="N1352" s="111"/>
      <c r="O1352" s="112"/>
      <c r="P1352" s="113"/>
      <c r="Q1352" s="114"/>
      <c r="R1352" s="64"/>
      <c r="S1352" s="108"/>
      <c r="T1352" s="203">
        <f t="shared" si="795"/>
        <v>43647</v>
      </c>
      <c r="U1352" s="204">
        <f t="shared" si="796"/>
        <v>43677</v>
      </c>
      <c r="V1352" s="207">
        <f t="shared" si="834"/>
        <v>0</v>
      </c>
      <c r="W1352" s="206" t="str">
        <f t="shared" si="831"/>
        <v/>
      </c>
      <c r="X1352" s="206">
        <f t="shared" si="832"/>
        <v>0</v>
      </c>
      <c r="Y1352" s="209">
        <f t="shared" si="833"/>
        <v>0</v>
      </c>
    </row>
    <row r="1353" spans="2:25" hidden="1" x14ac:dyDescent="0.25">
      <c r="B1353" s="60">
        <f>B1350</f>
        <v>4</v>
      </c>
      <c r="C1353" s="102">
        <v>25</v>
      </c>
      <c r="D1353" s="192" t="str">
        <f t="shared" si="822"/>
        <v>V</v>
      </c>
      <c r="E1353" s="62"/>
      <c r="F1353" s="105"/>
      <c r="G1353" s="105"/>
      <c r="H1353" s="61"/>
      <c r="I1353" s="61"/>
      <c r="J1353" s="62"/>
      <c r="K1353" s="63"/>
      <c r="L1353" s="61"/>
      <c r="M1353" s="61"/>
      <c r="N1353" s="111"/>
      <c r="O1353" s="112"/>
      <c r="P1353" s="113"/>
      <c r="Q1353" s="114"/>
      <c r="R1353" s="64"/>
      <c r="S1353" s="108"/>
      <c r="T1353" s="203">
        <f t="shared" si="795"/>
        <v>43647</v>
      </c>
      <c r="U1353" s="204">
        <f t="shared" si="796"/>
        <v>43677</v>
      </c>
      <c r="V1353" s="207">
        <f t="shared" si="834"/>
        <v>0</v>
      </c>
      <c r="W1353" s="206" t="str">
        <f t="shared" si="831"/>
        <v/>
      </c>
      <c r="X1353" s="206">
        <f t="shared" si="832"/>
        <v>0</v>
      </c>
      <c r="Y1353" s="209">
        <f t="shared" si="833"/>
        <v>0</v>
      </c>
    </row>
    <row r="1354" spans="2:25" hidden="1" x14ac:dyDescent="0.25">
      <c r="B1354" s="60">
        <f>B1350</f>
        <v>4</v>
      </c>
      <c r="C1354" s="102">
        <v>26</v>
      </c>
      <c r="D1354" s="192" t="str">
        <f t="shared" si="822"/>
        <v>V</v>
      </c>
      <c r="E1354" s="62"/>
      <c r="F1354" s="105"/>
      <c r="G1354" s="105"/>
      <c r="H1354" s="61"/>
      <c r="I1354" s="61"/>
      <c r="J1354" s="62"/>
      <c r="K1354" s="63"/>
      <c r="L1354" s="61"/>
      <c r="M1354" s="61"/>
      <c r="N1354" s="111"/>
      <c r="O1354" s="112"/>
      <c r="P1354" s="113"/>
      <c r="Q1354" s="114"/>
      <c r="R1354" s="64"/>
      <c r="S1354" s="108"/>
      <c r="T1354" s="203">
        <f t="shared" si="795"/>
        <v>43647</v>
      </c>
      <c r="U1354" s="204">
        <f t="shared" si="796"/>
        <v>43677</v>
      </c>
      <c r="V1354" s="207">
        <f t="shared" si="834"/>
        <v>0</v>
      </c>
      <c r="W1354" s="206" t="str">
        <f t="shared" si="831"/>
        <v/>
      </c>
      <c r="X1354" s="206">
        <f t="shared" si="832"/>
        <v>0</v>
      </c>
      <c r="Y1354" s="209">
        <f t="shared" si="833"/>
        <v>0</v>
      </c>
    </row>
    <row r="1355" spans="2:25" hidden="1" x14ac:dyDescent="0.25">
      <c r="B1355" s="60">
        <f>B1350</f>
        <v>4</v>
      </c>
      <c r="C1355" s="102">
        <v>27</v>
      </c>
      <c r="D1355" s="192" t="str">
        <f t="shared" si="822"/>
        <v>V</v>
      </c>
      <c r="E1355" s="62"/>
      <c r="F1355" s="105"/>
      <c r="G1355" s="105"/>
      <c r="H1355" s="61"/>
      <c r="I1355" s="61"/>
      <c r="J1355" s="62"/>
      <c r="K1355" s="63"/>
      <c r="L1355" s="61"/>
      <c r="M1355" s="61"/>
      <c r="N1355" s="111"/>
      <c r="O1355" s="112"/>
      <c r="P1355" s="113"/>
      <c r="Q1355" s="114"/>
      <c r="R1355" s="64"/>
      <c r="S1355" s="108"/>
      <c r="T1355" s="203">
        <f t="shared" si="795"/>
        <v>43647</v>
      </c>
      <c r="U1355" s="204">
        <f t="shared" si="796"/>
        <v>43677</v>
      </c>
      <c r="V1355" s="207">
        <f t="shared" si="834"/>
        <v>0</v>
      </c>
      <c r="W1355" s="206" t="str">
        <f t="shared" si="831"/>
        <v/>
      </c>
      <c r="X1355" s="206">
        <f t="shared" si="832"/>
        <v>0</v>
      </c>
      <c r="Y1355" s="209">
        <f t="shared" si="833"/>
        <v>0</v>
      </c>
    </row>
    <row r="1356" spans="2:25" ht="15.75" thickBot="1" x14ac:dyDescent="0.3">
      <c r="B1356" s="141">
        <f>B1350</f>
        <v>4</v>
      </c>
      <c r="C1356" s="142">
        <v>28</v>
      </c>
      <c r="D1356" s="194" t="str">
        <f t="shared" si="822"/>
        <v>V</v>
      </c>
      <c r="E1356" s="143"/>
      <c r="F1356" s="144"/>
      <c r="G1356" s="144"/>
      <c r="H1356" s="145"/>
      <c r="I1356" s="145"/>
      <c r="J1356" s="436" t="s">
        <v>181</v>
      </c>
      <c r="K1356" s="437"/>
      <c r="L1356" s="438"/>
      <c r="M1356" s="145"/>
      <c r="N1356" s="146">
        <v>10</v>
      </c>
      <c r="O1356" s="147">
        <v>10</v>
      </c>
      <c r="P1356" s="148"/>
      <c r="Q1356" s="149">
        <v>10</v>
      </c>
      <c r="R1356" s="150" t="s">
        <v>4</v>
      </c>
      <c r="S1356" s="151">
        <v>43620</v>
      </c>
      <c r="T1356" s="213">
        <f t="shared" si="795"/>
        <v>43647</v>
      </c>
      <c r="U1356" s="214">
        <f t="shared" si="796"/>
        <v>43677</v>
      </c>
      <c r="V1356" s="210">
        <f t="shared" si="834"/>
        <v>0</v>
      </c>
      <c r="W1356" s="211"/>
      <c r="X1356" s="211">
        <f>IF(AND($V1356&gt;0,$I1356=1),IF($E1356=10,P1356/10,P1356/$V1356),0)</f>
        <v>0</v>
      </c>
      <c r="Y1356" s="212">
        <f>IF(AND($V1350&gt;0,$I1356&lt;&gt;1),Q1356/E1350*V1350,0)</f>
        <v>3</v>
      </c>
    </row>
    <row r="1357" spans="2:25" ht="16.5" hidden="1" thickTop="1" thickBot="1" x14ac:dyDescent="0.3">
      <c r="B1357" s="129">
        <f>B1355+1</f>
        <v>5</v>
      </c>
      <c r="C1357" s="130">
        <v>29</v>
      </c>
      <c r="D1357" s="196" t="str">
        <f t="shared" si="822"/>
        <v>V</v>
      </c>
      <c r="E1357" s="152"/>
      <c r="F1357" s="153"/>
      <c r="G1357" s="153"/>
      <c r="H1357" s="154"/>
      <c r="I1357" s="154"/>
      <c r="J1357" s="152"/>
      <c r="K1357" s="155"/>
      <c r="L1357" s="154"/>
      <c r="M1357" s="154"/>
      <c r="N1357" s="156"/>
      <c r="O1357" s="157"/>
      <c r="P1357" s="158"/>
      <c r="Q1357" s="159"/>
      <c r="R1357" s="160"/>
      <c r="S1357" s="161"/>
      <c r="T1357" s="203">
        <f t="shared" ref="T1357:T1420" si="835">$F$4</f>
        <v>43647</v>
      </c>
      <c r="U1357" s="204">
        <f t="shared" ref="U1357:U1420" si="836">$G$4</f>
        <v>43677</v>
      </c>
      <c r="V1357" s="207">
        <f>IF(G1357-F1357+1-IF(G1357-U1357&gt;0,G1357-U1357,0)-IF(T1357-F1357&gt;0,T1357-F1357,0)&gt;0,G1357-F1357+1-IF(G1357-U1357&gt;0,G1357-U1357,0)-IF(T1357-F1357&gt;0,T1357-F1357,0),0)</f>
        <v>0</v>
      </c>
      <c r="W1357" s="206" t="str">
        <f t="shared" ref="W1357:W1362" si="837">IF(V1357&gt;0,H1357,"")</f>
        <v/>
      </c>
      <c r="X1357" s="206">
        <f t="shared" ref="X1357:X1362" si="838">IF(AND($V1357&gt;0,$I1357=1),P1357/$E1357*$V1357,0)</f>
        <v>0</v>
      </c>
      <c r="Y1357" s="209">
        <f t="shared" ref="Y1357:Y1362" si="839">IF(AND($V1357&gt;0,$I1357&lt;&gt;1),Q1357/$E1357*$V1357,0)</f>
        <v>0</v>
      </c>
    </row>
    <row r="1358" spans="2:25" ht="16.5" hidden="1" thickTop="1" thickBot="1" x14ac:dyDescent="0.3">
      <c r="B1358" s="60">
        <f>B1357</f>
        <v>5</v>
      </c>
      <c r="C1358" s="102">
        <v>30</v>
      </c>
      <c r="D1358" s="192" t="str">
        <f t="shared" si="822"/>
        <v>V</v>
      </c>
      <c r="E1358" s="162"/>
      <c r="F1358" s="163"/>
      <c r="G1358" s="163"/>
      <c r="H1358" s="164"/>
      <c r="I1358" s="164"/>
      <c r="J1358" s="162"/>
      <c r="K1358" s="165"/>
      <c r="L1358" s="164"/>
      <c r="M1358" s="164"/>
      <c r="N1358" s="166"/>
      <c r="O1358" s="167"/>
      <c r="P1358" s="168"/>
      <c r="Q1358" s="169"/>
      <c r="R1358" s="170"/>
      <c r="S1358" s="171"/>
      <c r="T1358" s="203">
        <f t="shared" si="835"/>
        <v>43647</v>
      </c>
      <c r="U1358" s="204">
        <f t="shared" si="836"/>
        <v>43677</v>
      </c>
      <c r="V1358" s="207">
        <f t="shared" ref="V1358:V1363" si="840">IF(G1358-F1358+1-IF(G1358-U1358&gt;0,G1358-U1358,0)-IF(T1358-F1358&gt;0,T1358-F1358,0)&gt;0,G1358-F1358+1-IF(G1358-U1358&gt;0,G1358-U1358,0)-IF(T1358-F1358&gt;0,T1358-F1358,0),0)</f>
        <v>0</v>
      </c>
      <c r="W1358" s="206" t="str">
        <f t="shared" si="837"/>
        <v/>
      </c>
      <c r="X1358" s="206">
        <f t="shared" si="838"/>
        <v>0</v>
      </c>
      <c r="Y1358" s="209">
        <f t="shared" si="839"/>
        <v>0</v>
      </c>
    </row>
    <row r="1359" spans="2:25" ht="16.5" hidden="1" thickTop="1" thickBot="1" x14ac:dyDescent="0.3">
      <c r="B1359" s="60">
        <f>B1357</f>
        <v>5</v>
      </c>
      <c r="C1359" s="102">
        <v>31</v>
      </c>
      <c r="D1359" s="192" t="str">
        <f t="shared" si="822"/>
        <v>V</v>
      </c>
      <c r="E1359" s="162"/>
      <c r="F1359" s="163"/>
      <c r="G1359" s="163"/>
      <c r="H1359" s="164"/>
      <c r="I1359" s="164"/>
      <c r="J1359" s="162"/>
      <c r="K1359" s="165"/>
      <c r="L1359" s="164"/>
      <c r="M1359" s="164"/>
      <c r="N1359" s="166"/>
      <c r="O1359" s="167"/>
      <c r="P1359" s="168"/>
      <c r="Q1359" s="169"/>
      <c r="R1359" s="170"/>
      <c r="S1359" s="171"/>
      <c r="T1359" s="203">
        <f t="shared" si="835"/>
        <v>43647</v>
      </c>
      <c r="U1359" s="204">
        <f t="shared" si="836"/>
        <v>43677</v>
      </c>
      <c r="V1359" s="207">
        <f t="shared" si="840"/>
        <v>0</v>
      </c>
      <c r="W1359" s="206" t="str">
        <f t="shared" si="837"/>
        <v/>
      </c>
      <c r="X1359" s="206">
        <f t="shared" si="838"/>
        <v>0</v>
      </c>
      <c r="Y1359" s="209">
        <f t="shared" si="839"/>
        <v>0</v>
      </c>
    </row>
    <row r="1360" spans="2:25" ht="16.5" hidden="1" thickTop="1" thickBot="1" x14ac:dyDescent="0.3">
      <c r="B1360" s="60">
        <f>B1357</f>
        <v>5</v>
      </c>
      <c r="C1360" s="102">
        <v>32</v>
      </c>
      <c r="D1360" s="192" t="str">
        <f t="shared" si="822"/>
        <v>V</v>
      </c>
      <c r="E1360" s="162"/>
      <c r="F1360" s="163"/>
      <c r="G1360" s="163"/>
      <c r="H1360" s="164"/>
      <c r="I1360" s="164"/>
      <c r="J1360" s="162"/>
      <c r="K1360" s="165"/>
      <c r="L1360" s="164"/>
      <c r="M1360" s="164"/>
      <c r="N1360" s="166"/>
      <c r="O1360" s="167"/>
      <c r="P1360" s="168"/>
      <c r="Q1360" s="169"/>
      <c r="R1360" s="170"/>
      <c r="S1360" s="171"/>
      <c r="T1360" s="203">
        <f t="shared" si="835"/>
        <v>43647</v>
      </c>
      <c r="U1360" s="204">
        <f t="shared" si="836"/>
        <v>43677</v>
      </c>
      <c r="V1360" s="207">
        <f t="shared" si="840"/>
        <v>0</v>
      </c>
      <c r="W1360" s="206" t="str">
        <f t="shared" si="837"/>
        <v/>
      </c>
      <c r="X1360" s="206">
        <f t="shared" si="838"/>
        <v>0</v>
      </c>
      <c r="Y1360" s="209">
        <f t="shared" si="839"/>
        <v>0</v>
      </c>
    </row>
    <row r="1361" spans="2:25" ht="16.5" hidden="1" thickTop="1" thickBot="1" x14ac:dyDescent="0.3">
      <c r="B1361" s="60">
        <f>B1357</f>
        <v>5</v>
      </c>
      <c r="C1361" s="102">
        <v>33</v>
      </c>
      <c r="D1361" s="192" t="str">
        <f t="shared" si="822"/>
        <v>V</v>
      </c>
      <c r="E1361" s="162"/>
      <c r="F1361" s="163"/>
      <c r="G1361" s="163"/>
      <c r="H1361" s="164"/>
      <c r="I1361" s="164"/>
      <c r="J1361" s="162"/>
      <c r="K1361" s="165"/>
      <c r="L1361" s="164"/>
      <c r="M1361" s="164"/>
      <c r="N1361" s="166"/>
      <c r="O1361" s="167"/>
      <c r="P1361" s="168"/>
      <c r="Q1361" s="169"/>
      <c r="R1361" s="170"/>
      <c r="S1361" s="171"/>
      <c r="T1361" s="203">
        <f t="shared" si="835"/>
        <v>43647</v>
      </c>
      <c r="U1361" s="204">
        <f t="shared" si="836"/>
        <v>43677</v>
      </c>
      <c r="V1361" s="207">
        <f t="shared" si="840"/>
        <v>0</v>
      </c>
      <c r="W1361" s="206" t="str">
        <f t="shared" si="837"/>
        <v/>
      </c>
      <c r="X1361" s="206">
        <f t="shared" si="838"/>
        <v>0</v>
      </c>
      <c r="Y1361" s="209">
        <f t="shared" si="839"/>
        <v>0</v>
      </c>
    </row>
    <row r="1362" spans="2:25" ht="16.5" hidden="1" thickTop="1" thickBot="1" x14ac:dyDescent="0.3">
      <c r="B1362" s="60">
        <f>B1357</f>
        <v>5</v>
      </c>
      <c r="C1362" s="102">
        <v>34</v>
      </c>
      <c r="D1362" s="192" t="str">
        <f t="shared" si="822"/>
        <v>V</v>
      </c>
      <c r="E1362" s="172"/>
      <c r="F1362" s="173"/>
      <c r="G1362" s="173"/>
      <c r="H1362" s="174"/>
      <c r="I1362" s="174"/>
      <c r="J1362" s="172"/>
      <c r="K1362" s="175"/>
      <c r="L1362" s="174"/>
      <c r="M1362" s="174"/>
      <c r="N1362" s="176"/>
      <c r="O1362" s="177"/>
      <c r="P1362" s="178"/>
      <c r="Q1362" s="179"/>
      <c r="R1362" s="180"/>
      <c r="S1362" s="181"/>
      <c r="T1362" s="203">
        <f t="shared" si="835"/>
        <v>43647</v>
      </c>
      <c r="U1362" s="204">
        <f t="shared" si="836"/>
        <v>43677</v>
      </c>
      <c r="V1362" s="207">
        <f t="shared" si="840"/>
        <v>0</v>
      </c>
      <c r="W1362" s="206" t="str">
        <f t="shared" si="837"/>
        <v/>
      </c>
      <c r="X1362" s="206">
        <f t="shared" si="838"/>
        <v>0</v>
      </c>
      <c r="Y1362" s="209">
        <f t="shared" si="839"/>
        <v>0</v>
      </c>
    </row>
    <row r="1363" spans="2:25" ht="16.5" hidden="1" thickTop="1" thickBot="1" x14ac:dyDescent="0.3">
      <c r="B1363" s="141">
        <f>B1357</f>
        <v>5</v>
      </c>
      <c r="C1363" s="142">
        <v>35</v>
      </c>
      <c r="D1363" s="194" t="str">
        <f t="shared" si="822"/>
        <v>V</v>
      </c>
      <c r="E1363" s="189"/>
      <c r="F1363" s="190"/>
      <c r="G1363" s="190"/>
      <c r="H1363" s="182"/>
      <c r="I1363" s="182"/>
      <c r="J1363" s="436" t="s">
        <v>181</v>
      </c>
      <c r="K1363" s="437"/>
      <c r="L1363" s="438"/>
      <c r="M1363" s="182"/>
      <c r="N1363" s="183"/>
      <c r="O1363" s="184"/>
      <c r="P1363" s="185"/>
      <c r="Q1363" s="186"/>
      <c r="R1363" s="187"/>
      <c r="S1363" s="188"/>
      <c r="T1363" s="213">
        <f t="shared" si="835"/>
        <v>43647</v>
      </c>
      <c r="U1363" s="214">
        <f t="shared" si="836"/>
        <v>43677</v>
      </c>
      <c r="V1363" s="210">
        <f t="shared" si="840"/>
        <v>0</v>
      </c>
      <c r="W1363" s="211"/>
      <c r="X1363" s="211">
        <f>IF(AND($V1363&gt;0,$I1363=1),IF($E1363=10,P1363/10,P1363/$V1363),0)</f>
        <v>0</v>
      </c>
      <c r="Y1363" s="212">
        <f>IF(AND($V1357&gt;0,$I1363&lt;&gt;1),Q1363/E1357*V1357,0)</f>
        <v>0</v>
      </c>
    </row>
    <row r="1364" spans="2:25" ht="45.75" thickTop="1" x14ac:dyDescent="0.25">
      <c r="B1364" s="129">
        <f>B1362+1</f>
        <v>6</v>
      </c>
      <c r="C1364" s="130">
        <v>36</v>
      </c>
      <c r="D1364" s="196" t="str">
        <f t="shared" si="822"/>
        <v>V</v>
      </c>
      <c r="E1364" s="131">
        <v>10</v>
      </c>
      <c r="F1364" s="132">
        <v>43675</v>
      </c>
      <c r="G1364" s="132">
        <v>43684</v>
      </c>
      <c r="H1364" s="133" t="s">
        <v>319</v>
      </c>
      <c r="I1364" s="133">
        <v>2</v>
      </c>
      <c r="J1364" s="131" t="s">
        <v>167</v>
      </c>
      <c r="K1364" s="134" t="s">
        <v>16</v>
      </c>
      <c r="L1364" s="133">
        <v>1</v>
      </c>
      <c r="M1364" s="133">
        <v>7</v>
      </c>
      <c r="N1364" s="135">
        <v>53</v>
      </c>
      <c r="O1364" s="136">
        <v>53</v>
      </c>
      <c r="P1364" s="137"/>
      <c r="Q1364" s="138">
        <v>53</v>
      </c>
      <c r="R1364" s="139" t="s">
        <v>4</v>
      </c>
      <c r="S1364" s="140">
        <v>43636</v>
      </c>
      <c r="T1364" s="203">
        <f t="shared" si="835"/>
        <v>43647</v>
      </c>
      <c r="U1364" s="204">
        <f t="shared" si="836"/>
        <v>43677</v>
      </c>
      <c r="V1364" s="207">
        <f>IF(G1364-F1364+1-IF(G1364-U1364&gt;0,G1364-U1364,0)-IF(T1364-F1364&gt;0,T1364-F1364,0)&gt;0,G1364-F1364+1-IF(G1364-U1364&gt;0,G1364-U1364,0)-IF(T1364-F1364&gt;0,T1364-F1364,0),0)</f>
        <v>3</v>
      </c>
      <c r="W1364" s="206" t="str">
        <f t="shared" ref="W1364:W1369" si="841">IF(V1364&gt;0,H1364,"")</f>
        <v>Антоанета Ставрева</v>
      </c>
      <c r="X1364" s="206">
        <f t="shared" ref="X1364:X1369" si="842">IF(AND($V1364&gt;0,$I1364=1),P1364/$E1364*$V1364,0)</f>
        <v>0</v>
      </c>
      <c r="Y1364" s="209">
        <f t="shared" ref="Y1364:Y1369" si="843">IF(AND($V1364&gt;0,$I1364&lt;&gt;1),Q1364/$E1364*$V1364,0)</f>
        <v>15.899999999999999</v>
      </c>
    </row>
    <row r="1365" spans="2:25" ht="45" x14ac:dyDescent="0.25">
      <c r="B1365" s="60">
        <f>B1364</f>
        <v>6</v>
      </c>
      <c r="C1365" s="102">
        <v>37</v>
      </c>
      <c r="D1365" s="192" t="str">
        <f t="shared" si="822"/>
        <v>V</v>
      </c>
      <c r="E1365" s="62">
        <v>10</v>
      </c>
      <c r="F1365" s="105">
        <v>43675</v>
      </c>
      <c r="G1365" s="105">
        <v>43684</v>
      </c>
      <c r="H1365" s="61" t="s">
        <v>320</v>
      </c>
      <c r="I1365" s="61">
        <v>2</v>
      </c>
      <c r="J1365" s="62" t="s">
        <v>167</v>
      </c>
      <c r="K1365" s="63" t="s">
        <v>16</v>
      </c>
      <c r="L1365" s="61">
        <v>1</v>
      </c>
      <c r="M1365" s="61">
        <v>7</v>
      </c>
      <c r="N1365" s="111">
        <v>53</v>
      </c>
      <c r="O1365" s="112">
        <v>53</v>
      </c>
      <c r="P1365" s="113"/>
      <c r="Q1365" s="114">
        <v>53</v>
      </c>
      <c r="R1365" s="64" t="s">
        <v>4</v>
      </c>
      <c r="S1365" s="108">
        <v>43636</v>
      </c>
      <c r="T1365" s="203">
        <f t="shared" si="835"/>
        <v>43647</v>
      </c>
      <c r="U1365" s="204">
        <f t="shared" si="836"/>
        <v>43677</v>
      </c>
      <c r="V1365" s="207">
        <f t="shared" ref="V1365:V1370" si="844">IF(G1365-F1365+1-IF(G1365-U1365&gt;0,G1365-U1365,0)-IF(T1365-F1365&gt;0,T1365-F1365,0)&gt;0,G1365-F1365+1-IF(G1365-U1365&gt;0,G1365-U1365,0)-IF(T1365-F1365&gt;0,T1365-F1365,0),0)</f>
        <v>3</v>
      </c>
      <c r="W1365" s="206" t="str">
        <f t="shared" si="841"/>
        <v>Станчо Ставрев</v>
      </c>
      <c r="X1365" s="206">
        <f t="shared" si="842"/>
        <v>0</v>
      </c>
      <c r="Y1365" s="209">
        <f t="shared" si="843"/>
        <v>15.899999999999999</v>
      </c>
    </row>
    <row r="1366" spans="2:25" x14ac:dyDescent="0.25">
      <c r="B1366" s="60">
        <f>B1364</f>
        <v>6</v>
      </c>
      <c r="C1366" s="102">
        <v>38</v>
      </c>
      <c r="D1366" s="192" t="str">
        <f t="shared" si="822"/>
        <v>V</v>
      </c>
      <c r="E1366" s="62">
        <v>10</v>
      </c>
      <c r="F1366" s="105">
        <v>43675</v>
      </c>
      <c r="G1366" s="105">
        <v>43684</v>
      </c>
      <c r="H1366" s="61" t="s">
        <v>321</v>
      </c>
      <c r="I1366" s="61">
        <v>5</v>
      </c>
      <c r="J1366" s="62" t="s">
        <v>172</v>
      </c>
      <c r="K1366" s="63" t="s">
        <v>16</v>
      </c>
      <c r="L1366" s="61">
        <v>1</v>
      </c>
      <c r="M1366" s="61">
        <v>7</v>
      </c>
      <c r="N1366" s="111">
        <v>53</v>
      </c>
      <c r="O1366" s="112">
        <v>53</v>
      </c>
      <c r="P1366" s="113"/>
      <c r="Q1366" s="114">
        <v>53</v>
      </c>
      <c r="R1366" s="64" t="s">
        <v>4</v>
      </c>
      <c r="S1366" s="108">
        <v>43636</v>
      </c>
      <c r="T1366" s="203">
        <f t="shared" si="835"/>
        <v>43647</v>
      </c>
      <c r="U1366" s="204">
        <f t="shared" si="836"/>
        <v>43677</v>
      </c>
      <c r="V1366" s="207">
        <f t="shared" si="844"/>
        <v>3</v>
      </c>
      <c r="W1366" s="206" t="str">
        <f t="shared" si="841"/>
        <v>Алина Ставрева</v>
      </c>
      <c r="X1366" s="206">
        <f t="shared" si="842"/>
        <v>0</v>
      </c>
      <c r="Y1366" s="209">
        <f t="shared" si="843"/>
        <v>15.899999999999999</v>
      </c>
    </row>
    <row r="1367" spans="2:25" hidden="1" x14ac:dyDescent="0.25">
      <c r="B1367" s="60">
        <f>B1364</f>
        <v>6</v>
      </c>
      <c r="C1367" s="102">
        <v>39</v>
      </c>
      <c r="D1367" s="192" t="str">
        <f t="shared" si="822"/>
        <v>V</v>
      </c>
      <c r="E1367" s="62"/>
      <c r="F1367" s="105"/>
      <c r="G1367" s="105"/>
      <c r="H1367" s="61"/>
      <c r="I1367" s="61"/>
      <c r="J1367" s="62"/>
      <c r="K1367" s="63"/>
      <c r="L1367" s="61"/>
      <c r="M1367" s="61"/>
      <c r="N1367" s="111"/>
      <c r="O1367" s="112"/>
      <c r="P1367" s="113"/>
      <c r="Q1367" s="114"/>
      <c r="R1367" s="64"/>
      <c r="S1367" s="108"/>
      <c r="T1367" s="203">
        <f t="shared" si="835"/>
        <v>43647</v>
      </c>
      <c r="U1367" s="204">
        <f t="shared" si="836"/>
        <v>43677</v>
      </c>
      <c r="V1367" s="207">
        <f t="shared" si="844"/>
        <v>0</v>
      </c>
      <c r="W1367" s="206" t="str">
        <f t="shared" si="841"/>
        <v/>
      </c>
      <c r="X1367" s="206">
        <f t="shared" si="842"/>
        <v>0</v>
      </c>
      <c r="Y1367" s="209">
        <f t="shared" si="843"/>
        <v>0</v>
      </c>
    </row>
    <row r="1368" spans="2:25" hidden="1" x14ac:dyDescent="0.25">
      <c r="B1368" s="60">
        <f>B1364</f>
        <v>6</v>
      </c>
      <c r="C1368" s="102">
        <v>40</v>
      </c>
      <c r="D1368" s="192" t="str">
        <f t="shared" si="822"/>
        <v>V</v>
      </c>
      <c r="E1368" s="62"/>
      <c r="F1368" s="105"/>
      <c r="G1368" s="105"/>
      <c r="H1368" s="61"/>
      <c r="I1368" s="61"/>
      <c r="J1368" s="62"/>
      <c r="K1368" s="63"/>
      <c r="L1368" s="61"/>
      <c r="M1368" s="61"/>
      <c r="N1368" s="111"/>
      <c r="O1368" s="112"/>
      <c r="P1368" s="113"/>
      <c r="Q1368" s="114"/>
      <c r="R1368" s="64"/>
      <c r="S1368" s="108"/>
      <c r="T1368" s="203">
        <f t="shared" si="835"/>
        <v>43647</v>
      </c>
      <c r="U1368" s="204">
        <f t="shared" si="836"/>
        <v>43677</v>
      </c>
      <c r="V1368" s="207">
        <f t="shared" si="844"/>
        <v>0</v>
      </c>
      <c r="W1368" s="206" t="str">
        <f t="shared" si="841"/>
        <v/>
      </c>
      <c r="X1368" s="206">
        <f t="shared" si="842"/>
        <v>0</v>
      </c>
      <c r="Y1368" s="209">
        <f t="shared" si="843"/>
        <v>0</v>
      </c>
    </row>
    <row r="1369" spans="2:25" hidden="1" x14ac:dyDescent="0.25">
      <c r="B1369" s="60">
        <f>B1364</f>
        <v>6</v>
      </c>
      <c r="C1369" s="102">
        <v>41</v>
      </c>
      <c r="D1369" s="192" t="str">
        <f t="shared" si="822"/>
        <v>V</v>
      </c>
      <c r="E1369" s="62"/>
      <c r="F1369" s="105"/>
      <c r="G1369" s="105"/>
      <c r="H1369" s="61"/>
      <c r="I1369" s="61"/>
      <c r="J1369" s="62"/>
      <c r="K1369" s="63"/>
      <c r="L1369" s="61"/>
      <c r="M1369" s="61"/>
      <c r="N1369" s="111"/>
      <c r="O1369" s="112"/>
      <c r="P1369" s="113"/>
      <c r="Q1369" s="114"/>
      <c r="R1369" s="64"/>
      <c r="S1369" s="108"/>
      <c r="T1369" s="203">
        <f t="shared" si="835"/>
        <v>43647</v>
      </c>
      <c r="U1369" s="204">
        <f t="shared" si="836"/>
        <v>43677</v>
      </c>
      <c r="V1369" s="207">
        <f t="shared" si="844"/>
        <v>0</v>
      </c>
      <c r="W1369" s="206" t="str">
        <f t="shared" si="841"/>
        <v/>
      </c>
      <c r="X1369" s="206">
        <f t="shared" si="842"/>
        <v>0</v>
      </c>
      <c r="Y1369" s="209">
        <f t="shared" si="843"/>
        <v>0</v>
      </c>
    </row>
    <row r="1370" spans="2:25" ht="15.75" thickBot="1" x14ac:dyDescent="0.3">
      <c r="B1370" s="141">
        <f>B1364</f>
        <v>6</v>
      </c>
      <c r="C1370" s="142">
        <v>42</v>
      </c>
      <c r="D1370" s="194" t="str">
        <f t="shared" si="822"/>
        <v>V</v>
      </c>
      <c r="E1370" s="143"/>
      <c r="F1370" s="144"/>
      <c r="G1370" s="144"/>
      <c r="H1370" s="145"/>
      <c r="I1370" s="145"/>
      <c r="J1370" s="436" t="s">
        <v>181</v>
      </c>
      <c r="K1370" s="437"/>
      <c r="L1370" s="438"/>
      <c r="M1370" s="145"/>
      <c r="N1370" s="146">
        <v>10</v>
      </c>
      <c r="O1370" s="147">
        <v>10</v>
      </c>
      <c r="P1370" s="148"/>
      <c r="Q1370" s="149">
        <v>10</v>
      </c>
      <c r="R1370" s="150" t="s">
        <v>4</v>
      </c>
      <c r="S1370" s="151">
        <v>43636</v>
      </c>
      <c r="T1370" s="213">
        <f t="shared" si="835"/>
        <v>43647</v>
      </c>
      <c r="U1370" s="214">
        <f t="shared" si="836"/>
        <v>43677</v>
      </c>
      <c r="V1370" s="210">
        <f t="shared" si="844"/>
        <v>0</v>
      </c>
      <c r="W1370" s="211"/>
      <c r="X1370" s="211">
        <f>IF(AND($V1370&gt;0,$I1370=1),IF($E1370=10,P1370/10,P1370/$V1370),0)</f>
        <v>0</v>
      </c>
      <c r="Y1370" s="212">
        <f>IF(AND($V1364&gt;0,$I1370&lt;&gt;1),Q1370/E1364*V1364,0)</f>
        <v>3</v>
      </c>
    </row>
    <row r="1371" spans="2:25" ht="16.5" hidden="1" thickTop="1" thickBot="1" x14ac:dyDescent="0.3">
      <c r="B1371" s="129">
        <f>B1369+1</f>
        <v>7</v>
      </c>
      <c r="C1371" s="130">
        <v>43</v>
      </c>
      <c r="D1371" s="196" t="str">
        <f t="shared" si="822"/>
        <v>V</v>
      </c>
      <c r="E1371" s="152"/>
      <c r="F1371" s="153"/>
      <c r="G1371" s="153"/>
      <c r="H1371" s="154"/>
      <c r="I1371" s="154"/>
      <c r="J1371" s="152"/>
      <c r="K1371" s="155"/>
      <c r="L1371" s="154"/>
      <c r="M1371" s="154"/>
      <c r="N1371" s="156"/>
      <c r="O1371" s="157"/>
      <c r="P1371" s="158"/>
      <c r="Q1371" s="159"/>
      <c r="R1371" s="160"/>
      <c r="S1371" s="161"/>
      <c r="T1371" s="203">
        <f t="shared" si="835"/>
        <v>43647</v>
      </c>
      <c r="U1371" s="204">
        <f t="shared" si="836"/>
        <v>43677</v>
      </c>
      <c r="V1371" s="207">
        <f>IF(G1371-F1371+1-IF(G1371-U1371&gt;0,G1371-U1371,0)-IF(T1371-F1371&gt;0,T1371-F1371,0)&gt;0,G1371-F1371+1-IF(G1371-U1371&gt;0,G1371-U1371,0)-IF(T1371-F1371&gt;0,T1371-F1371,0),0)</f>
        <v>0</v>
      </c>
      <c r="W1371" s="206" t="str">
        <f t="shared" ref="W1371:W1376" si="845">IF(V1371&gt;0,H1371,"")</f>
        <v/>
      </c>
      <c r="X1371" s="206">
        <f t="shared" ref="X1371:X1376" si="846">IF(AND($V1371&gt;0,$I1371=1),P1371/$E1371*$V1371,0)</f>
        <v>0</v>
      </c>
      <c r="Y1371" s="209">
        <f t="shared" ref="Y1371:Y1376" si="847">IF(AND($V1371&gt;0,$I1371&lt;&gt;1),Q1371/$E1371*$V1371,0)</f>
        <v>0</v>
      </c>
    </row>
    <row r="1372" spans="2:25" ht="16.5" hidden="1" thickTop="1" thickBot="1" x14ac:dyDescent="0.3">
      <c r="B1372" s="60">
        <f>B1371</f>
        <v>7</v>
      </c>
      <c r="C1372" s="102">
        <v>44</v>
      </c>
      <c r="D1372" s="192" t="str">
        <f t="shared" si="822"/>
        <v>V</v>
      </c>
      <c r="E1372" s="162"/>
      <c r="F1372" s="163"/>
      <c r="G1372" s="163"/>
      <c r="H1372" s="164"/>
      <c r="I1372" s="164"/>
      <c r="J1372" s="162"/>
      <c r="K1372" s="165"/>
      <c r="L1372" s="164"/>
      <c r="M1372" s="164"/>
      <c r="N1372" s="166"/>
      <c r="O1372" s="167"/>
      <c r="P1372" s="168"/>
      <c r="Q1372" s="169"/>
      <c r="R1372" s="170"/>
      <c r="S1372" s="171"/>
      <c r="T1372" s="203">
        <f t="shared" si="835"/>
        <v>43647</v>
      </c>
      <c r="U1372" s="204">
        <f t="shared" si="836"/>
        <v>43677</v>
      </c>
      <c r="V1372" s="207">
        <f t="shared" ref="V1372:V1377" si="848">IF(G1372-F1372+1-IF(G1372-U1372&gt;0,G1372-U1372,0)-IF(T1372-F1372&gt;0,T1372-F1372,0)&gt;0,G1372-F1372+1-IF(G1372-U1372&gt;0,G1372-U1372,0)-IF(T1372-F1372&gt;0,T1372-F1372,0),0)</f>
        <v>0</v>
      </c>
      <c r="W1372" s="206" t="str">
        <f t="shared" si="845"/>
        <v/>
      </c>
      <c r="X1372" s="206">
        <f t="shared" si="846"/>
        <v>0</v>
      </c>
      <c r="Y1372" s="209">
        <f t="shared" si="847"/>
        <v>0</v>
      </c>
    </row>
    <row r="1373" spans="2:25" ht="16.5" hidden="1" thickTop="1" thickBot="1" x14ac:dyDescent="0.3">
      <c r="B1373" s="60">
        <f>B1371</f>
        <v>7</v>
      </c>
      <c r="C1373" s="102">
        <v>45</v>
      </c>
      <c r="D1373" s="192" t="str">
        <f t="shared" si="822"/>
        <v>V</v>
      </c>
      <c r="E1373" s="162"/>
      <c r="F1373" s="163"/>
      <c r="G1373" s="163"/>
      <c r="H1373" s="164"/>
      <c r="I1373" s="164"/>
      <c r="J1373" s="162"/>
      <c r="K1373" s="165"/>
      <c r="L1373" s="164"/>
      <c r="M1373" s="164"/>
      <c r="N1373" s="166"/>
      <c r="O1373" s="167"/>
      <c r="P1373" s="168"/>
      <c r="Q1373" s="169"/>
      <c r="R1373" s="170"/>
      <c r="S1373" s="171"/>
      <c r="T1373" s="203">
        <f t="shared" si="835"/>
        <v>43647</v>
      </c>
      <c r="U1373" s="204">
        <f t="shared" si="836"/>
        <v>43677</v>
      </c>
      <c r="V1373" s="207">
        <f t="shared" si="848"/>
        <v>0</v>
      </c>
      <c r="W1373" s="206" t="str">
        <f t="shared" si="845"/>
        <v/>
      </c>
      <c r="X1373" s="206">
        <f t="shared" si="846"/>
        <v>0</v>
      </c>
      <c r="Y1373" s="209">
        <f t="shared" si="847"/>
        <v>0</v>
      </c>
    </row>
    <row r="1374" spans="2:25" ht="16.5" hidden="1" thickTop="1" thickBot="1" x14ac:dyDescent="0.3">
      <c r="B1374" s="60">
        <f>B1371</f>
        <v>7</v>
      </c>
      <c r="C1374" s="102">
        <v>46</v>
      </c>
      <c r="D1374" s="192" t="str">
        <f t="shared" si="822"/>
        <v>V</v>
      </c>
      <c r="E1374" s="162"/>
      <c r="F1374" s="163"/>
      <c r="G1374" s="163"/>
      <c r="H1374" s="164"/>
      <c r="I1374" s="164"/>
      <c r="J1374" s="162"/>
      <c r="K1374" s="165"/>
      <c r="L1374" s="164"/>
      <c r="M1374" s="164"/>
      <c r="N1374" s="166"/>
      <c r="O1374" s="167"/>
      <c r="P1374" s="168"/>
      <c r="Q1374" s="169"/>
      <c r="R1374" s="170"/>
      <c r="S1374" s="171"/>
      <c r="T1374" s="203">
        <f t="shared" si="835"/>
        <v>43647</v>
      </c>
      <c r="U1374" s="204">
        <f t="shared" si="836"/>
        <v>43677</v>
      </c>
      <c r="V1374" s="207">
        <f t="shared" si="848"/>
        <v>0</v>
      </c>
      <c r="W1374" s="206" t="str">
        <f t="shared" si="845"/>
        <v/>
      </c>
      <c r="X1374" s="206">
        <f t="shared" si="846"/>
        <v>0</v>
      </c>
      <c r="Y1374" s="209">
        <f t="shared" si="847"/>
        <v>0</v>
      </c>
    </row>
    <row r="1375" spans="2:25" ht="16.5" hidden="1" thickTop="1" thickBot="1" x14ac:dyDescent="0.3">
      <c r="B1375" s="60">
        <f>B1371</f>
        <v>7</v>
      </c>
      <c r="C1375" s="102">
        <v>47</v>
      </c>
      <c r="D1375" s="192" t="str">
        <f t="shared" si="822"/>
        <v>V</v>
      </c>
      <c r="E1375" s="162"/>
      <c r="F1375" s="163"/>
      <c r="G1375" s="163"/>
      <c r="H1375" s="164"/>
      <c r="I1375" s="164"/>
      <c r="J1375" s="162"/>
      <c r="K1375" s="165"/>
      <c r="L1375" s="164"/>
      <c r="M1375" s="164"/>
      <c r="N1375" s="166"/>
      <c r="O1375" s="167"/>
      <c r="P1375" s="168"/>
      <c r="Q1375" s="169"/>
      <c r="R1375" s="170"/>
      <c r="S1375" s="171"/>
      <c r="T1375" s="203">
        <f t="shared" si="835"/>
        <v>43647</v>
      </c>
      <c r="U1375" s="204">
        <f t="shared" si="836"/>
        <v>43677</v>
      </c>
      <c r="V1375" s="207">
        <f t="shared" si="848"/>
        <v>0</v>
      </c>
      <c r="W1375" s="206" t="str">
        <f t="shared" si="845"/>
        <v/>
      </c>
      <c r="X1375" s="206">
        <f t="shared" si="846"/>
        <v>0</v>
      </c>
      <c r="Y1375" s="209">
        <f t="shared" si="847"/>
        <v>0</v>
      </c>
    </row>
    <row r="1376" spans="2:25" ht="16.5" hidden="1" thickTop="1" thickBot="1" x14ac:dyDescent="0.3">
      <c r="B1376" s="60">
        <f>B1371</f>
        <v>7</v>
      </c>
      <c r="C1376" s="102">
        <v>48</v>
      </c>
      <c r="D1376" s="192" t="str">
        <f t="shared" si="822"/>
        <v>V</v>
      </c>
      <c r="E1376" s="172"/>
      <c r="F1376" s="173"/>
      <c r="G1376" s="173"/>
      <c r="H1376" s="174"/>
      <c r="I1376" s="174"/>
      <c r="J1376" s="172"/>
      <c r="K1376" s="175"/>
      <c r="L1376" s="174"/>
      <c r="M1376" s="174"/>
      <c r="N1376" s="176"/>
      <c r="O1376" s="177"/>
      <c r="P1376" s="178"/>
      <c r="Q1376" s="179"/>
      <c r="R1376" s="180"/>
      <c r="S1376" s="181"/>
      <c r="T1376" s="203">
        <f t="shared" si="835"/>
        <v>43647</v>
      </c>
      <c r="U1376" s="204">
        <f t="shared" si="836"/>
        <v>43677</v>
      </c>
      <c r="V1376" s="207">
        <f t="shared" si="848"/>
        <v>0</v>
      </c>
      <c r="W1376" s="206" t="str">
        <f t="shared" si="845"/>
        <v/>
      </c>
      <c r="X1376" s="206">
        <f t="shared" si="846"/>
        <v>0</v>
      </c>
      <c r="Y1376" s="209">
        <f t="shared" si="847"/>
        <v>0</v>
      </c>
    </row>
    <row r="1377" spans="2:25" ht="16.5" hidden="1" thickTop="1" thickBot="1" x14ac:dyDescent="0.3">
      <c r="B1377" s="141">
        <f>B1371</f>
        <v>7</v>
      </c>
      <c r="C1377" s="142">
        <v>49</v>
      </c>
      <c r="D1377" s="194" t="str">
        <f t="shared" si="822"/>
        <v>V</v>
      </c>
      <c r="E1377" s="189"/>
      <c r="F1377" s="190"/>
      <c r="G1377" s="190"/>
      <c r="H1377" s="182"/>
      <c r="I1377" s="182"/>
      <c r="J1377" s="436" t="s">
        <v>181</v>
      </c>
      <c r="K1377" s="437"/>
      <c r="L1377" s="438"/>
      <c r="M1377" s="182"/>
      <c r="N1377" s="183"/>
      <c r="O1377" s="184"/>
      <c r="P1377" s="185"/>
      <c r="Q1377" s="186"/>
      <c r="R1377" s="187"/>
      <c r="S1377" s="188"/>
      <c r="T1377" s="213">
        <f t="shared" si="835"/>
        <v>43647</v>
      </c>
      <c r="U1377" s="214">
        <f t="shared" si="836"/>
        <v>43677</v>
      </c>
      <c r="V1377" s="210">
        <f t="shared" si="848"/>
        <v>0</v>
      </c>
      <c r="W1377" s="211"/>
      <c r="X1377" s="211">
        <f>IF(AND($V1377&gt;0,$I1377=1),IF($E1377=10,P1377/10,P1377/$V1377),0)</f>
        <v>0</v>
      </c>
      <c r="Y1377" s="212">
        <f>IF(AND($V1371&gt;0,$I1377&lt;&gt;1),Q1377/E1371*V1371,0)</f>
        <v>0</v>
      </c>
    </row>
    <row r="1378" spans="2:25" ht="45.75" thickTop="1" x14ac:dyDescent="0.25">
      <c r="B1378" s="129">
        <f>B1376+1</f>
        <v>8</v>
      </c>
      <c r="C1378" s="130">
        <v>50</v>
      </c>
      <c r="D1378" s="196" t="str">
        <f t="shared" si="822"/>
        <v>V</v>
      </c>
      <c r="E1378" s="131">
        <v>10</v>
      </c>
      <c r="F1378" s="132">
        <v>43675</v>
      </c>
      <c r="G1378" s="132">
        <v>43684</v>
      </c>
      <c r="H1378" s="133" t="s">
        <v>322</v>
      </c>
      <c r="I1378" s="133">
        <v>2</v>
      </c>
      <c r="J1378" s="131" t="s">
        <v>167</v>
      </c>
      <c r="K1378" s="134" t="s">
        <v>16</v>
      </c>
      <c r="L1378" s="133">
        <v>1</v>
      </c>
      <c r="M1378" s="133">
        <v>7</v>
      </c>
      <c r="N1378" s="135">
        <v>53</v>
      </c>
      <c r="O1378" s="136">
        <v>53</v>
      </c>
      <c r="P1378" s="137"/>
      <c r="Q1378" s="138">
        <v>53</v>
      </c>
      <c r="R1378" s="139" t="s">
        <v>4</v>
      </c>
      <c r="S1378" s="140">
        <v>43636</v>
      </c>
      <c r="T1378" s="203">
        <f t="shared" si="835"/>
        <v>43647</v>
      </c>
      <c r="U1378" s="204">
        <f t="shared" si="836"/>
        <v>43677</v>
      </c>
      <c r="V1378" s="207">
        <f>IF(G1378-F1378+1-IF(G1378-U1378&gt;0,G1378-U1378,0)-IF(T1378-F1378&gt;0,T1378-F1378,0)&gt;0,G1378-F1378+1-IF(G1378-U1378&gt;0,G1378-U1378,0)-IF(T1378-F1378&gt;0,T1378-F1378,0),0)</f>
        <v>3</v>
      </c>
      <c r="W1378" s="206" t="str">
        <f t="shared" ref="W1378:W1383" si="849">IF(V1378&gt;0,H1378,"")</f>
        <v>Стоян Казанджиев</v>
      </c>
      <c r="X1378" s="206">
        <f t="shared" ref="X1378:X1383" si="850">IF(AND($V1378&gt;0,$I1378=1),P1378/$E1378*$V1378,0)</f>
        <v>0</v>
      </c>
      <c r="Y1378" s="209">
        <f t="shared" ref="Y1378:Y1383" si="851">IF(AND($V1378&gt;0,$I1378&lt;&gt;1),Q1378/$E1378*$V1378,0)</f>
        <v>15.899999999999999</v>
      </c>
    </row>
    <row r="1379" spans="2:25" hidden="1" x14ac:dyDescent="0.25">
      <c r="B1379" s="60">
        <f>B1378</f>
        <v>8</v>
      </c>
      <c r="C1379" s="102">
        <v>51</v>
      </c>
      <c r="D1379" s="192" t="str">
        <f t="shared" si="822"/>
        <v>V</v>
      </c>
      <c r="E1379" s="62"/>
      <c r="F1379" s="105"/>
      <c r="G1379" s="105"/>
      <c r="H1379" s="61"/>
      <c r="I1379" s="61"/>
      <c r="J1379" s="62"/>
      <c r="K1379" s="63"/>
      <c r="L1379" s="61"/>
      <c r="M1379" s="61"/>
      <c r="N1379" s="111"/>
      <c r="O1379" s="112"/>
      <c r="P1379" s="113"/>
      <c r="Q1379" s="114"/>
      <c r="R1379" s="64"/>
      <c r="S1379" s="108"/>
      <c r="T1379" s="203">
        <f t="shared" si="835"/>
        <v>43647</v>
      </c>
      <c r="U1379" s="204">
        <f t="shared" si="836"/>
        <v>43677</v>
      </c>
      <c r="V1379" s="207">
        <f t="shared" ref="V1379:V1384" si="852">IF(G1379-F1379+1-IF(G1379-U1379&gt;0,G1379-U1379,0)-IF(T1379-F1379&gt;0,T1379-F1379,0)&gt;0,G1379-F1379+1-IF(G1379-U1379&gt;0,G1379-U1379,0)-IF(T1379-F1379&gt;0,T1379-F1379,0),0)</f>
        <v>0</v>
      </c>
      <c r="W1379" s="206" t="str">
        <f t="shared" si="849"/>
        <v/>
      </c>
      <c r="X1379" s="206">
        <f t="shared" si="850"/>
        <v>0</v>
      </c>
      <c r="Y1379" s="209">
        <f t="shared" si="851"/>
        <v>0</v>
      </c>
    </row>
    <row r="1380" spans="2:25" hidden="1" x14ac:dyDescent="0.25">
      <c r="B1380" s="60">
        <f>B1378</f>
        <v>8</v>
      </c>
      <c r="C1380" s="102">
        <v>52</v>
      </c>
      <c r="D1380" s="192" t="str">
        <f t="shared" si="822"/>
        <v>V</v>
      </c>
      <c r="E1380" s="62"/>
      <c r="F1380" s="105"/>
      <c r="G1380" s="105"/>
      <c r="H1380" s="61"/>
      <c r="I1380" s="61"/>
      <c r="J1380" s="62"/>
      <c r="K1380" s="63"/>
      <c r="L1380" s="61"/>
      <c r="M1380" s="61"/>
      <c r="N1380" s="111"/>
      <c r="O1380" s="112"/>
      <c r="P1380" s="113"/>
      <c r="Q1380" s="114"/>
      <c r="R1380" s="64"/>
      <c r="S1380" s="108"/>
      <c r="T1380" s="203">
        <f t="shared" si="835"/>
        <v>43647</v>
      </c>
      <c r="U1380" s="204">
        <f t="shared" si="836"/>
        <v>43677</v>
      </c>
      <c r="V1380" s="207">
        <f t="shared" si="852"/>
        <v>0</v>
      </c>
      <c r="W1380" s="206" t="str">
        <f t="shared" si="849"/>
        <v/>
      </c>
      <c r="X1380" s="206">
        <f t="shared" si="850"/>
        <v>0</v>
      </c>
      <c r="Y1380" s="209">
        <f t="shared" si="851"/>
        <v>0</v>
      </c>
    </row>
    <row r="1381" spans="2:25" hidden="1" x14ac:dyDescent="0.25">
      <c r="B1381" s="60">
        <f>B1378</f>
        <v>8</v>
      </c>
      <c r="C1381" s="102">
        <v>53</v>
      </c>
      <c r="D1381" s="192" t="str">
        <f t="shared" si="822"/>
        <v>V</v>
      </c>
      <c r="E1381" s="62"/>
      <c r="F1381" s="105"/>
      <c r="G1381" s="105"/>
      <c r="H1381" s="61"/>
      <c r="I1381" s="61"/>
      <c r="J1381" s="62"/>
      <c r="K1381" s="63"/>
      <c r="L1381" s="61"/>
      <c r="M1381" s="61"/>
      <c r="N1381" s="111"/>
      <c r="O1381" s="112"/>
      <c r="P1381" s="113"/>
      <c r="Q1381" s="114"/>
      <c r="R1381" s="64"/>
      <c r="S1381" s="108"/>
      <c r="T1381" s="203">
        <f t="shared" si="835"/>
        <v>43647</v>
      </c>
      <c r="U1381" s="204">
        <f t="shared" si="836"/>
        <v>43677</v>
      </c>
      <c r="V1381" s="207">
        <f t="shared" si="852"/>
        <v>0</v>
      </c>
      <c r="W1381" s="206" t="str">
        <f t="shared" si="849"/>
        <v/>
      </c>
      <c r="X1381" s="206">
        <f t="shared" si="850"/>
        <v>0</v>
      </c>
      <c r="Y1381" s="209">
        <f t="shared" si="851"/>
        <v>0</v>
      </c>
    </row>
    <row r="1382" spans="2:25" hidden="1" x14ac:dyDescent="0.25">
      <c r="B1382" s="60">
        <f>B1378</f>
        <v>8</v>
      </c>
      <c r="C1382" s="102">
        <v>54</v>
      </c>
      <c r="D1382" s="192" t="str">
        <f t="shared" si="822"/>
        <v>V</v>
      </c>
      <c r="E1382" s="62"/>
      <c r="F1382" s="105"/>
      <c r="G1382" s="105"/>
      <c r="H1382" s="61"/>
      <c r="I1382" s="61"/>
      <c r="J1382" s="62"/>
      <c r="K1382" s="63"/>
      <c r="L1382" s="61"/>
      <c r="M1382" s="61"/>
      <c r="N1382" s="111"/>
      <c r="O1382" s="112"/>
      <c r="P1382" s="113"/>
      <c r="Q1382" s="114"/>
      <c r="R1382" s="64"/>
      <c r="S1382" s="108"/>
      <c r="T1382" s="203">
        <f t="shared" si="835"/>
        <v>43647</v>
      </c>
      <c r="U1382" s="204">
        <f t="shared" si="836"/>
        <v>43677</v>
      </c>
      <c r="V1382" s="207">
        <f t="shared" si="852"/>
        <v>0</v>
      </c>
      <c r="W1382" s="206" t="str">
        <f t="shared" si="849"/>
        <v/>
      </c>
      <c r="X1382" s="206">
        <f t="shared" si="850"/>
        <v>0</v>
      </c>
      <c r="Y1382" s="209">
        <f t="shared" si="851"/>
        <v>0</v>
      </c>
    </row>
    <row r="1383" spans="2:25" hidden="1" x14ac:dyDescent="0.25">
      <c r="B1383" s="60">
        <f>B1378</f>
        <v>8</v>
      </c>
      <c r="C1383" s="102">
        <v>55</v>
      </c>
      <c r="D1383" s="192" t="str">
        <f t="shared" si="822"/>
        <v>V</v>
      </c>
      <c r="E1383" s="62"/>
      <c r="F1383" s="105"/>
      <c r="G1383" s="105"/>
      <c r="H1383" s="61"/>
      <c r="I1383" s="61"/>
      <c r="J1383" s="62"/>
      <c r="K1383" s="63"/>
      <c r="L1383" s="61"/>
      <c r="M1383" s="61"/>
      <c r="N1383" s="111"/>
      <c r="O1383" s="112"/>
      <c r="P1383" s="113"/>
      <c r="Q1383" s="114"/>
      <c r="R1383" s="64"/>
      <c r="S1383" s="108"/>
      <c r="T1383" s="203">
        <f t="shared" si="835"/>
        <v>43647</v>
      </c>
      <c r="U1383" s="204">
        <f t="shared" si="836"/>
        <v>43677</v>
      </c>
      <c r="V1383" s="207">
        <f t="shared" si="852"/>
        <v>0</v>
      </c>
      <c r="W1383" s="206" t="str">
        <f t="shared" si="849"/>
        <v/>
      </c>
      <c r="X1383" s="206">
        <f t="shared" si="850"/>
        <v>0</v>
      </c>
      <c r="Y1383" s="209">
        <f t="shared" si="851"/>
        <v>0</v>
      </c>
    </row>
    <row r="1384" spans="2:25" ht="15.75" thickBot="1" x14ac:dyDescent="0.3">
      <c r="B1384" s="141">
        <f>B1378</f>
        <v>8</v>
      </c>
      <c r="C1384" s="142">
        <v>56</v>
      </c>
      <c r="D1384" s="194" t="str">
        <f t="shared" si="822"/>
        <v>V</v>
      </c>
      <c r="E1384" s="143"/>
      <c r="F1384" s="144"/>
      <c r="G1384" s="144"/>
      <c r="H1384" s="145"/>
      <c r="I1384" s="145"/>
      <c r="J1384" s="436" t="s">
        <v>181</v>
      </c>
      <c r="K1384" s="437"/>
      <c r="L1384" s="438"/>
      <c r="M1384" s="145"/>
      <c r="N1384" s="146">
        <v>10</v>
      </c>
      <c r="O1384" s="147">
        <v>10</v>
      </c>
      <c r="P1384" s="148"/>
      <c r="Q1384" s="149">
        <v>10</v>
      </c>
      <c r="R1384" s="150" t="s">
        <v>4</v>
      </c>
      <c r="S1384" s="151">
        <v>43636</v>
      </c>
      <c r="T1384" s="213">
        <f t="shared" si="835"/>
        <v>43647</v>
      </c>
      <c r="U1384" s="214">
        <f t="shared" si="836"/>
        <v>43677</v>
      </c>
      <c r="V1384" s="210">
        <f t="shared" si="852"/>
        <v>0</v>
      </c>
      <c r="W1384" s="211"/>
      <c r="X1384" s="211">
        <f>IF(AND($V1384&gt;0,$I1384=1),IF($E1384=10,P1384/10,P1384/$V1384),0)</f>
        <v>0</v>
      </c>
      <c r="Y1384" s="212">
        <f>IF(AND($V1378&gt;0,$I1384&lt;&gt;1),Q1384/E1378*V1378,0)</f>
        <v>3</v>
      </c>
    </row>
    <row r="1385" spans="2:25" ht="15.75" thickTop="1" x14ac:dyDescent="0.25">
      <c r="B1385" s="129">
        <f>B1383+1</f>
        <v>9</v>
      </c>
      <c r="C1385" s="130">
        <v>57</v>
      </c>
      <c r="D1385" s="196" t="str">
        <f t="shared" si="822"/>
        <v>V</v>
      </c>
      <c r="E1385" s="152">
        <v>6</v>
      </c>
      <c r="F1385" s="153">
        <v>43675</v>
      </c>
      <c r="G1385" s="153">
        <v>43680</v>
      </c>
      <c r="H1385" s="154" t="s">
        <v>323</v>
      </c>
      <c r="I1385" s="154">
        <v>6</v>
      </c>
      <c r="J1385" s="152" t="s">
        <v>166</v>
      </c>
      <c r="K1385" s="155" t="s">
        <v>16</v>
      </c>
      <c r="L1385" s="154">
        <v>1</v>
      </c>
      <c r="M1385" s="154">
        <v>9</v>
      </c>
      <c r="N1385" s="156">
        <v>16</v>
      </c>
      <c r="O1385" s="157">
        <v>96</v>
      </c>
      <c r="P1385" s="158"/>
      <c r="Q1385" s="159">
        <v>96</v>
      </c>
      <c r="R1385" s="160" t="s">
        <v>4</v>
      </c>
      <c r="S1385" s="161">
        <v>43648</v>
      </c>
      <c r="T1385" s="203">
        <f t="shared" si="835"/>
        <v>43647</v>
      </c>
      <c r="U1385" s="204">
        <f t="shared" si="836"/>
        <v>43677</v>
      </c>
      <c r="V1385" s="207">
        <f>IF(G1385-F1385+1-IF(G1385-U1385&gt;0,G1385-U1385,0)-IF(T1385-F1385&gt;0,T1385-F1385,0)&gt;0,G1385-F1385+1-IF(G1385-U1385&gt;0,G1385-U1385,0)-IF(T1385-F1385&gt;0,T1385-F1385,0),0)</f>
        <v>3</v>
      </c>
      <c r="W1385" s="206" t="str">
        <f t="shared" ref="W1385:W1390" si="853">IF(V1385&gt;0,H1385,"")</f>
        <v>Тодор Михов</v>
      </c>
      <c r="X1385" s="206">
        <f t="shared" ref="X1385:X1390" si="854">IF(AND($V1385&gt;0,$I1385=1),P1385/$E1385*$V1385,0)</f>
        <v>0</v>
      </c>
      <c r="Y1385" s="209">
        <f t="shared" ref="Y1385:Y1390" si="855">IF(AND($V1385&gt;0,$I1385&lt;&gt;1),Q1385/$E1385*$V1385,0)</f>
        <v>48</v>
      </c>
    </row>
    <row r="1386" spans="2:25" x14ac:dyDescent="0.25">
      <c r="B1386" s="60">
        <f>B1385</f>
        <v>9</v>
      </c>
      <c r="C1386" s="102">
        <v>58</v>
      </c>
      <c r="D1386" s="192" t="str">
        <f t="shared" si="822"/>
        <v>V</v>
      </c>
      <c r="E1386" s="162">
        <v>6</v>
      </c>
      <c r="F1386" s="163">
        <v>43675</v>
      </c>
      <c r="G1386" s="163">
        <v>43680</v>
      </c>
      <c r="H1386" s="164" t="s">
        <v>324</v>
      </c>
      <c r="I1386" s="164">
        <v>6</v>
      </c>
      <c r="J1386" s="162" t="s">
        <v>166</v>
      </c>
      <c r="K1386" s="165" t="s">
        <v>16</v>
      </c>
      <c r="L1386" s="164">
        <v>1</v>
      </c>
      <c r="M1386" s="164">
        <v>9</v>
      </c>
      <c r="N1386" s="166">
        <v>16</v>
      </c>
      <c r="O1386" s="167">
        <v>96</v>
      </c>
      <c r="P1386" s="168"/>
      <c r="Q1386" s="169">
        <v>96</v>
      </c>
      <c r="R1386" s="170" t="s">
        <v>4</v>
      </c>
      <c r="S1386" s="171">
        <v>43648</v>
      </c>
      <c r="T1386" s="203">
        <f t="shared" si="835"/>
        <v>43647</v>
      </c>
      <c r="U1386" s="204">
        <f t="shared" si="836"/>
        <v>43677</v>
      </c>
      <c r="V1386" s="207">
        <f t="shared" ref="V1386:V1391" si="856">IF(G1386-F1386+1-IF(G1386-U1386&gt;0,G1386-U1386,0)-IF(T1386-F1386&gt;0,T1386-F1386,0)&gt;0,G1386-F1386+1-IF(G1386-U1386&gt;0,G1386-U1386,0)-IF(T1386-F1386&gt;0,T1386-F1386,0),0)</f>
        <v>3</v>
      </c>
      <c r="W1386" s="206" t="str">
        <f t="shared" si="853"/>
        <v>Милка Сейкова</v>
      </c>
      <c r="X1386" s="206">
        <f t="shared" si="854"/>
        <v>0</v>
      </c>
      <c r="Y1386" s="209">
        <f t="shared" si="855"/>
        <v>48</v>
      </c>
    </row>
    <row r="1387" spans="2:25" hidden="1" x14ac:dyDescent="0.25">
      <c r="B1387" s="60">
        <f>B1385</f>
        <v>9</v>
      </c>
      <c r="C1387" s="102">
        <v>59</v>
      </c>
      <c r="D1387" s="192" t="str">
        <f t="shared" si="822"/>
        <v>V</v>
      </c>
      <c r="E1387" s="162"/>
      <c r="F1387" s="163"/>
      <c r="G1387" s="163"/>
      <c r="H1387" s="164"/>
      <c r="I1387" s="164"/>
      <c r="J1387" s="162"/>
      <c r="K1387" s="165"/>
      <c r="L1387" s="164"/>
      <c r="M1387" s="164"/>
      <c r="N1387" s="166"/>
      <c r="O1387" s="167"/>
      <c r="P1387" s="168"/>
      <c r="Q1387" s="169"/>
      <c r="R1387" s="170"/>
      <c r="S1387" s="171"/>
      <c r="T1387" s="203">
        <f t="shared" si="835"/>
        <v>43647</v>
      </c>
      <c r="U1387" s="204">
        <f t="shared" si="836"/>
        <v>43677</v>
      </c>
      <c r="V1387" s="207">
        <f t="shared" si="856"/>
        <v>0</v>
      </c>
      <c r="W1387" s="206" t="str">
        <f t="shared" si="853"/>
        <v/>
      </c>
      <c r="X1387" s="206">
        <f t="shared" si="854"/>
        <v>0</v>
      </c>
      <c r="Y1387" s="209">
        <f t="shared" si="855"/>
        <v>0</v>
      </c>
    </row>
    <row r="1388" spans="2:25" hidden="1" x14ac:dyDescent="0.25">
      <c r="B1388" s="60">
        <f>B1385</f>
        <v>9</v>
      </c>
      <c r="C1388" s="102">
        <v>60</v>
      </c>
      <c r="D1388" s="192" t="str">
        <f t="shared" si="822"/>
        <v>V</v>
      </c>
      <c r="E1388" s="162"/>
      <c r="F1388" s="163"/>
      <c r="G1388" s="163"/>
      <c r="H1388" s="164"/>
      <c r="I1388" s="164"/>
      <c r="J1388" s="162"/>
      <c r="K1388" s="165"/>
      <c r="L1388" s="164"/>
      <c r="M1388" s="164"/>
      <c r="N1388" s="166"/>
      <c r="O1388" s="167"/>
      <c r="P1388" s="168"/>
      <c r="Q1388" s="169"/>
      <c r="R1388" s="170"/>
      <c r="S1388" s="171"/>
      <c r="T1388" s="203">
        <f t="shared" si="835"/>
        <v>43647</v>
      </c>
      <c r="U1388" s="204">
        <f t="shared" si="836"/>
        <v>43677</v>
      </c>
      <c r="V1388" s="207">
        <f t="shared" si="856"/>
        <v>0</v>
      </c>
      <c r="W1388" s="206" t="str">
        <f t="shared" si="853"/>
        <v/>
      </c>
      <c r="X1388" s="206">
        <f t="shared" si="854"/>
        <v>0</v>
      </c>
      <c r="Y1388" s="209">
        <f t="shared" si="855"/>
        <v>0</v>
      </c>
    </row>
    <row r="1389" spans="2:25" hidden="1" x14ac:dyDescent="0.25">
      <c r="B1389" s="60">
        <f>B1385</f>
        <v>9</v>
      </c>
      <c r="C1389" s="102">
        <v>61</v>
      </c>
      <c r="D1389" s="192" t="str">
        <f t="shared" si="822"/>
        <v>V</v>
      </c>
      <c r="E1389" s="162"/>
      <c r="F1389" s="163"/>
      <c r="G1389" s="163"/>
      <c r="H1389" s="164"/>
      <c r="I1389" s="164"/>
      <c r="J1389" s="162"/>
      <c r="K1389" s="165"/>
      <c r="L1389" s="164"/>
      <c r="M1389" s="164"/>
      <c r="N1389" s="166"/>
      <c r="O1389" s="167"/>
      <c r="P1389" s="168"/>
      <c r="Q1389" s="169"/>
      <c r="R1389" s="170"/>
      <c r="S1389" s="171"/>
      <c r="T1389" s="203">
        <f t="shared" si="835"/>
        <v>43647</v>
      </c>
      <c r="U1389" s="204">
        <f t="shared" si="836"/>
        <v>43677</v>
      </c>
      <c r="V1389" s="207">
        <f t="shared" si="856"/>
        <v>0</v>
      </c>
      <c r="W1389" s="206" t="str">
        <f t="shared" si="853"/>
        <v/>
      </c>
      <c r="X1389" s="206">
        <f t="shared" si="854"/>
        <v>0</v>
      </c>
      <c r="Y1389" s="209">
        <f t="shared" si="855"/>
        <v>0</v>
      </c>
    </row>
    <row r="1390" spans="2:25" hidden="1" x14ac:dyDescent="0.25">
      <c r="B1390" s="60">
        <f>B1385</f>
        <v>9</v>
      </c>
      <c r="C1390" s="102">
        <v>62</v>
      </c>
      <c r="D1390" s="192" t="str">
        <f t="shared" si="822"/>
        <v>V</v>
      </c>
      <c r="E1390" s="172"/>
      <c r="F1390" s="173"/>
      <c r="G1390" s="173"/>
      <c r="H1390" s="174"/>
      <c r="I1390" s="174"/>
      <c r="J1390" s="172"/>
      <c r="K1390" s="175"/>
      <c r="L1390" s="174"/>
      <c r="M1390" s="174"/>
      <c r="N1390" s="176"/>
      <c r="O1390" s="177"/>
      <c r="P1390" s="178"/>
      <c r="Q1390" s="179"/>
      <c r="R1390" s="180"/>
      <c r="S1390" s="181"/>
      <c r="T1390" s="203">
        <f t="shared" si="835"/>
        <v>43647</v>
      </c>
      <c r="U1390" s="204">
        <f t="shared" si="836"/>
        <v>43677</v>
      </c>
      <c r="V1390" s="207">
        <f t="shared" si="856"/>
        <v>0</v>
      </c>
      <c r="W1390" s="206" t="str">
        <f t="shared" si="853"/>
        <v/>
      </c>
      <c r="X1390" s="206">
        <f t="shared" si="854"/>
        <v>0</v>
      </c>
      <c r="Y1390" s="209">
        <f t="shared" si="855"/>
        <v>0</v>
      </c>
    </row>
    <row r="1391" spans="2:25" ht="15.75" thickBot="1" x14ac:dyDescent="0.3">
      <c r="B1391" s="141">
        <f>B1385</f>
        <v>9</v>
      </c>
      <c r="C1391" s="142">
        <v>63</v>
      </c>
      <c r="D1391" s="194" t="str">
        <f t="shared" si="822"/>
        <v>V</v>
      </c>
      <c r="E1391" s="189"/>
      <c r="F1391" s="190"/>
      <c r="G1391" s="190"/>
      <c r="H1391" s="182"/>
      <c r="I1391" s="182"/>
      <c r="J1391" s="436" t="s">
        <v>181</v>
      </c>
      <c r="K1391" s="437"/>
      <c r="L1391" s="438"/>
      <c r="M1391" s="182"/>
      <c r="N1391" s="183">
        <v>10</v>
      </c>
      <c r="O1391" s="184">
        <v>10</v>
      </c>
      <c r="P1391" s="185"/>
      <c r="Q1391" s="186">
        <v>10</v>
      </c>
      <c r="R1391" s="187" t="s">
        <v>4</v>
      </c>
      <c r="S1391" s="188">
        <v>43648</v>
      </c>
      <c r="T1391" s="213">
        <f t="shared" si="835"/>
        <v>43647</v>
      </c>
      <c r="U1391" s="214">
        <f t="shared" si="836"/>
        <v>43677</v>
      </c>
      <c r="V1391" s="210">
        <f t="shared" si="856"/>
        <v>0</v>
      </c>
      <c r="W1391" s="211"/>
      <c r="X1391" s="211">
        <f>IF(AND($V1391&gt;0,$I1391=1),IF($E1391=10,P1391/10,P1391/$V1391),0)</f>
        <v>0</v>
      </c>
      <c r="Y1391" s="212">
        <f>IF(AND($V1385&gt;0,$I1391&lt;&gt;1),Q1391/E1385*V1385,0)</f>
        <v>5</v>
      </c>
    </row>
    <row r="1392" spans="2:25" ht="30.75" thickTop="1" x14ac:dyDescent="0.25">
      <c r="B1392" s="129">
        <f>B1390+1</f>
        <v>10</v>
      </c>
      <c r="C1392" s="130">
        <v>64</v>
      </c>
      <c r="D1392" s="196" t="str">
        <f t="shared" si="822"/>
        <v>V</v>
      </c>
      <c r="E1392" s="131">
        <v>10</v>
      </c>
      <c r="F1392" s="132">
        <v>43675</v>
      </c>
      <c r="G1392" s="132">
        <v>43684</v>
      </c>
      <c r="H1392" s="133" t="s">
        <v>325</v>
      </c>
      <c r="I1392" s="133">
        <v>1</v>
      </c>
      <c r="J1392" s="131" t="s">
        <v>168</v>
      </c>
      <c r="K1392" s="134" t="s">
        <v>16</v>
      </c>
      <c r="L1392" s="133">
        <v>1</v>
      </c>
      <c r="M1392" s="133">
        <v>7</v>
      </c>
      <c r="N1392" s="135">
        <v>44</v>
      </c>
      <c r="O1392" s="136">
        <v>44</v>
      </c>
      <c r="P1392" s="137">
        <v>44</v>
      </c>
      <c r="Q1392" s="138"/>
      <c r="R1392" s="139" t="s">
        <v>4</v>
      </c>
      <c r="S1392" s="140">
        <v>43620</v>
      </c>
      <c r="T1392" s="203">
        <f t="shared" si="835"/>
        <v>43647</v>
      </c>
      <c r="U1392" s="204">
        <f t="shared" si="836"/>
        <v>43677</v>
      </c>
      <c r="V1392" s="207">
        <f>IF(G1392-F1392+1-IF(G1392-U1392&gt;0,G1392-U1392,0)-IF(T1392-F1392&gt;0,T1392-F1392,0)&gt;0,G1392-F1392+1-IF(G1392-U1392&gt;0,G1392-U1392,0)-IF(T1392-F1392&gt;0,T1392-F1392,0),0)</f>
        <v>3</v>
      </c>
      <c r="W1392" s="206" t="str">
        <f t="shared" ref="W1392:W1397" si="857">IF(V1392&gt;0,H1392,"")</f>
        <v>Стефка Петкова</v>
      </c>
      <c r="X1392" s="206">
        <f t="shared" ref="X1392:X1397" si="858">IF(AND($V1392&gt;0,$I1392=1),P1392/$E1392*$V1392,0)</f>
        <v>13.200000000000001</v>
      </c>
      <c r="Y1392" s="209">
        <f t="shared" ref="Y1392:Y1397" si="859">IF(AND($V1392&gt;0,$I1392&lt;&gt;1),Q1392/$E1392*$V1392,0)</f>
        <v>0</v>
      </c>
    </row>
    <row r="1393" spans="2:25" ht="45" x14ac:dyDescent="0.25">
      <c r="B1393" s="60">
        <f>B1392</f>
        <v>10</v>
      </c>
      <c r="C1393" s="102">
        <v>65</v>
      </c>
      <c r="D1393" s="192" t="str">
        <f t="shared" si="822"/>
        <v>V</v>
      </c>
      <c r="E1393" s="62">
        <v>10</v>
      </c>
      <c r="F1393" s="105">
        <v>43675</v>
      </c>
      <c r="G1393" s="105">
        <v>43684</v>
      </c>
      <c r="H1393" s="61" t="s">
        <v>326</v>
      </c>
      <c r="I1393" s="61">
        <v>2</v>
      </c>
      <c r="J1393" s="62" t="s">
        <v>167</v>
      </c>
      <c r="K1393" s="63" t="s">
        <v>16</v>
      </c>
      <c r="L1393" s="61">
        <v>1</v>
      </c>
      <c r="M1393" s="61">
        <v>7</v>
      </c>
      <c r="N1393" s="111">
        <v>53</v>
      </c>
      <c r="O1393" s="112">
        <v>53</v>
      </c>
      <c r="P1393" s="113"/>
      <c r="Q1393" s="114">
        <v>53</v>
      </c>
      <c r="R1393" s="64" t="s">
        <v>4</v>
      </c>
      <c r="S1393" s="108">
        <v>43620</v>
      </c>
      <c r="T1393" s="203">
        <f t="shared" si="835"/>
        <v>43647</v>
      </c>
      <c r="U1393" s="204">
        <f t="shared" si="836"/>
        <v>43677</v>
      </c>
      <c r="V1393" s="207">
        <f t="shared" ref="V1393:V1398" si="860">IF(G1393-F1393+1-IF(G1393-U1393&gt;0,G1393-U1393,0)-IF(T1393-F1393&gt;0,T1393-F1393,0)&gt;0,G1393-F1393+1-IF(G1393-U1393&gt;0,G1393-U1393,0)-IF(T1393-F1393&gt;0,T1393-F1393,0),0)</f>
        <v>3</v>
      </c>
      <c r="W1393" s="206" t="str">
        <f t="shared" si="857"/>
        <v>Валентин Петков</v>
      </c>
      <c r="X1393" s="206">
        <f t="shared" si="858"/>
        <v>0</v>
      </c>
      <c r="Y1393" s="209">
        <f t="shared" si="859"/>
        <v>15.899999999999999</v>
      </c>
    </row>
    <row r="1394" spans="2:25" hidden="1" x14ac:dyDescent="0.25">
      <c r="B1394" s="60">
        <f>B1392</f>
        <v>10</v>
      </c>
      <c r="C1394" s="102">
        <v>66</v>
      </c>
      <c r="D1394" s="192" t="str">
        <f t="shared" si="822"/>
        <v>V</v>
      </c>
      <c r="E1394" s="62"/>
      <c r="F1394" s="105"/>
      <c r="G1394" s="105"/>
      <c r="H1394" s="61"/>
      <c r="I1394" s="61"/>
      <c r="J1394" s="62"/>
      <c r="K1394" s="63"/>
      <c r="L1394" s="61"/>
      <c r="M1394" s="61"/>
      <c r="N1394" s="111"/>
      <c r="O1394" s="112"/>
      <c r="P1394" s="113"/>
      <c r="Q1394" s="114"/>
      <c r="R1394" s="64"/>
      <c r="S1394" s="108"/>
      <c r="T1394" s="203">
        <f t="shared" si="835"/>
        <v>43647</v>
      </c>
      <c r="U1394" s="204">
        <f t="shared" si="836"/>
        <v>43677</v>
      </c>
      <c r="V1394" s="207">
        <f t="shared" si="860"/>
        <v>0</v>
      </c>
      <c r="W1394" s="206" t="str">
        <f t="shared" si="857"/>
        <v/>
      </c>
      <c r="X1394" s="206">
        <f t="shared" si="858"/>
        <v>0</v>
      </c>
      <c r="Y1394" s="209">
        <f t="shared" si="859"/>
        <v>0</v>
      </c>
    </row>
    <row r="1395" spans="2:25" hidden="1" x14ac:dyDescent="0.25">
      <c r="B1395" s="60">
        <f>B1392</f>
        <v>10</v>
      </c>
      <c r="C1395" s="102">
        <v>67</v>
      </c>
      <c r="D1395" s="192" t="str">
        <f t="shared" ref="D1395:D1458" si="861">D1394</f>
        <v>V</v>
      </c>
      <c r="E1395" s="62"/>
      <c r="F1395" s="105"/>
      <c r="G1395" s="105"/>
      <c r="H1395" s="61"/>
      <c r="I1395" s="61"/>
      <c r="J1395" s="62"/>
      <c r="K1395" s="63"/>
      <c r="L1395" s="61"/>
      <c r="M1395" s="61"/>
      <c r="N1395" s="111"/>
      <c r="O1395" s="112"/>
      <c r="P1395" s="113"/>
      <c r="Q1395" s="114"/>
      <c r="R1395" s="64"/>
      <c r="S1395" s="108"/>
      <c r="T1395" s="203">
        <f t="shared" si="835"/>
        <v>43647</v>
      </c>
      <c r="U1395" s="204">
        <f t="shared" si="836"/>
        <v>43677</v>
      </c>
      <c r="V1395" s="207">
        <f t="shared" si="860"/>
        <v>0</v>
      </c>
      <c r="W1395" s="206" t="str">
        <f t="shared" si="857"/>
        <v/>
      </c>
      <c r="X1395" s="206">
        <f t="shared" si="858"/>
        <v>0</v>
      </c>
      <c r="Y1395" s="209">
        <f t="shared" si="859"/>
        <v>0</v>
      </c>
    </row>
    <row r="1396" spans="2:25" hidden="1" x14ac:dyDescent="0.25">
      <c r="B1396" s="60">
        <f>B1392</f>
        <v>10</v>
      </c>
      <c r="C1396" s="102">
        <v>68</v>
      </c>
      <c r="D1396" s="192" t="str">
        <f t="shared" si="861"/>
        <v>V</v>
      </c>
      <c r="E1396" s="62"/>
      <c r="F1396" s="105"/>
      <c r="G1396" s="105"/>
      <c r="H1396" s="61"/>
      <c r="I1396" s="61"/>
      <c r="J1396" s="62"/>
      <c r="K1396" s="63"/>
      <c r="L1396" s="61"/>
      <c r="M1396" s="61"/>
      <c r="N1396" s="111"/>
      <c r="O1396" s="112"/>
      <c r="P1396" s="113"/>
      <c r="Q1396" s="114"/>
      <c r="R1396" s="64"/>
      <c r="S1396" s="108"/>
      <c r="T1396" s="203">
        <f t="shared" si="835"/>
        <v>43647</v>
      </c>
      <c r="U1396" s="204">
        <f t="shared" si="836"/>
        <v>43677</v>
      </c>
      <c r="V1396" s="207">
        <f t="shared" si="860"/>
        <v>0</v>
      </c>
      <c r="W1396" s="206" t="str">
        <f t="shared" si="857"/>
        <v/>
      </c>
      <c r="X1396" s="206">
        <f t="shared" si="858"/>
        <v>0</v>
      </c>
      <c r="Y1396" s="209">
        <f t="shared" si="859"/>
        <v>0</v>
      </c>
    </row>
    <row r="1397" spans="2:25" hidden="1" x14ac:dyDescent="0.25">
      <c r="B1397" s="60">
        <f>B1392</f>
        <v>10</v>
      </c>
      <c r="C1397" s="102">
        <v>69</v>
      </c>
      <c r="D1397" s="192" t="str">
        <f t="shared" si="861"/>
        <v>V</v>
      </c>
      <c r="E1397" s="62"/>
      <c r="F1397" s="105"/>
      <c r="G1397" s="105"/>
      <c r="H1397" s="61"/>
      <c r="I1397" s="61"/>
      <c r="J1397" s="62"/>
      <c r="K1397" s="63"/>
      <c r="L1397" s="61"/>
      <c r="M1397" s="61"/>
      <c r="N1397" s="111"/>
      <c r="O1397" s="112"/>
      <c r="P1397" s="113"/>
      <c r="Q1397" s="114"/>
      <c r="R1397" s="64"/>
      <c r="S1397" s="108"/>
      <c r="T1397" s="203">
        <f t="shared" si="835"/>
        <v>43647</v>
      </c>
      <c r="U1397" s="204">
        <f t="shared" si="836"/>
        <v>43677</v>
      </c>
      <c r="V1397" s="207">
        <f t="shared" si="860"/>
        <v>0</v>
      </c>
      <c r="W1397" s="206" t="str">
        <f t="shared" si="857"/>
        <v/>
      </c>
      <c r="X1397" s="206">
        <f t="shared" si="858"/>
        <v>0</v>
      </c>
      <c r="Y1397" s="209">
        <f t="shared" si="859"/>
        <v>0</v>
      </c>
    </row>
    <row r="1398" spans="2:25" ht="15.75" thickBot="1" x14ac:dyDescent="0.3">
      <c r="B1398" s="141">
        <f>B1392</f>
        <v>10</v>
      </c>
      <c r="C1398" s="142">
        <v>70</v>
      </c>
      <c r="D1398" s="194" t="str">
        <f t="shared" si="861"/>
        <v>V</v>
      </c>
      <c r="E1398" s="143"/>
      <c r="F1398" s="144"/>
      <c r="G1398" s="144"/>
      <c r="H1398" s="145"/>
      <c r="I1398" s="145"/>
      <c r="J1398" s="436" t="s">
        <v>181</v>
      </c>
      <c r="K1398" s="437"/>
      <c r="L1398" s="438"/>
      <c r="M1398" s="145"/>
      <c r="N1398" s="146">
        <v>10</v>
      </c>
      <c r="O1398" s="147">
        <v>10</v>
      </c>
      <c r="P1398" s="148"/>
      <c r="Q1398" s="149">
        <v>10</v>
      </c>
      <c r="R1398" s="150" t="s">
        <v>4</v>
      </c>
      <c r="S1398" s="151">
        <v>43620</v>
      </c>
      <c r="T1398" s="213">
        <f t="shared" si="835"/>
        <v>43647</v>
      </c>
      <c r="U1398" s="214">
        <f t="shared" si="836"/>
        <v>43677</v>
      </c>
      <c r="V1398" s="210">
        <f t="shared" si="860"/>
        <v>0</v>
      </c>
      <c r="W1398" s="211"/>
      <c r="X1398" s="211">
        <f>IF(AND($V1398&gt;0,$I1398=1),IF($E1398=10,P1398/10,P1398/$V1398),0)</f>
        <v>0</v>
      </c>
      <c r="Y1398" s="212">
        <f>IF(AND($V1392&gt;0,$I1398&lt;&gt;1),Q1398/E1392*V1392,0)</f>
        <v>3</v>
      </c>
    </row>
    <row r="1399" spans="2:25" ht="16.5" thickTop="1" thickBot="1" x14ac:dyDescent="0.3">
      <c r="B1399" s="129">
        <f>B1397+1</f>
        <v>11</v>
      </c>
      <c r="C1399" s="130">
        <v>71</v>
      </c>
      <c r="D1399" s="196" t="str">
        <f t="shared" si="861"/>
        <v>V</v>
      </c>
      <c r="E1399" s="152">
        <v>10</v>
      </c>
      <c r="F1399" s="153">
        <v>43675</v>
      </c>
      <c r="G1399" s="153">
        <v>43684</v>
      </c>
      <c r="H1399" s="154" t="s">
        <v>327</v>
      </c>
      <c r="I1399" s="154">
        <v>6</v>
      </c>
      <c r="J1399" s="152" t="s">
        <v>166</v>
      </c>
      <c r="K1399" s="155" t="s">
        <v>16</v>
      </c>
      <c r="L1399" s="154">
        <v>1</v>
      </c>
      <c r="M1399" s="154">
        <v>7</v>
      </c>
      <c r="N1399" s="156">
        <v>120</v>
      </c>
      <c r="O1399" s="157">
        <v>120</v>
      </c>
      <c r="P1399" s="158"/>
      <c r="Q1399" s="159">
        <v>120</v>
      </c>
      <c r="R1399" s="160" t="s">
        <v>4</v>
      </c>
      <c r="S1399" s="161">
        <v>43620</v>
      </c>
      <c r="T1399" s="203">
        <f t="shared" si="835"/>
        <v>43647</v>
      </c>
      <c r="U1399" s="204">
        <f t="shared" si="836"/>
        <v>43677</v>
      </c>
      <c r="V1399" s="207">
        <f>IF(G1399-F1399+1-IF(G1399-U1399&gt;0,G1399-U1399,0)-IF(T1399-F1399&gt;0,T1399-F1399,0)&gt;0,G1399-F1399+1-IF(G1399-U1399&gt;0,G1399-U1399,0)-IF(T1399-F1399&gt;0,T1399-F1399,0),0)</f>
        <v>3</v>
      </c>
      <c r="W1399" s="206" t="str">
        <f t="shared" ref="W1399:W1404" si="862">IF(V1399&gt;0,H1399,"")</f>
        <v>Ралица Михайлова</v>
      </c>
      <c r="X1399" s="206">
        <f t="shared" ref="X1399:X1404" si="863">IF(AND($V1399&gt;0,$I1399=1),P1399/$E1399*$V1399,0)</f>
        <v>0</v>
      </c>
      <c r="Y1399" s="209">
        <f t="shared" ref="Y1399:Y1404" si="864">IF(AND($V1399&gt;0,$I1399&lt;&gt;1),Q1399/$E1399*$V1399,0)</f>
        <v>36</v>
      </c>
    </row>
    <row r="1400" spans="2:25" ht="15.75" hidden="1" thickBot="1" x14ac:dyDescent="0.3">
      <c r="B1400" s="60">
        <f>B1399</f>
        <v>11</v>
      </c>
      <c r="C1400" s="102">
        <v>72</v>
      </c>
      <c r="D1400" s="192" t="str">
        <f t="shared" si="861"/>
        <v>V</v>
      </c>
      <c r="E1400" s="162"/>
      <c r="F1400" s="163"/>
      <c r="G1400" s="163"/>
      <c r="H1400" s="164"/>
      <c r="I1400" s="164"/>
      <c r="J1400" s="162"/>
      <c r="K1400" s="165"/>
      <c r="L1400" s="164"/>
      <c r="M1400" s="164"/>
      <c r="N1400" s="166"/>
      <c r="O1400" s="167"/>
      <c r="P1400" s="168"/>
      <c r="Q1400" s="169"/>
      <c r="R1400" s="170"/>
      <c r="S1400" s="171"/>
      <c r="T1400" s="203">
        <f t="shared" si="835"/>
        <v>43647</v>
      </c>
      <c r="U1400" s="204">
        <f t="shared" si="836"/>
        <v>43677</v>
      </c>
      <c r="V1400" s="207">
        <f t="shared" ref="V1400:V1405" si="865">IF(G1400-F1400+1-IF(G1400-U1400&gt;0,G1400-U1400,0)-IF(T1400-F1400&gt;0,T1400-F1400,0)&gt;0,G1400-F1400+1-IF(G1400-U1400&gt;0,G1400-U1400,0)-IF(T1400-F1400&gt;0,T1400-F1400,0),0)</f>
        <v>0</v>
      </c>
      <c r="W1400" s="206" t="str">
        <f t="shared" si="862"/>
        <v/>
      </c>
      <c r="X1400" s="206">
        <f t="shared" si="863"/>
        <v>0</v>
      </c>
      <c r="Y1400" s="209">
        <f t="shared" si="864"/>
        <v>0</v>
      </c>
    </row>
    <row r="1401" spans="2:25" ht="15.75" hidden="1" thickBot="1" x14ac:dyDescent="0.3">
      <c r="B1401" s="60">
        <f>B1399</f>
        <v>11</v>
      </c>
      <c r="C1401" s="102">
        <v>73</v>
      </c>
      <c r="D1401" s="192" t="str">
        <f t="shared" si="861"/>
        <v>V</v>
      </c>
      <c r="E1401" s="162"/>
      <c r="F1401" s="163"/>
      <c r="G1401" s="163"/>
      <c r="H1401" s="164"/>
      <c r="I1401" s="164"/>
      <c r="J1401" s="162"/>
      <c r="K1401" s="165"/>
      <c r="L1401" s="164"/>
      <c r="M1401" s="164"/>
      <c r="N1401" s="166"/>
      <c r="O1401" s="167"/>
      <c r="P1401" s="168"/>
      <c r="Q1401" s="169"/>
      <c r="R1401" s="170"/>
      <c r="S1401" s="171"/>
      <c r="T1401" s="203">
        <f t="shared" si="835"/>
        <v>43647</v>
      </c>
      <c r="U1401" s="204">
        <f t="shared" si="836"/>
        <v>43677</v>
      </c>
      <c r="V1401" s="207">
        <f t="shared" si="865"/>
        <v>0</v>
      </c>
      <c r="W1401" s="206" t="str">
        <f t="shared" si="862"/>
        <v/>
      </c>
      <c r="X1401" s="206">
        <f t="shared" si="863"/>
        <v>0</v>
      </c>
      <c r="Y1401" s="209">
        <f t="shared" si="864"/>
        <v>0</v>
      </c>
    </row>
    <row r="1402" spans="2:25" ht="15.75" hidden="1" thickBot="1" x14ac:dyDescent="0.3">
      <c r="B1402" s="60">
        <f>B1399</f>
        <v>11</v>
      </c>
      <c r="C1402" s="102">
        <v>74</v>
      </c>
      <c r="D1402" s="192" t="str">
        <f t="shared" si="861"/>
        <v>V</v>
      </c>
      <c r="E1402" s="162"/>
      <c r="F1402" s="163"/>
      <c r="G1402" s="163"/>
      <c r="H1402" s="164"/>
      <c r="I1402" s="164"/>
      <c r="J1402" s="162"/>
      <c r="K1402" s="165"/>
      <c r="L1402" s="164"/>
      <c r="M1402" s="164"/>
      <c r="N1402" s="166"/>
      <c r="O1402" s="167"/>
      <c r="P1402" s="168"/>
      <c r="Q1402" s="169"/>
      <c r="R1402" s="170"/>
      <c r="S1402" s="171"/>
      <c r="T1402" s="203">
        <f t="shared" si="835"/>
        <v>43647</v>
      </c>
      <c r="U1402" s="204">
        <f t="shared" si="836"/>
        <v>43677</v>
      </c>
      <c r="V1402" s="207">
        <f t="shared" si="865"/>
        <v>0</v>
      </c>
      <c r="W1402" s="206" t="str">
        <f t="shared" si="862"/>
        <v/>
      </c>
      <c r="X1402" s="206">
        <f t="shared" si="863"/>
        <v>0</v>
      </c>
      <c r="Y1402" s="209">
        <f t="shared" si="864"/>
        <v>0</v>
      </c>
    </row>
    <row r="1403" spans="2:25" ht="15.75" hidden="1" thickBot="1" x14ac:dyDescent="0.3">
      <c r="B1403" s="60">
        <f>B1399</f>
        <v>11</v>
      </c>
      <c r="C1403" s="102">
        <v>75</v>
      </c>
      <c r="D1403" s="192" t="str">
        <f t="shared" si="861"/>
        <v>V</v>
      </c>
      <c r="E1403" s="162"/>
      <c r="F1403" s="163"/>
      <c r="G1403" s="163"/>
      <c r="H1403" s="164"/>
      <c r="I1403" s="164"/>
      <c r="J1403" s="162"/>
      <c r="K1403" s="165"/>
      <c r="L1403" s="164"/>
      <c r="M1403" s="164"/>
      <c r="N1403" s="166"/>
      <c r="O1403" s="167"/>
      <c r="P1403" s="168"/>
      <c r="Q1403" s="169"/>
      <c r="R1403" s="170"/>
      <c r="S1403" s="171"/>
      <c r="T1403" s="203">
        <f t="shared" si="835"/>
        <v>43647</v>
      </c>
      <c r="U1403" s="204">
        <f t="shared" si="836"/>
        <v>43677</v>
      </c>
      <c r="V1403" s="207">
        <f t="shared" si="865"/>
        <v>0</v>
      </c>
      <c r="W1403" s="206" t="str">
        <f t="shared" si="862"/>
        <v/>
      </c>
      <c r="X1403" s="206">
        <f t="shared" si="863"/>
        <v>0</v>
      </c>
      <c r="Y1403" s="209">
        <f t="shared" si="864"/>
        <v>0</v>
      </c>
    </row>
    <row r="1404" spans="2:25" ht="15.75" hidden="1" thickBot="1" x14ac:dyDescent="0.3">
      <c r="B1404" s="60">
        <f>B1399</f>
        <v>11</v>
      </c>
      <c r="C1404" s="102">
        <v>76</v>
      </c>
      <c r="D1404" s="192" t="str">
        <f t="shared" si="861"/>
        <v>V</v>
      </c>
      <c r="E1404" s="172"/>
      <c r="F1404" s="173"/>
      <c r="G1404" s="173"/>
      <c r="H1404" s="174"/>
      <c r="I1404" s="174"/>
      <c r="J1404" s="172"/>
      <c r="K1404" s="175"/>
      <c r="L1404" s="174"/>
      <c r="M1404" s="174"/>
      <c r="N1404" s="176"/>
      <c r="O1404" s="177"/>
      <c r="P1404" s="178"/>
      <c r="Q1404" s="179"/>
      <c r="R1404" s="180"/>
      <c r="S1404" s="181"/>
      <c r="T1404" s="203">
        <f t="shared" si="835"/>
        <v>43647</v>
      </c>
      <c r="U1404" s="204">
        <f t="shared" si="836"/>
        <v>43677</v>
      </c>
      <c r="V1404" s="207">
        <f t="shared" si="865"/>
        <v>0</v>
      </c>
      <c r="W1404" s="206" t="str">
        <f t="shared" si="862"/>
        <v/>
      </c>
      <c r="X1404" s="206">
        <f t="shared" si="863"/>
        <v>0</v>
      </c>
      <c r="Y1404" s="209">
        <f t="shared" si="864"/>
        <v>0</v>
      </c>
    </row>
    <row r="1405" spans="2:25" ht="15.75" hidden="1" thickBot="1" x14ac:dyDescent="0.3">
      <c r="B1405" s="141">
        <f>B1399</f>
        <v>11</v>
      </c>
      <c r="C1405" s="142">
        <v>77</v>
      </c>
      <c r="D1405" s="194" t="str">
        <f t="shared" si="861"/>
        <v>V</v>
      </c>
      <c r="E1405" s="189"/>
      <c r="F1405" s="190"/>
      <c r="G1405" s="190"/>
      <c r="H1405" s="182"/>
      <c r="I1405" s="182"/>
      <c r="J1405" s="436" t="s">
        <v>181</v>
      </c>
      <c r="K1405" s="437"/>
      <c r="L1405" s="438"/>
      <c r="M1405" s="182"/>
      <c r="N1405" s="183"/>
      <c r="O1405" s="184"/>
      <c r="P1405" s="185"/>
      <c r="Q1405" s="186"/>
      <c r="R1405" s="187"/>
      <c r="S1405" s="188"/>
      <c r="T1405" s="213">
        <f t="shared" si="835"/>
        <v>43647</v>
      </c>
      <c r="U1405" s="214">
        <f t="shared" si="836"/>
        <v>43677</v>
      </c>
      <c r="V1405" s="210">
        <f t="shared" si="865"/>
        <v>0</v>
      </c>
      <c r="W1405" s="211"/>
      <c r="X1405" s="211">
        <f>IF(AND($V1405&gt;0,$I1405=1),IF($E1405=10,P1405/10,P1405/$V1405),0)</f>
        <v>0</v>
      </c>
      <c r="Y1405" s="212">
        <f>IF(AND($V1399&gt;0,$I1405&lt;&gt;1),Q1405/E1399*V1399,0)</f>
        <v>0</v>
      </c>
    </row>
    <row r="1406" spans="2:25" ht="30.75" thickTop="1" x14ac:dyDescent="0.25">
      <c r="B1406" s="129">
        <f>B1404+1</f>
        <v>12</v>
      </c>
      <c r="C1406" s="130">
        <v>78</v>
      </c>
      <c r="D1406" s="196" t="str">
        <f t="shared" si="861"/>
        <v>V</v>
      </c>
      <c r="E1406" s="131">
        <v>10</v>
      </c>
      <c r="F1406" s="132">
        <v>43675</v>
      </c>
      <c r="G1406" s="132">
        <v>43684</v>
      </c>
      <c r="H1406" s="133" t="s">
        <v>238</v>
      </c>
      <c r="I1406" s="133">
        <v>1</v>
      </c>
      <c r="J1406" s="131" t="s">
        <v>168</v>
      </c>
      <c r="K1406" s="134" t="s">
        <v>16</v>
      </c>
      <c r="L1406" s="133">
        <v>1</v>
      </c>
      <c r="M1406" s="133">
        <v>7</v>
      </c>
      <c r="N1406" s="135">
        <v>44</v>
      </c>
      <c r="O1406" s="136">
        <v>44</v>
      </c>
      <c r="P1406" s="137">
        <v>44</v>
      </c>
      <c r="Q1406" s="138"/>
      <c r="R1406" s="139" t="s">
        <v>4</v>
      </c>
      <c r="S1406" s="140">
        <v>43620</v>
      </c>
      <c r="T1406" s="203">
        <f t="shared" si="835"/>
        <v>43647</v>
      </c>
      <c r="U1406" s="204">
        <f t="shared" si="836"/>
        <v>43677</v>
      </c>
      <c r="V1406" s="207">
        <f>IF(G1406-F1406+1-IF(G1406-U1406&gt;0,G1406-U1406,0)-IF(T1406-F1406&gt;0,T1406-F1406,0)&gt;0,G1406-F1406+1-IF(G1406-U1406&gt;0,G1406-U1406,0)-IF(T1406-F1406&gt;0,T1406-F1406,0),0)</f>
        <v>3</v>
      </c>
      <c r="W1406" s="206" t="str">
        <f t="shared" ref="W1406:W1411" si="866">IF(V1406&gt;0,H1406,"")</f>
        <v>Илияна Раева</v>
      </c>
      <c r="X1406" s="206">
        <f t="shared" ref="X1406:X1411" si="867">IF(AND($V1406&gt;0,$I1406=1),P1406/$E1406*$V1406,0)</f>
        <v>13.200000000000001</v>
      </c>
      <c r="Y1406" s="209">
        <f t="shared" ref="Y1406:Y1411" si="868">IF(AND($V1406&gt;0,$I1406&lt;&gt;1),Q1406/$E1406*$V1406,0)</f>
        <v>0</v>
      </c>
    </row>
    <row r="1407" spans="2:25" hidden="1" x14ac:dyDescent="0.25">
      <c r="B1407" s="60">
        <f>B1406</f>
        <v>12</v>
      </c>
      <c r="C1407" s="102">
        <v>79</v>
      </c>
      <c r="D1407" s="192" t="str">
        <f t="shared" si="861"/>
        <v>V</v>
      </c>
      <c r="E1407" s="62"/>
      <c r="F1407" s="105"/>
      <c r="G1407" s="105"/>
      <c r="H1407" s="61"/>
      <c r="I1407" s="61"/>
      <c r="J1407" s="62"/>
      <c r="K1407" s="63"/>
      <c r="L1407" s="61"/>
      <c r="M1407" s="61"/>
      <c r="N1407" s="111"/>
      <c r="O1407" s="112"/>
      <c r="P1407" s="113"/>
      <c r="Q1407" s="114"/>
      <c r="R1407" s="64"/>
      <c r="S1407" s="108"/>
      <c r="T1407" s="203">
        <f t="shared" si="835"/>
        <v>43647</v>
      </c>
      <c r="U1407" s="204">
        <f t="shared" si="836"/>
        <v>43677</v>
      </c>
      <c r="V1407" s="207">
        <f t="shared" ref="V1407:V1412" si="869">IF(G1407-F1407+1-IF(G1407-U1407&gt;0,G1407-U1407,0)-IF(T1407-F1407&gt;0,T1407-F1407,0)&gt;0,G1407-F1407+1-IF(G1407-U1407&gt;0,G1407-U1407,0)-IF(T1407-F1407&gt;0,T1407-F1407,0),0)</f>
        <v>0</v>
      </c>
      <c r="W1407" s="206" t="str">
        <f t="shared" si="866"/>
        <v/>
      </c>
      <c r="X1407" s="206">
        <f t="shared" si="867"/>
        <v>0</v>
      </c>
      <c r="Y1407" s="209">
        <f t="shared" si="868"/>
        <v>0</v>
      </c>
    </row>
    <row r="1408" spans="2:25" hidden="1" x14ac:dyDescent="0.25">
      <c r="B1408" s="60">
        <f>B1406</f>
        <v>12</v>
      </c>
      <c r="C1408" s="102">
        <v>80</v>
      </c>
      <c r="D1408" s="192" t="str">
        <f t="shared" si="861"/>
        <v>V</v>
      </c>
      <c r="E1408" s="62"/>
      <c r="F1408" s="105"/>
      <c r="G1408" s="105"/>
      <c r="H1408" s="61"/>
      <c r="I1408" s="61"/>
      <c r="J1408" s="62"/>
      <c r="K1408" s="63"/>
      <c r="L1408" s="61"/>
      <c r="M1408" s="61"/>
      <c r="N1408" s="111"/>
      <c r="O1408" s="112"/>
      <c r="P1408" s="113"/>
      <c r="Q1408" s="114"/>
      <c r="R1408" s="64"/>
      <c r="S1408" s="108"/>
      <c r="T1408" s="203">
        <f t="shared" si="835"/>
        <v>43647</v>
      </c>
      <c r="U1408" s="204">
        <f t="shared" si="836"/>
        <v>43677</v>
      </c>
      <c r="V1408" s="207">
        <f t="shared" si="869"/>
        <v>0</v>
      </c>
      <c r="W1408" s="206" t="str">
        <f t="shared" si="866"/>
        <v/>
      </c>
      <c r="X1408" s="206">
        <f t="shared" si="867"/>
        <v>0</v>
      </c>
      <c r="Y1408" s="209">
        <f t="shared" si="868"/>
        <v>0</v>
      </c>
    </row>
    <row r="1409" spans="2:25" hidden="1" x14ac:dyDescent="0.25">
      <c r="B1409" s="60">
        <f>B1406</f>
        <v>12</v>
      </c>
      <c r="C1409" s="102">
        <v>81</v>
      </c>
      <c r="D1409" s="192" t="str">
        <f t="shared" si="861"/>
        <v>V</v>
      </c>
      <c r="E1409" s="62"/>
      <c r="F1409" s="105"/>
      <c r="G1409" s="105"/>
      <c r="H1409" s="61"/>
      <c r="I1409" s="61"/>
      <c r="J1409" s="62"/>
      <c r="K1409" s="63"/>
      <c r="L1409" s="61"/>
      <c r="M1409" s="61"/>
      <c r="N1409" s="111"/>
      <c r="O1409" s="112"/>
      <c r="P1409" s="113"/>
      <c r="Q1409" s="114"/>
      <c r="R1409" s="64"/>
      <c r="S1409" s="108"/>
      <c r="T1409" s="203">
        <f t="shared" si="835"/>
        <v>43647</v>
      </c>
      <c r="U1409" s="204">
        <f t="shared" si="836"/>
        <v>43677</v>
      </c>
      <c r="V1409" s="207">
        <f t="shared" si="869"/>
        <v>0</v>
      </c>
      <c r="W1409" s="206" t="str">
        <f t="shared" si="866"/>
        <v/>
      </c>
      <c r="X1409" s="206">
        <f t="shared" si="867"/>
        <v>0</v>
      </c>
      <c r="Y1409" s="209">
        <f t="shared" si="868"/>
        <v>0</v>
      </c>
    </row>
    <row r="1410" spans="2:25" hidden="1" x14ac:dyDescent="0.25">
      <c r="B1410" s="60">
        <f>B1406</f>
        <v>12</v>
      </c>
      <c r="C1410" s="102">
        <v>82</v>
      </c>
      <c r="D1410" s="192" t="str">
        <f t="shared" si="861"/>
        <v>V</v>
      </c>
      <c r="E1410" s="62"/>
      <c r="F1410" s="105"/>
      <c r="G1410" s="105"/>
      <c r="H1410" s="61"/>
      <c r="I1410" s="61"/>
      <c r="J1410" s="62"/>
      <c r="K1410" s="63"/>
      <c r="L1410" s="61"/>
      <c r="M1410" s="61"/>
      <c r="N1410" s="111"/>
      <c r="O1410" s="112"/>
      <c r="P1410" s="113"/>
      <c r="Q1410" s="114"/>
      <c r="R1410" s="64"/>
      <c r="S1410" s="108"/>
      <c r="T1410" s="203">
        <f t="shared" si="835"/>
        <v>43647</v>
      </c>
      <c r="U1410" s="204">
        <f t="shared" si="836"/>
        <v>43677</v>
      </c>
      <c r="V1410" s="207">
        <f t="shared" si="869"/>
        <v>0</v>
      </c>
      <c r="W1410" s="206" t="str">
        <f t="shared" si="866"/>
        <v/>
      </c>
      <c r="X1410" s="206">
        <f t="shared" si="867"/>
        <v>0</v>
      </c>
      <c r="Y1410" s="209">
        <f t="shared" si="868"/>
        <v>0</v>
      </c>
    </row>
    <row r="1411" spans="2:25" hidden="1" x14ac:dyDescent="0.25">
      <c r="B1411" s="60">
        <f>B1406</f>
        <v>12</v>
      </c>
      <c r="C1411" s="102">
        <v>83</v>
      </c>
      <c r="D1411" s="192" t="str">
        <f t="shared" si="861"/>
        <v>V</v>
      </c>
      <c r="E1411" s="62"/>
      <c r="F1411" s="105"/>
      <c r="G1411" s="105"/>
      <c r="H1411" s="61"/>
      <c r="I1411" s="61"/>
      <c r="J1411" s="62"/>
      <c r="K1411" s="63"/>
      <c r="L1411" s="61"/>
      <c r="M1411" s="61"/>
      <c r="N1411" s="111"/>
      <c r="O1411" s="112"/>
      <c r="P1411" s="113"/>
      <c r="Q1411" s="114"/>
      <c r="R1411" s="64"/>
      <c r="S1411" s="108"/>
      <c r="T1411" s="203">
        <f t="shared" si="835"/>
        <v>43647</v>
      </c>
      <c r="U1411" s="204">
        <f t="shared" si="836"/>
        <v>43677</v>
      </c>
      <c r="V1411" s="207">
        <f t="shared" si="869"/>
        <v>0</v>
      </c>
      <c r="W1411" s="206" t="str">
        <f t="shared" si="866"/>
        <v/>
      </c>
      <c r="X1411" s="206">
        <f t="shared" si="867"/>
        <v>0</v>
      </c>
      <c r="Y1411" s="209">
        <f t="shared" si="868"/>
        <v>0</v>
      </c>
    </row>
    <row r="1412" spans="2:25" ht="15.75" thickBot="1" x14ac:dyDescent="0.3">
      <c r="B1412" s="141">
        <f>B1406</f>
        <v>12</v>
      </c>
      <c r="C1412" s="142">
        <v>84</v>
      </c>
      <c r="D1412" s="194" t="str">
        <f t="shared" si="861"/>
        <v>V</v>
      </c>
      <c r="E1412" s="143"/>
      <c r="F1412" s="144"/>
      <c r="G1412" s="144"/>
      <c r="H1412" s="145"/>
      <c r="I1412" s="145"/>
      <c r="J1412" s="436" t="s">
        <v>181</v>
      </c>
      <c r="K1412" s="437"/>
      <c r="L1412" s="438"/>
      <c r="M1412" s="145"/>
      <c r="N1412" s="146">
        <v>10</v>
      </c>
      <c r="O1412" s="147">
        <v>10</v>
      </c>
      <c r="P1412" s="148"/>
      <c r="Q1412" s="149">
        <v>10</v>
      </c>
      <c r="R1412" s="150" t="s">
        <v>4</v>
      </c>
      <c r="S1412" s="151">
        <v>43620</v>
      </c>
      <c r="T1412" s="213">
        <f t="shared" si="835"/>
        <v>43647</v>
      </c>
      <c r="U1412" s="214">
        <f t="shared" si="836"/>
        <v>43677</v>
      </c>
      <c r="V1412" s="210">
        <f t="shared" si="869"/>
        <v>0</v>
      </c>
      <c r="W1412" s="211"/>
      <c r="X1412" s="211">
        <f>IF(AND($V1412&gt;0,$I1412=1),IF($E1412=10,P1412/10,P1412/$V1412),0)</f>
        <v>0</v>
      </c>
      <c r="Y1412" s="212">
        <f>IF(AND($V1406&gt;0,$I1412&lt;&gt;1),Q1412/E1406*V1406,0)</f>
        <v>3</v>
      </c>
    </row>
    <row r="1413" spans="2:25" ht="16.5" hidden="1" thickTop="1" thickBot="1" x14ac:dyDescent="0.3">
      <c r="B1413" s="129">
        <f>B1411+1</f>
        <v>13</v>
      </c>
      <c r="C1413" s="130">
        <v>85</v>
      </c>
      <c r="D1413" s="196" t="str">
        <f t="shared" si="861"/>
        <v>V</v>
      </c>
      <c r="E1413" s="152"/>
      <c r="F1413" s="153"/>
      <c r="G1413" s="153"/>
      <c r="H1413" s="154"/>
      <c r="I1413" s="154"/>
      <c r="J1413" s="152"/>
      <c r="K1413" s="155"/>
      <c r="L1413" s="154"/>
      <c r="M1413" s="154"/>
      <c r="N1413" s="156"/>
      <c r="O1413" s="157"/>
      <c r="P1413" s="158"/>
      <c r="Q1413" s="159"/>
      <c r="R1413" s="160"/>
      <c r="S1413" s="161"/>
      <c r="T1413" s="203">
        <f t="shared" si="835"/>
        <v>43647</v>
      </c>
      <c r="U1413" s="204">
        <f t="shared" si="836"/>
        <v>43677</v>
      </c>
      <c r="V1413" s="207">
        <f>IF(G1413-F1413+1-IF(G1413-U1413&gt;0,G1413-U1413,0)-IF(T1413-F1413&gt;0,T1413-F1413,0)&gt;0,G1413-F1413+1-IF(G1413-U1413&gt;0,G1413-U1413,0)-IF(T1413-F1413&gt;0,T1413-F1413,0),0)</f>
        <v>0</v>
      </c>
      <c r="W1413" s="206" t="str">
        <f t="shared" ref="W1413:W1418" si="870">IF(V1413&gt;0,H1413,"")</f>
        <v/>
      </c>
      <c r="X1413" s="206">
        <f t="shared" ref="X1413:X1418" si="871">IF(AND($V1413&gt;0,$I1413=1),P1413/$E1413*$V1413,0)</f>
        <v>0</v>
      </c>
      <c r="Y1413" s="209">
        <f t="shared" ref="Y1413:Y1418" si="872">IF(AND($V1413&gt;0,$I1413&lt;&gt;1),Q1413/$E1413*$V1413,0)</f>
        <v>0</v>
      </c>
    </row>
    <row r="1414" spans="2:25" ht="16.5" hidden="1" thickTop="1" thickBot="1" x14ac:dyDescent="0.3">
      <c r="B1414" s="60">
        <f>B1413</f>
        <v>13</v>
      </c>
      <c r="C1414" s="102">
        <v>86</v>
      </c>
      <c r="D1414" s="192" t="str">
        <f t="shared" si="861"/>
        <v>V</v>
      </c>
      <c r="E1414" s="162"/>
      <c r="F1414" s="163"/>
      <c r="G1414" s="163"/>
      <c r="H1414" s="164"/>
      <c r="I1414" s="164"/>
      <c r="J1414" s="162"/>
      <c r="K1414" s="165"/>
      <c r="L1414" s="164"/>
      <c r="M1414" s="164"/>
      <c r="N1414" s="166"/>
      <c r="O1414" s="167"/>
      <c r="P1414" s="168"/>
      <c r="Q1414" s="169"/>
      <c r="R1414" s="170"/>
      <c r="S1414" s="171"/>
      <c r="T1414" s="203">
        <f t="shared" si="835"/>
        <v>43647</v>
      </c>
      <c r="U1414" s="204">
        <f t="shared" si="836"/>
        <v>43677</v>
      </c>
      <c r="V1414" s="207">
        <f t="shared" ref="V1414:V1419" si="873">IF(G1414-F1414+1-IF(G1414-U1414&gt;0,G1414-U1414,0)-IF(T1414-F1414&gt;0,T1414-F1414,0)&gt;0,G1414-F1414+1-IF(G1414-U1414&gt;0,G1414-U1414,0)-IF(T1414-F1414&gt;0,T1414-F1414,0),0)</f>
        <v>0</v>
      </c>
      <c r="W1414" s="206" t="str">
        <f t="shared" si="870"/>
        <v/>
      </c>
      <c r="X1414" s="206">
        <f t="shared" si="871"/>
        <v>0</v>
      </c>
      <c r="Y1414" s="209">
        <f t="shared" si="872"/>
        <v>0</v>
      </c>
    </row>
    <row r="1415" spans="2:25" ht="16.5" hidden="1" thickTop="1" thickBot="1" x14ac:dyDescent="0.3">
      <c r="B1415" s="60">
        <f>B1413</f>
        <v>13</v>
      </c>
      <c r="C1415" s="102">
        <v>87</v>
      </c>
      <c r="D1415" s="192" t="str">
        <f t="shared" si="861"/>
        <v>V</v>
      </c>
      <c r="E1415" s="162"/>
      <c r="F1415" s="163"/>
      <c r="G1415" s="163"/>
      <c r="H1415" s="164"/>
      <c r="I1415" s="164"/>
      <c r="J1415" s="162"/>
      <c r="K1415" s="165"/>
      <c r="L1415" s="164"/>
      <c r="M1415" s="164"/>
      <c r="N1415" s="166"/>
      <c r="O1415" s="167"/>
      <c r="P1415" s="168"/>
      <c r="Q1415" s="169"/>
      <c r="R1415" s="170"/>
      <c r="S1415" s="171"/>
      <c r="T1415" s="203">
        <f t="shared" si="835"/>
        <v>43647</v>
      </c>
      <c r="U1415" s="204">
        <f t="shared" si="836"/>
        <v>43677</v>
      </c>
      <c r="V1415" s="207">
        <f t="shared" si="873"/>
        <v>0</v>
      </c>
      <c r="W1415" s="206" t="str">
        <f t="shared" si="870"/>
        <v/>
      </c>
      <c r="X1415" s="206">
        <f t="shared" si="871"/>
        <v>0</v>
      </c>
      <c r="Y1415" s="209">
        <f t="shared" si="872"/>
        <v>0</v>
      </c>
    </row>
    <row r="1416" spans="2:25" ht="16.5" hidden="1" thickTop="1" thickBot="1" x14ac:dyDescent="0.3">
      <c r="B1416" s="60">
        <f>B1413</f>
        <v>13</v>
      </c>
      <c r="C1416" s="102">
        <v>88</v>
      </c>
      <c r="D1416" s="192" t="str">
        <f t="shared" si="861"/>
        <v>V</v>
      </c>
      <c r="E1416" s="162"/>
      <c r="F1416" s="163"/>
      <c r="G1416" s="163"/>
      <c r="H1416" s="164"/>
      <c r="I1416" s="164"/>
      <c r="J1416" s="162"/>
      <c r="K1416" s="165"/>
      <c r="L1416" s="164"/>
      <c r="M1416" s="164"/>
      <c r="N1416" s="166"/>
      <c r="O1416" s="167"/>
      <c r="P1416" s="168"/>
      <c r="Q1416" s="169"/>
      <c r="R1416" s="170"/>
      <c r="S1416" s="171"/>
      <c r="T1416" s="203">
        <f t="shared" si="835"/>
        <v>43647</v>
      </c>
      <c r="U1416" s="204">
        <f t="shared" si="836"/>
        <v>43677</v>
      </c>
      <c r="V1416" s="207">
        <f t="shared" si="873"/>
        <v>0</v>
      </c>
      <c r="W1416" s="206" t="str">
        <f t="shared" si="870"/>
        <v/>
      </c>
      <c r="X1416" s="206">
        <f t="shared" si="871"/>
        <v>0</v>
      </c>
      <c r="Y1416" s="209">
        <f t="shared" si="872"/>
        <v>0</v>
      </c>
    </row>
    <row r="1417" spans="2:25" ht="16.5" hidden="1" thickTop="1" thickBot="1" x14ac:dyDescent="0.3">
      <c r="B1417" s="60">
        <f>B1413</f>
        <v>13</v>
      </c>
      <c r="C1417" s="102">
        <v>89</v>
      </c>
      <c r="D1417" s="192" t="str">
        <f t="shared" si="861"/>
        <v>V</v>
      </c>
      <c r="E1417" s="162"/>
      <c r="F1417" s="163"/>
      <c r="G1417" s="163"/>
      <c r="H1417" s="164"/>
      <c r="I1417" s="164"/>
      <c r="J1417" s="162"/>
      <c r="K1417" s="165"/>
      <c r="L1417" s="164"/>
      <c r="M1417" s="164"/>
      <c r="N1417" s="166"/>
      <c r="O1417" s="167"/>
      <c r="P1417" s="168"/>
      <c r="Q1417" s="169"/>
      <c r="R1417" s="170"/>
      <c r="S1417" s="171"/>
      <c r="T1417" s="203">
        <f t="shared" si="835"/>
        <v>43647</v>
      </c>
      <c r="U1417" s="204">
        <f t="shared" si="836"/>
        <v>43677</v>
      </c>
      <c r="V1417" s="207">
        <f t="shared" si="873"/>
        <v>0</v>
      </c>
      <c r="W1417" s="206" t="str">
        <f t="shared" si="870"/>
        <v/>
      </c>
      <c r="X1417" s="206">
        <f t="shared" si="871"/>
        <v>0</v>
      </c>
      <c r="Y1417" s="209">
        <f t="shared" si="872"/>
        <v>0</v>
      </c>
    </row>
    <row r="1418" spans="2:25" ht="16.5" hidden="1" thickTop="1" thickBot="1" x14ac:dyDescent="0.3">
      <c r="B1418" s="60">
        <f>B1413</f>
        <v>13</v>
      </c>
      <c r="C1418" s="102">
        <v>90</v>
      </c>
      <c r="D1418" s="192" t="str">
        <f t="shared" si="861"/>
        <v>V</v>
      </c>
      <c r="E1418" s="172"/>
      <c r="F1418" s="173"/>
      <c r="G1418" s="173"/>
      <c r="H1418" s="174"/>
      <c r="I1418" s="174"/>
      <c r="J1418" s="172"/>
      <c r="K1418" s="175"/>
      <c r="L1418" s="174"/>
      <c r="M1418" s="174"/>
      <c r="N1418" s="176"/>
      <c r="O1418" s="177"/>
      <c r="P1418" s="178"/>
      <c r="Q1418" s="179"/>
      <c r="R1418" s="180"/>
      <c r="S1418" s="181"/>
      <c r="T1418" s="203">
        <f t="shared" si="835"/>
        <v>43647</v>
      </c>
      <c r="U1418" s="204">
        <f t="shared" si="836"/>
        <v>43677</v>
      </c>
      <c r="V1418" s="207">
        <f t="shared" si="873"/>
        <v>0</v>
      </c>
      <c r="W1418" s="206" t="str">
        <f t="shared" si="870"/>
        <v/>
      </c>
      <c r="X1418" s="206">
        <f t="shared" si="871"/>
        <v>0</v>
      </c>
      <c r="Y1418" s="209">
        <f t="shared" si="872"/>
        <v>0</v>
      </c>
    </row>
    <row r="1419" spans="2:25" ht="16.5" hidden="1" thickTop="1" thickBot="1" x14ac:dyDescent="0.3">
      <c r="B1419" s="141">
        <f>B1413</f>
        <v>13</v>
      </c>
      <c r="C1419" s="142">
        <v>91</v>
      </c>
      <c r="D1419" s="194" t="str">
        <f t="shared" si="861"/>
        <v>V</v>
      </c>
      <c r="E1419" s="189"/>
      <c r="F1419" s="190"/>
      <c r="G1419" s="190"/>
      <c r="H1419" s="182"/>
      <c r="I1419" s="182"/>
      <c r="J1419" s="436" t="s">
        <v>181</v>
      </c>
      <c r="K1419" s="437"/>
      <c r="L1419" s="438"/>
      <c r="M1419" s="182"/>
      <c r="N1419" s="183"/>
      <c r="O1419" s="184"/>
      <c r="P1419" s="185"/>
      <c r="Q1419" s="186"/>
      <c r="R1419" s="187"/>
      <c r="S1419" s="188"/>
      <c r="T1419" s="213">
        <f t="shared" si="835"/>
        <v>43647</v>
      </c>
      <c r="U1419" s="214">
        <f t="shared" si="836"/>
        <v>43677</v>
      </c>
      <c r="V1419" s="210">
        <f t="shared" si="873"/>
        <v>0</v>
      </c>
      <c r="W1419" s="211"/>
      <c r="X1419" s="211">
        <f>IF(AND($V1419&gt;0,$I1419=1),IF($E1419=10,P1419/10,P1419/$V1419),0)</f>
        <v>0</v>
      </c>
      <c r="Y1419" s="212">
        <f>IF(AND($V1413&gt;0,$I1419&lt;&gt;1),Q1419/E1413*V1413,0)</f>
        <v>0</v>
      </c>
    </row>
    <row r="1420" spans="2:25" ht="16.5" hidden="1" thickTop="1" thickBot="1" x14ac:dyDescent="0.3">
      <c r="B1420" s="129">
        <f>B1418+1</f>
        <v>14</v>
      </c>
      <c r="C1420" s="130">
        <v>92</v>
      </c>
      <c r="D1420" s="196" t="str">
        <f t="shared" si="861"/>
        <v>V</v>
      </c>
      <c r="E1420" s="131"/>
      <c r="F1420" s="132"/>
      <c r="G1420" s="132"/>
      <c r="H1420" s="133"/>
      <c r="I1420" s="133"/>
      <c r="J1420" s="131"/>
      <c r="K1420" s="134"/>
      <c r="L1420" s="133"/>
      <c r="M1420" s="133"/>
      <c r="N1420" s="135"/>
      <c r="O1420" s="136"/>
      <c r="P1420" s="137"/>
      <c r="Q1420" s="138"/>
      <c r="R1420" s="139"/>
      <c r="S1420" s="140"/>
      <c r="T1420" s="203">
        <f t="shared" si="835"/>
        <v>43647</v>
      </c>
      <c r="U1420" s="204">
        <f t="shared" si="836"/>
        <v>43677</v>
      </c>
      <c r="V1420" s="207">
        <f>IF(G1420-F1420+1-IF(G1420-U1420&gt;0,G1420-U1420,0)-IF(T1420-F1420&gt;0,T1420-F1420,0)&gt;0,G1420-F1420+1-IF(G1420-U1420&gt;0,G1420-U1420,0)-IF(T1420-F1420&gt;0,T1420-F1420,0),0)</f>
        <v>0</v>
      </c>
      <c r="W1420" s="206" t="str">
        <f t="shared" ref="W1420:W1425" si="874">IF(V1420&gt;0,H1420,"")</f>
        <v/>
      </c>
      <c r="X1420" s="206">
        <f t="shared" ref="X1420:X1425" si="875">IF(AND($V1420&gt;0,$I1420=1),P1420/$E1420*$V1420,0)</f>
        <v>0</v>
      </c>
      <c r="Y1420" s="209">
        <f t="shared" ref="Y1420:Y1425" si="876">IF(AND($V1420&gt;0,$I1420&lt;&gt;1),Q1420/$E1420*$V1420,0)</f>
        <v>0</v>
      </c>
    </row>
    <row r="1421" spans="2:25" ht="16.5" hidden="1" thickTop="1" thickBot="1" x14ac:dyDescent="0.3">
      <c r="B1421" s="60">
        <f>B1420</f>
        <v>14</v>
      </c>
      <c r="C1421" s="102">
        <v>93</v>
      </c>
      <c r="D1421" s="192" t="str">
        <f t="shared" si="861"/>
        <v>V</v>
      </c>
      <c r="E1421" s="62"/>
      <c r="F1421" s="105"/>
      <c r="G1421" s="105"/>
      <c r="H1421" s="61"/>
      <c r="I1421" s="61"/>
      <c r="J1421" s="62"/>
      <c r="K1421" s="63"/>
      <c r="L1421" s="61"/>
      <c r="M1421" s="61"/>
      <c r="N1421" s="111"/>
      <c r="O1421" s="112"/>
      <c r="P1421" s="113"/>
      <c r="Q1421" s="114"/>
      <c r="R1421" s="64"/>
      <c r="S1421" s="108"/>
      <c r="T1421" s="203">
        <f t="shared" ref="T1421:T1484" si="877">$F$4</f>
        <v>43647</v>
      </c>
      <c r="U1421" s="204">
        <f t="shared" ref="U1421:U1484" si="878">$G$4</f>
        <v>43677</v>
      </c>
      <c r="V1421" s="207">
        <f t="shared" ref="V1421:V1426" si="879">IF(G1421-F1421+1-IF(G1421-U1421&gt;0,G1421-U1421,0)-IF(T1421-F1421&gt;0,T1421-F1421,0)&gt;0,G1421-F1421+1-IF(G1421-U1421&gt;0,G1421-U1421,0)-IF(T1421-F1421&gt;0,T1421-F1421,0),0)</f>
        <v>0</v>
      </c>
      <c r="W1421" s="206" t="str">
        <f t="shared" si="874"/>
        <v/>
      </c>
      <c r="X1421" s="206">
        <f t="shared" si="875"/>
        <v>0</v>
      </c>
      <c r="Y1421" s="209">
        <f t="shared" si="876"/>
        <v>0</v>
      </c>
    </row>
    <row r="1422" spans="2:25" ht="16.5" hidden="1" thickTop="1" thickBot="1" x14ac:dyDescent="0.3">
      <c r="B1422" s="60">
        <f>B1420</f>
        <v>14</v>
      </c>
      <c r="C1422" s="102">
        <v>94</v>
      </c>
      <c r="D1422" s="192" t="str">
        <f t="shared" si="861"/>
        <v>V</v>
      </c>
      <c r="E1422" s="62"/>
      <c r="F1422" s="105"/>
      <c r="G1422" s="105"/>
      <c r="H1422" s="61"/>
      <c r="I1422" s="61"/>
      <c r="J1422" s="62"/>
      <c r="K1422" s="63"/>
      <c r="L1422" s="61"/>
      <c r="M1422" s="61"/>
      <c r="N1422" s="111"/>
      <c r="O1422" s="112"/>
      <c r="P1422" s="113"/>
      <c r="Q1422" s="114"/>
      <c r="R1422" s="64"/>
      <c r="S1422" s="108"/>
      <c r="T1422" s="203">
        <f t="shared" si="877"/>
        <v>43647</v>
      </c>
      <c r="U1422" s="204">
        <f t="shared" si="878"/>
        <v>43677</v>
      </c>
      <c r="V1422" s="207">
        <f t="shared" si="879"/>
        <v>0</v>
      </c>
      <c r="W1422" s="206" t="str">
        <f t="shared" si="874"/>
        <v/>
      </c>
      <c r="X1422" s="206">
        <f t="shared" si="875"/>
        <v>0</v>
      </c>
      <c r="Y1422" s="209">
        <f t="shared" si="876"/>
        <v>0</v>
      </c>
    </row>
    <row r="1423" spans="2:25" ht="16.5" hidden="1" thickTop="1" thickBot="1" x14ac:dyDescent="0.3">
      <c r="B1423" s="60">
        <f>B1420</f>
        <v>14</v>
      </c>
      <c r="C1423" s="102">
        <v>95</v>
      </c>
      <c r="D1423" s="192" t="str">
        <f t="shared" si="861"/>
        <v>V</v>
      </c>
      <c r="E1423" s="62"/>
      <c r="F1423" s="105"/>
      <c r="G1423" s="105"/>
      <c r="H1423" s="61"/>
      <c r="I1423" s="61"/>
      <c r="J1423" s="62"/>
      <c r="K1423" s="63"/>
      <c r="L1423" s="61"/>
      <c r="M1423" s="61"/>
      <c r="N1423" s="111"/>
      <c r="O1423" s="112"/>
      <c r="P1423" s="113"/>
      <c r="Q1423" s="114"/>
      <c r="R1423" s="64"/>
      <c r="S1423" s="108"/>
      <c r="T1423" s="203">
        <f t="shared" si="877"/>
        <v>43647</v>
      </c>
      <c r="U1423" s="204">
        <f t="shared" si="878"/>
        <v>43677</v>
      </c>
      <c r="V1423" s="207">
        <f t="shared" si="879"/>
        <v>0</v>
      </c>
      <c r="W1423" s="206" t="str">
        <f t="shared" si="874"/>
        <v/>
      </c>
      <c r="X1423" s="206">
        <f t="shared" si="875"/>
        <v>0</v>
      </c>
      <c r="Y1423" s="209">
        <f t="shared" si="876"/>
        <v>0</v>
      </c>
    </row>
    <row r="1424" spans="2:25" ht="16.5" hidden="1" thickTop="1" thickBot="1" x14ac:dyDescent="0.3">
      <c r="B1424" s="60">
        <f>B1420</f>
        <v>14</v>
      </c>
      <c r="C1424" s="102">
        <v>96</v>
      </c>
      <c r="D1424" s="192" t="str">
        <f t="shared" si="861"/>
        <v>V</v>
      </c>
      <c r="E1424" s="62"/>
      <c r="F1424" s="105"/>
      <c r="G1424" s="105"/>
      <c r="H1424" s="61"/>
      <c r="I1424" s="61"/>
      <c r="J1424" s="62"/>
      <c r="K1424" s="63"/>
      <c r="L1424" s="61"/>
      <c r="M1424" s="61"/>
      <c r="N1424" s="111"/>
      <c r="O1424" s="112"/>
      <c r="P1424" s="113"/>
      <c r="Q1424" s="114"/>
      <c r="R1424" s="64"/>
      <c r="S1424" s="108"/>
      <c r="T1424" s="203">
        <f t="shared" si="877"/>
        <v>43647</v>
      </c>
      <c r="U1424" s="204">
        <f t="shared" si="878"/>
        <v>43677</v>
      </c>
      <c r="V1424" s="207">
        <f t="shared" si="879"/>
        <v>0</v>
      </c>
      <c r="W1424" s="206" t="str">
        <f t="shared" si="874"/>
        <v/>
      </c>
      <c r="X1424" s="206">
        <f t="shared" si="875"/>
        <v>0</v>
      </c>
      <c r="Y1424" s="209">
        <f t="shared" si="876"/>
        <v>0</v>
      </c>
    </row>
    <row r="1425" spans="2:25" ht="16.5" hidden="1" thickTop="1" thickBot="1" x14ac:dyDescent="0.3">
      <c r="B1425" s="60">
        <f>B1420</f>
        <v>14</v>
      </c>
      <c r="C1425" s="102">
        <v>97</v>
      </c>
      <c r="D1425" s="192" t="str">
        <f t="shared" si="861"/>
        <v>V</v>
      </c>
      <c r="E1425" s="62"/>
      <c r="F1425" s="105"/>
      <c r="G1425" s="105"/>
      <c r="H1425" s="61"/>
      <c r="I1425" s="61"/>
      <c r="J1425" s="62"/>
      <c r="K1425" s="63"/>
      <c r="L1425" s="61"/>
      <c r="M1425" s="61"/>
      <c r="N1425" s="111"/>
      <c r="O1425" s="112"/>
      <c r="P1425" s="113"/>
      <c r="Q1425" s="114"/>
      <c r="R1425" s="64"/>
      <c r="S1425" s="108"/>
      <c r="T1425" s="203">
        <f t="shared" si="877"/>
        <v>43647</v>
      </c>
      <c r="U1425" s="204">
        <f t="shared" si="878"/>
        <v>43677</v>
      </c>
      <c r="V1425" s="207">
        <f t="shared" si="879"/>
        <v>0</v>
      </c>
      <c r="W1425" s="206" t="str">
        <f t="shared" si="874"/>
        <v/>
      </c>
      <c r="X1425" s="206">
        <f t="shared" si="875"/>
        <v>0</v>
      </c>
      <c r="Y1425" s="209">
        <f t="shared" si="876"/>
        <v>0</v>
      </c>
    </row>
    <row r="1426" spans="2:25" ht="16.5" hidden="1" thickTop="1" thickBot="1" x14ac:dyDescent="0.3">
      <c r="B1426" s="141">
        <f>B1420</f>
        <v>14</v>
      </c>
      <c r="C1426" s="142">
        <v>98</v>
      </c>
      <c r="D1426" s="194" t="str">
        <f t="shared" si="861"/>
        <v>V</v>
      </c>
      <c r="E1426" s="143"/>
      <c r="F1426" s="144"/>
      <c r="G1426" s="144"/>
      <c r="H1426" s="145"/>
      <c r="I1426" s="145"/>
      <c r="J1426" s="436" t="s">
        <v>181</v>
      </c>
      <c r="K1426" s="437"/>
      <c r="L1426" s="438"/>
      <c r="M1426" s="145"/>
      <c r="N1426" s="146"/>
      <c r="O1426" s="147"/>
      <c r="P1426" s="148"/>
      <c r="Q1426" s="149"/>
      <c r="R1426" s="150"/>
      <c r="S1426" s="151"/>
      <c r="T1426" s="213">
        <f t="shared" si="877"/>
        <v>43647</v>
      </c>
      <c r="U1426" s="214">
        <f t="shared" si="878"/>
        <v>43677</v>
      </c>
      <c r="V1426" s="210">
        <f t="shared" si="879"/>
        <v>0</v>
      </c>
      <c r="W1426" s="211"/>
      <c r="X1426" s="211">
        <f>IF(AND($V1426&gt;0,$I1426=1),IF($E1426=10,P1426/10,P1426/$V1426),0)</f>
        <v>0</v>
      </c>
      <c r="Y1426" s="212">
        <f>IF(AND($V1420&gt;0,$I1426&lt;&gt;1),Q1426/E1420*V1420,0)</f>
        <v>0</v>
      </c>
    </row>
    <row r="1427" spans="2:25" ht="16.5" hidden="1" thickTop="1" thickBot="1" x14ac:dyDescent="0.3">
      <c r="B1427" s="129">
        <f>B1425+1</f>
        <v>15</v>
      </c>
      <c r="C1427" s="130">
        <v>99</v>
      </c>
      <c r="D1427" s="196" t="str">
        <f t="shared" si="861"/>
        <v>V</v>
      </c>
      <c r="E1427" s="152"/>
      <c r="F1427" s="153"/>
      <c r="G1427" s="153"/>
      <c r="H1427" s="154"/>
      <c r="I1427" s="154"/>
      <c r="J1427" s="152"/>
      <c r="K1427" s="155"/>
      <c r="L1427" s="154"/>
      <c r="M1427" s="154"/>
      <c r="N1427" s="156"/>
      <c r="O1427" s="157"/>
      <c r="P1427" s="158"/>
      <c r="Q1427" s="159"/>
      <c r="R1427" s="160"/>
      <c r="S1427" s="161"/>
      <c r="T1427" s="203">
        <f t="shared" si="877"/>
        <v>43647</v>
      </c>
      <c r="U1427" s="204">
        <f t="shared" si="878"/>
        <v>43677</v>
      </c>
      <c r="V1427" s="207">
        <f>IF(G1427-F1427+1-IF(G1427-U1427&gt;0,G1427-U1427,0)-IF(T1427-F1427&gt;0,T1427-F1427,0)&gt;0,G1427-F1427+1-IF(G1427-U1427&gt;0,G1427-U1427,0)-IF(T1427-F1427&gt;0,T1427-F1427,0),0)</f>
        <v>0</v>
      </c>
      <c r="W1427" s="206" t="str">
        <f t="shared" ref="W1427:W1432" si="880">IF(V1427&gt;0,H1427,"")</f>
        <v/>
      </c>
      <c r="X1427" s="206">
        <f t="shared" ref="X1427:X1432" si="881">IF(AND($V1427&gt;0,$I1427=1),P1427/$E1427*$V1427,0)</f>
        <v>0</v>
      </c>
      <c r="Y1427" s="209">
        <f t="shared" ref="Y1427:Y1432" si="882">IF(AND($V1427&gt;0,$I1427&lt;&gt;1),Q1427/$E1427*$V1427,0)</f>
        <v>0</v>
      </c>
    </row>
    <row r="1428" spans="2:25" ht="16.5" hidden="1" thickTop="1" thickBot="1" x14ac:dyDescent="0.3">
      <c r="B1428" s="60">
        <f>B1427</f>
        <v>15</v>
      </c>
      <c r="C1428" s="102">
        <v>100</v>
      </c>
      <c r="D1428" s="192" t="str">
        <f t="shared" si="861"/>
        <v>V</v>
      </c>
      <c r="E1428" s="162"/>
      <c r="F1428" s="163"/>
      <c r="G1428" s="163"/>
      <c r="H1428" s="164"/>
      <c r="I1428" s="164"/>
      <c r="J1428" s="162"/>
      <c r="K1428" s="165"/>
      <c r="L1428" s="164"/>
      <c r="M1428" s="164"/>
      <c r="N1428" s="166"/>
      <c r="O1428" s="167"/>
      <c r="P1428" s="168"/>
      <c r="Q1428" s="169"/>
      <c r="R1428" s="170"/>
      <c r="S1428" s="171"/>
      <c r="T1428" s="203">
        <f t="shared" si="877"/>
        <v>43647</v>
      </c>
      <c r="U1428" s="204">
        <f t="shared" si="878"/>
        <v>43677</v>
      </c>
      <c r="V1428" s="207">
        <f t="shared" ref="V1428:V1433" si="883">IF(G1428-F1428+1-IF(G1428-U1428&gt;0,G1428-U1428,0)-IF(T1428-F1428&gt;0,T1428-F1428,0)&gt;0,G1428-F1428+1-IF(G1428-U1428&gt;0,G1428-U1428,0)-IF(T1428-F1428&gt;0,T1428-F1428,0),0)</f>
        <v>0</v>
      </c>
      <c r="W1428" s="206" t="str">
        <f t="shared" si="880"/>
        <v/>
      </c>
      <c r="X1428" s="206">
        <f t="shared" si="881"/>
        <v>0</v>
      </c>
      <c r="Y1428" s="209">
        <f t="shared" si="882"/>
        <v>0</v>
      </c>
    </row>
    <row r="1429" spans="2:25" ht="16.5" hidden="1" thickTop="1" thickBot="1" x14ac:dyDescent="0.3">
      <c r="B1429" s="60">
        <f>B1427</f>
        <v>15</v>
      </c>
      <c r="C1429" s="102">
        <v>101</v>
      </c>
      <c r="D1429" s="192" t="str">
        <f t="shared" si="861"/>
        <v>V</v>
      </c>
      <c r="E1429" s="162"/>
      <c r="F1429" s="163"/>
      <c r="G1429" s="163"/>
      <c r="H1429" s="164"/>
      <c r="I1429" s="164"/>
      <c r="J1429" s="162"/>
      <c r="K1429" s="165"/>
      <c r="L1429" s="164"/>
      <c r="M1429" s="164"/>
      <c r="N1429" s="166"/>
      <c r="O1429" s="167"/>
      <c r="P1429" s="168"/>
      <c r="Q1429" s="169"/>
      <c r="R1429" s="170"/>
      <c r="S1429" s="171"/>
      <c r="T1429" s="203">
        <f t="shared" si="877"/>
        <v>43647</v>
      </c>
      <c r="U1429" s="204">
        <f t="shared" si="878"/>
        <v>43677</v>
      </c>
      <c r="V1429" s="207">
        <f t="shared" si="883"/>
        <v>0</v>
      </c>
      <c r="W1429" s="206" t="str">
        <f t="shared" si="880"/>
        <v/>
      </c>
      <c r="X1429" s="206">
        <f t="shared" si="881"/>
        <v>0</v>
      </c>
      <c r="Y1429" s="209">
        <f t="shared" si="882"/>
        <v>0</v>
      </c>
    </row>
    <row r="1430" spans="2:25" ht="16.5" hidden="1" thickTop="1" thickBot="1" x14ac:dyDescent="0.3">
      <c r="B1430" s="60">
        <f>B1427</f>
        <v>15</v>
      </c>
      <c r="C1430" s="102">
        <v>102</v>
      </c>
      <c r="D1430" s="192" t="str">
        <f t="shared" si="861"/>
        <v>V</v>
      </c>
      <c r="E1430" s="162"/>
      <c r="F1430" s="163"/>
      <c r="G1430" s="163"/>
      <c r="H1430" s="164"/>
      <c r="I1430" s="164"/>
      <c r="J1430" s="162"/>
      <c r="K1430" s="165"/>
      <c r="L1430" s="164"/>
      <c r="M1430" s="164"/>
      <c r="N1430" s="166"/>
      <c r="O1430" s="167"/>
      <c r="P1430" s="168"/>
      <c r="Q1430" s="169"/>
      <c r="R1430" s="170"/>
      <c r="S1430" s="171"/>
      <c r="T1430" s="203">
        <f t="shared" si="877"/>
        <v>43647</v>
      </c>
      <c r="U1430" s="204">
        <f t="shared" si="878"/>
        <v>43677</v>
      </c>
      <c r="V1430" s="207">
        <f t="shared" si="883"/>
        <v>0</v>
      </c>
      <c r="W1430" s="206" t="str">
        <f t="shared" si="880"/>
        <v/>
      </c>
      <c r="X1430" s="206">
        <f t="shared" si="881"/>
        <v>0</v>
      </c>
      <c r="Y1430" s="209">
        <f t="shared" si="882"/>
        <v>0</v>
      </c>
    </row>
    <row r="1431" spans="2:25" ht="16.5" hidden="1" thickTop="1" thickBot="1" x14ac:dyDescent="0.3">
      <c r="B1431" s="60">
        <f>B1427</f>
        <v>15</v>
      </c>
      <c r="C1431" s="102">
        <v>103</v>
      </c>
      <c r="D1431" s="192" t="str">
        <f t="shared" si="861"/>
        <v>V</v>
      </c>
      <c r="E1431" s="162"/>
      <c r="F1431" s="163"/>
      <c r="G1431" s="163"/>
      <c r="H1431" s="164"/>
      <c r="I1431" s="164"/>
      <c r="J1431" s="162"/>
      <c r="K1431" s="165"/>
      <c r="L1431" s="164"/>
      <c r="M1431" s="164"/>
      <c r="N1431" s="166"/>
      <c r="O1431" s="167"/>
      <c r="P1431" s="168"/>
      <c r="Q1431" s="169"/>
      <c r="R1431" s="170"/>
      <c r="S1431" s="171"/>
      <c r="T1431" s="203">
        <f t="shared" si="877"/>
        <v>43647</v>
      </c>
      <c r="U1431" s="204">
        <f t="shared" si="878"/>
        <v>43677</v>
      </c>
      <c r="V1431" s="207">
        <f t="shared" si="883"/>
        <v>0</v>
      </c>
      <c r="W1431" s="206" t="str">
        <f t="shared" si="880"/>
        <v/>
      </c>
      <c r="X1431" s="206">
        <f t="shared" si="881"/>
        <v>0</v>
      </c>
      <c r="Y1431" s="209">
        <f t="shared" si="882"/>
        <v>0</v>
      </c>
    </row>
    <row r="1432" spans="2:25" ht="16.5" hidden="1" thickTop="1" thickBot="1" x14ac:dyDescent="0.3">
      <c r="B1432" s="60">
        <f>B1427</f>
        <v>15</v>
      </c>
      <c r="C1432" s="102">
        <v>104</v>
      </c>
      <c r="D1432" s="192" t="str">
        <f t="shared" si="861"/>
        <v>V</v>
      </c>
      <c r="E1432" s="172"/>
      <c r="F1432" s="173"/>
      <c r="G1432" s="173"/>
      <c r="H1432" s="174"/>
      <c r="I1432" s="174"/>
      <c r="J1432" s="172"/>
      <c r="K1432" s="175"/>
      <c r="L1432" s="174"/>
      <c r="M1432" s="174"/>
      <c r="N1432" s="176"/>
      <c r="O1432" s="177"/>
      <c r="P1432" s="178"/>
      <c r="Q1432" s="179"/>
      <c r="R1432" s="180"/>
      <c r="S1432" s="181"/>
      <c r="T1432" s="203">
        <f t="shared" si="877"/>
        <v>43647</v>
      </c>
      <c r="U1432" s="204">
        <f t="shared" si="878"/>
        <v>43677</v>
      </c>
      <c r="V1432" s="207">
        <f t="shared" si="883"/>
        <v>0</v>
      </c>
      <c r="W1432" s="206" t="str">
        <f t="shared" si="880"/>
        <v/>
      </c>
      <c r="X1432" s="206">
        <f t="shared" si="881"/>
        <v>0</v>
      </c>
      <c r="Y1432" s="209">
        <f t="shared" si="882"/>
        <v>0</v>
      </c>
    </row>
    <row r="1433" spans="2:25" ht="16.5" hidden="1" thickTop="1" thickBot="1" x14ac:dyDescent="0.3">
      <c r="B1433" s="141">
        <f>B1427</f>
        <v>15</v>
      </c>
      <c r="C1433" s="142">
        <v>105</v>
      </c>
      <c r="D1433" s="194" t="str">
        <f t="shared" si="861"/>
        <v>V</v>
      </c>
      <c r="E1433" s="189"/>
      <c r="F1433" s="190"/>
      <c r="G1433" s="190"/>
      <c r="H1433" s="182"/>
      <c r="I1433" s="182"/>
      <c r="J1433" s="436" t="s">
        <v>181</v>
      </c>
      <c r="K1433" s="437"/>
      <c r="L1433" s="438"/>
      <c r="M1433" s="182"/>
      <c r="N1433" s="183"/>
      <c r="O1433" s="184"/>
      <c r="P1433" s="185"/>
      <c r="Q1433" s="186"/>
      <c r="R1433" s="187"/>
      <c r="S1433" s="188"/>
      <c r="T1433" s="213">
        <f t="shared" si="877"/>
        <v>43647</v>
      </c>
      <c r="U1433" s="214">
        <f t="shared" si="878"/>
        <v>43677</v>
      </c>
      <c r="V1433" s="210">
        <f t="shared" si="883"/>
        <v>0</v>
      </c>
      <c r="W1433" s="211"/>
      <c r="X1433" s="211">
        <f>IF(AND($V1433&gt;0,$I1433=1),IF($E1433=10,P1433/10,P1433/$V1433),0)</f>
        <v>0</v>
      </c>
      <c r="Y1433" s="212">
        <f>IF(AND($V1427&gt;0,$I1433&lt;&gt;1),Q1433/E1427*V1427,0)</f>
        <v>0</v>
      </c>
    </row>
    <row r="1434" spans="2:25" ht="16.5" hidden="1" thickTop="1" thickBot="1" x14ac:dyDescent="0.3">
      <c r="B1434" s="129">
        <f>B1432+1</f>
        <v>16</v>
      </c>
      <c r="C1434" s="130">
        <v>106</v>
      </c>
      <c r="D1434" s="196" t="str">
        <f t="shared" si="861"/>
        <v>V</v>
      </c>
      <c r="E1434" s="131"/>
      <c r="F1434" s="132"/>
      <c r="G1434" s="132"/>
      <c r="H1434" s="133"/>
      <c r="I1434" s="133"/>
      <c r="J1434" s="131"/>
      <c r="K1434" s="134"/>
      <c r="L1434" s="133"/>
      <c r="M1434" s="133"/>
      <c r="N1434" s="135"/>
      <c r="O1434" s="136"/>
      <c r="P1434" s="137"/>
      <c r="Q1434" s="138"/>
      <c r="R1434" s="139"/>
      <c r="S1434" s="140"/>
      <c r="T1434" s="203">
        <f t="shared" si="877"/>
        <v>43647</v>
      </c>
      <c r="U1434" s="204">
        <f t="shared" si="878"/>
        <v>43677</v>
      </c>
      <c r="V1434" s="207">
        <f>IF(G1434-F1434+1-IF(G1434-U1434&gt;0,G1434-U1434,0)-IF(T1434-F1434&gt;0,T1434-F1434,0)&gt;0,G1434-F1434+1-IF(G1434-U1434&gt;0,G1434-U1434,0)-IF(T1434-F1434&gt;0,T1434-F1434,0),0)</f>
        <v>0</v>
      </c>
      <c r="W1434" s="206" t="str">
        <f t="shared" ref="W1434:W1439" si="884">IF(V1434&gt;0,H1434,"")</f>
        <v/>
      </c>
      <c r="X1434" s="206">
        <f t="shared" ref="X1434:X1439" si="885">IF(AND($V1434&gt;0,$I1434=1),P1434/$E1434*$V1434,0)</f>
        <v>0</v>
      </c>
      <c r="Y1434" s="209">
        <f t="shared" ref="Y1434:Y1439" si="886">IF(AND($V1434&gt;0,$I1434&lt;&gt;1),Q1434/$E1434*$V1434,0)</f>
        <v>0</v>
      </c>
    </row>
    <row r="1435" spans="2:25" ht="16.5" hidden="1" thickTop="1" thickBot="1" x14ac:dyDescent="0.3">
      <c r="B1435" s="60">
        <f>B1434</f>
        <v>16</v>
      </c>
      <c r="C1435" s="102">
        <v>107</v>
      </c>
      <c r="D1435" s="192" t="str">
        <f t="shared" si="861"/>
        <v>V</v>
      </c>
      <c r="E1435" s="62"/>
      <c r="F1435" s="105"/>
      <c r="G1435" s="105"/>
      <c r="H1435" s="61"/>
      <c r="I1435" s="61"/>
      <c r="J1435" s="62"/>
      <c r="K1435" s="63"/>
      <c r="L1435" s="61"/>
      <c r="M1435" s="61"/>
      <c r="N1435" s="111"/>
      <c r="O1435" s="112"/>
      <c r="P1435" s="113"/>
      <c r="Q1435" s="114"/>
      <c r="R1435" s="64"/>
      <c r="S1435" s="108"/>
      <c r="T1435" s="203">
        <f t="shared" si="877"/>
        <v>43647</v>
      </c>
      <c r="U1435" s="204">
        <f t="shared" si="878"/>
        <v>43677</v>
      </c>
      <c r="V1435" s="207">
        <f t="shared" ref="V1435:V1440" si="887">IF(G1435-F1435+1-IF(G1435-U1435&gt;0,G1435-U1435,0)-IF(T1435-F1435&gt;0,T1435-F1435,0)&gt;0,G1435-F1435+1-IF(G1435-U1435&gt;0,G1435-U1435,0)-IF(T1435-F1435&gt;0,T1435-F1435,0),0)</f>
        <v>0</v>
      </c>
      <c r="W1435" s="206" t="str">
        <f t="shared" si="884"/>
        <v/>
      </c>
      <c r="X1435" s="206">
        <f t="shared" si="885"/>
        <v>0</v>
      </c>
      <c r="Y1435" s="209">
        <f t="shared" si="886"/>
        <v>0</v>
      </c>
    </row>
    <row r="1436" spans="2:25" ht="16.5" hidden="1" thickTop="1" thickBot="1" x14ac:dyDescent="0.3">
      <c r="B1436" s="60">
        <f>B1434</f>
        <v>16</v>
      </c>
      <c r="C1436" s="102">
        <v>108</v>
      </c>
      <c r="D1436" s="192" t="str">
        <f t="shared" si="861"/>
        <v>V</v>
      </c>
      <c r="E1436" s="62"/>
      <c r="F1436" s="105"/>
      <c r="G1436" s="105"/>
      <c r="H1436" s="61"/>
      <c r="I1436" s="61"/>
      <c r="J1436" s="62"/>
      <c r="K1436" s="63"/>
      <c r="L1436" s="61"/>
      <c r="M1436" s="61"/>
      <c r="N1436" s="111"/>
      <c r="O1436" s="112"/>
      <c r="P1436" s="113"/>
      <c r="Q1436" s="114"/>
      <c r="R1436" s="64"/>
      <c r="S1436" s="108"/>
      <c r="T1436" s="203">
        <f t="shared" si="877"/>
        <v>43647</v>
      </c>
      <c r="U1436" s="204">
        <f t="shared" si="878"/>
        <v>43677</v>
      </c>
      <c r="V1436" s="207">
        <f t="shared" si="887"/>
        <v>0</v>
      </c>
      <c r="W1436" s="206" t="str">
        <f t="shared" si="884"/>
        <v/>
      </c>
      <c r="X1436" s="206">
        <f t="shared" si="885"/>
        <v>0</v>
      </c>
      <c r="Y1436" s="209">
        <f t="shared" si="886"/>
        <v>0</v>
      </c>
    </row>
    <row r="1437" spans="2:25" ht="16.5" hidden="1" thickTop="1" thickBot="1" x14ac:dyDescent="0.3">
      <c r="B1437" s="60">
        <f>B1434</f>
        <v>16</v>
      </c>
      <c r="C1437" s="102">
        <v>109</v>
      </c>
      <c r="D1437" s="192" t="str">
        <f t="shared" si="861"/>
        <v>V</v>
      </c>
      <c r="E1437" s="62"/>
      <c r="F1437" s="105"/>
      <c r="G1437" s="105"/>
      <c r="H1437" s="61"/>
      <c r="I1437" s="61"/>
      <c r="J1437" s="62"/>
      <c r="K1437" s="63"/>
      <c r="L1437" s="61"/>
      <c r="M1437" s="61"/>
      <c r="N1437" s="111"/>
      <c r="O1437" s="112"/>
      <c r="P1437" s="113"/>
      <c r="Q1437" s="114"/>
      <c r="R1437" s="64"/>
      <c r="S1437" s="108"/>
      <c r="T1437" s="203">
        <f t="shared" si="877"/>
        <v>43647</v>
      </c>
      <c r="U1437" s="204">
        <f t="shared" si="878"/>
        <v>43677</v>
      </c>
      <c r="V1437" s="207">
        <f t="shared" si="887"/>
        <v>0</v>
      </c>
      <c r="W1437" s="206" t="str">
        <f t="shared" si="884"/>
        <v/>
      </c>
      <c r="X1437" s="206">
        <f t="shared" si="885"/>
        <v>0</v>
      </c>
      <c r="Y1437" s="209">
        <f t="shared" si="886"/>
        <v>0</v>
      </c>
    </row>
    <row r="1438" spans="2:25" ht="16.5" hidden="1" thickTop="1" thickBot="1" x14ac:dyDescent="0.3">
      <c r="B1438" s="60">
        <f>B1434</f>
        <v>16</v>
      </c>
      <c r="C1438" s="102">
        <v>110</v>
      </c>
      <c r="D1438" s="192" t="str">
        <f t="shared" si="861"/>
        <v>V</v>
      </c>
      <c r="E1438" s="62"/>
      <c r="F1438" s="105"/>
      <c r="G1438" s="105"/>
      <c r="H1438" s="61"/>
      <c r="I1438" s="61"/>
      <c r="J1438" s="62"/>
      <c r="K1438" s="63"/>
      <c r="L1438" s="61"/>
      <c r="M1438" s="61"/>
      <c r="N1438" s="111"/>
      <c r="O1438" s="112"/>
      <c r="P1438" s="113"/>
      <c r="Q1438" s="114"/>
      <c r="R1438" s="64"/>
      <c r="S1438" s="108"/>
      <c r="T1438" s="203">
        <f t="shared" si="877"/>
        <v>43647</v>
      </c>
      <c r="U1438" s="204">
        <f t="shared" si="878"/>
        <v>43677</v>
      </c>
      <c r="V1438" s="207">
        <f t="shared" si="887"/>
        <v>0</v>
      </c>
      <c r="W1438" s="206" t="str">
        <f t="shared" si="884"/>
        <v/>
      </c>
      <c r="X1438" s="206">
        <f t="shared" si="885"/>
        <v>0</v>
      </c>
      <c r="Y1438" s="209">
        <f t="shared" si="886"/>
        <v>0</v>
      </c>
    </row>
    <row r="1439" spans="2:25" ht="16.5" hidden="1" thickTop="1" thickBot="1" x14ac:dyDescent="0.3">
      <c r="B1439" s="60">
        <f>B1434</f>
        <v>16</v>
      </c>
      <c r="C1439" s="102">
        <v>111</v>
      </c>
      <c r="D1439" s="192" t="str">
        <f t="shared" si="861"/>
        <v>V</v>
      </c>
      <c r="E1439" s="62"/>
      <c r="F1439" s="105"/>
      <c r="G1439" s="105"/>
      <c r="H1439" s="61"/>
      <c r="I1439" s="61"/>
      <c r="J1439" s="62"/>
      <c r="K1439" s="63"/>
      <c r="L1439" s="61"/>
      <c r="M1439" s="61"/>
      <c r="N1439" s="111"/>
      <c r="O1439" s="112"/>
      <c r="P1439" s="113"/>
      <c r="Q1439" s="114"/>
      <c r="R1439" s="64"/>
      <c r="S1439" s="108"/>
      <c r="T1439" s="203">
        <f t="shared" si="877"/>
        <v>43647</v>
      </c>
      <c r="U1439" s="204">
        <f t="shared" si="878"/>
        <v>43677</v>
      </c>
      <c r="V1439" s="207">
        <f t="shared" si="887"/>
        <v>0</v>
      </c>
      <c r="W1439" s="206" t="str">
        <f t="shared" si="884"/>
        <v/>
      </c>
      <c r="X1439" s="206">
        <f t="shared" si="885"/>
        <v>0</v>
      </c>
      <c r="Y1439" s="209">
        <f t="shared" si="886"/>
        <v>0</v>
      </c>
    </row>
    <row r="1440" spans="2:25" ht="16.5" hidden="1" thickTop="1" thickBot="1" x14ac:dyDescent="0.3">
      <c r="B1440" s="141">
        <f>B1434</f>
        <v>16</v>
      </c>
      <c r="C1440" s="142">
        <v>112</v>
      </c>
      <c r="D1440" s="194" t="str">
        <f t="shared" si="861"/>
        <v>V</v>
      </c>
      <c r="E1440" s="143"/>
      <c r="F1440" s="144"/>
      <c r="G1440" s="144"/>
      <c r="H1440" s="145"/>
      <c r="I1440" s="145"/>
      <c r="J1440" s="436" t="s">
        <v>181</v>
      </c>
      <c r="K1440" s="437"/>
      <c r="L1440" s="438"/>
      <c r="M1440" s="145"/>
      <c r="N1440" s="146"/>
      <c r="O1440" s="147"/>
      <c r="P1440" s="148"/>
      <c r="Q1440" s="149"/>
      <c r="R1440" s="150"/>
      <c r="S1440" s="151"/>
      <c r="T1440" s="213">
        <f t="shared" si="877"/>
        <v>43647</v>
      </c>
      <c r="U1440" s="214">
        <f t="shared" si="878"/>
        <v>43677</v>
      </c>
      <c r="V1440" s="210">
        <f t="shared" si="887"/>
        <v>0</v>
      </c>
      <c r="W1440" s="211"/>
      <c r="X1440" s="211">
        <f>IF(AND($V1440&gt;0,$I1440=1),IF($E1440=10,P1440/10,P1440/$V1440),0)</f>
        <v>0</v>
      </c>
      <c r="Y1440" s="212">
        <f>IF(AND($V1434&gt;0,$I1440&lt;&gt;1),Q1440/E1434*V1434,0)</f>
        <v>0</v>
      </c>
    </row>
    <row r="1441" spans="2:25" ht="16.5" hidden="1" thickTop="1" thickBot="1" x14ac:dyDescent="0.3">
      <c r="B1441" s="129">
        <f>B1439+1</f>
        <v>17</v>
      </c>
      <c r="C1441" s="130">
        <v>113</v>
      </c>
      <c r="D1441" s="196" t="str">
        <f t="shared" si="861"/>
        <v>V</v>
      </c>
      <c r="E1441" s="152"/>
      <c r="F1441" s="153"/>
      <c r="G1441" s="153"/>
      <c r="H1441" s="154"/>
      <c r="I1441" s="154"/>
      <c r="J1441" s="152"/>
      <c r="K1441" s="155"/>
      <c r="L1441" s="154"/>
      <c r="M1441" s="154"/>
      <c r="N1441" s="156"/>
      <c r="O1441" s="157"/>
      <c r="P1441" s="158"/>
      <c r="Q1441" s="159"/>
      <c r="R1441" s="160"/>
      <c r="S1441" s="161"/>
      <c r="T1441" s="203">
        <f t="shared" si="877"/>
        <v>43647</v>
      </c>
      <c r="U1441" s="204">
        <f t="shared" si="878"/>
        <v>43677</v>
      </c>
      <c r="V1441" s="207">
        <f>IF(G1441-F1441+1-IF(G1441-U1441&gt;0,G1441-U1441,0)-IF(T1441-F1441&gt;0,T1441-F1441,0)&gt;0,G1441-F1441+1-IF(G1441-U1441&gt;0,G1441-U1441,0)-IF(T1441-F1441&gt;0,T1441-F1441,0),0)</f>
        <v>0</v>
      </c>
      <c r="W1441" s="206" t="str">
        <f t="shared" ref="W1441:W1446" si="888">IF(V1441&gt;0,H1441,"")</f>
        <v/>
      </c>
      <c r="X1441" s="206">
        <f t="shared" ref="X1441:X1446" si="889">IF(AND($V1441&gt;0,$I1441=1),P1441/$E1441*$V1441,0)</f>
        <v>0</v>
      </c>
      <c r="Y1441" s="209">
        <f t="shared" ref="Y1441:Y1446" si="890">IF(AND($V1441&gt;0,$I1441&lt;&gt;1),Q1441/$E1441*$V1441,0)</f>
        <v>0</v>
      </c>
    </row>
    <row r="1442" spans="2:25" ht="16.5" hidden="1" thickTop="1" thickBot="1" x14ac:dyDescent="0.3">
      <c r="B1442" s="60">
        <f>B1441</f>
        <v>17</v>
      </c>
      <c r="C1442" s="102">
        <v>114</v>
      </c>
      <c r="D1442" s="192" t="str">
        <f t="shared" si="861"/>
        <v>V</v>
      </c>
      <c r="E1442" s="162"/>
      <c r="F1442" s="163"/>
      <c r="G1442" s="163"/>
      <c r="H1442" s="164"/>
      <c r="I1442" s="164"/>
      <c r="J1442" s="162"/>
      <c r="K1442" s="165"/>
      <c r="L1442" s="164"/>
      <c r="M1442" s="164"/>
      <c r="N1442" s="166"/>
      <c r="O1442" s="167"/>
      <c r="P1442" s="168"/>
      <c r="Q1442" s="169"/>
      <c r="R1442" s="170"/>
      <c r="S1442" s="171"/>
      <c r="T1442" s="203">
        <f t="shared" si="877"/>
        <v>43647</v>
      </c>
      <c r="U1442" s="204">
        <f t="shared" si="878"/>
        <v>43677</v>
      </c>
      <c r="V1442" s="207">
        <f t="shared" ref="V1442:V1447" si="891">IF(G1442-F1442+1-IF(G1442-U1442&gt;0,G1442-U1442,0)-IF(T1442-F1442&gt;0,T1442-F1442,0)&gt;0,G1442-F1442+1-IF(G1442-U1442&gt;0,G1442-U1442,0)-IF(T1442-F1442&gt;0,T1442-F1442,0),0)</f>
        <v>0</v>
      </c>
      <c r="W1442" s="206" t="str">
        <f t="shared" si="888"/>
        <v/>
      </c>
      <c r="X1442" s="206">
        <f t="shared" si="889"/>
        <v>0</v>
      </c>
      <c r="Y1442" s="209">
        <f t="shared" si="890"/>
        <v>0</v>
      </c>
    </row>
    <row r="1443" spans="2:25" ht="16.5" hidden="1" thickTop="1" thickBot="1" x14ac:dyDescent="0.3">
      <c r="B1443" s="60">
        <f>B1441</f>
        <v>17</v>
      </c>
      <c r="C1443" s="102">
        <v>115</v>
      </c>
      <c r="D1443" s="192" t="str">
        <f t="shared" si="861"/>
        <v>V</v>
      </c>
      <c r="E1443" s="162"/>
      <c r="F1443" s="163"/>
      <c r="G1443" s="163"/>
      <c r="H1443" s="164"/>
      <c r="I1443" s="164"/>
      <c r="J1443" s="162"/>
      <c r="K1443" s="165"/>
      <c r="L1443" s="164"/>
      <c r="M1443" s="164"/>
      <c r="N1443" s="166"/>
      <c r="O1443" s="167"/>
      <c r="P1443" s="168"/>
      <c r="Q1443" s="169"/>
      <c r="R1443" s="170"/>
      <c r="S1443" s="171"/>
      <c r="T1443" s="203">
        <f t="shared" si="877"/>
        <v>43647</v>
      </c>
      <c r="U1443" s="204">
        <f t="shared" si="878"/>
        <v>43677</v>
      </c>
      <c r="V1443" s="207">
        <f t="shared" si="891"/>
        <v>0</v>
      </c>
      <c r="W1443" s="206" t="str">
        <f t="shared" si="888"/>
        <v/>
      </c>
      <c r="X1443" s="206">
        <f t="shared" si="889"/>
        <v>0</v>
      </c>
      <c r="Y1443" s="209">
        <f t="shared" si="890"/>
        <v>0</v>
      </c>
    </row>
    <row r="1444" spans="2:25" ht="16.5" hidden="1" thickTop="1" thickBot="1" x14ac:dyDescent="0.3">
      <c r="B1444" s="60">
        <f>B1441</f>
        <v>17</v>
      </c>
      <c r="C1444" s="102">
        <v>116</v>
      </c>
      <c r="D1444" s="192" t="str">
        <f t="shared" si="861"/>
        <v>V</v>
      </c>
      <c r="E1444" s="162"/>
      <c r="F1444" s="163"/>
      <c r="G1444" s="163"/>
      <c r="H1444" s="164"/>
      <c r="I1444" s="164"/>
      <c r="J1444" s="162"/>
      <c r="K1444" s="165"/>
      <c r="L1444" s="164"/>
      <c r="M1444" s="164"/>
      <c r="N1444" s="166"/>
      <c r="O1444" s="167"/>
      <c r="P1444" s="168"/>
      <c r="Q1444" s="169"/>
      <c r="R1444" s="170"/>
      <c r="S1444" s="171"/>
      <c r="T1444" s="203">
        <f t="shared" si="877"/>
        <v>43647</v>
      </c>
      <c r="U1444" s="204">
        <f t="shared" si="878"/>
        <v>43677</v>
      </c>
      <c r="V1444" s="207">
        <f t="shared" si="891"/>
        <v>0</v>
      </c>
      <c r="W1444" s="206" t="str">
        <f t="shared" si="888"/>
        <v/>
      </c>
      <c r="X1444" s="206">
        <f t="shared" si="889"/>
        <v>0</v>
      </c>
      <c r="Y1444" s="209">
        <f t="shared" si="890"/>
        <v>0</v>
      </c>
    </row>
    <row r="1445" spans="2:25" ht="16.5" hidden="1" thickTop="1" thickBot="1" x14ac:dyDescent="0.3">
      <c r="B1445" s="60">
        <f>B1441</f>
        <v>17</v>
      </c>
      <c r="C1445" s="102">
        <v>117</v>
      </c>
      <c r="D1445" s="192" t="str">
        <f t="shared" si="861"/>
        <v>V</v>
      </c>
      <c r="E1445" s="162"/>
      <c r="F1445" s="163"/>
      <c r="G1445" s="163"/>
      <c r="H1445" s="164"/>
      <c r="I1445" s="164"/>
      <c r="J1445" s="162"/>
      <c r="K1445" s="165"/>
      <c r="L1445" s="164"/>
      <c r="M1445" s="164"/>
      <c r="N1445" s="166"/>
      <c r="O1445" s="167"/>
      <c r="P1445" s="168"/>
      <c r="Q1445" s="169"/>
      <c r="R1445" s="170"/>
      <c r="S1445" s="171"/>
      <c r="T1445" s="203">
        <f t="shared" si="877"/>
        <v>43647</v>
      </c>
      <c r="U1445" s="204">
        <f t="shared" si="878"/>
        <v>43677</v>
      </c>
      <c r="V1445" s="207">
        <f t="shared" si="891"/>
        <v>0</v>
      </c>
      <c r="W1445" s="206" t="str">
        <f t="shared" si="888"/>
        <v/>
      </c>
      <c r="X1445" s="206">
        <f t="shared" si="889"/>
        <v>0</v>
      </c>
      <c r="Y1445" s="209">
        <f t="shared" si="890"/>
        <v>0</v>
      </c>
    </row>
    <row r="1446" spans="2:25" ht="16.5" hidden="1" thickTop="1" thickBot="1" x14ac:dyDescent="0.3">
      <c r="B1446" s="60">
        <f>B1441</f>
        <v>17</v>
      </c>
      <c r="C1446" s="102">
        <v>118</v>
      </c>
      <c r="D1446" s="192" t="str">
        <f t="shared" si="861"/>
        <v>V</v>
      </c>
      <c r="E1446" s="172"/>
      <c r="F1446" s="173"/>
      <c r="G1446" s="173"/>
      <c r="H1446" s="174"/>
      <c r="I1446" s="174"/>
      <c r="J1446" s="172"/>
      <c r="K1446" s="175"/>
      <c r="L1446" s="174"/>
      <c r="M1446" s="174"/>
      <c r="N1446" s="176"/>
      <c r="O1446" s="177"/>
      <c r="P1446" s="178"/>
      <c r="Q1446" s="179"/>
      <c r="R1446" s="180"/>
      <c r="S1446" s="181"/>
      <c r="T1446" s="203">
        <f t="shared" si="877"/>
        <v>43647</v>
      </c>
      <c r="U1446" s="204">
        <f t="shared" si="878"/>
        <v>43677</v>
      </c>
      <c r="V1446" s="207">
        <f t="shared" si="891"/>
        <v>0</v>
      </c>
      <c r="W1446" s="206" t="str">
        <f t="shared" si="888"/>
        <v/>
      </c>
      <c r="X1446" s="206">
        <f t="shared" si="889"/>
        <v>0</v>
      </c>
      <c r="Y1446" s="209">
        <f t="shared" si="890"/>
        <v>0</v>
      </c>
    </row>
    <row r="1447" spans="2:25" ht="16.5" hidden="1" thickTop="1" thickBot="1" x14ac:dyDescent="0.3">
      <c r="B1447" s="141">
        <f>B1441</f>
        <v>17</v>
      </c>
      <c r="C1447" s="142">
        <v>119</v>
      </c>
      <c r="D1447" s="194" t="str">
        <f t="shared" si="861"/>
        <v>V</v>
      </c>
      <c r="E1447" s="189"/>
      <c r="F1447" s="190"/>
      <c r="G1447" s="190"/>
      <c r="H1447" s="182"/>
      <c r="I1447" s="182"/>
      <c r="J1447" s="436" t="s">
        <v>181</v>
      </c>
      <c r="K1447" s="437"/>
      <c r="L1447" s="438"/>
      <c r="M1447" s="182"/>
      <c r="N1447" s="183"/>
      <c r="O1447" s="184"/>
      <c r="P1447" s="185"/>
      <c r="Q1447" s="186"/>
      <c r="R1447" s="187"/>
      <c r="S1447" s="188"/>
      <c r="T1447" s="213">
        <f t="shared" si="877"/>
        <v>43647</v>
      </c>
      <c r="U1447" s="214">
        <f t="shared" si="878"/>
        <v>43677</v>
      </c>
      <c r="V1447" s="210">
        <f t="shared" si="891"/>
        <v>0</v>
      </c>
      <c r="W1447" s="211"/>
      <c r="X1447" s="211">
        <f>IF(AND($V1447&gt;0,$I1447=1),IF($E1447=10,P1447/10,P1447/$V1447),0)</f>
        <v>0</v>
      </c>
      <c r="Y1447" s="212">
        <f>IF(AND($V1441&gt;0,$I1447&lt;&gt;1),Q1447/E1441*V1441,0)</f>
        <v>0</v>
      </c>
    </row>
    <row r="1448" spans="2:25" ht="16.5" hidden="1" thickTop="1" thickBot="1" x14ac:dyDescent="0.3">
      <c r="B1448" s="129">
        <f>B1446+1</f>
        <v>18</v>
      </c>
      <c r="C1448" s="130">
        <v>120</v>
      </c>
      <c r="D1448" s="196" t="str">
        <f t="shared" si="861"/>
        <v>V</v>
      </c>
      <c r="E1448" s="131"/>
      <c r="F1448" s="132"/>
      <c r="G1448" s="132"/>
      <c r="H1448" s="133"/>
      <c r="I1448" s="133"/>
      <c r="J1448" s="131"/>
      <c r="K1448" s="134"/>
      <c r="L1448" s="133"/>
      <c r="M1448" s="133"/>
      <c r="N1448" s="135"/>
      <c r="O1448" s="136"/>
      <c r="P1448" s="137"/>
      <c r="Q1448" s="138"/>
      <c r="R1448" s="139"/>
      <c r="S1448" s="140"/>
      <c r="T1448" s="203">
        <f t="shared" si="877"/>
        <v>43647</v>
      </c>
      <c r="U1448" s="204">
        <f t="shared" si="878"/>
        <v>43677</v>
      </c>
      <c r="V1448" s="207">
        <f>IF(G1448-F1448+1-IF(G1448-U1448&gt;0,G1448-U1448,0)-IF(T1448-F1448&gt;0,T1448-F1448,0)&gt;0,G1448-F1448+1-IF(G1448-U1448&gt;0,G1448-U1448,0)-IF(T1448-F1448&gt;0,T1448-F1448,0),0)</f>
        <v>0</v>
      </c>
      <c r="W1448" s="206" t="str">
        <f t="shared" ref="W1448:W1453" si="892">IF(V1448&gt;0,H1448,"")</f>
        <v/>
      </c>
      <c r="X1448" s="206">
        <f t="shared" ref="X1448:X1453" si="893">IF(AND($V1448&gt;0,$I1448=1),P1448/$E1448*$V1448,0)</f>
        <v>0</v>
      </c>
      <c r="Y1448" s="209">
        <f t="shared" ref="Y1448:Y1453" si="894">IF(AND($V1448&gt;0,$I1448&lt;&gt;1),Q1448/$E1448*$V1448,0)</f>
        <v>0</v>
      </c>
    </row>
    <row r="1449" spans="2:25" ht="16.5" hidden="1" thickTop="1" thickBot="1" x14ac:dyDescent="0.3">
      <c r="B1449" s="60">
        <f>B1448</f>
        <v>18</v>
      </c>
      <c r="C1449" s="102">
        <v>121</v>
      </c>
      <c r="D1449" s="192" t="str">
        <f t="shared" si="861"/>
        <v>V</v>
      </c>
      <c r="E1449" s="62"/>
      <c r="F1449" s="105"/>
      <c r="G1449" s="105"/>
      <c r="H1449" s="61"/>
      <c r="I1449" s="61"/>
      <c r="J1449" s="62"/>
      <c r="K1449" s="63"/>
      <c r="L1449" s="61"/>
      <c r="M1449" s="61"/>
      <c r="N1449" s="111"/>
      <c r="O1449" s="112"/>
      <c r="P1449" s="113"/>
      <c r="Q1449" s="114"/>
      <c r="R1449" s="64"/>
      <c r="S1449" s="108"/>
      <c r="T1449" s="203">
        <f t="shared" si="877"/>
        <v>43647</v>
      </c>
      <c r="U1449" s="204">
        <f t="shared" si="878"/>
        <v>43677</v>
      </c>
      <c r="V1449" s="207">
        <f t="shared" ref="V1449:V1454" si="895">IF(G1449-F1449+1-IF(G1449-U1449&gt;0,G1449-U1449,0)-IF(T1449-F1449&gt;0,T1449-F1449,0)&gt;0,G1449-F1449+1-IF(G1449-U1449&gt;0,G1449-U1449,0)-IF(T1449-F1449&gt;0,T1449-F1449,0),0)</f>
        <v>0</v>
      </c>
      <c r="W1449" s="206" t="str">
        <f t="shared" si="892"/>
        <v/>
      </c>
      <c r="X1449" s="206">
        <f t="shared" si="893"/>
        <v>0</v>
      </c>
      <c r="Y1449" s="209">
        <f t="shared" si="894"/>
        <v>0</v>
      </c>
    </row>
    <row r="1450" spans="2:25" ht="16.5" hidden="1" thickTop="1" thickBot="1" x14ac:dyDescent="0.3">
      <c r="B1450" s="60">
        <f>B1448</f>
        <v>18</v>
      </c>
      <c r="C1450" s="102">
        <v>122</v>
      </c>
      <c r="D1450" s="192" t="str">
        <f t="shared" si="861"/>
        <v>V</v>
      </c>
      <c r="E1450" s="62"/>
      <c r="F1450" s="105"/>
      <c r="G1450" s="105"/>
      <c r="H1450" s="61"/>
      <c r="I1450" s="61"/>
      <c r="J1450" s="62"/>
      <c r="K1450" s="63"/>
      <c r="L1450" s="61"/>
      <c r="M1450" s="61"/>
      <c r="N1450" s="111"/>
      <c r="O1450" s="112"/>
      <c r="P1450" s="113"/>
      <c r="Q1450" s="114"/>
      <c r="R1450" s="64"/>
      <c r="S1450" s="108"/>
      <c r="T1450" s="203">
        <f t="shared" si="877"/>
        <v>43647</v>
      </c>
      <c r="U1450" s="204">
        <f t="shared" si="878"/>
        <v>43677</v>
      </c>
      <c r="V1450" s="207">
        <f t="shared" si="895"/>
        <v>0</v>
      </c>
      <c r="W1450" s="206" t="str">
        <f t="shared" si="892"/>
        <v/>
      </c>
      <c r="X1450" s="206">
        <f t="shared" si="893"/>
        <v>0</v>
      </c>
      <c r="Y1450" s="209">
        <f t="shared" si="894"/>
        <v>0</v>
      </c>
    </row>
    <row r="1451" spans="2:25" ht="16.5" hidden="1" thickTop="1" thickBot="1" x14ac:dyDescent="0.3">
      <c r="B1451" s="60">
        <f>B1448</f>
        <v>18</v>
      </c>
      <c r="C1451" s="102">
        <v>123</v>
      </c>
      <c r="D1451" s="192" t="str">
        <f t="shared" si="861"/>
        <v>V</v>
      </c>
      <c r="E1451" s="62"/>
      <c r="F1451" s="105"/>
      <c r="G1451" s="105"/>
      <c r="H1451" s="61"/>
      <c r="I1451" s="61"/>
      <c r="J1451" s="62"/>
      <c r="K1451" s="63"/>
      <c r="L1451" s="61"/>
      <c r="M1451" s="61"/>
      <c r="N1451" s="111"/>
      <c r="O1451" s="112"/>
      <c r="P1451" s="113"/>
      <c r="Q1451" s="114"/>
      <c r="R1451" s="64"/>
      <c r="S1451" s="108"/>
      <c r="T1451" s="203">
        <f t="shared" si="877"/>
        <v>43647</v>
      </c>
      <c r="U1451" s="204">
        <f t="shared" si="878"/>
        <v>43677</v>
      </c>
      <c r="V1451" s="207">
        <f t="shared" si="895"/>
        <v>0</v>
      </c>
      <c r="W1451" s="206" t="str">
        <f t="shared" si="892"/>
        <v/>
      </c>
      <c r="X1451" s="206">
        <f t="shared" si="893"/>
        <v>0</v>
      </c>
      <c r="Y1451" s="209">
        <f t="shared" si="894"/>
        <v>0</v>
      </c>
    </row>
    <row r="1452" spans="2:25" ht="16.5" hidden="1" thickTop="1" thickBot="1" x14ac:dyDescent="0.3">
      <c r="B1452" s="60">
        <f>B1448</f>
        <v>18</v>
      </c>
      <c r="C1452" s="102">
        <v>124</v>
      </c>
      <c r="D1452" s="192" t="str">
        <f t="shared" si="861"/>
        <v>V</v>
      </c>
      <c r="E1452" s="62"/>
      <c r="F1452" s="105"/>
      <c r="G1452" s="105"/>
      <c r="H1452" s="61"/>
      <c r="I1452" s="61"/>
      <c r="J1452" s="62"/>
      <c r="K1452" s="63"/>
      <c r="L1452" s="61"/>
      <c r="M1452" s="61"/>
      <c r="N1452" s="111"/>
      <c r="O1452" s="112"/>
      <c r="P1452" s="113"/>
      <c r="Q1452" s="114"/>
      <c r="R1452" s="64"/>
      <c r="S1452" s="108"/>
      <c r="T1452" s="203">
        <f t="shared" si="877"/>
        <v>43647</v>
      </c>
      <c r="U1452" s="204">
        <f t="shared" si="878"/>
        <v>43677</v>
      </c>
      <c r="V1452" s="207">
        <f t="shared" si="895"/>
        <v>0</v>
      </c>
      <c r="W1452" s="206" t="str">
        <f t="shared" si="892"/>
        <v/>
      </c>
      <c r="X1452" s="206">
        <f t="shared" si="893"/>
        <v>0</v>
      </c>
      <c r="Y1452" s="209">
        <f t="shared" si="894"/>
        <v>0</v>
      </c>
    </row>
    <row r="1453" spans="2:25" ht="16.5" hidden="1" thickTop="1" thickBot="1" x14ac:dyDescent="0.3">
      <c r="B1453" s="60">
        <f>B1448</f>
        <v>18</v>
      </c>
      <c r="C1453" s="102">
        <v>125</v>
      </c>
      <c r="D1453" s="192" t="str">
        <f t="shared" si="861"/>
        <v>V</v>
      </c>
      <c r="E1453" s="62"/>
      <c r="F1453" s="105"/>
      <c r="G1453" s="105"/>
      <c r="H1453" s="61"/>
      <c r="I1453" s="61"/>
      <c r="J1453" s="62"/>
      <c r="K1453" s="63"/>
      <c r="L1453" s="61"/>
      <c r="M1453" s="61"/>
      <c r="N1453" s="111"/>
      <c r="O1453" s="112"/>
      <c r="P1453" s="113"/>
      <c r="Q1453" s="114"/>
      <c r="R1453" s="64"/>
      <c r="S1453" s="108"/>
      <c r="T1453" s="203">
        <f t="shared" si="877"/>
        <v>43647</v>
      </c>
      <c r="U1453" s="204">
        <f t="shared" si="878"/>
        <v>43677</v>
      </c>
      <c r="V1453" s="207">
        <f t="shared" si="895"/>
        <v>0</v>
      </c>
      <c r="W1453" s="206" t="str">
        <f t="shared" si="892"/>
        <v/>
      </c>
      <c r="X1453" s="206">
        <f t="shared" si="893"/>
        <v>0</v>
      </c>
      <c r="Y1453" s="209">
        <f t="shared" si="894"/>
        <v>0</v>
      </c>
    </row>
    <row r="1454" spans="2:25" ht="16.5" hidden="1" thickTop="1" thickBot="1" x14ac:dyDescent="0.3">
      <c r="B1454" s="141">
        <f>B1448</f>
        <v>18</v>
      </c>
      <c r="C1454" s="142">
        <v>126</v>
      </c>
      <c r="D1454" s="194" t="str">
        <f t="shared" si="861"/>
        <v>V</v>
      </c>
      <c r="E1454" s="143"/>
      <c r="F1454" s="144"/>
      <c r="G1454" s="144"/>
      <c r="H1454" s="145"/>
      <c r="I1454" s="145"/>
      <c r="J1454" s="436" t="s">
        <v>181</v>
      </c>
      <c r="K1454" s="437"/>
      <c r="L1454" s="438"/>
      <c r="M1454" s="145"/>
      <c r="N1454" s="146"/>
      <c r="O1454" s="147"/>
      <c r="P1454" s="148"/>
      <c r="Q1454" s="149"/>
      <c r="R1454" s="150"/>
      <c r="S1454" s="151"/>
      <c r="T1454" s="213">
        <f t="shared" si="877"/>
        <v>43647</v>
      </c>
      <c r="U1454" s="214">
        <f t="shared" si="878"/>
        <v>43677</v>
      </c>
      <c r="V1454" s="210">
        <f t="shared" si="895"/>
        <v>0</v>
      </c>
      <c r="W1454" s="211"/>
      <c r="X1454" s="211">
        <f>IF(AND($V1454&gt;0,$I1454=1),IF($E1454=10,P1454/10,P1454/$V1454),0)</f>
        <v>0</v>
      </c>
      <c r="Y1454" s="212">
        <f>IF(AND($V1448&gt;0,$I1454&lt;&gt;1),Q1454/E1448*V1448,0)</f>
        <v>0</v>
      </c>
    </row>
    <row r="1455" spans="2:25" ht="16.5" hidden="1" thickTop="1" thickBot="1" x14ac:dyDescent="0.3">
      <c r="B1455" s="129">
        <f>B1453+1</f>
        <v>19</v>
      </c>
      <c r="C1455" s="130">
        <v>127</v>
      </c>
      <c r="D1455" s="196" t="str">
        <f t="shared" si="861"/>
        <v>V</v>
      </c>
      <c r="E1455" s="152"/>
      <c r="F1455" s="153"/>
      <c r="G1455" s="153"/>
      <c r="H1455" s="154"/>
      <c r="I1455" s="154"/>
      <c r="J1455" s="152"/>
      <c r="K1455" s="155"/>
      <c r="L1455" s="154"/>
      <c r="M1455" s="154"/>
      <c r="N1455" s="156"/>
      <c r="O1455" s="157"/>
      <c r="P1455" s="158"/>
      <c r="Q1455" s="159"/>
      <c r="R1455" s="160"/>
      <c r="S1455" s="161"/>
      <c r="T1455" s="203">
        <f t="shared" si="877"/>
        <v>43647</v>
      </c>
      <c r="U1455" s="204">
        <f t="shared" si="878"/>
        <v>43677</v>
      </c>
      <c r="V1455" s="207">
        <f>IF(G1455-F1455+1-IF(G1455-U1455&gt;0,G1455-U1455,0)-IF(T1455-F1455&gt;0,T1455-F1455,0)&gt;0,G1455-F1455+1-IF(G1455-U1455&gt;0,G1455-U1455,0)-IF(T1455-F1455&gt;0,T1455-F1455,0),0)</f>
        <v>0</v>
      </c>
      <c r="W1455" s="206" t="str">
        <f t="shared" ref="W1455:W1460" si="896">IF(V1455&gt;0,H1455,"")</f>
        <v/>
      </c>
      <c r="X1455" s="206">
        <f t="shared" ref="X1455:X1460" si="897">IF(AND($V1455&gt;0,$I1455=1),P1455/$E1455*$V1455,0)</f>
        <v>0</v>
      </c>
      <c r="Y1455" s="209">
        <f t="shared" ref="Y1455:Y1460" si="898">IF(AND($V1455&gt;0,$I1455&lt;&gt;1),Q1455/$E1455*$V1455,0)</f>
        <v>0</v>
      </c>
    </row>
    <row r="1456" spans="2:25" ht="16.5" hidden="1" thickTop="1" thickBot="1" x14ac:dyDescent="0.3">
      <c r="B1456" s="60">
        <f>B1455</f>
        <v>19</v>
      </c>
      <c r="C1456" s="102">
        <v>128</v>
      </c>
      <c r="D1456" s="192" t="str">
        <f t="shared" si="861"/>
        <v>V</v>
      </c>
      <c r="E1456" s="162"/>
      <c r="F1456" s="163"/>
      <c r="G1456" s="163"/>
      <c r="H1456" s="164"/>
      <c r="I1456" s="164"/>
      <c r="J1456" s="162"/>
      <c r="K1456" s="165"/>
      <c r="L1456" s="164"/>
      <c r="M1456" s="164"/>
      <c r="N1456" s="166"/>
      <c r="O1456" s="167"/>
      <c r="P1456" s="168"/>
      <c r="Q1456" s="169"/>
      <c r="R1456" s="170"/>
      <c r="S1456" s="171"/>
      <c r="T1456" s="203">
        <f t="shared" si="877"/>
        <v>43647</v>
      </c>
      <c r="U1456" s="204">
        <f t="shared" si="878"/>
        <v>43677</v>
      </c>
      <c r="V1456" s="207">
        <f t="shared" ref="V1456:V1461" si="899">IF(G1456-F1456+1-IF(G1456-U1456&gt;0,G1456-U1456,0)-IF(T1456-F1456&gt;0,T1456-F1456,0)&gt;0,G1456-F1456+1-IF(G1456-U1456&gt;0,G1456-U1456,0)-IF(T1456-F1456&gt;0,T1456-F1456,0),0)</f>
        <v>0</v>
      </c>
      <c r="W1456" s="206" t="str">
        <f t="shared" si="896"/>
        <v/>
      </c>
      <c r="X1456" s="206">
        <f t="shared" si="897"/>
        <v>0</v>
      </c>
      <c r="Y1456" s="209">
        <f t="shared" si="898"/>
        <v>0</v>
      </c>
    </row>
    <row r="1457" spans="2:25" ht="16.5" hidden="1" thickTop="1" thickBot="1" x14ac:dyDescent="0.3">
      <c r="B1457" s="60">
        <f>B1455</f>
        <v>19</v>
      </c>
      <c r="C1457" s="102">
        <v>129</v>
      </c>
      <c r="D1457" s="192" t="str">
        <f t="shared" si="861"/>
        <v>V</v>
      </c>
      <c r="E1457" s="162"/>
      <c r="F1457" s="163"/>
      <c r="G1457" s="163"/>
      <c r="H1457" s="164"/>
      <c r="I1457" s="164"/>
      <c r="J1457" s="162"/>
      <c r="K1457" s="165"/>
      <c r="L1457" s="164"/>
      <c r="M1457" s="164"/>
      <c r="N1457" s="166"/>
      <c r="O1457" s="167"/>
      <c r="P1457" s="168"/>
      <c r="Q1457" s="169"/>
      <c r="R1457" s="170"/>
      <c r="S1457" s="171"/>
      <c r="T1457" s="203">
        <f t="shared" si="877"/>
        <v>43647</v>
      </c>
      <c r="U1457" s="204">
        <f t="shared" si="878"/>
        <v>43677</v>
      </c>
      <c r="V1457" s="207">
        <f t="shared" si="899"/>
        <v>0</v>
      </c>
      <c r="W1457" s="206" t="str">
        <f t="shared" si="896"/>
        <v/>
      </c>
      <c r="X1457" s="206">
        <f t="shared" si="897"/>
        <v>0</v>
      </c>
      <c r="Y1457" s="209">
        <f t="shared" si="898"/>
        <v>0</v>
      </c>
    </row>
    <row r="1458" spans="2:25" ht="16.5" hidden="1" thickTop="1" thickBot="1" x14ac:dyDescent="0.3">
      <c r="B1458" s="60">
        <f>B1455</f>
        <v>19</v>
      </c>
      <c r="C1458" s="102">
        <v>130</v>
      </c>
      <c r="D1458" s="192" t="str">
        <f t="shared" si="861"/>
        <v>V</v>
      </c>
      <c r="E1458" s="162"/>
      <c r="F1458" s="163"/>
      <c r="G1458" s="163"/>
      <c r="H1458" s="164"/>
      <c r="I1458" s="164"/>
      <c r="J1458" s="162"/>
      <c r="K1458" s="165"/>
      <c r="L1458" s="164"/>
      <c r="M1458" s="164"/>
      <c r="N1458" s="166"/>
      <c r="O1458" s="167"/>
      <c r="P1458" s="168"/>
      <c r="Q1458" s="169"/>
      <c r="R1458" s="170"/>
      <c r="S1458" s="171"/>
      <c r="T1458" s="203">
        <f t="shared" si="877"/>
        <v>43647</v>
      </c>
      <c r="U1458" s="204">
        <f t="shared" si="878"/>
        <v>43677</v>
      </c>
      <c r="V1458" s="207">
        <f t="shared" si="899"/>
        <v>0</v>
      </c>
      <c r="W1458" s="206" t="str">
        <f t="shared" si="896"/>
        <v/>
      </c>
      <c r="X1458" s="206">
        <f t="shared" si="897"/>
        <v>0</v>
      </c>
      <c r="Y1458" s="209">
        <f t="shared" si="898"/>
        <v>0</v>
      </c>
    </row>
    <row r="1459" spans="2:25" ht="16.5" hidden="1" thickTop="1" thickBot="1" x14ac:dyDescent="0.3">
      <c r="B1459" s="60">
        <f>B1455</f>
        <v>19</v>
      </c>
      <c r="C1459" s="102">
        <v>131</v>
      </c>
      <c r="D1459" s="192" t="str">
        <f t="shared" ref="D1459:D1522" si="900">D1458</f>
        <v>V</v>
      </c>
      <c r="E1459" s="162"/>
      <c r="F1459" s="163"/>
      <c r="G1459" s="163"/>
      <c r="H1459" s="164"/>
      <c r="I1459" s="164"/>
      <c r="J1459" s="162"/>
      <c r="K1459" s="165"/>
      <c r="L1459" s="164"/>
      <c r="M1459" s="164"/>
      <c r="N1459" s="166"/>
      <c r="O1459" s="167"/>
      <c r="P1459" s="168"/>
      <c r="Q1459" s="169"/>
      <c r="R1459" s="170"/>
      <c r="S1459" s="171"/>
      <c r="T1459" s="203">
        <f t="shared" si="877"/>
        <v>43647</v>
      </c>
      <c r="U1459" s="204">
        <f t="shared" si="878"/>
        <v>43677</v>
      </c>
      <c r="V1459" s="207">
        <f t="shared" si="899"/>
        <v>0</v>
      </c>
      <c r="W1459" s="206" t="str">
        <f t="shared" si="896"/>
        <v/>
      </c>
      <c r="X1459" s="206">
        <f t="shared" si="897"/>
        <v>0</v>
      </c>
      <c r="Y1459" s="209">
        <f t="shared" si="898"/>
        <v>0</v>
      </c>
    </row>
    <row r="1460" spans="2:25" ht="16.5" hidden="1" thickTop="1" thickBot="1" x14ac:dyDescent="0.3">
      <c r="B1460" s="60">
        <f>B1455</f>
        <v>19</v>
      </c>
      <c r="C1460" s="102">
        <v>132</v>
      </c>
      <c r="D1460" s="192" t="str">
        <f t="shared" si="900"/>
        <v>V</v>
      </c>
      <c r="E1460" s="172"/>
      <c r="F1460" s="173"/>
      <c r="G1460" s="173"/>
      <c r="H1460" s="174"/>
      <c r="I1460" s="174"/>
      <c r="J1460" s="172"/>
      <c r="K1460" s="175"/>
      <c r="L1460" s="174"/>
      <c r="M1460" s="174"/>
      <c r="N1460" s="176"/>
      <c r="O1460" s="177"/>
      <c r="P1460" s="178"/>
      <c r="Q1460" s="179"/>
      <c r="R1460" s="180"/>
      <c r="S1460" s="181"/>
      <c r="T1460" s="203">
        <f t="shared" si="877"/>
        <v>43647</v>
      </c>
      <c r="U1460" s="204">
        <f t="shared" si="878"/>
        <v>43677</v>
      </c>
      <c r="V1460" s="207">
        <f t="shared" si="899"/>
        <v>0</v>
      </c>
      <c r="W1460" s="206" t="str">
        <f t="shared" si="896"/>
        <v/>
      </c>
      <c r="X1460" s="206">
        <f t="shared" si="897"/>
        <v>0</v>
      </c>
      <c r="Y1460" s="209">
        <f t="shared" si="898"/>
        <v>0</v>
      </c>
    </row>
    <row r="1461" spans="2:25" ht="16.5" hidden="1" thickTop="1" thickBot="1" x14ac:dyDescent="0.3">
      <c r="B1461" s="141">
        <f>B1455</f>
        <v>19</v>
      </c>
      <c r="C1461" s="142">
        <v>133</v>
      </c>
      <c r="D1461" s="194" t="str">
        <f t="shared" si="900"/>
        <v>V</v>
      </c>
      <c r="E1461" s="189"/>
      <c r="F1461" s="190"/>
      <c r="G1461" s="190"/>
      <c r="H1461" s="182"/>
      <c r="I1461" s="182"/>
      <c r="J1461" s="436" t="s">
        <v>181</v>
      </c>
      <c r="K1461" s="437"/>
      <c r="L1461" s="438"/>
      <c r="M1461" s="182"/>
      <c r="N1461" s="183"/>
      <c r="O1461" s="184"/>
      <c r="P1461" s="185"/>
      <c r="Q1461" s="186"/>
      <c r="R1461" s="187"/>
      <c r="S1461" s="188"/>
      <c r="T1461" s="213">
        <f t="shared" si="877"/>
        <v>43647</v>
      </c>
      <c r="U1461" s="214">
        <f t="shared" si="878"/>
        <v>43677</v>
      </c>
      <c r="V1461" s="210">
        <f t="shared" si="899"/>
        <v>0</v>
      </c>
      <c r="W1461" s="211"/>
      <c r="X1461" s="211">
        <f>IF(AND($V1461&gt;0,$I1461=1),IF($E1461=10,P1461/10,P1461/$V1461),0)</f>
        <v>0</v>
      </c>
      <c r="Y1461" s="212">
        <f>IF(AND($V1455&gt;0,$I1461&lt;&gt;1),Q1461/E1455*V1455,0)</f>
        <v>0</v>
      </c>
    </row>
    <row r="1462" spans="2:25" ht="16.5" hidden="1" thickTop="1" thickBot="1" x14ac:dyDescent="0.3">
      <c r="B1462" s="129">
        <f>B1460+1</f>
        <v>20</v>
      </c>
      <c r="C1462" s="130">
        <v>134</v>
      </c>
      <c r="D1462" s="196" t="str">
        <f t="shared" si="900"/>
        <v>V</v>
      </c>
      <c r="E1462" s="131"/>
      <c r="F1462" s="132"/>
      <c r="G1462" s="132"/>
      <c r="H1462" s="133"/>
      <c r="I1462" s="133"/>
      <c r="J1462" s="131"/>
      <c r="K1462" s="134"/>
      <c r="L1462" s="133"/>
      <c r="M1462" s="133"/>
      <c r="N1462" s="135"/>
      <c r="O1462" s="136"/>
      <c r="P1462" s="137"/>
      <c r="Q1462" s="138"/>
      <c r="R1462" s="139"/>
      <c r="S1462" s="140"/>
      <c r="T1462" s="203">
        <f t="shared" si="877"/>
        <v>43647</v>
      </c>
      <c r="U1462" s="204">
        <f t="shared" si="878"/>
        <v>43677</v>
      </c>
      <c r="V1462" s="207">
        <f>IF(G1462-F1462+1-IF(G1462-U1462&gt;0,G1462-U1462,0)-IF(T1462-F1462&gt;0,T1462-F1462,0)&gt;0,G1462-F1462+1-IF(G1462-U1462&gt;0,G1462-U1462,0)-IF(T1462-F1462&gt;0,T1462-F1462,0),0)</f>
        <v>0</v>
      </c>
      <c r="W1462" s="206" t="str">
        <f t="shared" ref="W1462:W1467" si="901">IF(V1462&gt;0,H1462,"")</f>
        <v/>
      </c>
      <c r="X1462" s="206">
        <f t="shared" ref="X1462:X1467" si="902">IF(AND($V1462&gt;0,$I1462=1),P1462/$E1462*$V1462,0)</f>
        <v>0</v>
      </c>
      <c r="Y1462" s="209">
        <f t="shared" ref="Y1462:Y1467" si="903">IF(AND($V1462&gt;0,$I1462&lt;&gt;1),Q1462/$E1462*$V1462,0)</f>
        <v>0</v>
      </c>
    </row>
    <row r="1463" spans="2:25" ht="16.5" hidden="1" thickTop="1" thickBot="1" x14ac:dyDescent="0.3">
      <c r="B1463" s="60">
        <f>B1462</f>
        <v>20</v>
      </c>
      <c r="C1463" s="102">
        <v>135</v>
      </c>
      <c r="D1463" s="192" t="str">
        <f t="shared" si="900"/>
        <v>V</v>
      </c>
      <c r="E1463" s="62"/>
      <c r="F1463" s="105"/>
      <c r="G1463" s="105"/>
      <c r="H1463" s="61"/>
      <c r="I1463" s="61"/>
      <c r="J1463" s="62"/>
      <c r="K1463" s="63"/>
      <c r="L1463" s="61"/>
      <c r="M1463" s="61"/>
      <c r="N1463" s="111"/>
      <c r="O1463" s="112"/>
      <c r="P1463" s="113"/>
      <c r="Q1463" s="114"/>
      <c r="R1463" s="64"/>
      <c r="S1463" s="108"/>
      <c r="T1463" s="203">
        <f t="shared" si="877"/>
        <v>43647</v>
      </c>
      <c r="U1463" s="204">
        <f t="shared" si="878"/>
        <v>43677</v>
      </c>
      <c r="V1463" s="207">
        <f t="shared" ref="V1463:V1468" si="904">IF(G1463-F1463+1-IF(G1463-U1463&gt;0,G1463-U1463,0)-IF(T1463-F1463&gt;0,T1463-F1463,0)&gt;0,G1463-F1463+1-IF(G1463-U1463&gt;0,G1463-U1463,0)-IF(T1463-F1463&gt;0,T1463-F1463,0),0)</f>
        <v>0</v>
      </c>
      <c r="W1463" s="206" t="str">
        <f t="shared" si="901"/>
        <v/>
      </c>
      <c r="X1463" s="206">
        <f t="shared" si="902"/>
        <v>0</v>
      </c>
      <c r="Y1463" s="209">
        <f t="shared" si="903"/>
        <v>0</v>
      </c>
    </row>
    <row r="1464" spans="2:25" ht="16.5" hidden="1" thickTop="1" thickBot="1" x14ac:dyDescent="0.3">
      <c r="B1464" s="60">
        <f>B1462</f>
        <v>20</v>
      </c>
      <c r="C1464" s="102">
        <v>136</v>
      </c>
      <c r="D1464" s="192" t="str">
        <f t="shared" si="900"/>
        <v>V</v>
      </c>
      <c r="E1464" s="62"/>
      <c r="F1464" s="105"/>
      <c r="G1464" s="105"/>
      <c r="H1464" s="61"/>
      <c r="I1464" s="61"/>
      <c r="J1464" s="62"/>
      <c r="K1464" s="63"/>
      <c r="L1464" s="61"/>
      <c r="M1464" s="61"/>
      <c r="N1464" s="111"/>
      <c r="O1464" s="112"/>
      <c r="P1464" s="113"/>
      <c r="Q1464" s="114"/>
      <c r="R1464" s="64"/>
      <c r="S1464" s="108"/>
      <c r="T1464" s="203">
        <f t="shared" si="877"/>
        <v>43647</v>
      </c>
      <c r="U1464" s="204">
        <f t="shared" si="878"/>
        <v>43677</v>
      </c>
      <c r="V1464" s="207">
        <f t="shared" si="904"/>
        <v>0</v>
      </c>
      <c r="W1464" s="206" t="str">
        <f t="shared" si="901"/>
        <v/>
      </c>
      <c r="X1464" s="206">
        <f t="shared" si="902"/>
        <v>0</v>
      </c>
      <c r="Y1464" s="209">
        <f t="shared" si="903"/>
        <v>0</v>
      </c>
    </row>
    <row r="1465" spans="2:25" ht="16.5" hidden="1" thickTop="1" thickBot="1" x14ac:dyDescent="0.3">
      <c r="B1465" s="60">
        <f>B1462</f>
        <v>20</v>
      </c>
      <c r="C1465" s="102">
        <v>137</v>
      </c>
      <c r="D1465" s="192" t="str">
        <f t="shared" si="900"/>
        <v>V</v>
      </c>
      <c r="E1465" s="62"/>
      <c r="F1465" s="105"/>
      <c r="G1465" s="105"/>
      <c r="H1465" s="61"/>
      <c r="I1465" s="61"/>
      <c r="J1465" s="62"/>
      <c r="K1465" s="63"/>
      <c r="L1465" s="61"/>
      <c r="M1465" s="61"/>
      <c r="N1465" s="111"/>
      <c r="O1465" s="112"/>
      <c r="P1465" s="113"/>
      <c r="Q1465" s="114"/>
      <c r="R1465" s="64"/>
      <c r="S1465" s="108"/>
      <c r="T1465" s="203">
        <f t="shared" si="877"/>
        <v>43647</v>
      </c>
      <c r="U1465" s="204">
        <f t="shared" si="878"/>
        <v>43677</v>
      </c>
      <c r="V1465" s="207">
        <f t="shared" si="904"/>
        <v>0</v>
      </c>
      <c r="W1465" s="206" t="str">
        <f t="shared" si="901"/>
        <v/>
      </c>
      <c r="X1465" s="206">
        <f t="shared" si="902"/>
        <v>0</v>
      </c>
      <c r="Y1465" s="209">
        <f t="shared" si="903"/>
        <v>0</v>
      </c>
    </row>
    <row r="1466" spans="2:25" ht="16.5" hidden="1" thickTop="1" thickBot="1" x14ac:dyDescent="0.3">
      <c r="B1466" s="60">
        <f>B1462</f>
        <v>20</v>
      </c>
      <c r="C1466" s="102">
        <v>138</v>
      </c>
      <c r="D1466" s="192" t="str">
        <f t="shared" si="900"/>
        <v>V</v>
      </c>
      <c r="E1466" s="62"/>
      <c r="F1466" s="105"/>
      <c r="G1466" s="105"/>
      <c r="H1466" s="61"/>
      <c r="I1466" s="61"/>
      <c r="J1466" s="62"/>
      <c r="K1466" s="63"/>
      <c r="L1466" s="61"/>
      <c r="M1466" s="61"/>
      <c r="N1466" s="111"/>
      <c r="O1466" s="112"/>
      <c r="P1466" s="113"/>
      <c r="Q1466" s="114"/>
      <c r="R1466" s="64"/>
      <c r="S1466" s="108"/>
      <c r="T1466" s="203">
        <f t="shared" si="877"/>
        <v>43647</v>
      </c>
      <c r="U1466" s="204">
        <f t="shared" si="878"/>
        <v>43677</v>
      </c>
      <c r="V1466" s="207">
        <f t="shared" si="904"/>
        <v>0</v>
      </c>
      <c r="W1466" s="206" t="str">
        <f t="shared" si="901"/>
        <v/>
      </c>
      <c r="X1466" s="206">
        <f t="shared" si="902"/>
        <v>0</v>
      </c>
      <c r="Y1466" s="209">
        <f t="shared" si="903"/>
        <v>0</v>
      </c>
    </row>
    <row r="1467" spans="2:25" ht="16.5" hidden="1" thickTop="1" thickBot="1" x14ac:dyDescent="0.3">
      <c r="B1467" s="60">
        <f>B1462</f>
        <v>20</v>
      </c>
      <c r="C1467" s="102">
        <v>139</v>
      </c>
      <c r="D1467" s="192" t="str">
        <f t="shared" si="900"/>
        <v>V</v>
      </c>
      <c r="E1467" s="62"/>
      <c r="F1467" s="105"/>
      <c r="G1467" s="105"/>
      <c r="H1467" s="61"/>
      <c r="I1467" s="61"/>
      <c r="J1467" s="62"/>
      <c r="K1467" s="63"/>
      <c r="L1467" s="61"/>
      <c r="M1467" s="61"/>
      <c r="N1467" s="111"/>
      <c r="O1467" s="112"/>
      <c r="P1467" s="113"/>
      <c r="Q1467" s="114"/>
      <c r="R1467" s="64"/>
      <c r="S1467" s="108"/>
      <c r="T1467" s="203">
        <f t="shared" si="877"/>
        <v>43647</v>
      </c>
      <c r="U1467" s="204">
        <f t="shared" si="878"/>
        <v>43677</v>
      </c>
      <c r="V1467" s="207">
        <f t="shared" si="904"/>
        <v>0</v>
      </c>
      <c r="W1467" s="206" t="str">
        <f t="shared" si="901"/>
        <v/>
      </c>
      <c r="X1467" s="206">
        <f t="shared" si="902"/>
        <v>0</v>
      </c>
      <c r="Y1467" s="209">
        <f t="shared" si="903"/>
        <v>0</v>
      </c>
    </row>
    <row r="1468" spans="2:25" ht="16.5" hidden="1" thickTop="1" thickBot="1" x14ac:dyDescent="0.3">
      <c r="B1468" s="141">
        <f>B1462</f>
        <v>20</v>
      </c>
      <c r="C1468" s="142">
        <v>140</v>
      </c>
      <c r="D1468" s="194" t="str">
        <f t="shared" si="900"/>
        <v>V</v>
      </c>
      <c r="E1468" s="143"/>
      <c r="F1468" s="144"/>
      <c r="G1468" s="144"/>
      <c r="H1468" s="145"/>
      <c r="I1468" s="145"/>
      <c r="J1468" s="436" t="s">
        <v>181</v>
      </c>
      <c r="K1468" s="437"/>
      <c r="L1468" s="438"/>
      <c r="M1468" s="145"/>
      <c r="N1468" s="146"/>
      <c r="O1468" s="147"/>
      <c r="P1468" s="148"/>
      <c r="Q1468" s="149"/>
      <c r="R1468" s="150"/>
      <c r="S1468" s="151"/>
      <c r="T1468" s="213">
        <f t="shared" si="877"/>
        <v>43647</v>
      </c>
      <c r="U1468" s="214">
        <f t="shared" si="878"/>
        <v>43677</v>
      </c>
      <c r="V1468" s="210">
        <f t="shared" si="904"/>
        <v>0</v>
      </c>
      <c r="W1468" s="211"/>
      <c r="X1468" s="211">
        <f>IF(AND($V1468&gt;0,$I1468=1),IF($E1468=10,P1468/10,P1468/$V1468),0)</f>
        <v>0</v>
      </c>
      <c r="Y1468" s="212">
        <f>IF(AND($V1462&gt;0,$I1468&lt;&gt;1),Q1468/E1462*V1462,0)</f>
        <v>0</v>
      </c>
    </row>
    <row r="1469" spans="2:25" ht="16.5" hidden="1" thickTop="1" thickBot="1" x14ac:dyDescent="0.3">
      <c r="B1469" s="129">
        <f>B1467+1</f>
        <v>21</v>
      </c>
      <c r="C1469" s="130">
        <v>141</v>
      </c>
      <c r="D1469" s="196" t="str">
        <f t="shared" si="900"/>
        <v>V</v>
      </c>
      <c r="E1469" s="152"/>
      <c r="F1469" s="153"/>
      <c r="G1469" s="153"/>
      <c r="H1469" s="154"/>
      <c r="I1469" s="154"/>
      <c r="J1469" s="152"/>
      <c r="K1469" s="155"/>
      <c r="L1469" s="154"/>
      <c r="M1469" s="154"/>
      <c r="N1469" s="156"/>
      <c r="O1469" s="157"/>
      <c r="P1469" s="158"/>
      <c r="Q1469" s="159"/>
      <c r="R1469" s="160"/>
      <c r="S1469" s="161"/>
      <c r="T1469" s="203">
        <f t="shared" si="877"/>
        <v>43647</v>
      </c>
      <c r="U1469" s="204">
        <f t="shared" si="878"/>
        <v>43677</v>
      </c>
      <c r="V1469" s="207">
        <f>IF(G1469-F1469+1-IF(G1469-U1469&gt;0,G1469-U1469,0)-IF(T1469-F1469&gt;0,T1469-F1469,0)&gt;0,G1469-F1469+1-IF(G1469-U1469&gt;0,G1469-U1469,0)-IF(T1469-F1469&gt;0,T1469-F1469,0),0)</f>
        <v>0</v>
      </c>
      <c r="W1469" s="206" t="str">
        <f t="shared" ref="W1469:W1474" si="905">IF(V1469&gt;0,H1469,"")</f>
        <v/>
      </c>
      <c r="X1469" s="206">
        <f t="shared" ref="X1469:X1474" si="906">IF(AND($V1469&gt;0,$I1469=1),P1469/$E1469*$V1469,0)</f>
        <v>0</v>
      </c>
      <c r="Y1469" s="209">
        <f t="shared" ref="Y1469:Y1474" si="907">IF(AND($V1469&gt;0,$I1469&lt;&gt;1),Q1469/$E1469*$V1469,0)</f>
        <v>0</v>
      </c>
    </row>
    <row r="1470" spans="2:25" ht="16.5" hidden="1" thickTop="1" thickBot="1" x14ac:dyDescent="0.3">
      <c r="B1470" s="60">
        <f>B1469</f>
        <v>21</v>
      </c>
      <c r="C1470" s="102">
        <v>142</v>
      </c>
      <c r="D1470" s="192" t="str">
        <f t="shared" si="900"/>
        <v>V</v>
      </c>
      <c r="E1470" s="162"/>
      <c r="F1470" s="163"/>
      <c r="G1470" s="163"/>
      <c r="H1470" s="164"/>
      <c r="I1470" s="164"/>
      <c r="J1470" s="162"/>
      <c r="K1470" s="165"/>
      <c r="L1470" s="164"/>
      <c r="M1470" s="164"/>
      <c r="N1470" s="166"/>
      <c r="O1470" s="167"/>
      <c r="P1470" s="168"/>
      <c r="Q1470" s="169"/>
      <c r="R1470" s="170"/>
      <c r="S1470" s="171"/>
      <c r="T1470" s="203">
        <f t="shared" si="877"/>
        <v>43647</v>
      </c>
      <c r="U1470" s="204">
        <f t="shared" si="878"/>
        <v>43677</v>
      </c>
      <c r="V1470" s="207">
        <f t="shared" ref="V1470:V1475" si="908">IF(G1470-F1470+1-IF(G1470-U1470&gt;0,G1470-U1470,0)-IF(T1470-F1470&gt;0,T1470-F1470,0)&gt;0,G1470-F1470+1-IF(G1470-U1470&gt;0,G1470-U1470,0)-IF(T1470-F1470&gt;0,T1470-F1470,0),0)</f>
        <v>0</v>
      </c>
      <c r="W1470" s="206" t="str">
        <f t="shared" si="905"/>
        <v/>
      </c>
      <c r="X1470" s="206">
        <f t="shared" si="906"/>
        <v>0</v>
      </c>
      <c r="Y1470" s="209">
        <f t="shared" si="907"/>
        <v>0</v>
      </c>
    </row>
    <row r="1471" spans="2:25" ht="16.5" hidden="1" thickTop="1" thickBot="1" x14ac:dyDescent="0.3">
      <c r="B1471" s="60">
        <f>B1469</f>
        <v>21</v>
      </c>
      <c r="C1471" s="102">
        <v>143</v>
      </c>
      <c r="D1471" s="192" t="str">
        <f t="shared" si="900"/>
        <v>V</v>
      </c>
      <c r="E1471" s="162"/>
      <c r="F1471" s="163"/>
      <c r="G1471" s="163"/>
      <c r="H1471" s="164"/>
      <c r="I1471" s="164"/>
      <c r="J1471" s="162"/>
      <c r="K1471" s="165"/>
      <c r="L1471" s="164"/>
      <c r="M1471" s="164"/>
      <c r="N1471" s="166"/>
      <c r="O1471" s="167"/>
      <c r="P1471" s="168"/>
      <c r="Q1471" s="169"/>
      <c r="R1471" s="170"/>
      <c r="S1471" s="171"/>
      <c r="T1471" s="203">
        <f t="shared" si="877"/>
        <v>43647</v>
      </c>
      <c r="U1471" s="204">
        <f t="shared" si="878"/>
        <v>43677</v>
      </c>
      <c r="V1471" s="207">
        <f t="shared" si="908"/>
        <v>0</v>
      </c>
      <c r="W1471" s="206" t="str">
        <f t="shared" si="905"/>
        <v/>
      </c>
      <c r="X1471" s="206">
        <f t="shared" si="906"/>
        <v>0</v>
      </c>
      <c r="Y1471" s="209">
        <f t="shared" si="907"/>
        <v>0</v>
      </c>
    </row>
    <row r="1472" spans="2:25" ht="16.5" hidden="1" thickTop="1" thickBot="1" x14ac:dyDescent="0.3">
      <c r="B1472" s="60">
        <f>B1469</f>
        <v>21</v>
      </c>
      <c r="C1472" s="102">
        <v>144</v>
      </c>
      <c r="D1472" s="192" t="str">
        <f t="shared" si="900"/>
        <v>V</v>
      </c>
      <c r="E1472" s="162"/>
      <c r="F1472" s="163"/>
      <c r="G1472" s="163"/>
      <c r="H1472" s="164"/>
      <c r="I1472" s="164"/>
      <c r="J1472" s="162"/>
      <c r="K1472" s="165"/>
      <c r="L1472" s="164"/>
      <c r="M1472" s="164"/>
      <c r="N1472" s="166"/>
      <c r="O1472" s="167"/>
      <c r="P1472" s="168"/>
      <c r="Q1472" s="169"/>
      <c r="R1472" s="170"/>
      <c r="S1472" s="171"/>
      <c r="T1472" s="203">
        <f t="shared" si="877"/>
        <v>43647</v>
      </c>
      <c r="U1472" s="204">
        <f t="shared" si="878"/>
        <v>43677</v>
      </c>
      <c r="V1472" s="207">
        <f t="shared" si="908"/>
        <v>0</v>
      </c>
      <c r="W1472" s="206" t="str">
        <f t="shared" si="905"/>
        <v/>
      </c>
      <c r="X1472" s="206">
        <f t="shared" si="906"/>
        <v>0</v>
      </c>
      <c r="Y1472" s="209">
        <f t="shared" si="907"/>
        <v>0</v>
      </c>
    </row>
    <row r="1473" spans="2:25" ht="16.5" hidden="1" thickTop="1" thickBot="1" x14ac:dyDescent="0.3">
      <c r="B1473" s="60">
        <f>B1469</f>
        <v>21</v>
      </c>
      <c r="C1473" s="102">
        <v>145</v>
      </c>
      <c r="D1473" s="192" t="str">
        <f t="shared" si="900"/>
        <v>V</v>
      </c>
      <c r="E1473" s="162"/>
      <c r="F1473" s="163"/>
      <c r="G1473" s="163"/>
      <c r="H1473" s="164"/>
      <c r="I1473" s="164"/>
      <c r="J1473" s="162"/>
      <c r="K1473" s="165"/>
      <c r="L1473" s="164"/>
      <c r="M1473" s="164"/>
      <c r="N1473" s="166"/>
      <c r="O1473" s="167"/>
      <c r="P1473" s="168"/>
      <c r="Q1473" s="169"/>
      <c r="R1473" s="170"/>
      <c r="S1473" s="171"/>
      <c r="T1473" s="203">
        <f t="shared" si="877"/>
        <v>43647</v>
      </c>
      <c r="U1473" s="204">
        <f t="shared" si="878"/>
        <v>43677</v>
      </c>
      <c r="V1473" s="207">
        <f t="shared" si="908"/>
        <v>0</v>
      </c>
      <c r="W1473" s="206" t="str">
        <f t="shared" si="905"/>
        <v/>
      </c>
      <c r="X1473" s="206">
        <f t="shared" si="906"/>
        <v>0</v>
      </c>
      <c r="Y1473" s="209">
        <f t="shared" si="907"/>
        <v>0</v>
      </c>
    </row>
    <row r="1474" spans="2:25" ht="16.5" hidden="1" thickTop="1" thickBot="1" x14ac:dyDescent="0.3">
      <c r="B1474" s="60">
        <f>B1469</f>
        <v>21</v>
      </c>
      <c r="C1474" s="102">
        <v>146</v>
      </c>
      <c r="D1474" s="192" t="str">
        <f t="shared" si="900"/>
        <v>V</v>
      </c>
      <c r="E1474" s="172"/>
      <c r="F1474" s="173"/>
      <c r="G1474" s="173"/>
      <c r="H1474" s="174"/>
      <c r="I1474" s="174"/>
      <c r="J1474" s="172"/>
      <c r="K1474" s="175"/>
      <c r="L1474" s="174"/>
      <c r="M1474" s="174"/>
      <c r="N1474" s="176"/>
      <c r="O1474" s="177"/>
      <c r="P1474" s="178"/>
      <c r="Q1474" s="179"/>
      <c r="R1474" s="180"/>
      <c r="S1474" s="181"/>
      <c r="T1474" s="203">
        <f t="shared" si="877"/>
        <v>43647</v>
      </c>
      <c r="U1474" s="204">
        <f t="shared" si="878"/>
        <v>43677</v>
      </c>
      <c r="V1474" s="207">
        <f t="shared" si="908"/>
        <v>0</v>
      </c>
      <c r="W1474" s="206" t="str">
        <f t="shared" si="905"/>
        <v/>
      </c>
      <c r="X1474" s="206">
        <f t="shared" si="906"/>
        <v>0</v>
      </c>
      <c r="Y1474" s="209">
        <f t="shared" si="907"/>
        <v>0</v>
      </c>
    </row>
    <row r="1475" spans="2:25" ht="16.5" hidden="1" thickTop="1" thickBot="1" x14ac:dyDescent="0.3">
      <c r="B1475" s="141">
        <f>B1469</f>
        <v>21</v>
      </c>
      <c r="C1475" s="142">
        <v>147</v>
      </c>
      <c r="D1475" s="194" t="str">
        <f t="shared" si="900"/>
        <v>V</v>
      </c>
      <c r="E1475" s="189"/>
      <c r="F1475" s="190"/>
      <c r="G1475" s="190"/>
      <c r="H1475" s="182"/>
      <c r="I1475" s="182"/>
      <c r="J1475" s="436" t="s">
        <v>181</v>
      </c>
      <c r="K1475" s="437"/>
      <c r="L1475" s="438"/>
      <c r="M1475" s="182"/>
      <c r="N1475" s="183"/>
      <c r="O1475" s="184"/>
      <c r="P1475" s="185"/>
      <c r="Q1475" s="186"/>
      <c r="R1475" s="187"/>
      <c r="S1475" s="188"/>
      <c r="T1475" s="213">
        <f t="shared" si="877"/>
        <v>43647</v>
      </c>
      <c r="U1475" s="214">
        <f t="shared" si="878"/>
        <v>43677</v>
      </c>
      <c r="V1475" s="210">
        <f t="shared" si="908"/>
        <v>0</v>
      </c>
      <c r="W1475" s="211"/>
      <c r="X1475" s="211">
        <f>IF(AND($V1475&gt;0,$I1475=1),IF($E1475=10,P1475/10,P1475/$V1475),0)</f>
        <v>0</v>
      </c>
      <c r="Y1475" s="212">
        <f>IF(AND($V1469&gt;0,$I1475&lt;&gt;1),Q1475/E1469*V1469,0)</f>
        <v>0</v>
      </c>
    </row>
    <row r="1476" spans="2:25" ht="16.5" hidden="1" thickTop="1" thickBot="1" x14ac:dyDescent="0.3">
      <c r="B1476" s="129">
        <f>B1474+1</f>
        <v>22</v>
      </c>
      <c r="C1476" s="130">
        <v>148</v>
      </c>
      <c r="D1476" s="196" t="str">
        <f t="shared" si="900"/>
        <v>V</v>
      </c>
      <c r="E1476" s="131"/>
      <c r="F1476" s="132"/>
      <c r="G1476" s="132"/>
      <c r="H1476" s="133"/>
      <c r="I1476" s="133"/>
      <c r="J1476" s="131"/>
      <c r="K1476" s="134"/>
      <c r="L1476" s="133"/>
      <c r="M1476" s="133"/>
      <c r="N1476" s="135"/>
      <c r="O1476" s="136"/>
      <c r="P1476" s="137"/>
      <c r="Q1476" s="138"/>
      <c r="R1476" s="139"/>
      <c r="S1476" s="140"/>
      <c r="T1476" s="203">
        <f t="shared" si="877"/>
        <v>43647</v>
      </c>
      <c r="U1476" s="204">
        <f t="shared" si="878"/>
        <v>43677</v>
      </c>
      <c r="V1476" s="207">
        <f>IF(G1476-F1476+1-IF(G1476-U1476&gt;0,G1476-U1476,0)-IF(T1476-F1476&gt;0,T1476-F1476,0)&gt;0,G1476-F1476+1-IF(G1476-U1476&gt;0,G1476-U1476,0)-IF(T1476-F1476&gt;0,T1476-F1476,0),0)</f>
        <v>0</v>
      </c>
      <c r="W1476" s="206" t="str">
        <f t="shared" ref="W1476:W1481" si="909">IF(V1476&gt;0,H1476,"")</f>
        <v/>
      </c>
      <c r="X1476" s="206">
        <f t="shared" ref="X1476:X1481" si="910">IF(AND($V1476&gt;0,$I1476=1),P1476/$E1476*$V1476,0)</f>
        <v>0</v>
      </c>
      <c r="Y1476" s="209">
        <f t="shared" ref="Y1476:Y1481" si="911">IF(AND($V1476&gt;0,$I1476&lt;&gt;1),Q1476/$E1476*$V1476,0)</f>
        <v>0</v>
      </c>
    </row>
    <row r="1477" spans="2:25" ht="16.5" hidden="1" thickTop="1" thickBot="1" x14ac:dyDescent="0.3">
      <c r="B1477" s="60">
        <f>B1476</f>
        <v>22</v>
      </c>
      <c r="C1477" s="102">
        <v>149</v>
      </c>
      <c r="D1477" s="192" t="str">
        <f t="shared" si="900"/>
        <v>V</v>
      </c>
      <c r="E1477" s="62"/>
      <c r="F1477" s="105"/>
      <c r="G1477" s="105"/>
      <c r="H1477" s="61"/>
      <c r="I1477" s="61"/>
      <c r="J1477" s="62"/>
      <c r="K1477" s="63"/>
      <c r="L1477" s="61"/>
      <c r="M1477" s="61"/>
      <c r="N1477" s="111"/>
      <c r="O1477" s="112"/>
      <c r="P1477" s="113"/>
      <c r="Q1477" s="114"/>
      <c r="R1477" s="64"/>
      <c r="S1477" s="108"/>
      <c r="T1477" s="203">
        <f t="shared" si="877"/>
        <v>43647</v>
      </c>
      <c r="U1477" s="204">
        <f t="shared" si="878"/>
        <v>43677</v>
      </c>
      <c r="V1477" s="207">
        <f t="shared" ref="V1477:V1482" si="912">IF(G1477-F1477+1-IF(G1477-U1477&gt;0,G1477-U1477,0)-IF(T1477-F1477&gt;0,T1477-F1477,0)&gt;0,G1477-F1477+1-IF(G1477-U1477&gt;0,G1477-U1477,0)-IF(T1477-F1477&gt;0,T1477-F1477,0),0)</f>
        <v>0</v>
      </c>
      <c r="W1477" s="206" t="str">
        <f t="shared" si="909"/>
        <v/>
      </c>
      <c r="X1477" s="206">
        <f t="shared" si="910"/>
        <v>0</v>
      </c>
      <c r="Y1477" s="209">
        <f t="shared" si="911"/>
        <v>0</v>
      </c>
    </row>
    <row r="1478" spans="2:25" ht="16.5" hidden="1" thickTop="1" thickBot="1" x14ac:dyDescent="0.3">
      <c r="B1478" s="60">
        <f>B1476</f>
        <v>22</v>
      </c>
      <c r="C1478" s="102">
        <v>150</v>
      </c>
      <c r="D1478" s="192" t="str">
        <f t="shared" si="900"/>
        <v>V</v>
      </c>
      <c r="E1478" s="62"/>
      <c r="F1478" s="105"/>
      <c r="G1478" s="105"/>
      <c r="H1478" s="61"/>
      <c r="I1478" s="61"/>
      <c r="J1478" s="62"/>
      <c r="K1478" s="63"/>
      <c r="L1478" s="61"/>
      <c r="M1478" s="61"/>
      <c r="N1478" s="111"/>
      <c r="O1478" s="112"/>
      <c r="P1478" s="113"/>
      <c r="Q1478" s="114"/>
      <c r="R1478" s="64"/>
      <c r="S1478" s="108"/>
      <c r="T1478" s="203">
        <f t="shared" si="877"/>
        <v>43647</v>
      </c>
      <c r="U1478" s="204">
        <f t="shared" si="878"/>
        <v>43677</v>
      </c>
      <c r="V1478" s="207">
        <f t="shared" si="912"/>
        <v>0</v>
      </c>
      <c r="W1478" s="206" t="str">
        <f t="shared" si="909"/>
        <v/>
      </c>
      <c r="X1478" s="206">
        <f t="shared" si="910"/>
        <v>0</v>
      </c>
      <c r="Y1478" s="209">
        <f t="shared" si="911"/>
        <v>0</v>
      </c>
    </row>
    <row r="1479" spans="2:25" ht="16.5" hidden="1" thickTop="1" thickBot="1" x14ac:dyDescent="0.3">
      <c r="B1479" s="60">
        <f>B1476</f>
        <v>22</v>
      </c>
      <c r="C1479" s="102">
        <v>151</v>
      </c>
      <c r="D1479" s="192" t="str">
        <f t="shared" si="900"/>
        <v>V</v>
      </c>
      <c r="E1479" s="62"/>
      <c r="F1479" s="105"/>
      <c r="G1479" s="105"/>
      <c r="H1479" s="61"/>
      <c r="I1479" s="61"/>
      <c r="J1479" s="62"/>
      <c r="K1479" s="63"/>
      <c r="L1479" s="61"/>
      <c r="M1479" s="61"/>
      <c r="N1479" s="111"/>
      <c r="O1479" s="112"/>
      <c r="P1479" s="113"/>
      <c r="Q1479" s="114"/>
      <c r="R1479" s="64"/>
      <c r="S1479" s="108"/>
      <c r="T1479" s="203">
        <f t="shared" si="877"/>
        <v>43647</v>
      </c>
      <c r="U1479" s="204">
        <f t="shared" si="878"/>
        <v>43677</v>
      </c>
      <c r="V1479" s="207">
        <f t="shared" si="912"/>
        <v>0</v>
      </c>
      <c r="W1479" s="206" t="str">
        <f t="shared" si="909"/>
        <v/>
      </c>
      <c r="X1479" s="206">
        <f t="shared" si="910"/>
        <v>0</v>
      </c>
      <c r="Y1479" s="209">
        <f t="shared" si="911"/>
        <v>0</v>
      </c>
    </row>
    <row r="1480" spans="2:25" ht="16.5" hidden="1" thickTop="1" thickBot="1" x14ac:dyDescent="0.3">
      <c r="B1480" s="60">
        <f>B1476</f>
        <v>22</v>
      </c>
      <c r="C1480" s="102">
        <v>152</v>
      </c>
      <c r="D1480" s="192" t="str">
        <f t="shared" si="900"/>
        <v>V</v>
      </c>
      <c r="E1480" s="62"/>
      <c r="F1480" s="105"/>
      <c r="G1480" s="105"/>
      <c r="H1480" s="61"/>
      <c r="I1480" s="61"/>
      <c r="J1480" s="62"/>
      <c r="K1480" s="63"/>
      <c r="L1480" s="61"/>
      <c r="M1480" s="61"/>
      <c r="N1480" s="111"/>
      <c r="O1480" s="112"/>
      <c r="P1480" s="113"/>
      <c r="Q1480" s="114"/>
      <c r="R1480" s="64"/>
      <c r="S1480" s="108"/>
      <c r="T1480" s="203">
        <f t="shared" si="877"/>
        <v>43647</v>
      </c>
      <c r="U1480" s="204">
        <f t="shared" si="878"/>
        <v>43677</v>
      </c>
      <c r="V1480" s="207">
        <f t="shared" si="912"/>
        <v>0</v>
      </c>
      <c r="W1480" s="206" t="str">
        <f t="shared" si="909"/>
        <v/>
      </c>
      <c r="X1480" s="206">
        <f t="shared" si="910"/>
        <v>0</v>
      </c>
      <c r="Y1480" s="209">
        <f t="shared" si="911"/>
        <v>0</v>
      </c>
    </row>
    <row r="1481" spans="2:25" ht="16.5" hidden="1" thickTop="1" thickBot="1" x14ac:dyDescent="0.3">
      <c r="B1481" s="60">
        <f>B1476</f>
        <v>22</v>
      </c>
      <c r="C1481" s="102">
        <v>153</v>
      </c>
      <c r="D1481" s="192" t="str">
        <f t="shared" si="900"/>
        <v>V</v>
      </c>
      <c r="E1481" s="62"/>
      <c r="F1481" s="105"/>
      <c r="G1481" s="105"/>
      <c r="H1481" s="61"/>
      <c r="I1481" s="61"/>
      <c r="J1481" s="62"/>
      <c r="K1481" s="63"/>
      <c r="L1481" s="61"/>
      <c r="M1481" s="61"/>
      <c r="N1481" s="111"/>
      <c r="O1481" s="112"/>
      <c r="P1481" s="113"/>
      <c r="Q1481" s="114"/>
      <c r="R1481" s="64"/>
      <c r="S1481" s="108"/>
      <c r="T1481" s="203">
        <f t="shared" si="877"/>
        <v>43647</v>
      </c>
      <c r="U1481" s="204">
        <f t="shared" si="878"/>
        <v>43677</v>
      </c>
      <c r="V1481" s="207">
        <f t="shared" si="912"/>
        <v>0</v>
      </c>
      <c r="W1481" s="206" t="str">
        <f t="shared" si="909"/>
        <v/>
      </c>
      <c r="X1481" s="206">
        <f t="shared" si="910"/>
        <v>0</v>
      </c>
      <c r="Y1481" s="209">
        <f t="shared" si="911"/>
        <v>0</v>
      </c>
    </row>
    <row r="1482" spans="2:25" ht="16.5" hidden="1" thickTop="1" thickBot="1" x14ac:dyDescent="0.3">
      <c r="B1482" s="141">
        <f>B1476</f>
        <v>22</v>
      </c>
      <c r="C1482" s="142">
        <v>154</v>
      </c>
      <c r="D1482" s="194" t="str">
        <f t="shared" si="900"/>
        <v>V</v>
      </c>
      <c r="E1482" s="143"/>
      <c r="F1482" s="144"/>
      <c r="G1482" s="144"/>
      <c r="H1482" s="145"/>
      <c r="I1482" s="145"/>
      <c r="J1482" s="436" t="s">
        <v>181</v>
      </c>
      <c r="K1482" s="437"/>
      <c r="L1482" s="438"/>
      <c r="M1482" s="145"/>
      <c r="N1482" s="146"/>
      <c r="O1482" s="147"/>
      <c r="P1482" s="148"/>
      <c r="Q1482" s="149"/>
      <c r="R1482" s="150"/>
      <c r="S1482" s="151"/>
      <c r="T1482" s="213">
        <f t="shared" si="877"/>
        <v>43647</v>
      </c>
      <c r="U1482" s="214">
        <f t="shared" si="878"/>
        <v>43677</v>
      </c>
      <c r="V1482" s="210">
        <f t="shared" si="912"/>
        <v>0</v>
      </c>
      <c r="W1482" s="211"/>
      <c r="X1482" s="211">
        <f>IF(AND($V1482&gt;0,$I1482=1),IF($E1482=10,P1482/10,P1482/$V1482),0)</f>
        <v>0</v>
      </c>
      <c r="Y1482" s="212">
        <f>IF(AND($V1476&gt;0,$I1482&lt;&gt;1),Q1482/E1476*V1476,0)</f>
        <v>0</v>
      </c>
    </row>
    <row r="1483" spans="2:25" ht="16.5" hidden="1" thickTop="1" thickBot="1" x14ac:dyDescent="0.3">
      <c r="B1483" s="129">
        <f>B1481+1</f>
        <v>23</v>
      </c>
      <c r="C1483" s="130">
        <v>155</v>
      </c>
      <c r="D1483" s="196" t="str">
        <f t="shared" si="900"/>
        <v>V</v>
      </c>
      <c r="E1483" s="152"/>
      <c r="F1483" s="153"/>
      <c r="G1483" s="153"/>
      <c r="H1483" s="154"/>
      <c r="I1483" s="154"/>
      <c r="J1483" s="152"/>
      <c r="K1483" s="155"/>
      <c r="L1483" s="154"/>
      <c r="M1483" s="154"/>
      <c r="N1483" s="156"/>
      <c r="O1483" s="157"/>
      <c r="P1483" s="158"/>
      <c r="Q1483" s="159"/>
      <c r="R1483" s="160"/>
      <c r="S1483" s="161"/>
      <c r="T1483" s="203">
        <f t="shared" si="877"/>
        <v>43647</v>
      </c>
      <c r="U1483" s="204">
        <f t="shared" si="878"/>
        <v>43677</v>
      </c>
      <c r="V1483" s="207">
        <f>IF(G1483-F1483+1-IF(G1483-U1483&gt;0,G1483-U1483,0)-IF(T1483-F1483&gt;0,T1483-F1483,0)&gt;0,G1483-F1483+1-IF(G1483-U1483&gt;0,G1483-U1483,0)-IF(T1483-F1483&gt;0,T1483-F1483,0),0)</f>
        <v>0</v>
      </c>
      <c r="W1483" s="206" t="str">
        <f t="shared" ref="W1483:W1488" si="913">IF(V1483&gt;0,H1483,"")</f>
        <v/>
      </c>
      <c r="X1483" s="206">
        <f t="shared" ref="X1483:X1488" si="914">IF(AND($V1483&gt;0,$I1483=1),P1483/$E1483*$V1483,0)</f>
        <v>0</v>
      </c>
      <c r="Y1483" s="209">
        <f t="shared" ref="Y1483:Y1488" si="915">IF(AND($V1483&gt;0,$I1483&lt;&gt;1),Q1483/$E1483*$V1483,0)</f>
        <v>0</v>
      </c>
    </row>
    <row r="1484" spans="2:25" ht="16.5" hidden="1" thickTop="1" thickBot="1" x14ac:dyDescent="0.3">
      <c r="B1484" s="60">
        <f>B1483</f>
        <v>23</v>
      </c>
      <c r="C1484" s="102">
        <v>156</v>
      </c>
      <c r="D1484" s="192" t="str">
        <f t="shared" si="900"/>
        <v>V</v>
      </c>
      <c r="E1484" s="162"/>
      <c r="F1484" s="163"/>
      <c r="G1484" s="163"/>
      <c r="H1484" s="164"/>
      <c r="I1484" s="164"/>
      <c r="J1484" s="162"/>
      <c r="K1484" s="165"/>
      <c r="L1484" s="164"/>
      <c r="M1484" s="164"/>
      <c r="N1484" s="166"/>
      <c r="O1484" s="167"/>
      <c r="P1484" s="168"/>
      <c r="Q1484" s="169"/>
      <c r="R1484" s="170"/>
      <c r="S1484" s="171"/>
      <c r="T1484" s="203">
        <f t="shared" si="877"/>
        <v>43647</v>
      </c>
      <c r="U1484" s="204">
        <f t="shared" si="878"/>
        <v>43677</v>
      </c>
      <c r="V1484" s="207">
        <f t="shared" ref="V1484:V1489" si="916">IF(G1484-F1484+1-IF(G1484-U1484&gt;0,G1484-U1484,0)-IF(T1484-F1484&gt;0,T1484-F1484,0)&gt;0,G1484-F1484+1-IF(G1484-U1484&gt;0,G1484-U1484,0)-IF(T1484-F1484&gt;0,T1484-F1484,0),0)</f>
        <v>0</v>
      </c>
      <c r="W1484" s="206" t="str">
        <f t="shared" si="913"/>
        <v/>
      </c>
      <c r="X1484" s="206">
        <f t="shared" si="914"/>
        <v>0</v>
      </c>
      <c r="Y1484" s="209">
        <f t="shared" si="915"/>
        <v>0</v>
      </c>
    </row>
    <row r="1485" spans="2:25" ht="16.5" hidden="1" thickTop="1" thickBot="1" x14ac:dyDescent="0.3">
      <c r="B1485" s="60">
        <f>B1483</f>
        <v>23</v>
      </c>
      <c r="C1485" s="102">
        <v>157</v>
      </c>
      <c r="D1485" s="192" t="str">
        <f t="shared" si="900"/>
        <v>V</v>
      </c>
      <c r="E1485" s="162"/>
      <c r="F1485" s="163"/>
      <c r="G1485" s="163"/>
      <c r="H1485" s="164"/>
      <c r="I1485" s="164"/>
      <c r="J1485" s="162"/>
      <c r="K1485" s="165"/>
      <c r="L1485" s="164"/>
      <c r="M1485" s="164"/>
      <c r="N1485" s="166"/>
      <c r="O1485" s="167"/>
      <c r="P1485" s="168"/>
      <c r="Q1485" s="169"/>
      <c r="R1485" s="170"/>
      <c r="S1485" s="171"/>
      <c r="T1485" s="203">
        <f t="shared" ref="T1485:T1548" si="917">$F$4</f>
        <v>43647</v>
      </c>
      <c r="U1485" s="204">
        <f t="shared" ref="U1485:U1548" si="918">$G$4</f>
        <v>43677</v>
      </c>
      <c r="V1485" s="207">
        <f t="shared" si="916"/>
        <v>0</v>
      </c>
      <c r="W1485" s="206" t="str">
        <f t="shared" si="913"/>
        <v/>
      </c>
      <c r="X1485" s="206">
        <f t="shared" si="914"/>
        <v>0</v>
      </c>
      <c r="Y1485" s="209">
        <f t="shared" si="915"/>
        <v>0</v>
      </c>
    </row>
    <row r="1486" spans="2:25" ht="16.5" hidden="1" thickTop="1" thickBot="1" x14ac:dyDescent="0.3">
      <c r="B1486" s="60">
        <f>B1483</f>
        <v>23</v>
      </c>
      <c r="C1486" s="102">
        <v>158</v>
      </c>
      <c r="D1486" s="192" t="str">
        <f t="shared" si="900"/>
        <v>V</v>
      </c>
      <c r="E1486" s="162"/>
      <c r="F1486" s="163"/>
      <c r="G1486" s="163"/>
      <c r="H1486" s="164"/>
      <c r="I1486" s="164"/>
      <c r="J1486" s="162"/>
      <c r="K1486" s="165"/>
      <c r="L1486" s="164"/>
      <c r="M1486" s="164"/>
      <c r="N1486" s="166"/>
      <c r="O1486" s="167"/>
      <c r="P1486" s="168"/>
      <c r="Q1486" s="169"/>
      <c r="R1486" s="170"/>
      <c r="S1486" s="171"/>
      <c r="T1486" s="203">
        <f t="shared" si="917"/>
        <v>43647</v>
      </c>
      <c r="U1486" s="204">
        <f t="shared" si="918"/>
        <v>43677</v>
      </c>
      <c r="V1486" s="207">
        <f t="shared" si="916"/>
        <v>0</v>
      </c>
      <c r="W1486" s="206" t="str">
        <f t="shared" si="913"/>
        <v/>
      </c>
      <c r="X1486" s="206">
        <f t="shared" si="914"/>
        <v>0</v>
      </c>
      <c r="Y1486" s="209">
        <f t="shared" si="915"/>
        <v>0</v>
      </c>
    </row>
    <row r="1487" spans="2:25" ht="16.5" hidden="1" thickTop="1" thickBot="1" x14ac:dyDescent="0.3">
      <c r="B1487" s="60">
        <f>B1483</f>
        <v>23</v>
      </c>
      <c r="C1487" s="102">
        <v>159</v>
      </c>
      <c r="D1487" s="192" t="str">
        <f t="shared" si="900"/>
        <v>V</v>
      </c>
      <c r="E1487" s="162"/>
      <c r="F1487" s="163"/>
      <c r="G1487" s="163"/>
      <c r="H1487" s="164"/>
      <c r="I1487" s="164"/>
      <c r="J1487" s="162"/>
      <c r="K1487" s="165"/>
      <c r="L1487" s="164"/>
      <c r="M1487" s="164"/>
      <c r="N1487" s="166"/>
      <c r="O1487" s="167"/>
      <c r="P1487" s="168"/>
      <c r="Q1487" s="169"/>
      <c r="R1487" s="170"/>
      <c r="S1487" s="171"/>
      <c r="T1487" s="203">
        <f t="shared" si="917"/>
        <v>43647</v>
      </c>
      <c r="U1487" s="204">
        <f t="shared" si="918"/>
        <v>43677</v>
      </c>
      <c r="V1487" s="207">
        <f t="shared" si="916"/>
        <v>0</v>
      </c>
      <c r="W1487" s="206" t="str">
        <f t="shared" si="913"/>
        <v/>
      </c>
      <c r="X1487" s="206">
        <f t="shared" si="914"/>
        <v>0</v>
      </c>
      <c r="Y1487" s="209">
        <f t="shared" si="915"/>
        <v>0</v>
      </c>
    </row>
    <row r="1488" spans="2:25" ht="16.5" hidden="1" thickTop="1" thickBot="1" x14ac:dyDescent="0.3">
      <c r="B1488" s="60">
        <f>B1483</f>
        <v>23</v>
      </c>
      <c r="C1488" s="102">
        <v>160</v>
      </c>
      <c r="D1488" s="192" t="str">
        <f t="shared" si="900"/>
        <v>V</v>
      </c>
      <c r="E1488" s="172"/>
      <c r="F1488" s="173"/>
      <c r="G1488" s="173"/>
      <c r="H1488" s="174"/>
      <c r="I1488" s="174"/>
      <c r="J1488" s="172"/>
      <c r="K1488" s="175"/>
      <c r="L1488" s="174"/>
      <c r="M1488" s="174"/>
      <c r="N1488" s="176"/>
      <c r="O1488" s="177"/>
      <c r="P1488" s="178"/>
      <c r="Q1488" s="179"/>
      <c r="R1488" s="180"/>
      <c r="S1488" s="181"/>
      <c r="T1488" s="203">
        <f t="shared" si="917"/>
        <v>43647</v>
      </c>
      <c r="U1488" s="204">
        <f t="shared" si="918"/>
        <v>43677</v>
      </c>
      <c r="V1488" s="207">
        <f t="shared" si="916"/>
        <v>0</v>
      </c>
      <c r="W1488" s="206" t="str">
        <f t="shared" si="913"/>
        <v/>
      </c>
      <c r="X1488" s="206">
        <f t="shared" si="914"/>
        <v>0</v>
      </c>
      <c r="Y1488" s="209">
        <f t="shared" si="915"/>
        <v>0</v>
      </c>
    </row>
    <row r="1489" spans="2:25" ht="16.5" hidden="1" thickTop="1" thickBot="1" x14ac:dyDescent="0.3">
      <c r="B1489" s="141">
        <f>B1483</f>
        <v>23</v>
      </c>
      <c r="C1489" s="142">
        <v>161</v>
      </c>
      <c r="D1489" s="194" t="str">
        <f t="shared" si="900"/>
        <v>V</v>
      </c>
      <c r="E1489" s="189"/>
      <c r="F1489" s="190"/>
      <c r="G1489" s="190"/>
      <c r="H1489" s="182"/>
      <c r="I1489" s="182"/>
      <c r="J1489" s="436" t="s">
        <v>181</v>
      </c>
      <c r="K1489" s="437"/>
      <c r="L1489" s="438"/>
      <c r="M1489" s="182"/>
      <c r="N1489" s="183"/>
      <c r="O1489" s="184"/>
      <c r="P1489" s="185"/>
      <c r="Q1489" s="186"/>
      <c r="R1489" s="187"/>
      <c r="S1489" s="188"/>
      <c r="T1489" s="213">
        <f t="shared" si="917"/>
        <v>43647</v>
      </c>
      <c r="U1489" s="214">
        <f t="shared" si="918"/>
        <v>43677</v>
      </c>
      <c r="V1489" s="210">
        <f t="shared" si="916"/>
        <v>0</v>
      </c>
      <c r="W1489" s="211"/>
      <c r="X1489" s="211">
        <f>IF(AND($V1489&gt;0,$I1489=1),IF($E1489=10,P1489/10,P1489/$V1489),0)</f>
        <v>0</v>
      </c>
      <c r="Y1489" s="212">
        <f>IF(AND($V1483&gt;0,$I1489&lt;&gt;1),Q1489/E1483*V1483,0)</f>
        <v>0</v>
      </c>
    </row>
    <row r="1490" spans="2:25" ht="16.5" hidden="1" thickTop="1" thickBot="1" x14ac:dyDescent="0.3">
      <c r="B1490" s="129">
        <f>B1488+1</f>
        <v>24</v>
      </c>
      <c r="C1490" s="130">
        <v>162</v>
      </c>
      <c r="D1490" s="196" t="str">
        <f t="shared" si="900"/>
        <v>V</v>
      </c>
      <c r="E1490" s="131"/>
      <c r="F1490" s="132"/>
      <c r="G1490" s="132"/>
      <c r="H1490" s="133"/>
      <c r="I1490" s="133"/>
      <c r="J1490" s="131"/>
      <c r="K1490" s="134"/>
      <c r="L1490" s="133"/>
      <c r="M1490" s="133"/>
      <c r="N1490" s="135"/>
      <c r="O1490" s="136"/>
      <c r="P1490" s="137"/>
      <c r="Q1490" s="138"/>
      <c r="R1490" s="139"/>
      <c r="S1490" s="140"/>
      <c r="T1490" s="203">
        <f t="shared" si="917"/>
        <v>43647</v>
      </c>
      <c r="U1490" s="204">
        <f t="shared" si="918"/>
        <v>43677</v>
      </c>
      <c r="V1490" s="207">
        <f>IF(G1490-F1490+1-IF(G1490-U1490&gt;0,G1490-U1490,0)-IF(T1490-F1490&gt;0,T1490-F1490,0)&gt;0,G1490-F1490+1-IF(G1490-U1490&gt;0,G1490-U1490,0)-IF(T1490-F1490&gt;0,T1490-F1490,0),0)</f>
        <v>0</v>
      </c>
      <c r="W1490" s="206" t="str">
        <f t="shared" ref="W1490:W1495" si="919">IF(V1490&gt;0,H1490,"")</f>
        <v/>
      </c>
      <c r="X1490" s="206">
        <f t="shared" ref="X1490:X1495" si="920">IF(AND($V1490&gt;0,$I1490=1),P1490/$E1490*$V1490,0)</f>
        <v>0</v>
      </c>
      <c r="Y1490" s="209">
        <f t="shared" ref="Y1490:Y1495" si="921">IF(AND($V1490&gt;0,$I1490&lt;&gt;1),Q1490/$E1490*$V1490,0)</f>
        <v>0</v>
      </c>
    </row>
    <row r="1491" spans="2:25" ht="16.5" hidden="1" thickTop="1" thickBot="1" x14ac:dyDescent="0.3">
      <c r="B1491" s="60">
        <f>B1490</f>
        <v>24</v>
      </c>
      <c r="C1491" s="102">
        <v>163</v>
      </c>
      <c r="D1491" s="192" t="str">
        <f t="shared" si="900"/>
        <v>V</v>
      </c>
      <c r="E1491" s="62"/>
      <c r="F1491" s="105"/>
      <c r="G1491" s="105"/>
      <c r="H1491" s="61"/>
      <c r="I1491" s="61"/>
      <c r="J1491" s="62"/>
      <c r="K1491" s="63"/>
      <c r="L1491" s="61"/>
      <c r="M1491" s="61"/>
      <c r="N1491" s="111"/>
      <c r="O1491" s="112"/>
      <c r="P1491" s="113"/>
      <c r="Q1491" s="114"/>
      <c r="R1491" s="64"/>
      <c r="S1491" s="108"/>
      <c r="T1491" s="203">
        <f t="shared" si="917"/>
        <v>43647</v>
      </c>
      <c r="U1491" s="204">
        <f t="shared" si="918"/>
        <v>43677</v>
      </c>
      <c r="V1491" s="207">
        <f t="shared" ref="V1491:V1496" si="922">IF(G1491-F1491+1-IF(G1491-U1491&gt;0,G1491-U1491,0)-IF(T1491-F1491&gt;0,T1491-F1491,0)&gt;0,G1491-F1491+1-IF(G1491-U1491&gt;0,G1491-U1491,0)-IF(T1491-F1491&gt;0,T1491-F1491,0),0)</f>
        <v>0</v>
      </c>
      <c r="W1491" s="206" t="str">
        <f t="shared" si="919"/>
        <v/>
      </c>
      <c r="X1491" s="206">
        <f t="shared" si="920"/>
        <v>0</v>
      </c>
      <c r="Y1491" s="209">
        <f t="shared" si="921"/>
        <v>0</v>
      </c>
    </row>
    <row r="1492" spans="2:25" ht="16.5" hidden="1" thickTop="1" thickBot="1" x14ac:dyDescent="0.3">
      <c r="B1492" s="60">
        <f>B1490</f>
        <v>24</v>
      </c>
      <c r="C1492" s="102">
        <v>164</v>
      </c>
      <c r="D1492" s="192" t="str">
        <f t="shared" si="900"/>
        <v>V</v>
      </c>
      <c r="E1492" s="62"/>
      <c r="F1492" s="105"/>
      <c r="G1492" s="105"/>
      <c r="H1492" s="61"/>
      <c r="I1492" s="61"/>
      <c r="J1492" s="62"/>
      <c r="K1492" s="63"/>
      <c r="L1492" s="61"/>
      <c r="M1492" s="61"/>
      <c r="N1492" s="111"/>
      <c r="O1492" s="112"/>
      <c r="P1492" s="113"/>
      <c r="Q1492" s="114"/>
      <c r="R1492" s="64"/>
      <c r="S1492" s="108"/>
      <c r="T1492" s="203">
        <f t="shared" si="917"/>
        <v>43647</v>
      </c>
      <c r="U1492" s="204">
        <f t="shared" si="918"/>
        <v>43677</v>
      </c>
      <c r="V1492" s="207">
        <f t="shared" si="922"/>
        <v>0</v>
      </c>
      <c r="W1492" s="206" t="str">
        <f t="shared" si="919"/>
        <v/>
      </c>
      <c r="X1492" s="206">
        <f t="shared" si="920"/>
        <v>0</v>
      </c>
      <c r="Y1492" s="209">
        <f t="shared" si="921"/>
        <v>0</v>
      </c>
    </row>
    <row r="1493" spans="2:25" ht="16.5" hidden="1" thickTop="1" thickBot="1" x14ac:dyDescent="0.3">
      <c r="B1493" s="60">
        <f>B1490</f>
        <v>24</v>
      </c>
      <c r="C1493" s="102">
        <v>165</v>
      </c>
      <c r="D1493" s="192" t="str">
        <f t="shared" si="900"/>
        <v>V</v>
      </c>
      <c r="E1493" s="62"/>
      <c r="F1493" s="105"/>
      <c r="G1493" s="105"/>
      <c r="H1493" s="61"/>
      <c r="I1493" s="61"/>
      <c r="J1493" s="62"/>
      <c r="K1493" s="63"/>
      <c r="L1493" s="61"/>
      <c r="M1493" s="61"/>
      <c r="N1493" s="111"/>
      <c r="O1493" s="112"/>
      <c r="P1493" s="113"/>
      <c r="Q1493" s="114"/>
      <c r="R1493" s="64"/>
      <c r="S1493" s="108"/>
      <c r="T1493" s="203">
        <f t="shared" si="917"/>
        <v>43647</v>
      </c>
      <c r="U1493" s="204">
        <f t="shared" si="918"/>
        <v>43677</v>
      </c>
      <c r="V1493" s="207">
        <f t="shared" si="922"/>
        <v>0</v>
      </c>
      <c r="W1493" s="206" t="str">
        <f t="shared" si="919"/>
        <v/>
      </c>
      <c r="X1493" s="206">
        <f t="shared" si="920"/>
        <v>0</v>
      </c>
      <c r="Y1493" s="209">
        <f t="shared" si="921"/>
        <v>0</v>
      </c>
    </row>
    <row r="1494" spans="2:25" ht="16.5" hidden="1" thickTop="1" thickBot="1" x14ac:dyDescent="0.3">
      <c r="B1494" s="60">
        <f>B1490</f>
        <v>24</v>
      </c>
      <c r="C1494" s="102">
        <v>166</v>
      </c>
      <c r="D1494" s="192" t="str">
        <f t="shared" si="900"/>
        <v>V</v>
      </c>
      <c r="E1494" s="62"/>
      <c r="F1494" s="105"/>
      <c r="G1494" s="105"/>
      <c r="H1494" s="61"/>
      <c r="I1494" s="61"/>
      <c r="J1494" s="62"/>
      <c r="K1494" s="63"/>
      <c r="L1494" s="61"/>
      <c r="M1494" s="61"/>
      <c r="N1494" s="111"/>
      <c r="O1494" s="112"/>
      <c r="P1494" s="113"/>
      <c r="Q1494" s="114"/>
      <c r="R1494" s="64"/>
      <c r="S1494" s="108"/>
      <c r="T1494" s="203">
        <f t="shared" si="917"/>
        <v>43647</v>
      </c>
      <c r="U1494" s="204">
        <f t="shared" si="918"/>
        <v>43677</v>
      </c>
      <c r="V1494" s="207">
        <f t="shared" si="922"/>
        <v>0</v>
      </c>
      <c r="W1494" s="206" t="str">
        <f t="shared" si="919"/>
        <v/>
      </c>
      <c r="X1494" s="206">
        <f t="shared" si="920"/>
        <v>0</v>
      </c>
      <c r="Y1494" s="209">
        <f t="shared" si="921"/>
        <v>0</v>
      </c>
    </row>
    <row r="1495" spans="2:25" ht="16.5" hidden="1" thickTop="1" thickBot="1" x14ac:dyDescent="0.3">
      <c r="B1495" s="60">
        <f>B1490</f>
        <v>24</v>
      </c>
      <c r="C1495" s="102">
        <v>167</v>
      </c>
      <c r="D1495" s="192" t="str">
        <f t="shared" si="900"/>
        <v>V</v>
      </c>
      <c r="E1495" s="62"/>
      <c r="F1495" s="105"/>
      <c r="G1495" s="105"/>
      <c r="H1495" s="61"/>
      <c r="I1495" s="61"/>
      <c r="J1495" s="62"/>
      <c r="K1495" s="63"/>
      <c r="L1495" s="61"/>
      <c r="M1495" s="61"/>
      <c r="N1495" s="111"/>
      <c r="O1495" s="112"/>
      <c r="P1495" s="113"/>
      <c r="Q1495" s="114"/>
      <c r="R1495" s="64"/>
      <c r="S1495" s="108"/>
      <c r="T1495" s="203">
        <f t="shared" si="917"/>
        <v>43647</v>
      </c>
      <c r="U1495" s="204">
        <f t="shared" si="918"/>
        <v>43677</v>
      </c>
      <c r="V1495" s="207">
        <f t="shared" si="922"/>
        <v>0</v>
      </c>
      <c r="W1495" s="206" t="str">
        <f t="shared" si="919"/>
        <v/>
      </c>
      <c r="X1495" s="206">
        <f t="shared" si="920"/>
        <v>0</v>
      </c>
      <c r="Y1495" s="209">
        <f t="shared" si="921"/>
        <v>0</v>
      </c>
    </row>
    <row r="1496" spans="2:25" ht="16.5" hidden="1" thickTop="1" thickBot="1" x14ac:dyDescent="0.3">
      <c r="B1496" s="141">
        <f>B1490</f>
        <v>24</v>
      </c>
      <c r="C1496" s="142">
        <v>168</v>
      </c>
      <c r="D1496" s="194" t="str">
        <f t="shared" si="900"/>
        <v>V</v>
      </c>
      <c r="E1496" s="143"/>
      <c r="F1496" s="144"/>
      <c r="G1496" s="144"/>
      <c r="H1496" s="145"/>
      <c r="I1496" s="145"/>
      <c r="J1496" s="436" t="s">
        <v>181</v>
      </c>
      <c r="K1496" s="437"/>
      <c r="L1496" s="438"/>
      <c r="M1496" s="145"/>
      <c r="N1496" s="146"/>
      <c r="O1496" s="147"/>
      <c r="P1496" s="148"/>
      <c r="Q1496" s="149"/>
      <c r="R1496" s="150"/>
      <c r="S1496" s="151"/>
      <c r="T1496" s="213">
        <f t="shared" si="917"/>
        <v>43647</v>
      </c>
      <c r="U1496" s="214">
        <f t="shared" si="918"/>
        <v>43677</v>
      </c>
      <c r="V1496" s="210">
        <f t="shared" si="922"/>
        <v>0</v>
      </c>
      <c r="W1496" s="211"/>
      <c r="X1496" s="211">
        <f>IF(AND($V1496&gt;0,$I1496=1),IF($E1496=10,P1496/10,P1496/$V1496),0)</f>
        <v>0</v>
      </c>
      <c r="Y1496" s="212">
        <f>IF(AND($V1490&gt;0,$I1496&lt;&gt;1),Q1496/E1490*V1490,0)</f>
        <v>0</v>
      </c>
    </row>
    <row r="1497" spans="2:25" ht="16.5" hidden="1" thickTop="1" thickBot="1" x14ac:dyDescent="0.3">
      <c r="B1497" s="129">
        <f>B1495+1</f>
        <v>25</v>
      </c>
      <c r="C1497" s="130">
        <v>169</v>
      </c>
      <c r="D1497" s="196" t="str">
        <f t="shared" si="900"/>
        <v>V</v>
      </c>
      <c r="E1497" s="152"/>
      <c r="F1497" s="153"/>
      <c r="G1497" s="153"/>
      <c r="H1497" s="154"/>
      <c r="I1497" s="154"/>
      <c r="J1497" s="152"/>
      <c r="K1497" s="155"/>
      <c r="L1497" s="154"/>
      <c r="M1497" s="154"/>
      <c r="N1497" s="156"/>
      <c r="O1497" s="157"/>
      <c r="P1497" s="158"/>
      <c r="Q1497" s="159"/>
      <c r="R1497" s="160"/>
      <c r="S1497" s="161"/>
      <c r="T1497" s="203">
        <f t="shared" si="917"/>
        <v>43647</v>
      </c>
      <c r="U1497" s="204">
        <f t="shared" si="918"/>
        <v>43677</v>
      </c>
      <c r="V1497" s="207">
        <f>IF(G1497-F1497+1-IF(G1497-U1497&gt;0,G1497-U1497,0)-IF(T1497-F1497&gt;0,T1497-F1497,0)&gt;0,G1497-F1497+1-IF(G1497-U1497&gt;0,G1497-U1497,0)-IF(T1497-F1497&gt;0,T1497-F1497,0),0)</f>
        <v>0</v>
      </c>
      <c r="W1497" s="206" t="str">
        <f t="shared" ref="W1497:W1502" si="923">IF(V1497&gt;0,H1497,"")</f>
        <v/>
      </c>
      <c r="X1497" s="206">
        <f t="shared" ref="X1497:X1502" si="924">IF(AND($V1497&gt;0,$I1497=1),P1497/$E1497*$V1497,0)</f>
        <v>0</v>
      </c>
      <c r="Y1497" s="209">
        <f t="shared" ref="Y1497:Y1502" si="925">IF(AND($V1497&gt;0,$I1497&lt;&gt;1),Q1497/$E1497*$V1497,0)</f>
        <v>0</v>
      </c>
    </row>
    <row r="1498" spans="2:25" ht="16.5" hidden="1" thickTop="1" thickBot="1" x14ac:dyDescent="0.3">
      <c r="B1498" s="60">
        <f>B1497</f>
        <v>25</v>
      </c>
      <c r="C1498" s="102">
        <v>170</v>
      </c>
      <c r="D1498" s="192" t="str">
        <f t="shared" si="900"/>
        <v>V</v>
      </c>
      <c r="E1498" s="162"/>
      <c r="F1498" s="163"/>
      <c r="G1498" s="163"/>
      <c r="H1498" s="164"/>
      <c r="I1498" s="164"/>
      <c r="J1498" s="162"/>
      <c r="K1498" s="165"/>
      <c r="L1498" s="164"/>
      <c r="M1498" s="164"/>
      <c r="N1498" s="166"/>
      <c r="O1498" s="167"/>
      <c r="P1498" s="168"/>
      <c r="Q1498" s="169"/>
      <c r="R1498" s="170"/>
      <c r="S1498" s="171"/>
      <c r="T1498" s="203">
        <f t="shared" si="917"/>
        <v>43647</v>
      </c>
      <c r="U1498" s="204">
        <f t="shared" si="918"/>
        <v>43677</v>
      </c>
      <c r="V1498" s="207">
        <f t="shared" ref="V1498:V1503" si="926">IF(G1498-F1498+1-IF(G1498-U1498&gt;0,G1498-U1498,0)-IF(T1498-F1498&gt;0,T1498-F1498,0)&gt;0,G1498-F1498+1-IF(G1498-U1498&gt;0,G1498-U1498,0)-IF(T1498-F1498&gt;0,T1498-F1498,0),0)</f>
        <v>0</v>
      </c>
      <c r="W1498" s="206" t="str">
        <f t="shared" si="923"/>
        <v/>
      </c>
      <c r="X1498" s="206">
        <f t="shared" si="924"/>
        <v>0</v>
      </c>
      <c r="Y1498" s="209">
        <f t="shared" si="925"/>
        <v>0</v>
      </c>
    </row>
    <row r="1499" spans="2:25" ht="16.5" hidden="1" thickTop="1" thickBot="1" x14ac:dyDescent="0.3">
      <c r="B1499" s="60">
        <f>B1497</f>
        <v>25</v>
      </c>
      <c r="C1499" s="102">
        <v>171</v>
      </c>
      <c r="D1499" s="192" t="str">
        <f t="shared" si="900"/>
        <v>V</v>
      </c>
      <c r="E1499" s="162"/>
      <c r="F1499" s="163"/>
      <c r="G1499" s="163"/>
      <c r="H1499" s="164"/>
      <c r="I1499" s="164"/>
      <c r="J1499" s="162"/>
      <c r="K1499" s="165"/>
      <c r="L1499" s="164"/>
      <c r="M1499" s="164"/>
      <c r="N1499" s="166"/>
      <c r="O1499" s="167"/>
      <c r="P1499" s="168"/>
      <c r="Q1499" s="169"/>
      <c r="R1499" s="170"/>
      <c r="S1499" s="171"/>
      <c r="T1499" s="203">
        <f t="shared" si="917"/>
        <v>43647</v>
      </c>
      <c r="U1499" s="204">
        <f t="shared" si="918"/>
        <v>43677</v>
      </c>
      <c r="V1499" s="207">
        <f t="shared" si="926"/>
        <v>0</v>
      </c>
      <c r="W1499" s="206" t="str">
        <f t="shared" si="923"/>
        <v/>
      </c>
      <c r="X1499" s="206">
        <f t="shared" si="924"/>
        <v>0</v>
      </c>
      <c r="Y1499" s="209">
        <f t="shared" si="925"/>
        <v>0</v>
      </c>
    </row>
    <row r="1500" spans="2:25" ht="16.5" hidden="1" thickTop="1" thickBot="1" x14ac:dyDescent="0.3">
      <c r="B1500" s="60">
        <f>B1497</f>
        <v>25</v>
      </c>
      <c r="C1500" s="102">
        <v>172</v>
      </c>
      <c r="D1500" s="192" t="str">
        <f t="shared" si="900"/>
        <v>V</v>
      </c>
      <c r="E1500" s="162"/>
      <c r="F1500" s="163"/>
      <c r="G1500" s="163"/>
      <c r="H1500" s="164"/>
      <c r="I1500" s="164"/>
      <c r="J1500" s="162"/>
      <c r="K1500" s="165"/>
      <c r="L1500" s="164"/>
      <c r="M1500" s="164"/>
      <c r="N1500" s="166"/>
      <c r="O1500" s="167"/>
      <c r="P1500" s="168"/>
      <c r="Q1500" s="169"/>
      <c r="R1500" s="170"/>
      <c r="S1500" s="171"/>
      <c r="T1500" s="203">
        <f t="shared" si="917"/>
        <v>43647</v>
      </c>
      <c r="U1500" s="204">
        <f t="shared" si="918"/>
        <v>43677</v>
      </c>
      <c r="V1500" s="207">
        <f t="shared" si="926"/>
        <v>0</v>
      </c>
      <c r="W1500" s="206" t="str">
        <f t="shared" si="923"/>
        <v/>
      </c>
      <c r="X1500" s="206">
        <f t="shared" si="924"/>
        <v>0</v>
      </c>
      <c r="Y1500" s="209">
        <f t="shared" si="925"/>
        <v>0</v>
      </c>
    </row>
    <row r="1501" spans="2:25" ht="16.5" hidden="1" thickTop="1" thickBot="1" x14ac:dyDescent="0.3">
      <c r="B1501" s="60">
        <f>B1497</f>
        <v>25</v>
      </c>
      <c r="C1501" s="102">
        <v>173</v>
      </c>
      <c r="D1501" s="192" t="str">
        <f t="shared" si="900"/>
        <v>V</v>
      </c>
      <c r="E1501" s="162"/>
      <c r="F1501" s="163"/>
      <c r="G1501" s="163"/>
      <c r="H1501" s="164"/>
      <c r="I1501" s="164"/>
      <c r="J1501" s="162"/>
      <c r="K1501" s="165"/>
      <c r="L1501" s="164"/>
      <c r="M1501" s="164"/>
      <c r="N1501" s="166"/>
      <c r="O1501" s="167"/>
      <c r="P1501" s="168"/>
      <c r="Q1501" s="169"/>
      <c r="R1501" s="170"/>
      <c r="S1501" s="171"/>
      <c r="T1501" s="203">
        <f t="shared" si="917"/>
        <v>43647</v>
      </c>
      <c r="U1501" s="204">
        <f t="shared" si="918"/>
        <v>43677</v>
      </c>
      <c r="V1501" s="207">
        <f t="shared" si="926"/>
        <v>0</v>
      </c>
      <c r="W1501" s="206" t="str">
        <f t="shared" si="923"/>
        <v/>
      </c>
      <c r="X1501" s="206">
        <f t="shared" si="924"/>
        <v>0</v>
      </c>
      <c r="Y1501" s="209">
        <f t="shared" si="925"/>
        <v>0</v>
      </c>
    </row>
    <row r="1502" spans="2:25" ht="16.5" hidden="1" thickTop="1" thickBot="1" x14ac:dyDescent="0.3">
      <c r="B1502" s="60">
        <f>B1497</f>
        <v>25</v>
      </c>
      <c r="C1502" s="102">
        <v>174</v>
      </c>
      <c r="D1502" s="192" t="str">
        <f t="shared" si="900"/>
        <v>V</v>
      </c>
      <c r="E1502" s="172"/>
      <c r="F1502" s="173"/>
      <c r="G1502" s="173"/>
      <c r="H1502" s="174"/>
      <c r="I1502" s="174"/>
      <c r="J1502" s="172"/>
      <c r="K1502" s="175"/>
      <c r="L1502" s="174"/>
      <c r="M1502" s="174"/>
      <c r="N1502" s="176"/>
      <c r="O1502" s="177"/>
      <c r="P1502" s="178"/>
      <c r="Q1502" s="179"/>
      <c r="R1502" s="180"/>
      <c r="S1502" s="181"/>
      <c r="T1502" s="203">
        <f t="shared" si="917"/>
        <v>43647</v>
      </c>
      <c r="U1502" s="204">
        <f t="shared" si="918"/>
        <v>43677</v>
      </c>
      <c r="V1502" s="207">
        <f t="shared" si="926"/>
        <v>0</v>
      </c>
      <c r="W1502" s="206" t="str">
        <f t="shared" si="923"/>
        <v/>
      </c>
      <c r="X1502" s="206">
        <f t="shared" si="924"/>
        <v>0</v>
      </c>
      <c r="Y1502" s="209">
        <f t="shared" si="925"/>
        <v>0</v>
      </c>
    </row>
    <row r="1503" spans="2:25" ht="16.5" hidden="1" thickTop="1" thickBot="1" x14ac:dyDescent="0.3">
      <c r="B1503" s="141">
        <f>B1497</f>
        <v>25</v>
      </c>
      <c r="C1503" s="142">
        <v>175</v>
      </c>
      <c r="D1503" s="194" t="str">
        <f t="shared" si="900"/>
        <v>V</v>
      </c>
      <c r="E1503" s="189"/>
      <c r="F1503" s="190"/>
      <c r="G1503" s="190"/>
      <c r="H1503" s="182"/>
      <c r="I1503" s="182"/>
      <c r="J1503" s="436" t="s">
        <v>181</v>
      </c>
      <c r="K1503" s="437"/>
      <c r="L1503" s="438"/>
      <c r="M1503" s="182"/>
      <c r="N1503" s="183"/>
      <c r="O1503" s="184"/>
      <c r="P1503" s="185"/>
      <c r="Q1503" s="186"/>
      <c r="R1503" s="187"/>
      <c r="S1503" s="188"/>
      <c r="T1503" s="213">
        <f t="shared" si="917"/>
        <v>43647</v>
      </c>
      <c r="U1503" s="214">
        <f t="shared" si="918"/>
        <v>43677</v>
      </c>
      <c r="V1503" s="210">
        <f t="shared" si="926"/>
        <v>0</v>
      </c>
      <c r="W1503" s="211"/>
      <c r="X1503" s="211">
        <f>IF(AND($V1503&gt;0,$I1503=1),IF($E1503=10,P1503/10,P1503/$V1503),0)</f>
        <v>0</v>
      </c>
      <c r="Y1503" s="212">
        <f>IF(AND($V1497&gt;0,$I1503&lt;&gt;1),Q1503/E1497*V1497,0)</f>
        <v>0</v>
      </c>
    </row>
    <row r="1504" spans="2:25" ht="16.5" hidden="1" thickTop="1" thickBot="1" x14ac:dyDescent="0.3">
      <c r="B1504" s="129">
        <f>B1502+1</f>
        <v>26</v>
      </c>
      <c r="C1504" s="130">
        <v>176</v>
      </c>
      <c r="D1504" s="196" t="str">
        <f t="shared" si="900"/>
        <v>V</v>
      </c>
      <c r="E1504" s="131"/>
      <c r="F1504" s="132"/>
      <c r="G1504" s="132"/>
      <c r="H1504" s="133"/>
      <c r="I1504" s="133"/>
      <c r="J1504" s="131"/>
      <c r="K1504" s="134"/>
      <c r="L1504" s="133"/>
      <c r="M1504" s="133"/>
      <c r="N1504" s="135"/>
      <c r="O1504" s="136"/>
      <c r="P1504" s="137"/>
      <c r="Q1504" s="138"/>
      <c r="R1504" s="139"/>
      <c r="S1504" s="140"/>
      <c r="T1504" s="203">
        <f t="shared" si="917"/>
        <v>43647</v>
      </c>
      <c r="U1504" s="204">
        <f t="shared" si="918"/>
        <v>43677</v>
      </c>
      <c r="V1504" s="207">
        <f>IF(G1504-F1504+1-IF(G1504-U1504&gt;0,G1504-U1504,0)-IF(T1504-F1504&gt;0,T1504-F1504,0)&gt;0,G1504-F1504+1-IF(G1504-U1504&gt;0,G1504-U1504,0)-IF(T1504-F1504&gt;0,T1504-F1504,0),0)</f>
        <v>0</v>
      </c>
      <c r="W1504" s="206" t="str">
        <f t="shared" ref="W1504:W1509" si="927">IF(V1504&gt;0,H1504,"")</f>
        <v/>
      </c>
      <c r="X1504" s="206">
        <f t="shared" ref="X1504:X1509" si="928">IF(AND($V1504&gt;0,$I1504=1),P1504/$E1504*$V1504,0)</f>
        <v>0</v>
      </c>
      <c r="Y1504" s="209">
        <f t="shared" ref="Y1504:Y1509" si="929">IF(AND($V1504&gt;0,$I1504&lt;&gt;1),Q1504/$E1504*$V1504,0)</f>
        <v>0</v>
      </c>
    </row>
    <row r="1505" spans="2:25" ht="16.5" hidden="1" thickTop="1" thickBot="1" x14ac:dyDescent="0.3">
      <c r="B1505" s="60">
        <f>B1504</f>
        <v>26</v>
      </c>
      <c r="C1505" s="102">
        <v>177</v>
      </c>
      <c r="D1505" s="192" t="str">
        <f t="shared" si="900"/>
        <v>V</v>
      </c>
      <c r="E1505" s="62"/>
      <c r="F1505" s="105"/>
      <c r="G1505" s="105"/>
      <c r="H1505" s="61"/>
      <c r="I1505" s="61"/>
      <c r="J1505" s="62"/>
      <c r="K1505" s="63"/>
      <c r="L1505" s="61"/>
      <c r="M1505" s="61"/>
      <c r="N1505" s="111"/>
      <c r="O1505" s="112"/>
      <c r="P1505" s="113"/>
      <c r="Q1505" s="114"/>
      <c r="R1505" s="64"/>
      <c r="S1505" s="108"/>
      <c r="T1505" s="203">
        <f t="shared" si="917"/>
        <v>43647</v>
      </c>
      <c r="U1505" s="204">
        <f t="shared" si="918"/>
        <v>43677</v>
      </c>
      <c r="V1505" s="207">
        <f t="shared" ref="V1505:V1510" si="930">IF(G1505-F1505+1-IF(G1505-U1505&gt;0,G1505-U1505,0)-IF(T1505-F1505&gt;0,T1505-F1505,0)&gt;0,G1505-F1505+1-IF(G1505-U1505&gt;0,G1505-U1505,0)-IF(T1505-F1505&gt;0,T1505-F1505,0),0)</f>
        <v>0</v>
      </c>
      <c r="W1505" s="206" t="str">
        <f t="shared" si="927"/>
        <v/>
      </c>
      <c r="X1505" s="206">
        <f t="shared" si="928"/>
        <v>0</v>
      </c>
      <c r="Y1505" s="209">
        <f t="shared" si="929"/>
        <v>0</v>
      </c>
    </row>
    <row r="1506" spans="2:25" ht="16.5" hidden="1" thickTop="1" thickBot="1" x14ac:dyDescent="0.3">
      <c r="B1506" s="60">
        <f>B1504</f>
        <v>26</v>
      </c>
      <c r="C1506" s="102">
        <v>178</v>
      </c>
      <c r="D1506" s="192" t="str">
        <f t="shared" si="900"/>
        <v>V</v>
      </c>
      <c r="E1506" s="62"/>
      <c r="F1506" s="105"/>
      <c r="G1506" s="105"/>
      <c r="H1506" s="61"/>
      <c r="I1506" s="61"/>
      <c r="J1506" s="62"/>
      <c r="K1506" s="63"/>
      <c r="L1506" s="61"/>
      <c r="M1506" s="61"/>
      <c r="N1506" s="111"/>
      <c r="O1506" s="112"/>
      <c r="P1506" s="113"/>
      <c r="Q1506" s="114"/>
      <c r="R1506" s="64"/>
      <c r="S1506" s="108"/>
      <c r="T1506" s="203">
        <f t="shared" si="917"/>
        <v>43647</v>
      </c>
      <c r="U1506" s="204">
        <f t="shared" si="918"/>
        <v>43677</v>
      </c>
      <c r="V1506" s="207">
        <f t="shared" si="930"/>
        <v>0</v>
      </c>
      <c r="W1506" s="206" t="str">
        <f t="shared" si="927"/>
        <v/>
      </c>
      <c r="X1506" s="206">
        <f t="shared" si="928"/>
        <v>0</v>
      </c>
      <c r="Y1506" s="209">
        <f t="shared" si="929"/>
        <v>0</v>
      </c>
    </row>
    <row r="1507" spans="2:25" ht="16.5" hidden="1" thickTop="1" thickBot="1" x14ac:dyDescent="0.3">
      <c r="B1507" s="60">
        <f>B1504</f>
        <v>26</v>
      </c>
      <c r="C1507" s="102">
        <v>179</v>
      </c>
      <c r="D1507" s="192" t="str">
        <f t="shared" si="900"/>
        <v>V</v>
      </c>
      <c r="E1507" s="62"/>
      <c r="F1507" s="105"/>
      <c r="G1507" s="105"/>
      <c r="H1507" s="61"/>
      <c r="I1507" s="61"/>
      <c r="J1507" s="62"/>
      <c r="K1507" s="63"/>
      <c r="L1507" s="61"/>
      <c r="M1507" s="61"/>
      <c r="N1507" s="111"/>
      <c r="O1507" s="112"/>
      <c r="P1507" s="113"/>
      <c r="Q1507" s="114"/>
      <c r="R1507" s="64"/>
      <c r="S1507" s="108"/>
      <c r="T1507" s="203">
        <f t="shared" si="917"/>
        <v>43647</v>
      </c>
      <c r="U1507" s="204">
        <f t="shared" si="918"/>
        <v>43677</v>
      </c>
      <c r="V1507" s="207">
        <f t="shared" si="930"/>
        <v>0</v>
      </c>
      <c r="W1507" s="206" t="str">
        <f t="shared" si="927"/>
        <v/>
      </c>
      <c r="X1507" s="206">
        <f t="shared" si="928"/>
        <v>0</v>
      </c>
      <c r="Y1507" s="209">
        <f t="shared" si="929"/>
        <v>0</v>
      </c>
    </row>
    <row r="1508" spans="2:25" ht="16.5" hidden="1" thickTop="1" thickBot="1" x14ac:dyDescent="0.3">
      <c r="B1508" s="60">
        <f>B1504</f>
        <v>26</v>
      </c>
      <c r="C1508" s="102">
        <v>180</v>
      </c>
      <c r="D1508" s="192" t="str">
        <f t="shared" si="900"/>
        <v>V</v>
      </c>
      <c r="E1508" s="62"/>
      <c r="F1508" s="105"/>
      <c r="G1508" s="105"/>
      <c r="H1508" s="61"/>
      <c r="I1508" s="61"/>
      <c r="J1508" s="62"/>
      <c r="K1508" s="63"/>
      <c r="L1508" s="61"/>
      <c r="M1508" s="61"/>
      <c r="N1508" s="111"/>
      <c r="O1508" s="112"/>
      <c r="P1508" s="113"/>
      <c r="Q1508" s="114"/>
      <c r="R1508" s="64"/>
      <c r="S1508" s="108"/>
      <c r="T1508" s="203">
        <f t="shared" si="917"/>
        <v>43647</v>
      </c>
      <c r="U1508" s="204">
        <f t="shared" si="918"/>
        <v>43677</v>
      </c>
      <c r="V1508" s="207">
        <f t="shared" si="930"/>
        <v>0</v>
      </c>
      <c r="W1508" s="206" t="str">
        <f t="shared" si="927"/>
        <v/>
      </c>
      <c r="X1508" s="206">
        <f t="shared" si="928"/>
        <v>0</v>
      </c>
      <c r="Y1508" s="209">
        <f t="shared" si="929"/>
        <v>0</v>
      </c>
    </row>
    <row r="1509" spans="2:25" ht="16.5" hidden="1" thickTop="1" thickBot="1" x14ac:dyDescent="0.3">
      <c r="B1509" s="60">
        <f>B1504</f>
        <v>26</v>
      </c>
      <c r="C1509" s="102">
        <v>181</v>
      </c>
      <c r="D1509" s="192" t="str">
        <f t="shared" si="900"/>
        <v>V</v>
      </c>
      <c r="E1509" s="62"/>
      <c r="F1509" s="105"/>
      <c r="G1509" s="105"/>
      <c r="H1509" s="61"/>
      <c r="I1509" s="61"/>
      <c r="J1509" s="62"/>
      <c r="K1509" s="63"/>
      <c r="L1509" s="61"/>
      <c r="M1509" s="61"/>
      <c r="N1509" s="111"/>
      <c r="O1509" s="112"/>
      <c r="P1509" s="113"/>
      <c r="Q1509" s="114"/>
      <c r="R1509" s="64"/>
      <c r="S1509" s="108"/>
      <c r="T1509" s="203">
        <f t="shared" si="917"/>
        <v>43647</v>
      </c>
      <c r="U1509" s="204">
        <f t="shared" si="918"/>
        <v>43677</v>
      </c>
      <c r="V1509" s="207">
        <f t="shared" si="930"/>
        <v>0</v>
      </c>
      <c r="W1509" s="206" t="str">
        <f t="shared" si="927"/>
        <v/>
      </c>
      <c r="X1509" s="206">
        <f t="shared" si="928"/>
        <v>0</v>
      </c>
      <c r="Y1509" s="209">
        <f t="shared" si="929"/>
        <v>0</v>
      </c>
    </row>
    <row r="1510" spans="2:25" ht="16.5" hidden="1" thickTop="1" thickBot="1" x14ac:dyDescent="0.3">
      <c r="B1510" s="141">
        <f>B1504</f>
        <v>26</v>
      </c>
      <c r="C1510" s="142">
        <v>182</v>
      </c>
      <c r="D1510" s="194" t="str">
        <f t="shared" si="900"/>
        <v>V</v>
      </c>
      <c r="E1510" s="143"/>
      <c r="F1510" s="144"/>
      <c r="G1510" s="144"/>
      <c r="H1510" s="145"/>
      <c r="I1510" s="145"/>
      <c r="J1510" s="436" t="s">
        <v>181</v>
      </c>
      <c r="K1510" s="437"/>
      <c r="L1510" s="438"/>
      <c r="M1510" s="145"/>
      <c r="N1510" s="146"/>
      <c r="O1510" s="147"/>
      <c r="P1510" s="148"/>
      <c r="Q1510" s="149"/>
      <c r="R1510" s="150"/>
      <c r="S1510" s="151"/>
      <c r="T1510" s="213">
        <f t="shared" si="917"/>
        <v>43647</v>
      </c>
      <c r="U1510" s="214">
        <f t="shared" si="918"/>
        <v>43677</v>
      </c>
      <c r="V1510" s="210">
        <f t="shared" si="930"/>
        <v>0</v>
      </c>
      <c r="W1510" s="211"/>
      <c r="X1510" s="211">
        <f>IF(AND($V1510&gt;0,$I1510=1),IF($E1510=10,P1510/10,P1510/$V1510),0)</f>
        <v>0</v>
      </c>
      <c r="Y1510" s="212">
        <f>IF(AND($V1504&gt;0,$I1510&lt;&gt;1),Q1510/E1504*V1504,0)</f>
        <v>0</v>
      </c>
    </row>
    <row r="1511" spans="2:25" ht="30.75" thickTop="1" x14ac:dyDescent="0.25">
      <c r="B1511" s="129">
        <f>B1509+1</f>
        <v>27</v>
      </c>
      <c r="C1511" s="130">
        <v>183</v>
      </c>
      <c r="D1511" s="196" t="str">
        <f t="shared" si="900"/>
        <v>V</v>
      </c>
      <c r="E1511" s="152">
        <v>10</v>
      </c>
      <c r="F1511" s="153">
        <v>43675</v>
      </c>
      <c r="G1511" s="153">
        <v>43684</v>
      </c>
      <c r="H1511" s="154" t="s">
        <v>305</v>
      </c>
      <c r="I1511" s="154">
        <v>1</v>
      </c>
      <c r="J1511" s="152" t="s">
        <v>168</v>
      </c>
      <c r="K1511" s="155" t="s">
        <v>16</v>
      </c>
      <c r="L1511" s="154">
        <v>1</v>
      </c>
      <c r="M1511" s="154">
        <v>8</v>
      </c>
      <c r="N1511" s="156">
        <v>75</v>
      </c>
      <c r="O1511" s="157">
        <v>75</v>
      </c>
      <c r="P1511" s="158">
        <v>75</v>
      </c>
      <c r="Q1511" s="159"/>
      <c r="R1511" s="160" t="s">
        <v>4</v>
      </c>
      <c r="S1511" s="161">
        <v>43620</v>
      </c>
      <c r="T1511" s="203">
        <f t="shared" si="917"/>
        <v>43647</v>
      </c>
      <c r="U1511" s="204">
        <f t="shared" si="918"/>
        <v>43677</v>
      </c>
      <c r="V1511" s="207">
        <f>IF(G1511-F1511+1-IF(G1511-U1511&gt;0,G1511-U1511,0)-IF(T1511-F1511&gt;0,T1511-F1511,0)&gt;0,G1511-F1511+1-IF(G1511-U1511&gt;0,G1511-U1511,0)-IF(T1511-F1511&gt;0,T1511-F1511,0),0)</f>
        <v>3</v>
      </c>
      <c r="W1511" s="206" t="str">
        <f t="shared" ref="W1511:W1516" si="931">IF(V1511&gt;0,H1511,"")</f>
        <v>Владимир Матеев</v>
      </c>
      <c r="X1511" s="206">
        <f t="shared" ref="X1511:X1516" si="932">IF(AND($V1511&gt;0,$I1511=1),P1511/$E1511*$V1511,0)</f>
        <v>22.5</v>
      </c>
      <c r="Y1511" s="209">
        <f t="shared" ref="Y1511:Y1516" si="933">IF(AND($V1511&gt;0,$I1511&lt;&gt;1),Q1511/$E1511*$V1511,0)</f>
        <v>0</v>
      </c>
    </row>
    <row r="1512" spans="2:25" ht="45" x14ac:dyDescent="0.25">
      <c r="B1512" s="60">
        <f>B1511</f>
        <v>27</v>
      </c>
      <c r="C1512" s="102">
        <v>184</v>
      </c>
      <c r="D1512" s="192" t="str">
        <f t="shared" si="900"/>
        <v>V</v>
      </c>
      <c r="E1512" s="162">
        <v>10</v>
      </c>
      <c r="F1512" s="163">
        <v>43675</v>
      </c>
      <c r="G1512" s="163">
        <v>43684</v>
      </c>
      <c r="H1512" s="164" t="s">
        <v>306</v>
      </c>
      <c r="I1512" s="164">
        <v>2</v>
      </c>
      <c r="J1512" s="162" t="s">
        <v>167</v>
      </c>
      <c r="K1512" s="165" t="s">
        <v>16</v>
      </c>
      <c r="L1512" s="164">
        <v>1</v>
      </c>
      <c r="M1512" s="164">
        <v>8</v>
      </c>
      <c r="N1512" s="166">
        <v>90</v>
      </c>
      <c r="O1512" s="167">
        <v>90</v>
      </c>
      <c r="P1512" s="168"/>
      <c r="Q1512" s="169">
        <v>90</v>
      </c>
      <c r="R1512" s="170" t="s">
        <v>4</v>
      </c>
      <c r="S1512" s="171">
        <v>43620</v>
      </c>
      <c r="T1512" s="203">
        <f t="shared" si="917"/>
        <v>43647</v>
      </c>
      <c r="U1512" s="204">
        <f t="shared" si="918"/>
        <v>43677</v>
      </c>
      <c r="V1512" s="207">
        <f t="shared" ref="V1512:V1517" si="934">IF(G1512-F1512+1-IF(G1512-U1512&gt;0,G1512-U1512,0)-IF(T1512-F1512&gt;0,T1512-F1512,0)&gt;0,G1512-F1512+1-IF(G1512-U1512&gt;0,G1512-U1512,0)-IF(T1512-F1512&gt;0,T1512-F1512,0),0)</f>
        <v>3</v>
      </c>
      <c r="W1512" s="206" t="str">
        <f t="shared" si="931"/>
        <v>Светослава Матеева</v>
      </c>
      <c r="X1512" s="206">
        <f t="shared" si="932"/>
        <v>0</v>
      </c>
      <c r="Y1512" s="209">
        <f t="shared" si="933"/>
        <v>27</v>
      </c>
    </row>
    <row r="1513" spans="2:25" hidden="1" x14ac:dyDescent="0.25">
      <c r="B1513" s="60">
        <f>B1511</f>
        <v>27</v>
      </c>
      <c r="C1513" s="102">
        <v>185</v>
      </c>
      <c r="D1513" s="192" t="str">
        <f t="shared" si="900"/>
        <v>V</v>
      </c>
      <c r="E1513" s="162"/>
      <c r="F1513" s="163"/>
      <c r="G1513" s="163"/>
      <c r="H1513" s="164"/>
      <c r="I1513" s="164"/>
      <c r="J1513" s="162"/>
      <c r="K1513" s="165"/>
      <c r="L1513" s="164"/>
      <c r="M1513" s="164"/>
      <c r="N1513" s="166"/>
      <c r="O1513" s="167"/>
      <c r="P1513" s="168"/>
      <c r="Q1513" s="169"/>
      <c r="R1513" s="170"/>
      <c r="S1513" s="171"/>
      <c r="T1513" s="203">
        <f t="shared" si="917"/>
        <v>43647</v>
      </c>
      <c r="U1513" s="204">
        <f t="shared" si="918"/>
        <v>43677</v>
      </c>
      <c r="V1513" s="207">
        <f t="shared" si="934"/>
        <v>0</v>
      </c>
      <c r="W1513" s="206" t="str">
        <f t="shared" si="931"/>
        <v/>
      </c>
      <c r="X1513" s="206">
        <f t="shared" si="932"/>
        <v>0</v>
      </c>
      <c r="Y1513" s="209">
        <f t="shared" si="933"/>
        <v>0</v>
      </c>
    </row>
    <row r="1514" spans="2:25" hidden="1" x14ac:dyDescent="0.25">
      <c r="B1514" s="60">
        <f>B1511</f>
        <v>27</v>
      </c>
      <c r="C1514" s="102">
        <v>186</v>
      </c>
      <c r="D1514" s="192" t="str">
        <f t="shared" si="900"/>
        <v>V</v>
      </c>
      <c r="E1514" s="162"/>
      <c r="F1514" s="163"/>
      <c r="G1514" s="163"/>
      <c r="H1514" s="164"/>
      <c r="I1514" s="164"/>
      <c r="J1514" s="162"/>
      <c r="K1514" s="165"/>
      <c r="L1514" s="164"/>
      <c r="M1514" s="164"/>
      <c r="N1514" s="166"/>
      <c r="O1514" s="167"/>
      <c r="P1514" s="168"/>
      <c r="Q1514" s="169"/>
      <c r="R1514" s="170"/>
      <c r="S1514" s="171"/>
      <c r="T1514" s="203">
        <f t="shared" si="917"/>
        <v>43647</v>
      </c>
      <c r="U1514" s="204">
        <f t="shared" si="918"/>
        <v>43677</v>
      </c>
      <c r="V1514" s="207">
        <f t="shared" si="934"/>
        <v>0</v>
      </c>
      <c r="W1514" s="206" t="str">
        <f t="shared" si="931"/>
        <v/>
      </c>
      <c r="X1514" s="206">
        <f t="shared" si="932"/>
        <v>0</v>
      </c>
      <c r="Y1514" s="209">
        <f t="shared" si="933"/>
        <v>0</v>
      </c>
    </row>
    <row r="1515" spans="2:25" hidden="1" x14ac:dyDescent="0.25">
      <c r="B1515" s="60">
        <f>B1511</f>
        <v>27</v>
      </c>
      <c r="C1515" s="102">
        <v>187</v>
      </c>
      <c r="D1515" s="192" t="str">
        <f t="shared" si="900"/>
        <v>V</v>
      </c>
      <c r="E1515" s="162"/>
      <c r="F1515" s="163"/>
      <c r="G1515" s="163"/>
      <c r="H1515" s="164"/>
      <c r="I1515" s="164"/>
      <c r="J1515" s="162"/>
      <c r="K1515" s="165"/>
      <c r="L1515" s="164"/>
      <c r="M1515" s="164"/>
      <c r="N1515" s="166"/>
      <c r="O1515" s="167"/>
      <c r="P1515" s="168"/>
      <c r="Q1515" s="169"/>
      <c r="R1515" s="170"/>
      <c r="S1515" s="171"/>
      <c r="T1515" s="203">
        <f t="shared" si="917"/>
        <v>43647</v>
      </c>
      <c r="U1515" s="204">
        <f t="shared" si="918"/>
        <v>43677</v>
      </c>
      <c r="V1515" s="207">
        <f t="shared" si="934"/>
        <v>0</v>
      </c>
      <c r="W1515" s="206" t="str">
        <f t="shared" si="931"/>
        <v/>
      </c>
      <c r="X1515" s="206">
        <f t="shared" si="932"/>
        <v>0</v>
      </c>
      <c r="Y1515" s="209">
        <f t="shared" si="933"/>
        <v>0</v>
      </c>
    </row>
    <row r="1516" spans="2:25" hidden="1" x14ac:dyDescent="0.25">
      <c r="B1516" s="60">
        <f>B1511</f>
        <v>27</v>
      </c>
      <c r="C1516" s="102">
        <v>188</v>
      </c>
      <c r="D1516" s="192" t="str">
        <f t="shared" si="900"/>
        <v>V</v>
      </c>
      <c r="E1516" s="172"/>
      <c r="F1516" s="173"/>
      <c r="G1516" s="173"/>
      <c r="H1516" s="174"/>
      <c r="I1516" s="174"/>
      <c r="J1516" s="172"/>
      <c r="K1516" s="175"/>
      <c r="L1516" s="174"/>
      <c r="M1516" s="174"/>
      <c r="N1516" s="176"/>
      <c r="O1516" s="177"/>
      <c r="P1516" s="178"/>
      <c r="Q1516" s="179"/>
      <c r="R1516" s="180"/>
      <c r="S1516" s="181"/>
      <c r="T1516" s="203">
        <f t="shared" si="917"/>
        <v>43647</v>
      </c>
      <c r="U1516" s="204">
        <f t="shared" si="918"/>
        <v>43677</v>
      </c>
      <c r="V1516" s="207">
        <f t="shared" si="934"/>
        <v>0</v>
      </c>
      <c r="W1516" s="206" t="str">
        <f t="shared" si="931"/>
        <v/>
      </c>
      <c r="X1516" s="206">
        <f t="shared" si="932"/>
        <v>0</v>
      </c>
      <c r="Y1516" s="209">
        <f t="shared" si="933"/>
        <v>0</v>
      </c>
    </row>
    <row r="1517" spans="2:25" ht="15.75" thickBot="1" x14ac:dyDescent="0.3">
      <c r="B1517" s="141">
        <f>B1511</f>
        <v>27</v>
      </c>
      <c r="C1517" s="142">
        <v>189</v>
      </c>
      <c r="D1517" s="194" t="str">
        <f t="shared" si="900"/>
        <v>V</v>
      </c>
      <c r="E1517" s="189"/>
      <c r="F1517" s="190"/>
      <c r="G1517" s="190"/>
      <c r="H1517" s="182"/>
      <c r="I1517" s="182"/>
      <c r="J1517" s="436" t="s">
        <v>181</v>
      </c>
      <c r="K1517" s="437"/>
      <c r="L1517" s="438"/>
      <c r="M1517" s="182"/>
      <c r="N1517" s="183">
        <v>10</v>
      </c>
      <c r="O1517" s="184">
        <v>10</v>
      </c>
      <c r="P1517" s="185"/>
      <c r="Q1517" s="186">
        <v>10</v>
      </c>
      <c r="R1517" s="187" t="s">
        <v>4</v>
      </c>
      <c r="S1517" s="188">
        <v>43620</v>
      </c>
      <c r="T1517" s="213">
        <f t="shared" si="917"/>
        <v>43647</v>
      </c>
      <c r="U1517" s="214">
        <f t="shared" si="918"/>
        <v>43677</v>
      </c>
      <c r="V1517" s="210">
        <f t="shared" si="934"/>
        <v>0</v>
      </c>
      <c r="W1517" s="211"/>
      <c r="X1517" s="211">
        <f>IF(AND($V1517&gt;0,$I1517=1),IF($E1517=10,P1517/10,P1517/$V1517),0)</f>
        <v>0</v>
      </c>
      <c r="Y1517" s="212">
        <f>IF(AND($V1511&gt;0,$I1517&lt;&gt;1),Q1517/E1511*V1511,0)</f>
        <v>3</v>
      </c>
    </row>
    <row r="1518" spans="2:25" ht="16.5" hidden="1" thickTop="1" thickBot="1" x14ac:dyDescent="0.3">
      <c r="B1518" s="129">
        <f>B1516+1</f>
        <v>28</v>
      </c>
      <c r="C1518" s="130">
        <v>190</v>
      </c>
      <c r="D1518" s="196" t="str">
        <f t="shared" si="900"/>
        <v>V</v>
      </c>
      <c r="E1518" s="131"/>
      <c r="F1518" s="132"/>
      <c r="G1518" s="132"/>
      <c r="H1518" s="133"/>
      <c r="I1518" s="133"/>
      <c r="J1518" s="131"/>
      <c r="K1518" s="134"/>
      <c r="L1518" s="133"/>
      <c r="M1518" s="133"/>
      <c r="N1518" s="135"/>
      <c r="O1518" s="136"/>
      <c r="P1518" s="137"/>
      <c r="Q1518" s="138"/>
      <c r="R1518" s="139"/>
      <c r="S1518" s="140"/>
      <c r="T1518" s="203">
        <f t="shared" si="917"/>
        <v>43647</v>
      </c>
      <c r="U1518" s="204">
        <f t="shared" si="918"/>
        <v>43677</v>
      </c>
      <c r="V1518" s="207">
        <f>IF(G1518-F1518+1-IF(G1518-U1518&gt;0,G1518-U1518,0)-IF(T1518-F1518&gt;0,T1518-F1518,0)&gt;0,G1518-F1518+1-IF(G1518-U1518&gt;0,G1518-U1518,0)-IF(T1518-F1518&gt;0,T1518-F1518,0),0)</f>
        <v>0</v>
      </c>
      <c r="W1518" s="206" t="str">
        <f t="shared" ref="W1518:W1523" si="935">IF(V1518&gt;0,H1518,"")</f>
        <v/>
      </c>
      <c r="X1518" s="206">
        <f t="shared" ref="X1518:X1523" si="936">IF(AND($V1518&gt;0,$I1518=1),P1518/$E1518*$V1518,0)</f>
        <v>0</v>
      </c>
      <c r="Y1518" s="209">
        <f t="shared" ref="Y1518:Y1523" si="937">IF(AND($V1518&gt;0,$I1518&lt;&gt;1),Q1518/$E1518*$V1518,0)</f>
        <v>0</v>
      </c>
    </row>
    <row r="1519" spans="2:25" ht="16.5" hidden="1" thickTop="1" thickBot="1" x14ac:dyDescent="0.3">
      <c r="B1519" s="60">
        <f>B1518</f>
        <v>28</v>
      </c>
      <c r="C1519" s="102">
        <v>191</v>
      </c>
      <c r="D1519" s="192" t="str">
        <f t="shared" si="900"/>
        <v>V</v>
      </c>
      <c r="E1519" s="62"/>
      <c r="F1519" s="105"/>
      <c r="G1519" s="105"/>
      <c r="H1519" s="61"/>
      <c r="I1519" s="61"/>
      <c r="J1519" s="62"/>
      <c r="K1519" s="63"/>
      <c r="L1519" s="61"/>
      <c r="M1519" s="61"/>
      <c r="N1519" s="111"/>
      <c r="O1519" s="112"/>
      <c r="P1519" s="113"/>
      <c r="Q1519" s="114"/>
      <c r="R1519" s="64"/>
      <c r="S1519" s="108"/>
      <c r="T1519" s="203">
        <f t="shared" si="917"/>
        <v>43647</v>
      </c>
      <c r="U1519" s="204">
        <f t="shared" si="918"/>
        <v>43677</v>
      </c>
      <c r="V1519" s="207">
        <f t="shared" ref="V1519:V1524" si="938">IF(G1519-F1519+1-IF(G1519-U1519&gt;0,G1519-U1519,0)-IF(T1519-F1519&gt;0,T1519-F1519,0)&gt;0,G1519-F1519+1-IF(G1519-U1519&gt;0,G1519-U1519,0)-IF(T1519-F1519&gt;0,T1519-F1519,0),0)</f>
        <v>0</v>
      </c>
      <c r="W1519" s="206" t="str">
        <f t="shared" si="935"/>
        <v/>
      </c>
      <c r="X1519" s="206">
        <f t="shared" si="936"/>
        <v>0</v>
      </c>
      <c r="Y1519" s="209">
        <f t="shared" si="937"/>
        <v>0</v>
      </c>
    </row>
    <row r="1520" spans="2:25" ht="16.5" hidden="1" thickTop="1" thickBot="1" x14ac:dyDescent="0.3">
      <c r="B1520" s="60">
        <f>B1518</f>
        <v>28</v>
      </c>
      <c r="C1520" s="102">
        <v>192</v>
      </c>
      <c r="D1520" s="192" t="str">
        <f t="shared" si="900"/>
        <v>V</v>
      </c>
      <c r="E1520" s="62"/>
      <c r="F1520" s="105"/>
      <c r="G1520" s="105"/>
      <c r="H1520" s="61"/>
      <c r="I1520" s="61"/>
      <c r="J1520" s="62"/>
      <c r="K1520" s="63"/>
      <c r="L1520" s="61"/>
      <c r="M1520" s="61"/>
      <c r="N1520" s="111"/>
      <c r="O1520" s="112"/>
      <c r="P1520" s="113"/>
      <c r="Q1520" s="114"/>
      <c r="R1520" s="64"/>
      <c r="S1520" s="108"/>
      <c r="T1520" s="203">
        <f t="shared" si="917"/>
        <v>43647</v>
      </c>
      <c r="U1520" s="204">
        <f t="shared" si="918"/>
        <v>43677</v>
      </c>
      <c r="V1520" s="207">
        <f t="shared" si="938"/>
        <v>0</v>
      </c>
      <c r="W1520" s="206" t="str">
        <f t="shared" si="935"/>
        <v/>
      </c>
      <c r="X1520" s="206">
        <f t="shared" si="936"/>
        <v>0</v>
      </c>
      <c r="Y1520" s="209">
        <f t="shared" si="937"/>
        <v>0</v>
      </c>
    </row>
    <row r="1521" spans="2:25" ht="16.5" hidden="1" thickTop="1" thickBot="1" x14ac:dyDescent="0.3">
      <c r="B1521" s="60">
        <f>B1518</f>
        <v>28</v>
      </c>
      <c r="C1521" s="102">
        <v>193</v>
      </c>
      <c r="D1521" s="192" t="str">
        <f t="shared" si="900"/>
        <v>V</v>
      </c>
      <c r="E1521" s="62"/>
      <c r="F1521" s="105"/>
      <c r="G1521" s="105"/>
      <c r="H1521" s="61"/>
      <c r="I1521" s="61"/>
      <c r="J1521" s="62"/>
      <c r="K1521" s="63"/>
      <c r="L1521" s="61"/>
      <c r="M1521" s="61"/>
      <c r="N1521" s="111"/>
      <c r="O1521" s="112"/>
      <c r="P1521" s="113"/>
      <c r="Q1521" s="114"/>
      <c r="R1521" s="64"/>
      <c r="S1521" s="108"/>
      <c r="T1521" s="203">
        <f t="shared" si="917"/>
        <v>43647</v>
      </c>
      <c r="U1521" s="204">
        <f t="shared" si="918"/>
        <v>43677</v>
      </c>
      <c r="V1521" s="207">
        <f t="shared" si="938"/>
        <v>0</v>
      </c>
      <c r="W1521" s="206" t="str">
        <f t="shared" si="935"/>
        <v/>
      </c>
      <c r="X1521" s="206">
        <f t="shared" si="936"/>
        <v>0</v>
      </c>
      <c r="Y1521" s="209">
        <f t="shared" si="937"/>
        <v>0</v>
      </c>
    </row>
    <row r="1522" spans="2:25" ht="16.5" hidden="1" thickTop="1" thickBot="1" x14ac:dyDescent="0.3">
      <c r="B1522" s="60">
        <f>B1518</f>
        <v>28</v>
      </c>
      <c r="C1522" s="102">
        <v>194</v>
      </c>
      <c r="D1522" s="192" t="str">
        <f t="shared" si="900"/>
        <v>V</v>
      </c>
      <c r="E1522" s="62"/>
      <c r="F1522" s="105"/>
      <c r="G1522" s="105"/>
      <c r="H1522" s="61"/>
      <c r="I1522" s="61"/>
      <c r="J1522" s="62"/>
      <c r="K1522" s="63"/>
      <c r="L1522" s="61"/>
      <c r="M1522" s="61"/>
      <c r="N1522" s="111"/>
      <c r="O1522" s="112"/>
      <c r="P1522" s="113"/>
      <c r="Q1522" s="114"/>
      <c r="R1522" s="64"/>
      <c r="S1522" s="108"/>
      <c r="T1522" s="203">
        <f t="shared" si="917"/>
        <v>43647</v>
      </c>
      <c r="U1522" s="204">
        <f t="shared" si="918"/>
        <v>43677</v>
      </c>
      <c r="V1522" s="207">
        <f t="shared" si="938"/>
        <v>0</v>
      </c>
      <c r="W1522" s="206" t="str">
        <f t="shared" si="935"/>
        <v/>
      </c>
      <c r="X1522" s="206">
        <f t="shared" si="936"/>
        <v>0</v>
      </c>
      <c r="Y1522" s="209">
        <f t="shared" si="937"/>
        <v>0</v>
      </c>
    </row>
    <row r="1523" spans="2:25" ht="16.5" hidden="1" thickTop="1" thickBot="1" x14ac:dyDescent="0.3">
      <c r="B1523" s="60">
        <f>B1518</f>
        <v>28</v>
      </c>
      <c r="C1523" s="102">
        <v>195</v>
      </c>
      <c r="D1523" s="192" t="str">
        <f t="shared" ref="D1523:D1586" si="939">D1522</f>
        <v>V</v>
      </c>
      <c r="E1523" s="62"/>
      <c r="F1523" s="105"/>
      <c r="G1523" s="105"/>
      <c r="H1523" s="61"/>
      <c r="I1523" s="61"/>
      <c r="J1523" s="62"/>
      <c r="K1523" s="63"/>
      <c r="L1523" s="61"/>
      <c r="M1523" s="61"/>
      <c r="N1523" s="111"/>
      <c r="O1523" s="112"/>
      <c r="P1523" s="113"/>
      <c r="Q1523" s="114"/>
      <c r="R1523" s="64"/>
      <c r="S1523" s="108"/>
      <c r="T1523" s="203">
        <f t="shared" si="917"/>
        <v>43647</v>
      </c>
      <c r="U1523" s="204">
        <f t="shared" si="918"/>
        <v>43677</v>
      </c>
      <c r="V1523" s="207">
        <f t="shared" si="938"/>
        <v>0</v>
      </c>
      <c r="W1523" s="206" t="str">
        <f t="shared" si="935"/>
        <v/>
      </c>
      <c r="X1523" s="206">
        <f t="shared" si="936"/>
        <v>0</v>
      </c>
      <c r="Y1523" s="209">
        <f t="shared" si="937"/>
        <v>0</v>
      </c>
    </row>
    <row r="1524" spans="2:25" ht="16.5" hidden="1" thickTop="1" thickBot="1" x14ac:dyDescent="0.3">
      <c r="B1524" s="141">
        <f>B1518</f>
        <v>28</v>
      </c>
      <c r="C1524" s="142">
        <v>196</v>
      </c>
      <c r="D1524" s="194" t="str">
        <f t="shared" si="939"/>
        <v>V</v>
      </c>
      <c r="E1524" s="143"/>
      <c r="F1524" s="144"/>
      <c r="G1524" s="144"/>
      <c r="H1524" s="145"/>
      <c r="I1524" s="145"/>
      <c r="J1524" s="436" t="s">
        <v>181</v>
      </c>
      <c r="K1524" s="437"/>
      <c r="L1524" s="438"/>
      <c r="M1524" s="145"/>
      <c r="N1524" s="146"/>
      <c r="O1524" s="147"/>
      <c r="P1524" s="148"/>
      <c r="Q1524" s="149"/>
      <c r="R1524" s="150"/>
      <c r="S1524" s="151"/>
      <c r="T1524" s="213">
        <f t="shared" si="917"/>
        <v>43647</v>
      </c>
      <c r="U1524" s="214">
        <f t="shared" si="918"/>
        <v>43677</v>
      </c>
      <c r="V1524" s="210">
        <f t="shared" si="938"/>
        <v>0</v>
      </c>
      <c r="W1524" s="211"/>
      <c r="X1524" s="211">
        <f>IF(AND($V1524&gt;0,$I1524=1),IF($E1524=10,P1524/10,P1524/$V1524),0)</f>
        <v>0</v>
      </c>
      <c r="Y1524" s="212">
        <f>IF(AND($V1518&gt;0,$I1524&lt;&gt;1),Q1524/E1518*V1518,0)</f>
        <v>0</v>
      </c>
    </row>
    <row r="1525" spans="2:25" ht="30.75" thickTop="1" x14ac:dyDescent="0.25">
      <c r="B1525" s="129">
        <f>B1523+1</f>
        <v>29</v>
      </c>
      <c r="C1525" s="130">
        <v>197</v>
      </c>
      <c r="D1525" s="196" t="str">
        <f t="shared" si="939"/>
        <v>V</v>
      </c>
      <c r="E1525" s="152">
        <v>10</v>
      </c>
      <c r="F1525" s="153">
        <v>43675</v>
      </c>
      <c r="G1525" s="153">
        <v>43684</v>
      </c>
      <c r="H1525" s="154" t="s">
        <v>328</v>
      </c>
      <c r="I1525" s="154">
        <v>1</v>
      </c>
      <c r="J1525" s="152" t="s">
        <v>168</v>
      </c>
      <c r="K1525" s="155" t="s">
        <v>16</v>
      </c>
      <c r="L1525" s="154">
        <v>1</v>
      </c>
      <c r="M1525" s="154">
        <v>8</v>
      </c>
      <c r="N1525" s="156">
        <v>75</v>
      </c>
      <c r="O1525" s="157">
        <v>75</v>
      </c>
      <c r="P1525" s="158">
        <v>75</v>
      </c>
      <c r="Q1525" s="159"/>
      <c r="R1525" s="160" t="s">
        <v>4</v>
      </c>
      <c r="S1525" s="161">
        <v>43620</v>
      </c>
      <c r="T1525" s="203">
        <f t="shared" si="917"/>
        <v>43647</v>
      </c>
      <c r="U1525" s="204">
        <f t="shared" si="918"/>
        <v>43677</v>
      </c>
      <c r="V1525" s="207">
        <f>IF(G1525-F1525+1-IF(G1525-U1525&gt;0,G1525-U1525,0)-IF(T1525-F1525&gt;0,T1525-F1525,0)&gt;0,G1525-F1525+1-IF(G1525-U1525&gt;0,G1525-U1525,0)-IF(T1525-F1525&gt;0,T1525-F1525,0),0)</f>
        <v>3</v>
      </c>
      <c r="W1525" s="206" t="str">
        <f t="shared" ref="W1525:W1530" si="940">IF(V1525&gt;0,H1525,"")</f>
        <v>Мира Душкова</v>
      </c>
      <c r="X1525" s="206">
        <f t="shared" ref="X1525:X1530" si="941">IF(AND($V1525&gt;0,$I1525=1),P1525/$E1525*$V1525,0)</f>
        <v>22.5</v>
      </c>
      <c r="Y1525" s="209">
        <f t="shared" ref="Y1525:Y1530" si="942">IF(AND($V1525&gt;0,$I1525&lt;&gt;1),Q1525/$E1525*$V1525,0)</f>
        <v>0</v>
      </c>
    </row>
    <row r="1526" spans="2:25" ht="45" x14ac:dyDescent="0.25">
      <c r="B1526" s="60">
        <f>B1525</f>
        <v>29</v>
      </c>
      <c r="C1526" s="102">
        <v>198</v>
      </c>
      <c r="D1526" s="192" t="str">
        <f t="shared" si="939"/>
        <v>V</v>
      </c>
      <c r="E1526" s="162">
        <v>10</v>
      </c>
      <c r="F1526" s="163">
        <v>43675</v>
      </c>
      <c r="G1526" s="163">
        <v>43684</v>
      </c>
      <c r="H1526" s="164" t="s">
        <v>329</v>
      </c>
      <c r="I1526" s="164">
        <v>2</v>
      </c>
      <c r="J1526" s="162" t="s">
        <v>167</v>
      </c>
      <c r="K1526" s="165" t="s">
        <v>16</v>
      </c>
      <c r="L1526" s="164">
        <v>1</v>
      </c>
      <c r="M1526" s="164">
        <v>8</v>
      </c>
      <c r="N1526" s="166">
        <v>90</v>
      </c>
      <c r="O1526" s="167">
        <v>90</v>
      </c>
      <c r="P1526" s="168"/>
      <c r="Q1526" s="169">
        <v>90</v>
      </c>
      <c r="R1526" s="170" t="s">
        <v>4</v>
      </c>
      <c r="S1526" s="171">
        <v>43620</v>
      </c>
      <c r="T1526" s="203">
        <f t="shared" si="917"/>
        <v>43647</v>
      </c>
      <c r="U1526" s="204">
        <f t="shared" si="918"/>
        <v>43677</v>
      </c>
      <c r="V1526" s="207">
        <f t="shared" ref="V1526:V1531" si="943">IF(G1526-F1526+1-IF(G1526-U1526&gt;0,G1526-U1526,0)-IF(T1526-F1526&gt;0,T1526-F1526,0)&gt;0,G1526-F1526+1-IF(G1526-U1526&gt;0,G1526-U1526,0)-IF(T1526-F1526&gt;0,T1526-F1526,0),0)</f>
        <v>3</v>
      </c>
      <c r="W1526" s="206" t="str">
        <f t="shared" si="940"/>
        <v>Светлозар Попов</v>
      </c>
      <c r="X1526" s="206">
        <f t="shared" si="941"/>
        <v>0</v>
      </c>
      <c r="Y1526" s="209">
        <f t="shared" si="942"/>
        <v>27</v>
      </c>
    </row>
    <row r="1527" spans="2:25" hidden="1" x14ac:dyDescent="0.25">
      <c r="B1527" s="60">
        <f>B1525</f>
        <v>29</v>
      </c>
      <c r="C1527" s="102">
        <v>199</v>
      </c>
      <c r="D1527" s="192" t="str">
        <f t="shared" si="939"/>
        <v>V</v>
      </c>
      <c r="E1527" s="162"/>
      <c r="F1527" s="163"/>
      <c r="G1527" s="163"/>
      <c r="H1527" s="164"/>
      <c r="I1527" s="164"/>
      <c r="J1527" s="162"/>
      <c r="K1527" s="165"/>
      <c r="L1527" s="164"/>
      <c r="M1527" s="164"/>
      <c r="N1527" s="166"/>
      <c r="O1527" s="167"/>
      <c r="P1527" s="168"/>
      <c r="Q1527" s="169"/>
      <c r="R1527" s="170"/>
      <c r="S1527" s="171"/>
      <c r="T1527" s="203">
        <f t="shared" si="917"/>
        <v>43647</v>
      </c>
      <c r="U1527" s="204">
        <f t="shared" si="918"/>
        <v>43677</v>
      </c>
      <c r="V1527" s="207">
        <f t="shared" si="943"/>
        <v>0</v>
      </c>
      <c r="W1527" s="206" t="str">
        <f t="shared" si="940"/>
        <v/>
      </c>
      <c r="X1527" s="206">
        <f t="shared" si="941"/>
        <v>0</v>
      </c>
      <c r="Y1527" s="209">
        <f t="shared" si="942"/>
        <v>0</v>
      </c>
    </row>
    <row r="1528" spans="2:25" hidden="1" x14ac:dyDescent="0.25">
      <c r="B1528" s="60">
        <f>B1525</f>
        <v>29</v>
      </c>
      <c r="C1528" s="102">
        <v>200</v>
      </c>
      <c r="D1528" s="192" t="str">
        <f t="shared" si="939"/>
        <v>V</v>
      </c>
      <c r="E1528" s="162"/>
      <c r="F1528" s="163"/>
      <c r="G1528" s="163"/>
      <c r="H1528" s="164"/>
      <c r="I1528" s="164"/>
      <c r="J1528" s="162"/>
      <c r="K1528" s="165"/>
      <c r="L1528" s="164"/>
      <c r="M1528" s="164"/>
      <c r="N1528" s="166"/>
      <c r="O1528" s="167"/>
      <c r="P1528" s="168"/>
      <c r="Q1528" s="169"/>
      <c r="R1528" s="170"/>
      <c r="S1528" s="171"/>
      <c r="T1528" s="203">
        <f t="shared" si="917"/>
        <v>43647</v>
      </c>
      <c r="U1528" s="204">
        <f t="shared" si="918"/>
        <v>43677</v>
      </c>
      <c r="V1528" s="207">
        <f t="shared" si="943"/>
        <v>0</v>
      </c>
      <c r="W1528" s="206" t="str">
        <f t="shared" si="940"/>
        <v/>
      </c>
      <c r="X1528" s="206">
        <f t="shared" si="941"/>
        <v>0</v>
      </c>
      <c r="Y1528" s="209">
        <f t="shared" si="942"/>
        <v>0</v>
      </c>
    </row>
    <row r="1529" spans="2:25" hidden="1" x14ac:dyDescent="0.25">
      <c r="B1529" s="60">
        <f>B1525</f>
        <v>29</v>
      </c>
      <c r="C1529" s="102">
        <v>201</v>
      </c>
      <c r="D1529" s="192" t="str">
        <f t="shared" si="939"/>
        <v>V</v>
      </c>
      <c r="E1529" s="162"/>
      <c r="F1529" s="163"/>
      <c r="G1529" s="163"/>
      <c r="H1529" s="164"/>
      <c r="I1529" s="164"/>
      <c r="J1529" s="162"/>
      <c r="K1529" s="165"/>
      <c r="L1529" s="164"/>
      <c r="M1529" s="164"/>
      <c r="N1529" s="166"/>
      <c r="O1529" s="167"/>
      <c r="P1529" s="168"/>
      <c r="Q1529" s="169"/>
      <c r="R1529" s="170"/>
      <c r="S1529" s="171"/>
      <c r="T1529" s="203">
        <f t="shared" si="917"/>
        <v>43647</v>
      </c>
      <c r="U1529" s="204">
        <f t="shared" si="918"/>
        <v>43677</v>
      </c>
      <c r="V1529" s="207">
        <f t="shared" si="943"/>
        <v>0</v>
      </c>
      <c r="W1529" s="206" t="str">
        <f t="shared" si="940"/>
        <v/>
      </c>
      <c r="X1529" s="206">
        <f t="shared" si="941"/>
        <v>0</v>
      </c>
      <c r="Y1529" s="209">
        <f t="shared" si="942"/>
        <v>0</v>
      </c>
    </row>
    <row r="1530" spans="2:25" hidden="1" x14ac:dyDescent="0.25">
      <c r="B1530" s="60">
        <f>B1525</f>
        <v>29</v>
      </c>
      <c r="C1530" s="102">
        <v>202</v>
      </c>
      <c r="D1530" s="192" t="str">
        <f t="shared" si="939"/>
        <v>V</v>
      </c>
      <c r="E1530" s="172"/>
      <c r="F1530" s="173"/>
      <c r="G1530" s="173"/>
      <c r="H1530" s="174"/>
      <c r="I1530" s="174"/>
      <c r="J1530" s="172"/>
      <c r="K1530" s="175"/>
      <c r="L1530" s="174"/>
      <c r="M1530" s="174"/>
      <c r="N1530" s="176"/>
      <c r="O1530" s="177"/>
      <c r="P1530" s="178"/>
      <c r="Q1530" s="179"/>
      <c r="R1530" s="180"/>
      <c r="S1530" s="181"/>
      <c r="T1530" s="203">
        <f t="shared" si="917"/>
        <v>43647</v>
      </c>
      <c r="U1530" s="204">
        <f t="shared" si="918"/>
        <v>43677</v>
      </c>
      <c r="V1530" s="207">
        <f t="shared" si="943"/>
        <v>0</v>
      </c>
      <c r="W1530" s="206" t="str">
        <f t="shared" si="940"/>
        <v/>
      </c>
      <c r="X1530" s="206">
        <f t="shared" si="941"/>
        <v>0</v>
      </c>
      <c r="Y1530" s="209">
        <f t="shared" si="942"/>
        <v>0</v>
      </c>
    </row>
    <row r="1531" spans="2:25" ht="15.75" thickBot="1" x14ac:dyDescent="0.3">
      <c r="B1531" s="141">
        <f>B1525</f>
        <v>29</v>
      </c>
      <c r="C1531" s="142">
        <v>203</v>
      </c>
      <c r="D1531" s="194" t="str">
        <f t="shared" si="939"/>
        <v>V</v>
      </c>
      <c r="E1531" s="189"/>
      <c r="F1531" s="190"/>
      <c r="G1531" s="190"/>
      <c r="H1531" s="182"/>
      <c r="I1531" s="182"/>
      <c r="J1531" s="436" t="s">
        <v>181</v>
      </c>
      <c r="K1531" s="437"/>
      <c r="L1531" s="438"/>
      <c r="M1531" s="182"/>
      <c r="N1531" s="183">
        <v>10</v>
      </c>
      <c r="O1531" s="184">
        <v>10</v>
      </c>
      <c r="P1531" s="185"/>
      <c r="Q1531" s="186">
        <v>10</v>
      </c>
      <c r="R1531" s="187" t="s">
        <v>4</v>
      </c>
      <c r="S1531" s="188">
        <v>43620</v>
      </c>
      <c r="T1531" s="213">
        <f t="shared" si="917"/>
        <v>43647</v>
      </c>
      <c r="U1531" s="214">
        <f t="shared" si="918"/>
        <v>43677</v>
      </c>
      <c r="V1531" s="210">
        <f t="shared" si="943"/>
        <v>0</v>
      </c>
      <c r="W1531" s="211"/>
      <c r="X1531" s="211">
        <f>IF(AND($V1531&gt;0,$I1531=1),IF($E1531=10,P1531/10,P1531/$V1531),0)</f>
        <v>0</v>
      </c>
      <c r="Y1531" s="212">
        <f>IF(AND($V1525&gt;0,$I1531&lt;&gt;1),Q1531/E1525*V1525,0)</f>
        <v>3</v>
      </c>
    </row>
    <row r="1532" spans="2:25" ht="45.75" thickTop="1" x14ac:dyDescent="0.25">
      <c r="B1532" s="129">
        <f>B1530+1</f>
        <v>30</v>
      </c>
      <c r="C1532" s="130">
        <v>204</v>
      </c>
      <c r="D1532" s="196" t="str">
        <f t="shared" si="939"/>
        <v>V</v>
      </c>
      <c r="E1532" s="131">
        <v>10</v>
      </c>
      <c r="F1532" s="132">
        <v>43675</v>
      </c>
      <c r="G1532" s="132">
        <v>43684</v>
      </c>
      <c r="H1532" s="133" t="s">
        <v>330</v>
      </c>
      <c r="I1532" s="133">
        <v>2</v>
      </c>
      <c r="J1532" s="131" t="s">
        <v>167</v>
      </c>
      <c r="K1532" s="134" t="s">
        <v>16</v>
      </c>
      <c r="L1532" s="133">
        <v>1</v>
      </c>
      <c r="M1532" s="133">
        <v>8</v>
      </c>
      <c r="N1532" s="135">
        <v>90</v>
      </c>
      <c r="O1532" s="136">
        <v>90</v>
      </c>
      <c r="P1532" s="137"/>
      <c r="Q1532" s="138">
        <v>90</v>
      </c>
      <c r="R1532" s="139" t="s">
        <v>4</v>
      </c>
      <c r="S1532" s="140">
        <v>43620</v>
      </c>
      <c r="T1532" s="203">
        <f t="shared" si="917"/>
        <v>43647</v>
      </c>
      <c r="U1532" s="204">
        <f t="shared" si="918"/>
        <v>43677</v>
      </c>
      <c r="V1532" s="207">
        <f>IF(G1532-F1532+1-IF(G1532-U1532&gt;0,G1532-U1532,0)-IF(T1532-F1532&gt;0,T1532-F1532,0)&gt;0,G1532-F1532+1-IF(G1532-U1532&gt;0,G1532-U1532,0)-IF(T1532-F1532&gt;0,T1532-F1532,0),0)</f>
        <v>3</v>
      </c>
      <c r="W1532" s="206" t="str">
        <f t="shared" ref="W1532:W1537" si="944">IF(V1532&gt;0,H1532,"")</f>
        <v>Живодар Душков</v>
      </c>
      <c r="X1532" s="206">
        <f t="shared" ref="X1532:X1537" si="945">IF(AND($V1532&gt;0,$I1532=1),P1532/$E1532*$V1532,0)</f>
        <v>0</v>
      </c>
      <c r="Y1532" s="209">
        <f t="shared" ref="Y1532:Y1537" si="946">IF(AND($V1532&gt;0,$I1532&lt;&gt;1),Q1532/$E1532*$V1532,0)</f>
        <v>27</v>
      </c>
    </row>
    <row r="1533" spans="2:25" ht="45" x14ac:dyDescent="0.25">
      <c r="B1533" s="60">
        <f>B1532</f>
        <v>30</v>
      </c>
      <c r="C1533" s="102">
        <v>205</v>
      </c>
      <c r="D1533" s="192" t="str">
        <f t="shared" si="939"/>
        <v>V</v>
      </c>
      <c r="E1533" s="62">
        <v>10</v>
      </c>
      <c r="F1533" s="105">
        <v>43675</v>
      </c>
      <c r="G1533" s="105">
        <v>43684</v>
      </c>
      <c r="H1533" s="61" t="s">
        <v>331</v>
      </c>
      <c r="I1533" s="61">
        <v>2</v>
      </c>
      <c r="J1533" s="62" t="s">
        <v>167</v>
      </c>
      <c r="K1533" s="63" t="s">
        <v>16</v>
      </c>
      <c r="L1533" s="61">
        <v>1</v>
      </c>
      <c r="M1533" s="61">
        <v>8</v>
      </c>
      <c r="N1533" s="111">
        <v>90</v>
      </c>
      <c r="O1533" s="112">
        <v>90</v>
      </c>
      <c r="P1533" s="113"/>
      <c r="Q1533" s="114">
        <v>90</v>
      </c>
      <c r="R1533" s="64" t="s">
        <v>4</v>
      </c>
      <c r="S1533" s="108">
        <v>43620</v>
      </c>
      <c r="T1533" s="203">
        <f t="shared" si="917"/>
        <v>43647</v>
      </c>
      <c r="U1533" s="204">
        <f t="shared" si="918"/>
        <v>43677</v>
      </c>
      <c r="V1533" s="207">
        <f t="shared" ref="V1533:V1538" si="947">IF(G1533-F1533+1-IF(G1533-U1533&gt;0,G1533-U1533,0)-IF(T1533-F1533&gt;0,T1533-F1533,0)&gt;0,G1533-F1533+1-IF(G1533-U1533&gt;0,G1533-U1533,0)-IF(T1533-F1533&gt;0,T1533-F1533,0),0)</f>
        <v>3</v>
      </c>
      <c r="W1533" s="206" t="str">
        <f t="shared" si="944"/>
        <v>Лазар Попов</v>
      </c>
      <c r="X1533" s="206">
        <f t="shared" si="945"/>
        <v>0</v>
      </c>
      <c r="Y1533" s="209">
        <f t="shared" si="946"/>
        <v>27</v>
      </c>
    </row>
    <row r="1534" spans="2:25" hidden="1" x14ac:dyDescent="0.25">
      <c r="B1534" s="60">
        <f>B1532</f>
        <v>30</v>
      </c>
      <c r="C1534" s="102">
        <v>206</v>
      </c>
      <c r="D1534" s="192" t="str">
        <f t="shared" si="939"/>
        <v>V</v>
      </c>
      <c r="E1534" s="62"/>
      <c r="F1534" s="105"/>
      <c r="G1534" s="105"/>
      <c r="H1534" s="61"/>
      <c r="I1534" s="61"/>
      <c r="J1534" s="62"/>
      <c r="K1534" s="63"/>
      <c r="L1534" s="61"/>
      <c r="M1534" s="61"/>
      <c r="N1534" s="111"/>
      <c r="O1534" s="112"/>
      <c r="P1534" s="113"/>
      <c r="Q1534" s="114"/>
      <c r="R1534" s="64"/>
      <c r="S1534" s="108"/>
      <c r="T1534" s="203">
        <f t="shared" si="917"/>
        <v>43647</v>
      </c>
      <c r="U1534" s="204">
        <f t="shared" si="918"/>
        <v>43677</v>
      </c>
      <c r="V1534" s="207">
        <f t="shared" si="947"/>
        <v>0</v>
      </c>
      <c r="W1534" s="206" t="str">
        <f t="shared" si="944"/>
        <v/>
      </c>
      <c r="X1534" s="206">
        <f t="shared" si="945"/>
        <v>0</v>
      </c>
      <c r="Y1534" s="209">
        <f t="shared" si="946"/>
        <v>0</v>
      </c>
    </row>
    <row r="1535" spans="2:25" hidden="1" x14ac:dyDescent="0.25">
      <c r="B1535" s="60">
        <f>B1532</f>
        <v>30</v>
      </c>
      <c r="C1535" s="102">
        <v>207</v>
      </c>
      <c r="D1535" s="192" t="str">
        <f t="shared" si="939"/>
        <v>V</v>
      </c>
      <c r="E1535" s="62"/>
      <c r="F1535" s="105"/>
      <c r="G1535" s="105"/>
      <c r="H1535" s="61"/>
      <c r="I1535" s="61"/>
      <c r="J1535" s="62"/>
      <c r="K1535" s="63"/>
      <c r="L1535" s="61"/>
      <c r="M1535" s="61"/>
      <c r="N1535" s="111"/>
      <c r="O1535" s="112"/>
      <c r="P1535" s="113"/>
      <c r="Q1535" s="114"/>
      <c r="R1535" s="64"/>
      <c r="S1535" s="108"/>
      <c r="T1535" s="203">
        <f t="shared" si="917"/>
        <v>43647</v>
      </c>
      <c r="U1535" s="204">
        <f t="shared" si="918"/>
        <v>43677</v>
      </c>
      <c r="V1535" s="207">
        <f t="shared" si="947"/>
        <v>0</v>
      </c>
      <c r="W1535" s="206" t="str">
        <f t="shared" si="944"/>
        <v/>
      </c>
      <c r="X1535" s="206">
        <f t="shared" si="945"/>
        <v>0</v>
      </c>
      <c r="Y1535" s="209">
        <f t="shared" si="946"/>
        <v>0</v>
      </c>
    </row>
    <row r="1536" spans="2:25" hidden="1" x14ac:dyDescent="0.25">
      <c r="B1536" s="60">
        <f>B1532</f>
        <v>30</v>
      </c>
      <c r="C1536" s="102">
        <v>208</v>
      </c>
      <c r="D1536" s="192" t="str">
        <f t="shared" si="939"/>
        <v>V</v>
      </c>
      <c r="E1536" s="62"/>
      <c r="F1536" s="105"/>
      <c r="G1536" s="105"/>
      <c r="H1536" s="61"/>
      <c r="I1536" s="61"/>
      <c r="J1536" s="62"/>
      <c r="K1536" s="63"/>
      <c r="L1536" s="61"/>
      <c r="M1536" s="61"/>
      <c r="N1536" s="111"/>
      <c r="O1536" s="112"/>
      <c r="P1536" s="113"/>
      <c r="Q1536" s="114"/>
      <c r="R1536" s="64"/>
      <c r="S1536" s="108"/>
      <c r="T1536" s="203">
        <f t="shared" si="917"/>
        <v>43647</v>
      </c>
      <c r="U1536" s="204">
        <f t="shared" si="918"/>
        <v>43677</v>
      </c>
      <c r="V1536" s="207">
        <f t="shared" si="947"/>
        <v>0</v>
      </c>
      <c r="W1536" s="206" t="str">
        <f t="shared" si="944"/>
        <v/>
      </c>
      <c r="X1536" s="206">
        <f t="shared" si="945"/>
        <v>0</v>
      </c>
      <c r="Y1536" s="209">
        <f t="shared" si="946"/>
        <v>0</v>
      </c>
    </row>
    <row r="1537" spans="2:25" hidden="1" x14ac:dyDescent="0.25">
      <c r="B1537" s="60">
        <f>B1532</f>
        <v>30</v>
      </c>
      <c r="C1537" s="102">
        <v>209</v>
      </c>
      <c r="D1537" s="192" t="str">
        <f t="shared" si="939"/>
        <v>V</v>
      </c>
      <c r="E1537" s="62"/>
      <c r="F1537" s="105"/>
      <c r="G1537" s="105"/>
      <c r="H1537" s="61"/>
      <c r="I1537" s="61"/>
      <c r="J1537" s="62"/>
      <c r="K1537" s="63"/>
      <c r="L1537" s="61"/>
      <c r="M1537" s="61"/>
      <c r="N1537" s="111"/>
      <c r="O1537" s="112"/>
      <c r="P1537" s="113"/>
      <c r="Q1537" s="114"/>
      <c r="R1537" s="64"/>
      <c r="S1537" s="108"/>
      <c r="T1537" s="203">
        <f t="shared" si="917"/>
        <v>43647</v>
      </c>
      <c r="U1537" s="204">
        <f t="shared" si="918"/>
        <v>43677</v>
      </c>
      <c r="V1537" s="207">
        <f t="shared" si="947"/>
        <v>0</v>
      </c>
      <c r="W1537" s="206" t="str">
        <f t="shared" si="944"/>
        <v/>
      </c>
      <c r="X1537" s="206">
        <f t="shared" si="945"/>
        <v>0</v>
      </c>
      <c r="Y1537" s="209">
        <f t="shared" si="946"/>
        <v>0</v>
      </c>
    </row>
    <row r="1538" spans="2:25" ht="15.75" thickBot="1" x14ac:dyDescent="0.3">
      <c r="B1538" s="141">
        <f>B1532</f>
        <v>30</v>
      </c>
      <c r="C1538" s="142">
        <v>210</v>
      </c>
      <c r="D1538" s="194" t="str">
        <f t="shared" si="939"/>
        <v>V</v>
      </c>
      <c r="E1538" s="143"/>
      <c r="F1538" s="144"/>
      <c r="G1538" s="144"/>
      <c r="H1538" s="145"/>
      <c r="I1538" s="145"/>
      <c r="J1538" s="436" t="s">
        <v>181</v>
      </c>
      <c r="K1538" s="437"/>
      <c r="L1538" s="438"/>
      <c r="M1538" s="145"/>
      <c r="N1538" s="146">
        <v>10</v>
      </c>
      <c r="O1538" s="147">
        <v>10</v>
      </c>
      <c r="P1538" s="148"/>
      <c r="Q1538" s="149">
        <v>10</v>
      </c>
      <c r="R1538" s="150" t="s">
        <v>4</v>
      </c>
      <c r="S1538" s="151">
        <v>43620</v>
      </c>
      <c r="T1538" s="213">
        <f t="shared" si="917"/>
        <v>43647</v>
      </c>
      <c r="U1538" s="214">
        <f t="shared" si="918"/>
        <v>43677</v>
      </c>
      <c r="V1538" s="210">
        <f t="shared" si="947"/>
        <v>0</v>
      </c>
      <c r="W1538" s="211"/>
      <c r="X1538" s="211">
        <f>IF(AND($V1538&gt;0,$I1538=1),IF($E1538=10,P1538/10,P1538/$V1538),0)</f>
        <v>0</v>
      </c>
      <c r="Y1538" s="212">
        <f>IF(AND($V1532&gt;0,$I1538&lt;&gt;1),Q1538/E1532*V1532,0)</f>
        <v>3</v>
      </c>
    </row>
    <row r="1539" spans="2:25" ht="30.75" thickTop="1" x14ac:dyDescent="0.25">
      <c r="B1539" s="129">
        <f>B1537+1</f>
        <v>31</v>
      </c>
      <c r="C1539" s="130">
        <v>211</v>
      </c>
      <c r="D1539" s="196" t="str">
        <f t="shared" si="939"/>
        <v>V</v>
      </c>
      <c r="E1539" s="152">
        <v>10</v>
      </c>
      <c r="F1539" s="153">
        <v>43675</v>
      </c>
      <c r="G1539" s="153">
        <v>43684</v>
      </c>
      <c r="H1539" s="154" t="s">
        <v>332</v>
      </c>
      <c r="I1539" s="154">
        <v>1</v>
      </c>
      <c r="J1539" s="152" t="s">
        <v>168</v>
      </c>
      <c r="K1539" s="155" t="s">
        <v>16</v>
      </c>
      <c r="L1539" s="154">
        <v>1</v>
      </c>
      <c r="M1539" s="154">
        <v>8</v>
      </c>
      <c r="N1539" s="156">
        <v>75</v>
      </c>
      <c r="O1539" s="157">
        <v>75</v>
      </c>
      <c r="P1539" s="158">
        <v>75</v>
      </c>
      <c r="Q1539" s="159"/>
      <c r="R1539" s="160" t="s">
        <v>4</v>
      </c>
      <c r="S1539" s="161">
        <v>43620</v>
      </c>
      <c r="T1539" s="203">
        <f t="shared" si="917"/>
        <v>43647</v>
      </c>
      <c r="U1539" s="204">
        <f t="shared" si="918"/>
        <v>43677</v>
      </c>
      <c r="V1539" s="207">
        <f>IF(G1539-F1539+1-IF(G1539-U1539&gt;0,G1539-U1539,0)-IF(T1539-F1539&gt;0,T1539-F1539,0)&gt;0,G1539-F1539+1-IF(G1539-U1539&gt;0,G1539-U1539,0)-IF(T1539-F1539&gt;0,T1539-F1539,0),0)</f>
        <v>3</v>
      </c>
      <c r="W1539" s="206" t="str">
        <f t="shared" ref="W1539:W1544" si="948">IF(V1539&gt;0,H1539,"")</f>
        <v>Михаил Милчев</v>
      </c>
      <c r="X1539" s="206">
        <f t="shared" ref="X1539:X1544" si="949">IF(AND($V1539&gt;0,$I1539=1),P1539/$E1539*$V1539,0)</f>
        <v>22.5</v>
      </c>
      <c r="Y1539" s="209">
        <f t="shared" ref="Y1539:Y1544" si="950">IF(AND($V1539&gt;0,$I1539&lt;&gt;1),Q1539/$E1539*$V1539,0)</f>
        <v>0</v>
      </c>
    </row>
    <row r="1540" spans="2:25" ht="45" x14ac:dyDescent="0.25">
      <c r="B1540" s="60">
        <f>B1539</f>
        <v>31</v>
      </c>
      <c r="C1540" s="102">
        <v>212</v>
      </c>
      <c r="D1540" s="192" t="str">
        <f t="shared" si="939"/>
        <v>V</v>
      </c>
      <c r="E1540" s="162">
        <v>10</v>
      </c>
      <c r="F1540" s="163">
        <v>43675</v>
      </c>
      <c r="G1540" s="163">
        <v>43684</v>
      </c>
      <c r="H1540" s="164" t="s">
        <v>333</v>
      </c>
      <c r="I1540" s="164">
        <v>2</v>
      </c>
      <c r="J1540" s="162" t="s">
        <v>167</v>
      </c>
      <c r="K1540" s="165" t="s">
        <v>16</v>
      </c>
      <c r="L1540" s="164">
        <v>1</v>
      </c>
      <c r="M1540" s="164">
        <v>8</v>
      </c>
      <c r="N1540" s="166">
        <v>90</v>
      </c>
      <c r="O1540" s="167">
        <v>90</v>
      </c>
      <c r="P1540" s="168"/>
      <c r="Q1540" s="169">
        <v>90</v>
      </c>
      <c r="R1540" s="170" t="s">
        <v>4</v>
      </c>
      <c r="S1540" s="171">
        <v>43620</v>
      </c>
      <c r="T1540" s="203">
        <f t="shared" si="917"/>
        <v>43647</v>
      </c>
      <c r="U1540" s="204">
        <f t="shared" si="918"/>
        <v>43677</v>
      </c>
      <c r="V1540" s="207">
        <f t="shared" ref="V1540:V1545" si="951">IF(G1540-F1540+1-IF(G1540-U1540&gt;0,G1540-U1540,0)-IF(T1540-F1540&gt;0,T1540-F1540,0)&gt;0,G1540-F1540+1-IF(G1540-U1540&gt;0,G1540-U1540,0)-IF(T1540-F1540&gt;0,T1540-F1540,0),0)</f>
        <v>3</v>
      </c>
      <c r="W1540" s="206" t="str">
        <f t="shared" si="948"/>
        <v>Парашкев  Милчев</v>
      </c>
      <c r="X1540" s="206">
        <f t="shared" si="949"/>
        <v>0</v>
      </c>
      <c r="Y1540" s="209">
        <f t="shared" si="950"/>
        <v>27</v>
      </c>
    </row>
    <row r="1541" spans="2:25" hidden="1" x14ac:dyDescent="0.25">
      <c r="B1541" s="60">
        <f>B1539</f>
        <v>31</v>
      </c>
      <c r="C1541" s="102">
        <v>213</v>
      </c>
      <c r="D1541" s="192" t="str">
        <f t="shared" si="939"/>
        <v>V</v>
      </c>
      <c r="E1541" s="162"/>
      <c r="F1541" s="163"/>
      <c r="G1541" s="163"/>
      <c r="H1541" s="164"/>
      <c r="I1541" s="164"/>
      <c r="J1541" s="162"/>
      <c r="K1541" s="165"/>
      <c r="L1541" s="164"/>
      <c r="M1541" s="164"/>
      <c r="N1541" s="166"/>
      <c r="O1541" s="167"/>
      <c r="P1541" s="168"/>
      <c r="Q1541" s="169"/>
      <c r="R1541" s="170"/>
      <c r="S1541" s="171"/>
      <c r="T1541" s="203">
        <f t="shared" si="917"/>
        <v>43647</v>
      </c>
      <c r="U1541" s="204">
        <f t="shared" si="918"/>
        <v>43677</v>
      </c>
      <c r="V1541" s="207">
        <f t="shared" si="951"/>
        <v>0</v>
      </c>
      <c r="W1541" s="206" t="str">
        <f t="shared" si="948"/>
        <v/>
      </c>
      <c r="X1541" s="206">
        <f t="shared" si="949"/>
        <v>0</v>
      </c>
      <c r="Y1541" s="209">
        <f t="shared" si="950"/>
        <v>0</v>
      </c>
    </row>
    <row r="1542" spans="2:25" hidden="1" x14ac:dyDescent="0.25">
      <c r="B1542" s="60">
        <f>B1539</f>
        <v>31</v>
      </c>
      <c r="C1542" s="102">
        <v>214</v>
      </c>
      <c r="D1542" s="192" t="str">
        <f t="shared" si="939"/>
        <v>V</v>
      </c>
      <c r="E1542" s="162"/>
      <c r="F1542" s="163"/>
      <c r="G1542" s="163"/>
      <c r="H1542" s="164"/>
      <c r="I1542" s="164"/>
      <c r="J1542" s="162"/>
      <c r="K1542" s="165"/>
      <c r="L1542" s="164"/>
      <c r="M1542" s="164"/>
      <c r="N1542" s="166"/>
      <c r="O1542" s="167"/>
      <c r="P1542" s="168"/>
      <c r="Q1542" s="169"/>
      <c r="R1542" s="170"/>
      <c r="S1542" s="171"/>
      <c r="T1542" s="203">
        <f t="shared" si="917"/>
        <v>43647</v>
      </c>
      <c r="U1542" s="204">
        <f t="shared" si="918"/>
        <v>43677</v>
      </c>
      <c r="V1542" s="207">
        <f t="shared" si="951"/>
        <v>0</v>
      </c>
      <c r="W1542" s="206" t="str">
        <f t="shared" si="948"/>
        <v/>
      </c>
      <c r="X1542" s="206">
        <f t="shared" si="949"/>
        <v>0</v>
      </c>
      <c r="Y1542" s="209">
        <f t="shared" si="950"/>
        <v>0</v>
      </c>
    </row>
    <row r="1543" spans="2:25" hidden="1" x14ac:dyDescent="0.25">
      <c r="B1543" s="60">
        <f>B1539</f>
        <v>31</v>
      </c>
      <c r="C1543" s="102">
        <v>215</v>
      </c>
      <c r="D1543" s="192" t="str">
        <f t="shared" si="939"/>
        <v>V</v>
      </c>
      <c r="E1543" s="162"/>
      <c r="F1543" s="163"/>
      <c r="G1543" s="163"/>
      <c r="H1543" s="164"/>
      <c r="I1543" s="164"/>
      <c r="J1543" s="162"/>
      <c r="K1543" s="165"/>
      <c r="L1543" s="164"/>
      <c r="M1543" s="164"/>
      <c r="N1543" s="166"/>
      <c r="O1543" s="167"/>
      <c r="P1543" s="168"/>
      <c r="Q1543" s="169"/>
      <c r="R1543" s="170"/>
      <c r="S1543" s="171"/>
      <c r="T1543" s="203">
        <f t="shared" si="917"/>
        <v>43647</v>
      </c>
      <c r="U1543" s="204">
        <f t="shared" si="918"/>
        <v>43677</v>
      </c>
      <c r="V1543" s="207">
        <f t="shared" si="951"/>
        <v>0</v>
      </c>
      <c r="W1543" s="206" t="str">
        <f t="shared" si="948"/>
        <v/>
      </c>
      <c r="X1543" s="206">
        <f t="shared" si="949"/>
        <v>0</v>
      </c>
      <c r="Y1543" s="209">
        <f t="shared" si="950"/>
        <v>0</v>
      </c>
    </row>
    <row r="1544" spans="2:25" hidden="1" x14ac:dyDescent="0.25">
      <c r="B1544" s="60">
        <f>B1539</f>
        <v>31</v>
      </c>
      <c r="C1544" s="102">
        <v>216</v>
      </c>
      <c r="D1544" s="192" t="str">
        <f t="shared" si="939"/>
        <v>V</v>
      </c>
      <c r="E1544" s="172"/>
      <c r="F1544" s="173"/>
      <c r="G1544" s="173"/>
      <c r="H1544" s="174"/>
      <c r="I1544" s="174"/>
      <c r="J1544" s="172"/>
      <c r="K1544" s="175"/>
      <c r="L1544" s="174"/>
      <c r="M1544" s="174"/>
      <c r="N1544" s="176"/>
      <c r="O1544" s="177"/>
      <c r="P1544" s="178"/>
      <c r="Q1544" s="179"/>
      <c r="R1544" s="180"/>
      <c r="S1544" s="181"/>
      <c r="T1544" s="203">
        <f t="shared" si="917"/>
        <v>43647</v>
      </c>
      <c r="U1544" s="204">
        <f t="shared" si="918"/>
        <v>43677</v>
      </c>
      <c r="V1544" s="207">
        <f t="shared" si="951"/>
        <v>0</v>
      </c>
      <c r="W1544" s="206" t="str">
        <f t="shared" si="948"/>
        <v/>
      </c>
      <c r="X1544" s="206">
        <f t="shared" si="949"/>
        <v>0</v>
      </c>
      <c r="Y1544" s="209">
        <f t="shared" si="950"/>
        <v>0</v>
      </c>
    </row>
    <row r="1545" spans="2:25" ht="15.75" thickBot="1" x14ac:dyDescent="0.3">
      <c r="B1545" s="141">
        <f>B1539</f>
        <v>31</v>
      </c>
      <c r="C1545" s="142">
        <v>217</v>
      </c>
      <c r="D1545" s="194" t="str">
        <f t="shared" si="939"/>
        <v>V</v>
      </c>
      <c r="E1545" s="189"/>
      <c r="F1545" s="190"/>
      <c r="G1545" s="190"/>
      <c r="H1545" s="182"/>
      <c r="I1545" s="182"/>
      <c r="J1545" s="436" t="s">
        <v>181</v>
      </c>
      <c r="K1545" s="437"/>
      <c r="L1545" s="438"/>
      <c r="M1545" s="182"/>
      <c r="N1545" s="183">
        <v>10</v>
      </c>
      <c r="O1545" s="184">
        <v>10</v>
      </c>
      <c r="P1545" s="185"/>
      <c r="Q1545" s="186">
        <v>10</v>
      </c>
      <c r="R1545" s="187" t="s">
        <v>4</v>
      </c>
      <c r="S1545" s="188">
        <v>43620</v>
      </c>
      <c r="T1545" s="213">
        <f t="shared" si="917"/>
        <v>43647</v>
      </c>
      <c r="U1545" s="214">
        <f t="shared" si="918"/>
        <v>43677</v>
      </c>
      <c r="V1545" s="210">
        <f t="shared" si="951"/>
        <v>0</v>
      </c>
      <c r="W1545" s="211"/>
      <c r="X1545" s="211">
        <f>IF(AND($V1545&gt;0,$I1545=1),IF($E1545=10,P1545/10,P1545/$V1545),0)</f>
        <v>0</v>
      </c>
      <c r="Y1545" s="212">
        <f>IF(AND($V1539&gt;0,$I1545&lt;&gt;1),Q1545/E1539*V1539,0)</f>
        <v>3</v>
      </c>
    </row>
    <row r="1546" spans="2:25" ht="45.75" thickTop="1" x14ac:dyDescent="0.25">
      <c r="B1546" s="129">
        <f>B1544+1</f>
        <v>32</v>
      </c>
      <c r="C1546" s="130">
        <v>218</v>
      </c>
      <c r="D1546" s="196" t="str">
        <f t="shared" si="939"/>
        <v>V</v>
      </c>
      <c r="E1546" s="131">
        <v>10</v>
      </c>
      <c r="F1546" s="132">
        <v>43675</v>
      </c>
      <c r="G1546" s="132">
        <v>43684</v>
      </c>
      <c r="H1546" s="133" t="s">
        <v>334</v>
      </c>
      <c r="I1546" s="133">
        <v>2</v>
      </c>
      <c r="J1546" s="131" t="s">
        <v>167</v>
      </c>
      <c r="K1546" s="134" t="s">
        <v>16</v>
      </c>
      <c r="L1546" s="133">
        <v>1</v>
      </c>
      <c r="M1546" s="133">
        <v>8</v>
      </c>
      <c r="N1546" s="135">
        <v>90</v>
      </c>
      <c r="O1546" s="136">
        <v>90</v>
      </c>
      <c r="P1546" s="137"/>
      <c r="Q1546" s="138">
        <v>90</v>
      </c>
      <c r="R1546" s="139" t="s">
        <v>4</v>
      </c>
      <c r="S1546" s="140">
        <v>43640</v>
      </c>
      <c r="T1546" s="203">
        <f t="shared" si="917"/>
        <v>43647</v>
      </c>
      <c r="U1546" s="204">
        <f t="shared" si="918"/>
        <v>43677</v>
      </c>
      <c r="V1546" s="207">
        <f>IF(G1546-F1546+1-IF(G1546-U1546&gt;0,G1546-U1546,0)-IF(T1546-F1546&gt;0,T1546-F1546,0)&gt;0,G1546-F1546+1-IF(G1546-U1546&gt;0,G1546-U1546,0)-IF(T1546-F1546&gt;0,T1546-F1546,0),0)</f>
        <v>3</v>
      </c>
      <c r="W1546" s="206" t="str">
        <f t="shared" ref="W1546:W1551" si="952">IF(V1546&gt;0,H1546,"")</f>
        <v>Илия Стефанов Стоев</v>
      </c>
      <c r="X1546" s="206">
        <f t="shared" ref="X1546:X1551" si="953">IF(AND($V1546&gt;0,$I1546=1),P1546/$E1546*$V1546,0)</f>
        <v>0</v>
      </c>
      <c r="Y1546" s="209">
        <f t="shared" ref="Y1546:Y1551" si="954">IF(AND($V1546&gt;0,$I1546&lt;&gt;1),Q1546/$E1546*$V1546,0)</f>
        <v>27</v>
      </c>
    </row>
    <row r="1547" spans="2:25" x14ac:dyDescent="0.25">
      <c r="B1547" s="60">
        <f>B1546</f>
        <v>32</v>
      </c>
      <c r="C1547" s="102">
        <v>219</v>
      </c>
      <c r="D1547" s="192" t="str">
        <f t="shared" si="939"/>
        <v>V</v>
      </c>
      <c r="E1547" s="62">
        <v>10</v>
      </c>
      <c r="F1547" s="105">
        <v>43675</v>
      </c>
      <c r="G1547" s="105">
        <v>43684</v>
      </c>
      <c r="H1547" s="61" t="s">
        <v>392</v>
      </c>
      <c r="I1547" s="61">
        <v>5</v>
      </c>
      <c r="J1547" s="62" t="s">
        <v>172</v>
      </c>
      <c r="K1547" s="63" t="s">
        <v>16</v>
      </c>
      <c r="L1547" s="61">
        <v>1</v>
      </c>
      <c r="M1547" s="61">
        <v>8</v>
      </c>
      <c r="N1547" s="111">
        <v>90</v>
      </c>
      <c r="O1547" s="112">
        <v>90</v>
      </c>
      <c r="P1547" s="113"/>
      <c r="Q1547" s="114">
        <v>90</v>
      </c>
      <c r="R1547" s="64" t="s">
        <v>4</v>
      </c>
      <c r="S1547" s="108">
        <v>43640</v>
      </c>
      <c r="T1547" s="203">
        <f t="shared" si="917"/>
        <v>43647</v>
      </c>
      <c r="U1547" s="204">
        <f t="shared" si="918"/>
        <v>43677</v>
      </c>
      <c r="V1547" s="207">
        <f t="shared" ref="V1547:V1552" si="955">IF(G1547-F1547+1-IF(G1547-U1547&gt;0,G1547-U1547,0)-IF(T1547-F1547&gt;0,T1547-F1547,0)&gt;0,G1547-F1547+1-IF(G1547-U1547&gt;0,G1547-U1547,0)-IF(T1547-F1547&gt;0,T1547-F1547,0),0)</f>
        <v>3</v>
      </c>
      <c r="W1547" s="206" t="str">
        <f t="shared" si="952"/>
        <v>Стефан Илиев Стоев</v>
      </c>
      <c r="X1547" s="206">
        <f t="shared" si="953"/>
        <v>0</v>
      </c>
      <c r="Y1547" s="209">
        <f t="shared" si="954"/>
        <v>27</v>
      </c>
    </row>
    <row r="1548" spans="2:25" x14ac:dyDescent="0.25">
      <c r="B1548" s="60">
        <f>B1546</f>
        <v>32</v>
      </c>
      <c r="C1548" s="102">
        <v>220</v>
      </c>
      <c r="D1548" s="192" t="str">
        <f t="shared" si="939"/>
        <v>V</v>
      </c>
      <c r="E1548" s="62">
        <v>10</v>
      </c>
      <c r="F1548" s="105">
        <v>43675</v>
      </c>
      <c r="G1548" s="105">
        <v>43684</v>
      </c>
      <c r="H1548" s="61" t="s">
        <v>335</v>
      </c>
      <c r="I1548" s="61">
        <v>4</v>
      </c>
      <c r="J1548" s="62" t="s">
        <v>171</v>
      </c>
      <c r="K1548" s="63" t="s">
        <v>16</v>
      </c>
      <c r="L1548" s="61">
        <v>1</v>
      </c>
      <c r="M1548" s="61">
        <v>8</v>
      </c>
      <c r="N1548" s="111">
        <v>45</v>
      </c>
      <c r="O1548" s="112">
        <v>45</v>
      </c>
      <c r="P1548" s="113"/>
      <c r="Q1548" s="114">
        <v>45</v>
      </c>
      <c r="R1548" s="64" t="s">
        <v>4</v>
      </c>
      <c r="S1548" s="108">
        <v>43640</v>
      </c>
      <c r="T1548" s="203">
        <f t="shared" si="917"/>
        <v>43647</v>
      </c>
      <c r="U1548" s="204">
        <f t="shared" si="918"/>
        <v>43677</v>
      </c>
      <c r="V1548" s="207">
        <f t="shared" si="955"/>
        <v>3</v>
      </c>
      <c r="W1548" s="206" t="str">
        <f t="shared" si="952"/>
        <v>Илия Илиев Стоев</v>
      </c>
      <c r="X1548" s="206">
        <f t="shared" si="953"/>
        <v>0</v>
      </c>
      <c r="Y1548" s="209">
        <f t="shared" si="954"/>
        <v>13.5</v>
      </c>
    </row>
    <row r="1549" spans="2:25" hidden="1" x14ac:dyDescent="0.25">
      <c r="B1549" s="60">
        <f>B1546</f>
        <v>32</v>
      </c>
      <c r="C1549" s="102">
        <v>221</v>
      </c>
      <c r="D1549" s="192" t="str">
        <f t="shared" si="939"/>
        <v>V</v>
      </c>
      <c r="E1549" s="62"/>
      <c r="F1549" s="105"/>
      <c r="G1549" s="105"/>
      <c r="H1549" s="61"/>
      <c r="I1549" s="61"/>
      <c r="J1549" s="62"/>
      <c r="K1549" s="63"/>
      <c r="L1549" s="61"/>
      <c r="M1549" s="61"/>
      <c r="N1549" s="111"/>
      <c r="O1549" s="112"/>
      <c r="P1549" s="113"/>
      <c r="Q1549" s="114"/>
      <c r="R1549" s="64"/>
      <c r="S1549" s="108"/>
      <c r="T1549" s="203">
        <f t="shared" ref="T1549:T1612" si="956">$F$4</f>
        <v>43647</v>
      </c>
      <c r="U1549" s="204">
        <f t="shared" ref="U1549:U1612" si="957">$G$4</f>
        <v>43677</v>
      </c>
      <c r="V1549" s="207">
        <f t="shared" si="955"/>
        <v>0</v>
      </c>
      <c r="W1549" s="206" t="str">
        <f t="shared" si="952"/>
        <v/>
      </c>
      <c r="X1549" s="206">
        <f t="shared" si="953"/>
        <v>0</v>
      </c>
      <c r="Y1549" s="209">
        <f t="shared" si="954"/>
        <v>0</v>
      </c>
    </row>
    <row r="1550" spans="2:25" hidden="1" x14ac:dyDescent="0.25">
      <c r="B1550" s="60">
        <f>B1546</f>
        <v>32</v>
      </c>
      <c r="C1550" s="102">
        <v>222</v>
      </c>
      <c r="D1550" s="192" t="str">
        <f t="shared" si="939"/>
        <v>V</v>
      </c>
      <c r="E1550" s="62"/>
      <c r="F1550" s="105"/>
      <c r="G1550" s="105"/>
      <c r="H1550" s="61"/>
      <c r="I1550" s="61"/>
      <c r="J1550" s="62"/>
      <c r="K1550" s="63"/>
      <c r="L1550" s="61"/>
      <c r="M1550" s="61"/>
      <c r="N1550" s="111"/>
      <c r="O1550" s="112"/>
      <c r="P1550" s="113"/>
      <c r="Q1550" s="114"/>
      <c r="R1550" s="64"/>
      <c r="S1550" s="108"/>
      <c r="T1550" s="203">
        <f t="shared" si="956"/>
        <v>43647</v>
      </c>
      <c r="U1550" s="204">
        <f t="shared" si="957"/>
        <v>43677</v>
      </c>
      <c r="V1550" s="207">
        <f t="shared" si="955"/>
        <v>0</v>
      </c>
      <c r="W1550" s="206" t="str">
        <f t="shared" si="952"/>
        <v/>
      </c>
      <c r="X1550" s="206">
        <f t="shared" si="953"/>
        <v>0</v>
      </c>
      <c r="Y1550" s="209">
        <f t="shared" si="954"/>
        <v>0</v>
      </c>
    </row>
    <row r="1551" spans="2:25" hidden="1" x14ac:dyDescent="0.25">
      <c r="B1551" s="60">
        <f>B1546</f>
        <v>32</v>
      </c>
      <c r="C1551" s="102">
        <v>223</v>
      </c>
      <c r="D1551" s="192" t="str">
        <f t="shared" si="939"/>
        <v>V</v>
      </c>
      <c r="E1551" s="62"/>
      <c r="F1551" s="105"/>
      <c r="G1551" s="105"/>
      <c r="H1551" s="61"/>
      <c r="I1551" s="61"/>
      <c r="J1551" s="62"/>
      <c r="K1551" s="63"/>
      <c r="L1551" s="61"/>
      <c r="M1551" s="61"/>
      <c r="N1551" s="111"/>
      <c r="O1551" s="112"/>
      <c r="P1551" s="113"/>
      <c r="Q1551" s="114"/>
      <c r="R1551" s="64"/>
      <c r="S1551" s="108"/>
      <c r="T1551" s="203">
        <f t="shared" si="956"/>
        <v>43647</v>
      </c>
      <c r="U1551" s="204">
        <f t="shared" si="957"/>
        <v>43677</v>
      </c>
      <c r="V1551" s="207">
        <f t="shared" si="955"/>
        <v>0</v>
      </c>
      <c r="W1551" s="206" t="str">
        <f t="shared" si="952"/>
        <v/>
      </c>
      <c r="X1551" s="206">
        <f t="shared" si="953"/>
        <v>0</v>
      </c>
      <c r="Y1551" s="209">
        <f t="shared" si="954"/>
        <v>0</v>
      </c>
    </row>
    <row r="1552" spans="2:25" ht="15.75" thickBot="1" x14ac:dyDescent="0.3">
      <c r="B1552" s="141">
        <f>B1546</f>
        <v>32</v>
      </c>
      <c r="C1552" s="142">
        <v>224</v>
      </c>
      <c r="D1552" s="194" t="str">
        <f t="shared" si="939"/>
        <v>V</v>
      </c>
      <c r="E1552" s="143"/>
      <c r="F1552" s="144"/>
      <c r="G1552" s="144"/>
      <c r="H1552" s="145"/>
      <c r="I1552" s="145"/>
      <c r="J1552" s="436" t="s">
        <v>181</v>
      </c>
      <c r="K1552" s="437"/>
      <c r="L1552" s="438"/>
      <c r="M1552" s="145"/>
      <c r="N1552" s="146">
        <v>10</v>
      </c>
      <c r="O1552" s="147">
        <v>10</v>
      </c>
      <c r="P1552" s="148"/>
      <c r="Q1552" s="149">
        <v>10</v>
      </c>
      <c r="R1552" s="150" t="s">
        <v>4</v>
      </c>
      <c r="S1552" s="151">
        <v>43640</v>
      </c>
      <c r="T1552" s="213">
        <f t="shared" si="956"/>
        <v>43647</v>
      </c>
      <c r="U1552" s="214">
        <f t="shared" si="957"/>
        <v>43677</v>
      </c>
      <c r="V1552" s="210">
        <f t="shared" si="955"/>
        <v>0</v>
      </c>
      <c r="W1552" s="211"/>
      <c r="X1552" s="211">
        <f>IF(AND($V1552&gt;0,$I1552=1),IF($E1552=10,P1552/10,P1552/$V1552),0)</f>
        <v>0</v>
      </c>
      <c r="Y1552" s="212">
        <f>IF(AND($V1546&gt;0,$I1552&lt;&gt;1),Q1552/E1546*V1546,0)</f>
        <v>3</v>
      </c>
    </row>
    <row r="1553" spans="2:25" ht="30.75" thickTop="1" x14ac:dyDescent="0.25">
      <c r="B1553" s="129">
        <f>B1551+1</f>
        <v>33</v>
      </c>
      <c r="C1553" s="130">
        <v>225</v>
      </c>
      <c r="D1553" s="196" t="str">
        <f t="shared" si="939"/>
        <v>V</v>
      </c>
      <c r="E1553" s="152">
        <v>10</v>
      </c>
      <c r="F1553" s="153">
        <v>43675</v>
      </c>
      <c r="G1553" s="153">
        <v>43684</v>
      </c>
      <c r="H1553" s="154" t="s">
        <v>336</v>
      </c>
      <c r="I1553" s="154">
        <v>1</v>
      </c>
      <c r="J1553" s="152" t="s">
        <v>168</v>
      </c>
      <c r="K1553" s="155" t="s">
        <v>16</v>
      </c>
      <c r="L1553" s="154">
        <v>1</v>
      </c>
      <c r="M1553" s="154">
        <v>8</v>
      </c>
      <c r="N1553" s="156">
        <v>75</v>
      </c>
      <c r="O1553" s="157">
        <v>75</v>
      </c>
      <c r="P1553" s="158">
        <v>75</v>
      </c>
      <c r="Q1553" s="159"/>
      <c r="R1553" s="160" t="s">
        <v>4</v>
      </c>
      <c r="S1553" s="161">
        <v>43648</v>
      </c>
      <c r="T1553" s="203">
        <f t="shared" si="956"/>
        <v>43647</v>
      </c>
      <c r="U1553" s="204">
        <f t="shared" si="957"/>
        <v>43677</v>
      </c>
      <c r="V1553" s="207">
        <f>IF(G1553-F1553+1-IF(G1553-U1553&gt;0,G1553-U1553,0)-IF(T1553-F1553&gt;0,T1553-F1553,0)&gt;0,G1553-F1553+1-IF(G1553-U1553&gt;0,G1553-U1553,0)-IF(T1553-F1553&gt;0,T1553-F1553,0),0)</f>
        <v>3</v>
      </c>
      <c r="W1553" s="206" t="str">
        <f t="shared" ref="W1553:W1558" si="958">IF(V1553&gt;0,H1553,"")</f>
        <v>Даниела  Донева</v>
      </c>
      <c r="X1553" s="206">
        <f t="shared" ref="X1553:X1558" si="959">IF(AND($V1553&gt;0,$I1553=1),P1553/$E1553*$V1553,0)</f>
        <v>22.5</v>
      </c>
      <c r="Y1553" s="209">
        <f t="shared" ref="Y1553:Y1558" si="960">IF(AND($V1553&gt;0,$I1553&lt;&gt;1),Q1553/$E1553*$V1553,0)</f>
        <v>0</v>
      </c>
    </row>
    <row r="1554" spans="2:25" ht="45" x14ac:dyDescent="0.25">
      <c r="B1554" s="60">
        <f>B1553</f>
        <v>33</v>
      </c>
      <c r="C1554" s="102">
        <v>226</v>
      </c>
      <c r="D1554" s="192" t="str">
        <f t="shared" si="939"/>
        <v>V</v>
      </c>
      <c r="E1554" s="162">
        <v>10</v>
      </c>
      <c r="F1554" s="163">
        <v>43675</v>
      </c>
      <c r="G1554" s="163">
        <v>43684</v>
      </c>
      <c r="H1554" s="164" t="s">
        <v>337</v>
      </c>
      <c r="I1554" s="164">
        <v>2</v>
      </c>
      <c r="J1554" s="162" t="s">
        <v>167</v>
      </c>
      <c r="K1554" s="165" t="s">
        <v>16</v>
      </c>
      <c r="L1554" s="164">
        <v>1</v>
      </c>
      <c r="M1554" s="164">
        <v>8</v>
      </c>
      <c r="N1554" s="166">
        <v>90</v>
      </c>
      <c r="O1554" s="167">
        <v>90</v>
      </c>
      <c r="P1554" s="168"/>
      <c r="Q1554" s="169">
        <v>90</v>
      </c>
      <c r="R1554" s="170" t="s">
        <v>4</v>
      </c>
      <c r="S1554" s="171">
        <v>43648</v>
      </c>
      <c r="T1554" s="203">
        <f t="shared" si="956"/>
        <v>43647</v>
      </c>
      <c r="U1554" s="204">
        <f t="shared" si="957"/>
        <v>43677</v>
      </c>
      <c r="V1554" s="207">
        <f t="shared" ref="V1554:V1559" si="961">IF(G1554-F1554+1-IF(G1554-U1554&gt;0,G1554-U1554,0)-IF(T1554-F1554&gt;0,T1554-F1554,0)&gt;0,G1554-F1554+1-IF(G1554-U1554&gt;0,G1554-U1554,0)-IF(T1554-F1554&gt;0,T1554-F1554,0),0)</f>
        <v>3</v>
      </c>
      <c r="W1554" s="206" t="str">
        <f t="shared" si="958"/>
        <v>Росен Петков</v>
      </c>
      <c r="X1554" s="206">
        <f t="shared" si="959"/>
        <v>0</v>
      </c>
      <c r="Y1554" s="209">
        <f t="shared" si="960"/>
        <v>27</v>
      </c>
    </row>
    <row r="1555" spans="2:25" x14ac:dyDescent="0.25">
      <c r="B1555" s="60">
        <f>B1553</f>
        <v>33</v>
      </c>
      <c r="C1555" s="102">
        <v>227</v>
      </c>
      <c r="D1555" s="192" t="str">
        <f t="shared" si="939"/>
        <v>V</v>
      </c>
      <c r="E1555" s="162">
        <v>10</v>
      </c>
      <c r="F1555" s="163">
        <v>43675</v>
      </c>
      <c r="G1555" s="163">
        <v>43684</v>
      </c>
      <c r="H1555" s="164" t="s">
        <v>338</v>
      </c>
      <c r="I1555" s="164">
        <v>3</v>
      </c>
      <c r="J1555" s="162" t="s">
        <v>170</v>
      </c>
      <c r="K1555" s="165" t="s">
        <v>16</v>
      </c>
      <c r="L1555" s="164">
        <v>1</v>
      </c>
      <c r="M1555" s="164">
        <v>8</v>
      </c>
      <c r="N1555" s="166">
        <v>0</v>
      </c>
      <c r="O1555" s="167">
        <v>0</v>
      </c>
      <c r="P1555" s="168"/>
      <c r="Q1555" s="169">
        <v>0</v>
      </c>
      <c r="R1555" s="170" t="s">
        <v>4</v>
      </c>
      <c r="S1555" s="171">
        <v>43648</v>
      </c>
      <c r="T1555" s="203">
        <f t="shared" si="956"/>
        <v>43647</v>
      </c>
      <c r="U1555" s="204">
        <f t="shared" si="957"/>
        <v>43677</v>
      </c>
      <c r="V1555" s="207">
        <f t="shared" si="961"/>
        <v>3</v>
      </c>
      <c r="W1555" s="206" t="str">
        <f t="shared" si="958"/>
        <v>Мия Петкова</v>
      </c>
      <c r="X1555" s="206">
        <f t="shared" si="959"/>
        <v>0</v>
      </c>
      <c r="Y1555" s="209">
        <f t="shared" si="960"/>
        <v>0</v>
      </c>
    </row>
    <row r="1556" spans="2:25" hidden="1" x14ac:dyDescent="0.25">
      <c r="B1556" s="60">
        <f>B1553</f>
        <v>33</v>
      </c>
      <c r="C1556" s="102">
        <v>228</v>
      </c>
      <c r="D1556" s="192" t="str">
        <f t="shared" si="939"/>
        <v>V</v>
      </c>
      <c r="E1556" s="162"/>
      <c r="F1556" s="163"/>
      <c r="G1556" s="163"/>
      <c r="H1556" s="164"/>
      <c r="I1556" s="164"/>
      <c r="J1556" s="162"/>
      <c r="K1556" s="165"/>
      <c r="L1556" s="164"/>
      <c r="M1556" s="164"/>
      <c r="N1556" s="166"/>
      <c r="O1556" s="167"/>
      <c r="P1556" s="168"/>
      <c r="Q1556" s="169"/>
      <c r="R1556" s="170"/>
      <c r="S1556" s="171"/>
      <c r="T1556" s="203">
        <f t="shared" si="956"/>
        <v>43647</v>
      </c>
      <c r="U1556" s="204">
        <f t="shared" si="957"/>
        <v>43677</v>
      </c>
      <c r="V1556" s="207">
        <f t="shared" si="961"/>
        <v>0</v>
      </c>
      <c r="W1556" s="206" t="str">
        <f t="shared" si="958"/>
        <v/>
      </c>
      <c r="X1556" s="206">
        <f t="shared" si="959"/>
        <v>0</v>
      </c>
      <c r="Y1556" s="209">
        <f t="shared" si="960"/>
        <v>0</v>
      </c>
    </row>
    <row r="1557" spans="2:25" hidden="1" x14ac:dyDescent="0.25">
      <c r="B1557" s="60">
        <f>B1553</f>
        <v>33</v>
      </c>
      <c r="C1557" s="102">
        <v>229</v>
      </c>
      <c r="D1557" s="192" t="str">
        <f t="shared" si="939"/>
        <v>V</v>
      </c>
      <c r="E1557" s="162"/>
      <c r="F1557" s="163"/>
      <c r="G1557" s="163"/>
      <c r="H1557" s="164"/>
      <c r="I1557" s="164"/>
      <c r="J1557" s="162"/>
      <c r="K1557" s="165"/>
      <c r="L1557" s="164"/>
      <c r="M1557" s="164"/>
      <c r="N1557" s="166"/>
      <c r="O1557" s="167"/>
      <c r="P1557" s="168"/>
      <c r="Q1557" s="169"/>
      <c r="R1557" s="170"/>
      <c r="S1557" s="171"/>
      <c r="T1557" s="203">
        <f t="shared" si="956"/>
        <v>43647</v>
      </c>
      <c r="U1557" s="204">
        <f t="shared" si="957"/>
        <v>43677</v>
      </c>
      <c r="V1557" s="207">
        <f t="shared" si="961"/>
        <v>0</v>
      </c>
      <c r="W1557" s="206" t="str">
        <f t="shared" si="958"/>
        <v/>
      </c>
      <c r="X1557" s="206">
        <f t="shared" si="959"/>
        <v>0</v>
      </c>
      <c r="Y1557" s="209">
        <f t="shared" si="960"/>
        <v>0</v>
      </c>
    </row>
    <row r="1558" spans="2:25" hidden="1" x14ac:dyDescent="0.25">
      <c r="B1558" s="60">
        <f>B1553</f>
        <v>33</v>
      </c>
      <c r="C1558" s="102">
        <v>230</v>
      </c>
      <c r="D1558" s="192" t="str">
        <f t="shared" si="939"/>
        <v>V</v>
      </c>
      <c r="E1558" s="172"/>
      <c r="F1558" s="173"/>
      <c r="G1558" s="173"/>
      <c r="H1558" s="174"/>
      <c r="I1558" s="174"/>
      <c r="J1558" s="172"/>
      <c r="K1558" s="175"/>
      <c r="L1558" s="174"/>
      <c r="M1558" s="174"/>
      <c r="N1558" s="176"/>
      <c r="O1558" s="177"/>
      <c r="P1558" s="178"/>
      <c r="Q1558" s="179"/>
      <c r="R1558" s="180"/>
      <c r="S1558" s="181"/>
      <c r="T1558" s="203">
        <f t="shared" si="956"/>
        <v>43647</v>
      </c>
      <c r="U1558" s="204">
        <f t="shared" si="957"/>
        <v>43677</v>
      </c>
      <c r="V1558" s="207">
        <f t="shared" si="961"/>
        <v>0</v>
      </c>
      <c r="W1558" s="206" t="str">
        <f t="shared" si="958"/>
        <v/>
      </c>
      <c r="X1558" s="206">
        <f t="shared" si="959"/>
        <v>0</v>
      </c>
      <c r="Y1558" s="209">
        <f t="shared" si="960"/>
        <v>0</v>
      </c>
    </row>
    <row r="1559" spans="2:25" ht="15.75" thickBot="1" x14ac:dyDescent="0.3">
      <c r="B1559" s="141">
        <f>B1553</f>
        <v>33</v>
      </c>
      <c r="C1559" s="142">
        <v>231</v>
      </c>
      <c r="D1559" s="194" t="str">
        <f t="shared" si="939"/>
        <v>V</v>
      </c>
      <c r="E1559" s="189"/>
      <c r="F1559" s="190"/>
      <c r="G1559" s="190"/>
      <c r="H1559" s="182"/>
      <c r="I1559" s="182"/>
      <c r="J1559" s="436" t="s">
        <v>181</v>
      </c>
      <c r="K1559" s="437"/>
      <c r="L1559" s="438"/>
      <c r="M1559" s="182"/>
      <c r="N1559" s="183">
        <v>10</v>
      </c>
      <c r="O1559" s="184">
        <v>10</v>
      </c>
      <c r="P1559" s="185"/>
      <c r="Q1559" s="186">
        <v>10</v>
      </c>
      <c r="R1559" s="187" t="s">
        <v>4</v>
      </c>
      <c r="S1559" s="188">
        <v>43648</v>
      </c>
      <c r="T1559" s="213">
        <f t="shared" si="956"/>
        <v>43647</v>
      </c>
      <c r="U1559" s="214">
        <f t="shared" si="957"/>
        <v>43677</v>
      </c>
      <c r="V1559" s="210">
        <f t="shared" si="961"/>
        <v>0</v>
      </c>
      <c r="W1559" s="211"/>
      <c r="X1559" s="211">
        <f>IF(AND($V1559&gt;0,$I1559=1),IF($E1559=10,P1559/10,P1559/$V1559),0)</f>
        <v>0</v>
      </c>
      <c r="Y1559" s="212">
        <f>IF(AND($V1553&gt;0,$I1559&lt;&gt;1),Q1559/E1553*V1553,0)</f>
        <v>3</v>
      </c>
    </row>
    <row r="1560" spans="2:25" ht="30.75" thickTop="1" x14ac:dyDescent="0.25">
      <c r="B1560" s="129">
        <f>B1558+1</f>
        <v>34</v>
      </c>
      <c r="C1560" s="130">
        <v>232</v>
      </c>
      <c r="D1560" s="196" t="str">
        <f t="shared" si="939"/>
        <v>V</v>
      </c>
      <c r="E1560" s="131">
        <v>10</v>
      </c>
      <c r="F1560" s="132">
        <v>43675</v>
      </c>
      <c r="G1560" s="132">
        <v>43684</v>
      </c>
      <c r="H1560" s="133" t="s">
        <v>242</v>
      </c>
      <c r="I1560" s="133">
        <v>1</v>
      </c>
      <c r="J1560" s="131" t="s">
        <v>168</v>
      </c>
      <c r="K1560" s="134" t="s">
        <v>61</v>
      </c>
      <c r="L1560" s="133">
        <v>1.5</v>
      </c>
      <c r="M1560" s="133">
        <v>8</v>
      </c>
      <c r="N1560" s="135">
        <v>112.5</v>
      </c>
      <c r="O1560" s="136">
        <v>112.5</v>
      </c>
      <c r="P1560" s="137">
        <v>112.5</v>
      </c>
      <c r="Q1560" s="138"/>
      <c r="R1560" s="139" t="s">
        <v>4</v>
      </c>
      <c r="S1560" s="140">
        <v>43620</v>
      </c>
      <c r="T1560" s="203">
        <f t="shared" si="956"/>
        <v>43647</v>
      </c>
      <c r="U1560" s="204">
        <f t="shared" si="957"/>
        <v>43677</v>
      </c>
      <c r="V1560" s="207">
        <f>IF(G1560-F1560+1-IF(G1560-U1560&gt;0,G1560-U1560,0)-IF(T1560-F1560&gt;0,T1560-F1560,0)&gt;0,G1560-F1560+1-IF(G1560-U1560&gt;0,G1560-U1560,0)-IF(T1560-F1560&gt;0,T1560-F1560,0),0)</f>
        <v>3</v>
      </c>
      <c r="W1560" s="206" t="str">
        <f t="shared" ref="W1560:W1565" si="962">IF(V1560&gt;0,H1560,"")</f>
        <v>Ирина Христова</v>
      </c>
      <c r="X1560" s="206">
        <f t="shared" ref="X1560:X1565" si="963">IF(AND($V1560&gt;0,$I1560=1),P1560/$E1560*$V1560,0)</f>
        <v>33.75</v>
      </c>
      <c r="Y1560" s="209">
        <f t="shared" ref="Y1560:Y1565" si="964">IF(AND($V1560&gt;0,$I1560&lt;&gt;1),Q1560/$E1560*$V1560,0)</f>
        <v>0</v>
      </c>
    </row>
    <row r="1561" spans="2:25" hidden="1" x14ac:dyDescent="0.25">
      <c r="B1561" s="60">
        <f>B1560</f>
        <v>34</v>
      </c>
      <c r="C1561" s="102">
        <v>233</v>
      </c>
      <c r="D1561" s="192" t="str">
        <f t="shared" si="939"/>
        <v>V</v>
      </c>
      <c r="E1561" s="62">
        <v>10</v>
      </c>
      <c r="F1561" s="105">
        <v>43675</v>
      </c>
      <c r="G1561" s="105">
        <v>43684</v>
      </c>
      <c r="H1561" s="61" t="s">
        <v>243</v>
      </c>
      <c r="I1561" s="61">
        <v>3</v>
      </c>
      <c r="J1561" s="62" t="s">
        <v>170</v>
      </c>
      <c r="K1561" s="63"/>
      <c r="L1561" s="61"/>
      <c r="M1561" s="61"/>
      <c r="N1561" s="111"/>
      <c r="O1561" s="112"/>
      <c r="P1561" s="113"/>
      <c r="Q1561" s="114"/>
      <c r="R1561" s="64" t="s">
        <v>4</v>
      </c>
      <c r="S1561" s="108">
        <v>43620</v>
      </c>
      <c r="T1561" s="203">
        <f t="shared" si="956"/>
        <v>43647</v>
      </c>
      <c r="U1561" s="204">
        <f t="shared" si="957"/>
        <v>43677</v>
      </c>
      <c r="V1561" s="207">
        <f t="shared" ref="V1561:V1566" si="965">IF(G1561-F1561+1-IF(G1561-U1561&gt;0,G1561-U1561,0)-IF(T1561-F1561&gt;0,T1561-F1561,0)&gt;0,G1561-F1561+1-IF(G1561-U1561&gt;0,G1561-U1561,0)-IF(T1561-F1561&gt;0,T1561-F1561,0),0)</f>
        <v>3</v>
      </c>
      <c r="W1561" s="206" t="str">
        <f t="shared" si="962"/>
        <v>Ема Михова</v>
      </c>
      <c r="X1561" s="206">
        <f t="shared" si="963"/>
        <v>0</v>
      </c>
      <c r="Y1561" s="209">
        <f t="shared" si="964"/>
        <v>0</v>
      </c>
    </row>
    <row r="1562" spans="2:25" hidden="1" x14ac:dyDescent="0.25">
      <c r="B1562" s="60">
        <f>B1560</f>
        <v>34</v>
      </c>
      <c r="C1562" s="102">
        <v>234</v>
      </c>
      <c r="D1562" s="192" t="str">
        <f t="shared" si="939"/>
        <v>V</v>
      </c>
      <c r="E1562" s="62"/>
      <c r="F1562" s="105"/>
      <c r="G1562" s="105"/>
      <c r="H1562" s="61"/>
      <c r="I1562" s="61"/>
      <c r="J1562" s="62"/>
      <c r="K1562" s="63"/>
      <c r="L1562" s="61"/>
      <c r="M1562" s="61"/>
      <c r="N1562" s="111"/>
      <c r="O1562" s="112"/>
      <c r="P1562" s="113"/>
      <c r="Q1562" s="114"/>
      <c r="R1562" s="64"/>
      <c r="S1562" s="108"/>
      <c r="T1562" s="203">
        <f t="shared" si="956"/>
        <v>43647</v>
      </c>
      <c r="U1562" s="204">
        <f t="shared" si="957"/>
        <v>43677</v>
      </c>
      <c r="V1562" s="207">
        <f t="shared" si="965"/>
        <v>0</v>
      </c>
      <c r="W1562" s="206" t="str">
        <f t="shared" si="962"/>
        <v/>
      </c>
      <c r="X1562" s="206">
        <f t="shared" si="963"/>
        <v>0</v>
      </c>
      <c r="Y1562" s="209">
        <f t="shared" si="964"/>
        <v>0</v>
      </c>
    </row>
    <row r="1563" spans="2:25" hidden="1" x14ac:dyDescent="0.25">
      <c r="B1563" s="60">
        <f>B1560</f>
        <v>34</v>
      </c>
      <c r="C1563" s="102">
        <v>235</v>
      </c>
      <c r="D1563" s="192" t="str">
        <f t="shared" si="939"/>
        <v>V</v>
      </c>
      <c r="E1563" s="62"/>
      <c r="F1563" s="105"/>
      <c r="G1563" s="105"/>
      <c r="H1563" s="61"/>
      <c r="I1563" s="61"/>
      <c r="J1563" s="62"/>
      <c r="K1563" s="63"/>
      <c r="L1563" s="61"/>
      <c r="M1563" s="61"/>
      <c r="N1563" s="111"/>
      <c r="O1563" s="112"/>
      <c r="P1563" s="113"/>
      <c r="Q1563" s="114"/>
      <c r="R1563" s="64"/>
      <c r="S1563" s="108"/>
      <c r="T1563" s="203">
        <f t="shared" si="956"/>
        <v>43647</v>
      </c>
      <c r="U1563" s="204">
        <f t="shared" si="957"/>
        <v>43677</v>
      </c>
      <c r="V1563" s="207">
        <f t="shared" si="965"/>
        <v>0</v>
      </c>
      <c r="W1563" s="206" t="str">
        <f t="shared" si="962"/>
        <v/>
      </c>
      <c r="X1563" s="206">
        <f t="shared" si="963"/>
        <v>0</v>
      </c>
      <c r="Y1563" s="209">
        <f t="shared" si="964"/>
        <v>0</v>
      </c>
    </row>
    <row r="1564" spans="2:25" hidden="1" x14ac:dyDescent="0.25">
      <c r="B1564" s="60">
        <f>B1560</f>
        <v>34</v>
      </c>
      <c r="C1564" s="102">
        <v>236</v>
      </c>
      <c r="D1564" s="192" t="str">
        <f t="shared" si="939"/>
        <v>V</v>
      </c>
      <c r="E1564" s="62"/>
      <c r="F1564" s="105"/>
      <c r="G1564" s="105"/>
      <c r="H1564" s="61"/>
      <c r="I1564" s="61"/>
      <c r="J1564" s="62"/>
      <c r="K1564" s="63"/>
      <c r="L1564" s="61"/>
      <c r="M1564" s="61"/>
      <c r="N1564" s="111"/>
      <c r="O1564" s="112"/>
      <c r="P1564" s="113"/>
      <c r="Q1564" s="114"/>
      <c r="R1564" s="64"/>
      <c r="S1564" s="108"/>
      <c r="T1564" s="203">
        <f t="shared" si="956"/>
        <v>43647</v>
      </c>
      <c r="U1564" s="204">
        <f t="shared" si="957"/>
        <v>43677</v>
      </c>
      <c r="V1564" s="207">
        <f t="shared" si="965"/>
        <v>0</v>
      </c>
      <c r="W1564" s="206" t="str">
        <f t="shared" si="962"/>
        <v/>
      </c>
      <c r="X1564" s="206">
        <f t="shared" si="963"/>
        <v>0</v>
      </c>
      <c r="Y1564" s="209">
        <f t="shared" si="964"/>
        <v>0</v>
      </c>
    </row>
    <row r="1565" spans="2:25" hidden="1" x14ac:dyDescent="0.25">
      <c r="B1565" s="60">
        <f>B1560</f>
        <v>34</v>
      </c>
      <c r="C1565" s="102">
        <v>237</v>
      </c>
      <c r="D1565" s="192" t="str">
        <f t="shared" si="939"/>
        <v>V</v>
      </c>
      <c r="E1565" s="62"/>
      <c r="F1565" s="105"/>
      <c r="G1565" s="105"/>
      <c r="H1565" s="61"/>
      <c r="I1565" s="61"/>
      <c r="J1565" s="62"/>
      <c r="K1565" s="63"/>
      <c r="L1565" s="61"/>
      <c r="M1565" s="61"/>
      <c r="N1565" s="111"/>
      <c r="O1565" s="112"/>
      <c r="P1565" s="113"/>
      <c r="Q1565" s="114"/>
      <c r="R1565" s="64"/>
      <c r="S1565" s="108"/>
      <c r="T1565" s="203">
        <f t="shared" si="956"/>
        <v>43647</v>
      </c>
      <c r="U1565" s="204">
        <f t="shared" si="957"/>
        <v>43677</v>
      </c>
      <c r="V1565" s="207">
        <f t="shared" si="965"/>
        <v>0</v>
      </c>
      <c r="W1565" s="206" t="str">
        <f t="shared" si="962"/>
        <v/>
      </c>
      <c r="X1565" s="206">
        <f t="shared" si="963"/>
        <v>0</v>
      </c>
      <c r="Y1565" s="209">
        <f t="shared" si="964"/>
        <v>0</v>
      </c>
    </row>
    <row r="1566" spans="2:25" ht="15.75" thickBot="1" x14ac:dyDescent="0.3">
      <c r="B1566" s="141">
        <f>B1560</f>
        <v>34</v>
      </c>
      <c r="C1566" s="142">
        <v>238</v>
      </c>
      <c r="D1566" s="194" t="str">
        <f t="shared" si="939"/>
        <v>V</v>
      </c>
      <c r="E1566" s="143"/>
      <c r="F1566" s="144"/>
      <c r="G1566" s="144"/>
      <c r="H1566" s="145"/>
      <c r="I1566" s="145"/>
      <c r="J1566" s="436" t="s">
        <v>181</v>
      </c>
      <c r="K1566" s="437"/>
      <c r="L1566" s="438"/>
      <c r="M1566" s="145"/>
      <c r="N1566" s="146">
        <v>10</v>
      </c>
      <c r="O1566" s="147">
        <v>10</v>
      </c>
      <c r="P1566" s="148"/>
      <c r="Q1566" s="149">
        <v>10</v>
      </c>
      <c r="R1566" s="150" t="s">
        <v>4</v>
      </c>
      <c r="S1566" s="151">
        <v>43620</v>
      </c>
      <c r="T1566" s="213">
        <f t="shared" si="956"/>
        <v>43647</v>
      </c>
      <c r="U1566" s="214">
        <f t="shared" si="957"/>
        <v>43677</v>
      </c>
      <c r="V1566" s="210">
        <f t="shared" si="965"/>
        <v>0</v>
      </c>
      <c r="W1566" s="211"/>
      <c r="X1566" s="211">
        <f>IF(AND($V1566&gt;0,$I1566=1),IF($E1566=10,P1566/10,P1566/$V1566),0)</f>
        <v>0</v>
      </c>
      <c r="Y1566" s="212">
        <f>IF(AND($V1560&gt;0,$I1566&lt;&gt;1),Q1566/E1560*V1560,0)</f>
        <v>3</v>
      </c>
    </row>
    <row r="1567" spans="2:25" ht="45.75" thickTop="1" x14ac:dyDescent="0.25">
      <c r="B1567" s="129">
        <f>B1565+1</f>
        <v>35</v>
      </c>
      <c r="C1567" s="130">
        <v>239</v>
      </c>
      <c r="D1567" s="196" t="str">
        <f t="shared" si="939"/>
        <v>V</v>
      </c>
      <c r="E1567" s="152">
        <v>10</v>
      </c>
      <c r="F1567" s="153">
        <v>43675</v>
      </c>
      <c r="G1567" s="153">
        <v>43684</v>
      </c>
      <c r="H1567" s="154" t="s">
        <v>339</v>
      </c>
      <c r="I1567" s="154">
        <v>2</v>
      </c>
      <c r="J1567" s="152" t="s">
        <v>167</v>
      </c>
      <c r="K1567" s="155" t="s">
        <v>16</v>
      </c>
      <c r="L1567" s="154">
        <v>1</v>
      </c>
      <c r="M1567" s="154">
        <v>8</v>
      </c>
      <c r="N1567" s="156">
        <v>90</v>
      </c>
      <c r="O1567" s="157">
        <v>90</v>
      </c>
      <c r="P1567" s="158"/>
      <c r="Q1567" s="159">
        <v>90</v>
      </c>
      <c r="R1567" s="160" t="s">
        <v>4</v>
      </c>
      <c r="S1567" s="161">
        <v>43640</v>
      </c>
      <c r="T1567" s="203">
        <f t="shared" si="956"/>
        <v>43647</v>
      </c>
      <c r="U1567" s="204">
        <f t="shared" si="957"/>
        <v>43677</v>
      </c>
      <c r="V1567" s="207">
        <f>IF(G1567-F1567+1-IF(G1567-U1567&gt;0,G1567-U1567,0)-IF(T1567-F1567&gt;0,T1567-F1567,0)&gt;0,G1567-F1567+1-IF(G1567-U1567&gt;0,G1567-U1567,0)-IF(T1567-F1567&gt;0,T1567-F1567,0),0)</f>
        <v>3</v>
      </c>
      <c r="W1567" s="206" t="str">
        <f t="shared" ref="W1567:W1572" si="966">IF(V1567&gt;0,H1567,"")</f>
        <v>Иван Николов Иванов</v>
      </c>
      <c r="X1567" s="206">
        <f t="shared" ref="X1567:X1572" si="967">IF(AND($V1567&gt;0,$I1567=1),P1567/$E1567*$V1567,0)</f>
        <v>0</v>
      </c>
      <c r="Y1567" s="209">
        <f t="shared" ref="Y1567:Y1572" si="968">IF(AND($V1567&gt;0,$I1567&lt;&gt;1),Q1567/$E1567*$V1567,0)</f>
        <v>27</v>
      </c>
    </row>
    <row r="1568" spans="2:25" ht="45" x14ac:dyDescent="0.25">
      <c r="B1568" s="60">
        <f>B1567</f>
        <v>35</v>
      </c>
      <c r="C1568" s="102">
        <v>240</v>
      </c>
      <c r="D1568" s="192" t="str">
        <f t="shared" si="939"/>
        <v>V</v>
      </c>
      <c r="E1568" s="162">
        <v>10</v>
      </c>
      <c r="F1568" s="163">
        <v>43675</v>
      </c>
      <c r="G1568" s="163">
        <v>43684</v>
      </c>
      <c r="H1568" s="164" t="s">
        <v>340</v>
      </c>
      <c r="I1568" s="164">
        <v>2</v>
      </c>
      <c r="J1568" s="162" t="s">
        <v>167</v>
      </c>
      <c r="K1568" s="165" t="s">
        <v>16</v>
      </c>
      <c r="L1568" s="164">
        <v>1</v>
      </c>
      <c r="M1568" s="164">
        <v>8</v>
      </c>
      <c r="N1568" s="166">
        <v>90</v>
      </c>
      <c r="O1568" s="167">
        <v>90</v>
      </c>
      <c r="P1568" s="168"/>
      <c r="Q1568" s="169">
        <v>90</v>
      </c>
      <c r="R1568" s="170" t="s">
        <v>4</v>
      </c>
      <c r="S1568" s="171">
        <v>43640</v>
      </c>
      <c r="T1568" s="203">
        <f t="shared" si="956"/>
        <v>43647</v>
      </c>
      <c r="U1568" s="204">
        <f t="shared" si="957"/>
        <v>43677</v>
      </c>
      <c r="V1568" s="207">
        <f t="shared" ref="V1568:V1573" si="969">IF(G1568-F1568+1-IF(G1568-U1568&gt;0,G1568-U1568,0)-IF(T1568-F1568&gt;0,T1568-F1568,0)&gt;0,G1568-F1568+1-IF(G1568-U1568&gt;0,G1568-U1568,0)-IF(T1568-F1568&gt;0,T1568-F1568,0),0)</f>
        <v>3</v>
      </c>
      <c r="W1568" s="206" t="str">
        <f t="shared" si="966"/>
        <v>Веска Маринова Иванова</v>
      </c>
      <c r="X1568" s="206">
        <f t="shared" si="967"/>
        <v>0</v>
      </c>
      <c r="Y1568" s="209">
        <f t="shared" si="968"/>
        <v>27</v>
      </c>
    </row>
    <row r="1569" spans="2:25" hidden="1" x14ac:dyDescent="0.25">
      <c r="B1569" s="60">
        <f>B1567</f>
        <v>35</v>
      </c>
      <c r="C1569" s="102">
        <v>241</v>
      </c>
      <c r="D1569" s="192" t="str">
        <f t="shared" si="939"/>
        <v>V</v>
      </c>
      <c r="E1569" s="162"/>
      <c r="F1569" s="163"/>
      <c r="G1569" s="163"/>
      <c r="H1569" s="164"/>
      <c r="I1569" s="164"/>
      <c r="J1569" s="162"/>
      <c r="K1569" s="165"/>
      <c r="L1569" s="164"/>
      <c r="M1569" s="164"/>
      <c r="N1569" s="166"/>
      <c r="O1569" s="167"/>
      <c r="P1569" s="168"/>
      <c r="Q1569" s="169"/>
      <c r="R1569" s="170"/>
      <c r="S1569" s="171"/>
      <c r="T1569" s="203">
        <f t="shared" si="956"/>
        <v>43647</v>
      </c>
      <c r="U1569" s="204">
        <f t="shared" si="957"/>
        <v>43677</v>
      </c>
      <c r="V1569" s="207">
        <f t="shared" si="969"/>
        <v>0</v>
      </c>
      <c r="W1569" s="206" t="str">
        <f t="shared" si="966"/>
        <v/>
      </c>
      <c r="X1569" s="206">
        <f t="shared" si="967"/>
        <v>0</v>
      </c>
      <c r="Y1569" s="209">
        <f t="shared" si="968"/>
        <v>0</v>
      </c>
    </row>
    <row r="1570" spans="2:25" hidden="1" x14ac:dyDescent="0.25">
      <c r="B1570" s="60">
        <f>B1567</f>
        <v>35</v>
      </c>
      <c r="C1570" s="102">
        <v>242</v>
      </c>
      <c r="D1570" s="192" t="str">
        <f t="shared" si="939"/>
        <v>V</v>
      </c>
      <c r="E1570" s="162"/>
      <c r="F1570" s="163"/>
      <c r="G1570" s="163"/>
      <c r="H1570" s="164"/>
      <c r="I1570" s="164"/>
      <c r="J1570" s="162"/>
      <c r="K1570" s="165"/>
      <c r="L1570" s="164"/>
      <c r="M1570" s="164"/>
      <c r="N1570" s="166"/>
      <c r="O1570" s="167"/>
      <c r="P1570" s="168"/>
      <c r="Q1570" s="169"/>
      <c r="R1570" s="170"/>
      <c r="S1570" s="171"/>
      <c r="T1570" s="203">
        <f t="shared" si="956"/>
        <v>43647</v>
      </c>
      <c r="U1570" s="204">
        <f t="shared" si="957"/>
        <v>43677</v>
      </c>
      <c r="V1570" s="207">
        <f t="shared" si="969"/>
        <v>0</v>
      </c>
      <c r="W1570" s="206" t="str">
        <f t="shared" si="966"/>
        <v/>
      </c>
      <c r="X1570" s="206">
        <f t="shared" si="967"/>
        <v>0</v>
      </c>
      <c r="Y1570" s="209">
        <f t="shared" si="968"/>
        <v>0</v>
      </c>
    </row>
    <row r="1571" spans="2:25" hidden="1" x14ac:dyDescent="0.25">
      <c r="B1571" s="60">
        <f>B1567</f>
        <v>35</v>
      </c>
      <c r="C1571" s="102">
        <v>243</v>
      </c>
      <c r="D1571" s="192" t="str">
        <f t="shared" si="939"/>
        <v>V</v>
      </c>
      <c r="E1571" s="162"/>
      <c r="F1571" s="163"/>
      <c r="G1571" s="163"/>
      <c r="H1571" s="164"/>
      <c r="I1571" s="164"/>
      <c r="J1571" s="162"/>
      <c r="K1571" s="165"/>
      <c r="L1571" s="164"/>
      <c r="M1571" s="164"/>
      <c r="N1571" s="166"/>
      <c r="O1571" s="167"/>
      <c r="P1571" s="168"/>
      <c r="Q1571" s="169"/>
      <c r="R1571" s="170"/>
      <c r="S1571" s="171"/>
      <c r="T1571" s="203">
        <f t="shared" si="956"/>
        <v>43647</v>
      </c>
      <c r="U1571" s="204">
        <f t="shared" si="957"/>
        <v>43677</v>
      </c>
      <c r="V1571" s="207">
        <f t="shared" si="969"/>
        <v>0</v>
      </c>
      <c r="W1571" s="206" t="str">
        <f t="shared" si="966"/>
        <v/>
      </c>
      <c r="X1571" s="206">
        <f t="shared" si="967"/>
        <v>0</v>
      </c>
      <c r="Y1571" s="209">
        <f t="shared" si="968"/>
        <v>0</v>
      </c>
    </row>
    <row r="1572" spans="2:25" hidden="1" x14ac:dyDescent="0.25">
      <c r="B1572" s="60">
        <f>B1567</f>
        <v>35</v>
      </c>
      <c r="C1572" s="102">
        <v>244</v>
      </c>
      <c r="D1572" s="192" t="str">
        <f t="shared" si="939"/>
        <v>V</v>
      </c>
      <c r="E1572" s="172"/>
      <c r="F1572" s="173"/>
      <c r="G1572" s="173"/>
      <c r="H1572" s="174"/>
      <c r="I1572" s="174"/>
      <c r="J1572" s="172"/>
      <c r="K1572" s="175"/>
      <c r="L1572" s="174"/>
      <c r="M1572" s="174"/>
      <c r="N1572" s="176"/>
      <c r="O1572" s="177"/>
      <c r="P1572" s="178"/>
      <c r="Q1572" s="179"/>
      <c r="R1572" s="180"/>
      <c r="S1572" s="181"/>
      <c r="T1572" s="203">
        <f t="shared" si="956"/>
        <v>43647</v>
      </c>
      <c r="U1572" s="204">
        <f t="shared" si="957"/>
        <v>43677</v>
      </c>
      <c r="V1572" s="207">
        <f t="shared" si="969"/>
        <v>0</v>
      </c>
      <c r="W1572" s="206" t="str">
        <f t="shared" si="966"/>
        <v/>
      </c>
      <c r="X1572" s="206">
        <f t="shared" si="967"/>
        <v>0</v>
      </c>
      <c r="Y1572" s="209">
        <f t="shared" si="968"/>
        <v>0</v>
      </c>
    </row>
    <row r="1573" spans="2:25" ht="15.75" thickBot="1" x14ac:dyDescent="0.3">
      <c r="B1573" s="141">
        <f>B1567</f>
        <v>35</v>
      </c>
      <c r="C1573" s="142">
        <v>245</v>
      </c>
      <c r="D1573" s="194" t="str">
        <f t="shared" si="939"/>
        <v>V</v>
      </c>
      <c r="E1573" s="189"/>
      <c r="F1573" s="190"/>
      <c r="G1573" s="190"/>
      <c r="H1573" s="182"/>
      <c r="I1573" s="182"/>
      <c r="J1573" s="436" t="s">
        <v>181</v>
      </c>
      <c r="K1573" s="437"/>
      <c r="L1573" s="438"/>
      <c r="M1573" s="182"/>
      <c r="N1573" s="183">
        <v>10</v>
      </c>
      <c r="O1573" s="184">
        <v>10</v>
      </c>
      <c r="P1573" s="185"/>
      <c r="Q1573" s="186">
        <v>10</v>
      </c>
      <c r="R1573" s="187" t="s">
        <v>4</v>
      </c>
      <c r="S1573" s="188">
        <v>43640</v>
      </c>
      <c r="T1573" s="213">
        <f t="shared" si="956"/>
        <v>43647</v>
      </c>
      <c r="U1573" s="214">
        <f t="shared" si="957"/>
        <v>43677</v>
      </c>
      <c r="V1573" s="210">
        <f t="shared" si="969"/>
        <v>0</v>
      </c>
      <c r="W1573" s="211"/>
      <c r="X1573" s="211">
        <f>IF(AND($V1573&gt;0,$I1573=1),IF($E1573=10,P1573/10,P1573/$V1573),0)</f>
        <v>0</v>
      </c>
      <c r="Y1573" s="212">
        <f>IF(AND($V1567&gt;0,$I1573&lt;&gt;1),Q1573/E1567*V1567,0)</f>
        <v>3</v>
      </c>
    </row>
    <row r="1574" spans="2:25" ht="30.75" thickTop="1" x14ac:dyDescent="0.25">
      <c r="B1574" s="129">
        <f>B1572+1</f>
        <v>36</v>
      </c>
      <c r="C1574" s="130">
        <v>246</v>
      </c>
      <c r="D1574" s="196" t="str">
        <f t="shared" si="939"/>
        <v>V</v>
      </c>
      <c r="E1574" s="131">
        <v>10</v>
      </c>
      <c r="F1574" s="132">
        <v>43675</v>
      </c>
      <c r="G1574" s="132">
        <v>43684</v>
      </c>
      <c r="H1574" s="133" t="s">
        <v>275</v>
      </c>
      <c r="I1574" s="133">
        <v>1</v>
      </c>
      <c r="J1574" s="131" t="s">
        <v>168</v>
      </c>
      <c r="K1574" s="134" t="s">
        <v>61</v>
      </c>
      <c r="L1574" s="133">
        <v>1.5</v>
      </c>
      <c r="M1574" s="133">
        <v>8</v>
      </c>
      <c r="N1574" s="135">
        <v>112.5</v>
      </c>
      <c r="O1574" s="136">
        <v>112.5</v>
      </c>
      <c r="P1574" s="137">
        <v>112.5</v>
      </c>
      <c r="Q1574" s="138"/>
      <c r="R1574" s="139" t="s">
        <v>4</v>
      </c>
      <c r="S1574" s="140">
        <v>43621</v>
      </c>
      <c r="T1574" s="203">
        <f t="shared" si="956"/>
        <v>43647</v>
      </c>
      <c r="U1574" s="204">
        <f t="shared" si="957"/>
        <v>43677</v>
      </c>
      <c r="V1574" s="207">
        <f>IF(G1574-F1574+1-IF(G1574-U1574&gt;0,G1574-U1574,0)-IF(T1574-F1574&gt;0,T1574-F1574,0)&gt;0,G1574-F1574+1-IF(G1574-U1574&gt;0,G1574-U1574,0)-IF(T1574-F1574&gt;0,T1574-F1574,0),0)</f>
        <v>3</v>
      </c>
      <c r="W1574" s="206" t="str">
        <f t="shared" ref="W1574:W1579" si="970">IF(V1574&gt;0,H1574,"")</f>
        <v>Цвета Христова</v>
      </c>
      <c r="X1574" s="206">
        <f t="shared" ref="X1574:X1579" si="971">IF(AND($V1574&gt;0,$I1574=1),P1574/$E1574*$V1574,0)</f>
        <v>33.75</v>
      </c>
      <c r="Y1574" s="209">
        <f t="shared" ref="Y1574:Y1579" si="972">IF(AND($V1574&gt;0,$I1574&lt;&gt;1),Q1574/$E1574*$V1574,0)</f>
        <v>0</v>
      </c>
    </row>
    <row r="1575" spans="2:25" hidden="1" x14ac:dyDescent="0.25">
      <c r="B1575" s="60">
        <f>B1574</f>
        <v>36</v>
      </c>
      <c r="C1575" s="102">
        <v>247</v>
      </c>
      <c r="D1575" s="192" t="str">
        <f t="shared" si="939"/>
        <v>V</v>
      </c>
      <c r="E1575" s="62"/>
      <c r="F1575" s="105"/>
      <c r="G1575" s="105"/>
      <c r="H1575" s="61"/>
      <c r="I1575" s="61"/>
      <c r="J1575" s="62"/>
      <c r="K1575" s="63"/>
      <c r="L1575" s="61"/>
      <c r="M1575" s="61"/>
      <c r="N1575" s="111"/>
      <c r="O1575" s="112"/>
      <c r="P1575" s="113"/>
      <c r="Q1575" s="114"/>
      <c r="R1575" s="64"/>
      <c r="S1575" s="108"/>
      <c r="T1575" s="203">
        <f t="shared" si="956"/>
        <v>43647</v>
      </c>
      <c r="U1575" s="204">
        <f t="shared" si="957"/>
        <v>43677</v>
      </c>
      <c r="V1575" s="207">
        <f t="shared" ref="V1575:V1580" si="973">IF(G1575-F1575+1-IF(G1575-U1575&gt;0,G1575-U1575,0)-IF(T1575-F1575&gt;0,T1575-F1575,0)&gt;0,G1575-F1575+1-IF(G1575-U1575&gt;0,G1575-U1575,0)-IF(T1575-F1575&gt;0,T1575-F1575,0),0)</f>
        <v>0</v>
      </c>
      <c r="W1575" s="206" t="str">
        <f t="shared" si="970"/>
        <v/>
      </c>
      <c r="X1575" s="206">
        <f t="shared" si="971"/>
        <v>0</v>
      </c>
      <c r="Y1575" s="209">
        <f t="shared" si="972"/>
        <v>0</v>
      </c>
    </row>
    <row r="1576" spans="2:25" hidden="1" x14ac:dyDescent="0.25">
      <c r="B1576" s="60">
        <f>B1574</f>
        <v>36</v>
      </c>
      <c r="C1576" s="102">
        <v>248</v>
      </c>
      <c r="D1576" s="192" t="str">
        <f t="shared" si="939"/>
        <v>V</v>
      </c>
      <c r="E1576" s="62"/>
      <c r="F1576" s="105"/>
      <c r="G1576" s="105"/>
      <c r="H1576" s="61"/>
      <c r="I1576" s="61"/>
      <c r="J1576" s="62"/>
      <c r="K1576" s="63"/>
      <c r="L1576" s="61"/>
      <c r="M1576" s="61"/>
      <c r="N1576" s="111"/>
      <c r="O1576" s="112"/>
      <c r="P1576" s="113"/>
      <c r="Q1576" s="114"/>
      <c r="R1576" s="64"/>
      <c r="S1576" s="108"/>
      <c r="T1576" s="203">
        <f t="shared" si="956"/>
        <v>43647</v>
      </c>
      <c r="U1576" s="204">
        <f t="shared" si="957"/>
        <v>43677</v>
      </c>
      <c r="V1576" s="207">
        <f t="shared" si="973"/>
        <v>0</v>
      </c>
      <c r="W1576" s="206" t="str">
        <f t="shared" si="970"/>
        <v/>
      </c>
      <c r="X1576" s="206">
        <f t="shared" si="971"/>
        <v>0</v>
      </c>
      <c r="Y1576" s="209">
        <f t="shared" si="972"/>
        <v>0</v>
      </c>
    </row>
    <row r="1577" spans="2:25" hidden="1" x14ac:dyDescent="0.25">
      <c r="B1577" s="60">
        <f>B1574</f>
        <v>36</v>
      </c>
      <c r="C1577" s="102">
        <v>249</v>
      </c>
      <c r="D1577" s="192" t="str">
        <f t="shared" si="939"/>
        <v>V</v>
      </c>
      <c r="E1577" s="62"/>
      <c r="F1577" s="105"/>
      <c r="G1577" s="105"/>
      <c r="H1577" s="61"/>
      <c r="I1577" s="61"/>
      <c r="J1577" s="62"/>
      <c r="K1577" s="63"/>
      <c r="L1577" s="61"/>
      <c r="M1577" s="61"/>
      <c r="N1577" s="111"/>
      <c r="O1577" s="112"/>
      <c r="P1577" s="113"/>
      <c r="Q1577" s="114"/>
      <c r="R1577" s="64"/>
      <c r="S1577" s="108"/>
      <c r="T1577" s="203">
        <f t="shared" si="956"/>
        <v>43647</v>
      </c>
      <c r="U1577" s="204">
        <f t="shared" si="957"/>
        <v>43677</v>
      </c>
      <c r="V1577" s="207">
        <f t="shared" si="973"/>
        <v>0</v>
      </c>
      <c r="W1577" s="206" t="str">
        <f t="shared" si="970"/>
        <v/>
      </c>
      <c r="X1577" s="206">
        <f t="shared" si="971"/>
        <v>0</v>
      </c>
      <c r="Y1577" s="209">
        <f t="shared" si="972"/>
        <v>0</v>
      </c>
    </row>
    <row r="1578" spans="2:25" hidden="1" x14ac:dyDescent="0.25">
      <c r="B1578" s="60">
        <f>B1574</f>
        <v>36</v>
      </c>
      <c r="C1578" s="102">
        <v>250</v>
      </c>
      <c r="D1578" s="192" t="str">
        <f t="shared" si="939"/>
        <v>V</v>
      </c>
      <c r="E1578" s="62"/>
      <c r="F1578" s="105"/>
      <c r="G1578" s="105"/>
      <c r="H1578" s="61"/>
      <c r="I1578" s="61"/>
      <c r="J1578" s="62"/>
      <c r="K1578" s="63"/>
      <c r="L1578" s="61"/>
      <c r="M1578" s="61"/>
      <c r="N1578" s="111"/>
      <c r="O1578" s="112"/>
      <c r="P1578" s="113"/>
      <c r="Q1578" s="114"/>
      <c r="R1578" s="64"/>
      <c r="S1578" s="108"/>
      <c r="T1578" s="203">
        <f t="shared" si="956"/>
        <v>43647</v>
      </c>
      <c r="U1578" s="204">
        <f t="shared" si="957"/>
        <v>43677</v>
      </c>
      <c r="V1578" s="207">
        <f t="shared" si="973"/>
        <v>0</v>
      </c>
      <c r="W1578" s="206" t="str">
        <f t="shared" si="970"/>
        <v/>
      </c>
      <c r="X1578" s="206">
        <f t="shared" si="971"/>
        <v>0</v>
      </c>
      <c r="Y1578" s="209">
        <f t="shared" si="972"/>
        <v>0</v>
      </c>
    </row>
    <row r="1579" spans="2:25" hidden="1" x14ac:dyDescent="0.25">
      <c r="B1579" s="60">
        <f>B1574</f>
        <v>36</v>
      </c>
      <c r="C1579" s="102">
        <v>251</v>
      </c>
      <c r="D1579" s="192" t="str">
        <f t="shared" si="939"/>
        <v>V</v>
      </c>
      <c r="E1579" s="62"/>
      <c r="F1579" s="105"/>
      <c r="G1579" s="105"/>
      <c r="H1579" s="61"/>
      <c r="I1579" s="61"/>
      <c r="J1579" s="62"/>
      <c r="K1579" s="63"/>
      <c r="L1579" s="61"/>
      <c r="M1579" s="61"/>
      <c r="N1579" s="111"/>
      <c r="O1579" s="112"/>
      <c r="P1579" s="113"/>
      <c r="Q1579" s="114"/>
      <c r="R1579" s="64"/>
      <c r="S1579" s="108"/>
      <c r="T1579" s="203">
        <f t="shared" si="956"/>
        <v>43647</v>
      </c>
      <c r="U1579" s="204">
        <f t="shared" si="957"/>
        <v>43677</v>
      </c>
      <c r="V1579" s="207">
        <f t="shared" si="973"/>
        <v>0</v>
      </c>
      <c r="W1579" s="206" t="str">
        <f t="shared" si="970"/>
        <v/>
      </c>
      <c r="X1579" s="206">
        <f t="shared" si="971"/>
        <v>0</v>
      </c>
      <c r="Y1579" s="209">
        <f t="shared" si="972"/>
        <v>0</v>
      </c>
    </row>
    <row r="1580" spans="2:25" ht="15.75" thickBot="1" x14ac:dyDescent="0.3">
      <c r="B1580" s="141">
        <f>B1574</f>
        <v>36</v>
      </c>
      <c r="C1580" s="142">
        <v>252</v>
      </c>
      <c r="D1580" s="194" t="str">
        <f t="shared" si="939"/>
        <v>V</v>
      </c>
      <c r="E1580" s="143"/>
      <c r="F1580" s="144"/>
      <c r="G1580" s="144"/>
      <c r="H1580" s="145"/>
      <c r="I1580" s="145"/>
      <c r="J1580" s="436" t="s">
        <v>181</v>
      </c>
      <c r="K1580" s="437"/>
      <c r="L1580" s="438"/>
      <c r="M1580" s="145"/>
      <c r="N1580" s="146">
        <v>10</v>
      </c>
      <c r="O1580" s="147">
        <v>10</v>
      </c>
      <c r="P1580" s="148"/>
      <c r="Q1580" s="149">
        <v>10</v>
      </c>
      <c r="R1580" s="150" t="s">
        <v>4</v>
      </c>
      <c r="S1580" s="151">
        <v>43621</v>
      </c>
      <c r="T1580" s="213">
        <f t="shared" si="956"/>
        <v>43647</v>
      </c>
      <c r="U1580" s="214">
        <f t="shared" si="957"/>
        <v>43677</v>
      </c>
      <c r="V1580" s="210">
        <f t="shared" si="973"/>
        <v>0</v>
      </c>
      <c r="W1580" s="211"/>
      <c r="X1580" s="211">
        <f>IF(AND($V1580&gt;0,$I1580=1),IF($E1580=10,P1580/10,P1580/$V1580),0)</f>
        <v>0</v>
      </c>
      <c r="Y1580" s="212">
        <f>IF(AND($V1574&gt;0,$I1580&lt;&gt;1),Q1580/E1574*V1574,0)</f>
        <v>3</v>
      </c>
    </row>
    <row r="1581" spans="2:25" ht="30.75" thickTop="1" x14ac:dyDescent="0.25">
      <c r="B1581" s="129">
        <f>B1579+1</f>
        <v>37</v>
      </c>
      <c r="C1581" s="130">
        <v>253</v>
      </c>
      <c r="D1581" s="196" t="str">
        <f t="shared" si="939"/>
        <v>V</v>
      </c>
      <c r="E1581" s="152">
        <v>10</v>
      </c>
      <c r="F1581" s="153">
        <v>43675</v>
      </c>
      <c r="G1581" s="153">
        <v>43684</v>
      </c>
      <c r="H1581" s="154" t="s">
        <v>341</v>
      </c>
      <c r="I1581" s="154">
        <v>1</v>
      </c>
      <c r="J1581" s="152" t="s">
        <v>168</v>
      </c>
      <c r="K1581" s="155" t="s">
        <v>16</v>
      </c>
      <c r="L1581" s="154">
        <v>1</v>
      </c>
      <c r="M1581" s="154">
        <v>8</v>
      </c>
      <c r="N1581" s="156">
        <v>75</v>
      </c>
      <c r="O1581" s="157">
        <v>75</v>
      </c>
      <c r="P1581" s="158">
        <v>75</v>
      </c>
      <c r="Q1581" s="159"/>
      <c r="R1581" s="160" t="s">
        <v>4</v>
      </c>
      <c r="S1581" s="161">
        <v>43620</v>
      </c>
      <c r="T1581" s="203">
        <f t="shared" si="956"/>
        <v>43647</v>
      </c>
      <c r="U1581" s="204">
        <f t="shared" si="957"/>
        <v>43677</v>
      </c>
      <c r="V1581" s="207">
        <f>IF(G1581-F1581+1-IF(G1581-U1581&gt;0,G1581-U1581,0)-IF(T1581-F1581&gt;0,T1581-F1581,0)&gt;0,G1581-F1581+1-IF(G1581-U1581&gt;0,G1581-U1581,0)-IF(T1581-F1581&gt;0,T1581-F1581,0),0)</f>
        <v>3</v>
      </c>
      <c r="W1581" s="206" t="str">
        <f t="shared" ref="W1581:W1586" si="974">IF(V1581&gt;0,H1581,"")</f>
        <v>Диана Стефанова</v>
      </c>
      <c r="X1581" s="206">
        <f t="shared" ref="X1581:X1586" si="975">IF(AND($V1581&gt;0,$I1581=1),P1581/$E1581*$V1581,0)</f>
        <v>22.5</v>
      </c>
      <c r="Y1581" s="209">
        <f t="shared" ref="Y1581:Y1586" si="976">IF(AND($V1581&gt;0,$I1581&lt;&gt;1),Q1581/$E1581*$V1581,0)</f>
        <v>0</v>
      </c>
    </row>
    <row r="1582" spans="2:25" ht="45" x14ac:dyDescent="0.25">
      <c r="B1582" s="60">
        <f>B1581</f>
        <v>37</v>
      </c>
      <c r="C1582" s="102">
        <v>254</v>
      </c>
      <c r="D1582" s="192" t="str">
        <f t="shared" si="939"/>
        <v>V</v>
      </c>
      <c r="E1582" s="162">
        <v>10</v>
      </c>
      <c r="F1582" s="163">
        <v>43675</v>
      </c>
      <c r="G1582" s="163">
        <v>43684</v>
      </c>
      <c r="H1582" s="164" t="s">
        <v>342</v>
      </c>
      <c r="I1582" s="164">
        <v>2</v>
      </c>
      <c r="J1582" s="162" t="s">
        <v>167</v>
      </c>
      <c r="K1582" s="165" t="s">
        <v>16</v>
      </c>
      <c r="L1582" s="164">
        <v>1</v>
      </c>
      <c r="M1582" s="164">
        <v>8</v>
      </c>
      <c r="N1582" s="166">
        <v>90</v>
      </c>
      <c r="O1582" s="167">
        <v>90</v>
      </c>
      <c r="P1582" s="168"/>
      <c r="Q1582" s="169">
        <v>90</v>
      </c>
      <c r="R1582" s="170" t="s">
        <v>4</v>
      </c>
      <c r="S1582" s="171">
        <v>43620</v>
      </c>
      <c r="T1582" s="203">
        <f t="shared" si="956"/>
        <v>43647</v>
      </c>
      <c r="U1582" s="204">
        <f t="shared" si="957"/>
        <v>43677</v>
      </c>
      <c r="V1582" s="207">
        <f t="shared" ref="V1582:V1587" si="977">IF(G1582-F1582+1-IF(G1582-U1582&gt;0,G1582-U1582,0)-IF(T1582-F1582&gt;0,T1582-F1582,0)&gt;0,G1582-F1582+1-IF(G1582-U1582&gt;0,G1582-U1582,0)-IF(T1582-F1582&gt;0,T1582-F1582,0),0)</f>
        <v>3</v>
      </c>
      <c r="W1582" s="206" t="str">
        <f t="shared" si="974"/>
        <v>Огнян Стефанов</v>
      </c>
      <c r="X1582" s="206">
        <f t="shared" si="975"/>
        <v>0</v>
      </c>
      <c r="Y1582" s="209">
        <f t="shared" si="976"/>
        <v>27</v>
      </c>
    </row>
    <row r="1583" spans="2:25" hidden="1" x14ac:dyDescent="0.25">
      <c r="B1583" s="60">
        <f>B1581</f>
        <v>37</v>
      </c>
      <c r="C1583" s="102">
        <v>255</v>
      </c>
      <c r="D1583" s="192" t="str">
        <f t="shared" si="939"/>
        <v>V</v>
      </c>
      <c r="E1583" s="162"/>
      <c r="F1583" s="163"/>
      <c r="G1583" s="163"/>
      <c r="H1583" s="164"/>
      <c r="I1583" s="164"/>
      <c r="J1583" s="162"/>
      <c r="K1583" s="165"/>
      <c r="L1583" s="164"/>
      <c r="M1583" s="164"/>
      <c r="N1583" s="166"/>
      <c r="O1583" s="167"/>
      <c r="P1583" s="168"/>
      <c r="Q1583" s="169"/>
      <c r="R1583" s="170"/>
      <c r="S1583" s="171"/>
      <c r="T1583" s="203">
        <f t="shared" si="956"/>
        <v>43647</v>
      </c>
      <c r="U1583" s="204">
        <f t="shared" si="957"/>
        <v>43677</v>
      </c>
      <c r="V1583" s="207">
        <f t="shared" si="977"/>
        <v>0</v>
      </c>
      <c r="W1583" s="206" t="str">
        <f t="shared" si="974"/>
        <v/>
      </c>
      <c r="X1583" s="206">
        <f t="shared" si="975"/>
        <v>0</v>
      </c>
      <c r="Y1583" s="209">
        <f t="shared" si="976"/>
        <v>0</v>
      </c>
    </row>
    <row r="1584" spans="2:25" hidden="1" x14ac:dyDescent="0.25">
      <c r="B1584" s="60">
        <f>B1581</f>
        <v>37</v>
      </c>
      <c r="C1584" s="102">
        <v>256</v>
      </c>
      <c r="D1584" s="192" t="str">
        <f t="shared" si="939"/>
        <v>V</v>
      </c>
      <c r="E1584" s="162"/>
      <c r="F1584" s="163"/>
      <c r="G1584" s="163"/>
      <c r="H1584" s="164"/>
      <c r="I1584" s="164"/>
      <c r="J1584" s="162"/>
      <c r="K1584" s="165"/>
      <c r="L1584" s="164"/>
      <c r="M1584" s="164"/>
      <c r="N1584" s="166"/>
      <c r="O1584" s="167"/>
      <c r="P1584" s="168"/>
      <c r="Q1584" s="169"/>
      <c r="R1584" s="170"/>
      <c r="S1584" s="171"/>
      <c r="T1584" s="203">
        <f t="shared" si="956"/>
        <v>43647</v>
      </c>
      <c r="U1584" s="204">
        <f t="shared" si="957"/>
        <v>43677</v>
      </c>
      <c r="V1584" s="207">
        <f t="shared" si="977"/>
        <v>0</v>
      </c>
      <c r="W1584" s="206" t="str">
        <f t="shared" si="974"/>
        <v/>
      </c>
      <c r="X1584" s="206">
        <f t="shared" si="975"/>
        <v>0</v>
      </c>
      <c r="Y1584" s="209">
        <f t="shared" si="976"/>
        <v>0</v>
      </c>
    </row>
    <row r="1585" spans="2:25" hidden="1" x14ac:dyDescent="0.25">
      <c r="B1585" s="60">
        <f>B1581</f>
        <v>37</v>
      </c>
      <c r="C1585" s="102">
        <v>257</v>
      </c>
      <c r="D1585" s="192" t="str">
        <f t="shared" si="939"/>
        <v>V</v>
      </c>
      <c r="E1585" s="162"/>
      <c r="F1585" s="163"/>
      <c r="G1585" s="163"/>
      <c r="H1585" s="164"/>
      <c r="I1585" s="164"/>
      <c r="J1585" s="162"/>
      <c r="K1585" s="165"/>
      <c r="L1585" s="164"/>
      <c r="M1585" s="164"/>
      <c r="N1585" s="166"/>
      <c r="O1585" s="167"/>
      <c r="P1585" s="168"/>
      <c r="Q1585" s="169"/>
      <c r="R1585" s="170"/>
      <c r="S1585" s="171"/>
      <c r="T1585" s="203">
        <f t="shared" si="956"/>
        <v>43647</v>
      </c>
      <c r="U1585" s="204">
        <f t="shared" si="957"/>
        <v>43677</v>
      </c>
      <c r="V1585" s="207">
        <f t="shared" si="977"/>
        <v>0</v>
      </c>
      <c r="W1585" s="206" t="str">
        <f t="shared" si="974"/>
        <v/>
      </c>
      <c r="X1585" s="206">
        <f t="shared" si="975"/>
        <v>0</v>
      </c>
      <c r="Y1585" s="209">
        <f t="shared" si="976"/>
        <v>0</v>
      </c>
    </row>
    <row r="1586" spans="2:25" hidden="1" x14ac:dyDescent="0.25">
      <c r="B1586" s="60">
        <f>B1581</f>
        <v>37</v>
      </c>
      <c r="C1586" s="102">
        <v>258</v>
      </c>
      <c r="D1586" s="192" t="str">
        <f t="shared" si="939"/>
        <v>V</v>
      </c>
      <c r="E1586" s="172"/>
      <c r="F1586" s="173"/>
      <c r="G1586" s="173"/>
      <c r="H1586" s="174"/>
      <c r="I1586" s="174"/>
      <c r="J1586" s="172"/>
      <c r="K1586" s="175"/>
      <c r="L1586" s="174"/>
      <c r="M1586" s="174"/>
      <c r="N1586" s="176"/>
      <c r="O1586" s="177"/>
      <c r="P1586" s="178"/>
      <c r="Q1586" s="179"/>
      <c r="R1586" s="180"/>
      <c r="S1586" s="181"/>
      <c r="T1586" s="203">
        <f t="shared" si="956"/>
        <v>43647</v>
      </c>
      <c r="U1586" s="204">
        <f t="shared" si="957"/>
        <v>43677</v>
      </c>
      <c r="V1586" s="207">
        <f t="shared" si="977"/>
        <v>0</v>
      </c>
      <c r="W1586" s="206" t="str">
        <f t="shared" si="974"/>
        <v/>
      </c>
      <c r="X1586" s="206">
        <f t="shared" si="975"/>
        <v>0</v>
      </c>
      <c r="Y1586" s="209">
        <f t="shared" si="976"/>
        <v>0</v>
      </c>
    </row>
    <row r="1587" spans="2:25" ht="15.75" thickBot="1" x14ac:dyDescent="0.3">
      <c r="B1587" s="141">
        <f>B1581</f>
        <v>37</v>
      </c>
      <c r="C1587" s="142">
        <v>259</v>
      </c>
      <c r="D1587" s="194" t="str">
        <f t="shared" ref="D1587:D1650" si="978">D1586</f>
        <v>V</v>
      </c>
      <c r="E1587" s="189"/>
      <c r="F1587" s="190"/>
      <c r="G1587" s="190"/>
      <c r="H1587" s="182"/>
      <c r="I1587" s="182"/>
      <c r="J1587" s="436" t="s">
        <v>181</v>
      </c>
      <c r="K1587" s="437"/>
      <c r="L1587" s="438"/>
      <c r="M1587" s="182"/>
      <c r="N1587" s="183">
        <v>10</v>
      </c>
      <c r="O1587" s="184">
        <v>10</v>
      </c>
      <c r="P1587" s="185"/>
      <c r="Q1587" s="186">
        <v>10</v>
      </c>
      <c r="R1587" s="187" t="s">
        <v>4</v>
      </c>
      <c r="S1587" s="188">
        <v>43620</v>
      </c>
      <c r="T1587" s="213">
        <f t="shared" si="956"/>
        <v>43647</v>
      </c>
      <c r="U1587" s="214">
        <f t="shared" si="957"/>
        <v>43677</v>
      </c>
      <c r="V1587" s="210">
        <f t="shared" si="977"/>
        <v>0</v>
      </c>
      <c r="W1587" s="211"/>
      <c r="X1587" s="211">
        <f>IF(AND($V1587&gt;0,$I1587=1),IF($E1587=10,P1587/10,P1587/$V1587),0)</f>
        <v>0</v>
      </c>
      <c r="Y1587" s="212">
        <f>IF(AND($V1581&gt;0,$I1587&lt;&gt;1),Q1587/E1581*V1581,0)</f>
        <v>3</v>
      </c>
    </row>
    <row r="1588" spans="2:25" ht="16.5" hidden="1" thickTop="1" thickBot="1" x14ac:dyDescent="0.3">
      <c r="B1588" s="129">
        <f>B1586+1</f>
        <v>38</v>
      </c>
      <c r="C1588" s="130">
        <v>260</v>
      </c>
      <c r="D1588" s="196" t="str">
        <f t="shared" si="978"/>
        <v>V</v>
      </c>
      <c r="E1588" s="131"/>
      <c r="F1588" s="132"/>
      <c r="G1588" s="132"/>
      <c r="H1588" s="133"/>
      <c r="I1588" s="133"/>
      <c r="J1588" s="131"/>
      <c r="K1588" s="134"/>
      <c r="L1588" s="133"/>
      <c r="M1588" s="133"/>
      <c r="N1588" s="135"/>
      <c r="O1588" s="136"/>
      <c r="P1588" s="137"/>
      <c r="Q1588" s="138"/>
      <c r="R1588" s="139"/>
      <c r="S1588" s="140"/>
      <c r="T1588" s="203">
        <f t="shared" si="956"/>
        <v>43647</v>
      </c>
      <c r="U1588" s="204">
        <f t="shared" si="957"/>
        <v>43677</v>
      </c>
      <c r="V1588" s="207">
        <f>IF(G1588-F1588+1-IF(G1588-U1588&gt;0,G1588-U1588,0)-IF(T1588-F1588&gt;0,T1588-F1588,0)&gt;0,G1588-F1588+1-IF(G1588-U1588&gt;0,G1588-U1588,0)-IF(T1588-F1588&gt;0,T1588-F1588,0),0)</f>
        <v>0</v>
      </c>
      <c r="W1588" s="206" t="str">
        <f t="shared" ref="W1588:W1593" si="979">IF(V1588&gt;0,H1588,"")</f>
        <v/>
      </c>
      <c r="X1588" s="206">
        <f t="shared" ref="X1588:X1593" si="980">IF(AND($V1588&gt;0,$I1588=1),P1588/$E1588*$V1588,0)</f>
        <v>0</v>
      </c>
      <c r="Y1588" s="209">
        <f t="shared" ref="Y1588:Y1593" si="981">IF(AND($V1588&gt;0,$I1588&lt;&gt;1),Q1588/$E1588*$V1588,0)</f>
        <v>0</v>
      </c>
    </row>
    <row r="1589" spans="2:25" ht="16.5" hidden="1" thickTop="1" thickBot="1" x14ac:dyDescent="0.3">
      <c r="B1589" s="60">
        <f>B1588</f>
        <v>38</v>
      </c>
      <c r="C1589" s="102">
        <v>261</v>
      </c>
      <c r="D1589" s="192" t="str">
        <f t="shared" si="978"/>
        <v>V</v>
      </c>
      <c r="E1589" s="62"/>
      <c r="F1589" s="105"/>
      <c r="G1589" s="105"/>
      <c r="H1589" s="61"/>
      <c r="I1589" s="61"/>
      <c r="J1589" s="62"/>
      <c r="K1589" s="63"/>
      <c r="L1589" s="61"/>
      <c r="M1589" s="61"/>
      <c r="N1589" s="111"/>
      <c r="O1589" s="112"/>
      <c r="P1589" s="113"/>
      <c r="Q1589" s="114"/>
      <c r="R1589" s="64"/>
      <c r="S1589" s="108"/>
      <c r="T1589" s="203">
        <f t="shared" si="956"/>
        <v>43647</v>
      </c>
      <c r="U1589" s="204">
        <f t="shared" si="957"/>
        <v>43677</v>
      </c>
      <c r="V1589" s="207">
        <f t="shared" ref="V1589:V1594" si="982">IF(G1589-F1589+1-IF(G1589-U1589&gt;0,G1589-U1589,0)-IF(T1589-F1589&gt;0,T1589-F1589,0)&gt;0,G1589-F1589+1-IF(G1589-U1589&gt;0,G1589-U1589,0)-IF(T1589-F1589&gt;0,T1589-F1589,0),0)</f>
        <v>0</v>
      </c>
      <c r="W1589" s="206" t="str">
        <f t="shared" si="979"/>
        <v/>
      </c>
      <c r="X1589" s="206">
        <f t="shared" si="980"/>
        <v>0</v>
      </c>
      <c r="Y1589" s="209">
        <f t="shared" si="981"/>
        <v>0</v>
      </c>
    </row>
    <row r="1590" spans="2:25" ht="16.5" hidden="1" thickTop="1" thickBot="1" x14ac:dyDescent="0.3">
      <c r="B1590" s="60">
        <f>B1588</f>
        <v>38</v>
      </c>
      <c r="C1590" s="102">
        <v>262</v>
      </c>
      <c r="D1590" s="192" t="str">
        <f t="shared" si="978"/>
        <v>V</v>
      </c>
      <c r="E1590" s="62"/>
      <c r="F1590" s="105"/>
      <c r="G1590" s="105"/>
      <c r="H1590" s="61"/>
      <c r="I1590" s="61"/>
      <c r="J1590" s="62"/>
      <c r="K1590" s="63"/>
      <c r="L1590" s="61"/>
      <c r="M1590" s="61"/>
      <c r="N1590" s="111"/>
      <c r="O1590" s="112"/>
      <c r="P1590" s="113"/>
      <c r="Q1590" s="114"/>
      <c r="R1590" s="64"/>
      <c r="S1590" s="108"/>
      <c r="T1590" s="203">
        <f t="shared" si="956"/>
        <v>43647</v>
      </c>
      <c r="U1590" s="204">
        <f t="shared" si="957"/>
        <v>43677</v>
      </c>
      <c r="V1590" s="207">
        <f t="shared" si="982"/>
        <v>0</v>
      </c>
      <c r="W1590" s="206" t="str">
        <f t="shared" si="979"/>
        <v/>
      </c>
      <c r="X1590" s="206">
        <f t="shared" si="980"/>
        <v>0</v>
      </c>
      <c r="Y1590" s="209">
        <f t="shared" si="981"/>
        <v>0</v>
      </c>
    </row>
    <row r="1591" spans="2:25" ht="16.5" hidden="1" thickTop="1" thickBot="1" x14ac:dyDescent="0.3">
      <c r="B1591" s="60">
        <f>B1588</f>
        <v>38</v>
      </c>
      <c r="C1591" s="102">
        <v>263</v>
      </c>
      <c r="D1591" s="192" t="str">
        <f t="shared" si="978"/>
        <v>V</v>
      </c>
      <c r="E1591" s="62"/>
      <c r="F1591" s="105"/>
      <c r="G1591" s="105"/>
      <c r="H1591" s="61"/>
      <c r="I1591" s="61"/>
      <c r="J1591" s="62"/>
      <c r="K1591" s="63"/>
      <c r="L1591" s="61"/>
      <c r="M1591" s="61"/>
      <c r="N1591" s="111"/>
      <c r="O1591" s="112"/>
      <c r="P1591" s="113"/>
      <c r="Q1591" s="114"/>
      <c r="R1591" s="64"/>
      <c r="S1591" s="108"/>
      <c r="T1591" s="203">
        <f t="shared" si="956"/>
        <v>43647</v>
      </c>
      <c r="U1591" s="204">
        <f t="shared" si="957"/>
        <v>43677</v>
      </c>
      <c r="V1591" s="207">
        <f t="shared" si="982"/>
        <v>0</v>
      </c>
      <c r="W1591" s="206" t="str">
        <f t="shared" si="979"/>
        <v/>
      </c>
      <c r="X1591" s="206">
        <f t="shared" si="980"/>
        <v>0</v>
      </c>
      <c r="Y1591" s="209">
        <f t="shared" si="981"/>
        <v>0</v>
      </c>
    </row>
    <row r="1592" spans="2:25" ht="16.5" hidden="1" thickTop="1" thickBot="1" x14ac:dyDescent="0.3">
      <c r="B1592" s="60">
        <f>B1588</f>
        <v>38</v>
      </c>
      <c r="C1592" s="102">
        <v>264</v>
      </c>
      <c r="D1592" s="192" t="str">
        <f t="shared" si="978"/>
        <v>V</v>
      </c>
      <c r="E1592" s="62"/>
      <c r="F1592" s="105"/>
      <c r="G1592" s="105"/>
      <c r="H1592" s="61"/>
      <c r="I1592" s="61"/>
      <c r="J1592" s="62"/>
      <c r="K1592" s="63"/>
      <c r="L1592" s="61"/>
      <c r="M1592" s="61"/>
      <c r="N1592" s="111"/>
      <c r="O1592" s="112"/>
      <c r="P1592" s="113"/>
      <c r="Q1592" s="114"/>
      <c r="R1592" s="64"/>
      <c r="S1592" s="108"/>
      <c r="T1592" s="203">
        <f t="shared" si="956"/>
        <v>43647</v>
      </c>
      <c r="U1592" s="204">
        <f t="shared" si="957"/>
        <v>43677</v>
      </c>
      <c r="V1592" s="207">
        <f t="shared" si="982"/>
        <v>0</v>
      </c>
      <c r="W1592" s="206" t="str">
        <f t="shared" si="979"/>
        <v/>
      </c>
      <c r="X1592" s="206">
        <f t="shared" si="980"/>
        <v>0</v>
      </c>
      <c r="Y1592" s="209">
        <f t="shared" si="981"/>
        <v>0</v>
      </c>
    </row>
    <row r="1593" spans="2:25" ht="16.5" hidden="1" thickTop="1" thickBot="1" x14ac:dyDescent="0.3">
      <c r="B1593" s="60">
        <f>B1588</f>
        <v>38</v>
      </c>
      <c r="C1593" s="102">
        <v>265</v>
      </c>
      <c r="D1593" s="192" t="str">
        <f t="shared" si="978"/>
        <v>V</v>
      </c>
      <c r="E1593" s="62"/>
      <c r="F1593" s="105"/>
      <c r="G1593" s="105"/>
      <c r="H1593" s="61"/>
      <c r="I1593" s="61"/>
      <c r="J1593" s="62"/>
      <c r="K1593" s="63"/>
      <c r="L1593" s="61"/>
      <c r="M1593" s="61"/>
      <c r="N1593" s="111"/>
      <c r="O1593" s="112"/>
      <c r="P1593" s="113"/>
      <c r="Q1593" s="114"/>
      <c r="R1593" s="64"/>
      <c r="S1593" s="108"/>
      <c r="T1593" s="203">
        <f t="shared" si="956"/>
        <v>43647</v>
      </c>
      <c r="U1593" s="204">
        <f t="shared" si="957"/>
        <v>43677</v>
      </c>
      <c r="V1593" s="207">
        <f t="shared" si="982"/>
        <v>0</v>
      </c>
      <c r="W1593" s="206" t="str">
        <f t="shared" si="979"/>
        <v/>
      </c>
      <c r="X1593" s="206">
        <f t="shared" si="980"/>
        <v>0</v>
      </c>
      <c r="Y1593" s="209">
        <f t="shared" si="981"/>
        <v>0</v>
      </c>
    </row>
    <row r="1594" spans="2:25" ht="16.5" hidden="1" thickTop="1" thickBot="1" x14ac:dyDescent="0.3">
      <c r="B1594" s="141">
        <f>B1588</f>
        <v>38</v>
      </c>
      <c r="C1594" s="142">
        <v>266</v>
      </c>
      <c r="D1594" s="194" t="str">
        <f t="shared" si="978"/>
        <v>V</v>
      </c>
      <c r="E1594" s="143"/>
      <c r="F1594" s="144"/>
      <c r="G1594" s="144"/>
      <c r="H1594" s="145"/>
      <c r="I1594" s="145"/>
      <c r="J1594" s="436" t="s">
        <v>181</v>
      </c>
      <c r="K1594" s="437"/>
      <c r="L1594" s="438"/>
      <c r="M1594" s="145"/>
      <c r="N1594" s="146"/>
      <c r="O1594" s="147"/>
      <c r="P1594" s="148"/>
      <c r="Q1594" s="149"/>
      <c r="R1594" s="150"/>
      <c r="S1594" s="151"/>
      <c r="T1594" s="213">
        <f t="shared" si="956"/>
        <v>43647</v>
      </c>
      <c r="U1594" s="214">
        <f t="shared" si="957"/>
        <v>43677</v>
      </c>
      <c r="V1594" s="210">
        <f t="shared" si="982"/>
        <v>0</v>
      </c>
      <c r="W1594" s="211"/>
      <c r="X1594" s="211">
        <f>IF(AND($V1594&gt;0,$I1594=1),IF($E1594=10,P1594/10,P1594/$V1594),0)</f>
        <v>0</v>
      </c>
      <c r="Y1594" s="212">
        <f>IF(AND($V1588&gt;0,$I1594&lt;&gt;1),Q1594/E1588*V1588,0)</f>
        <v>0</v>
      </c>
    </row>
    <row r="1595" spans="2:25" ht="45.75" thickTop="1" x14ac:dyDescent="0.25">
      <c r="B1595" s="129">
        <f>B1593+1</f>
        <v>39</v>
      </c>
      <c r="C1595" s="130">
        <v>267</v>
      </c>
      <c r="D1595" s="196" t="str">
        <f t="shared" si="978"/>
        <v>V</v>
      </c>
      <c r="E1595" s="152">
        <v>10</v>
      </c>
      <c r="F1595" s="153">
        <v>43675</v>
      </c>
      <c r="G1595" s="153">
        <v>43684</v>
      </c>
      <c r="H1595" s="154" t="s">
        <v>343</v>
      </c>
      <c r="I1595" s="154">
        <v>2</v>
      </c>
      <c r="J1595" s="152" t="s">
        <v>167</v>
      </c>
      <c r="K1595" s="155" t="s">
        <v>16</v>
      </c>
      <c r="L1595" s="154">
        <v>1</v>
      </c>
      <c r="M1595" s="154">
        <v>8</v>
      </c>
      <c r="N1595" s="156">
        <v>90</v>
      </c>
      <c r="O1595" s="157">
        <v>90</v>
      </c>
      <c r="P1595" s="158"/>
      <c r="Q1595" s="159">
        <v>90</v>
      </c>
      <c r="R1595" s="160" t="s">
        <v>4</v>
      </c>
      <c r="S1595" s="161">
        <v>43620</v>
      </c>
      <c r="T1595" s="203">
        <f t="shared" si="956"/>
        <v>43647</v>
      </c>
      <c r="U1595" s="204">
        <f t="shared" si="957"/>
        <v>43677</v>
      </c>
      <c r="V1595" s="207">
        <f>IF(G1595-F1595+1-IF(G1595-U1595&gt;0,G1595-U1595,0)-IF(T1595-F1595&gt;0,T1595-F1595,0)&gt;0,G1595-F1595+1-IF(G1595-U1595&gt;0,G1595-U1595,0)-IF(T1595-F1595&gt;0,T1595-F1595,0),0)</f>
        <v>3</v>
      </c>
      <c r="W1595" s="206" t="str">
        <f t="shared" ref="W1595:W1600" si="983">IF(V1595&gt;0,H1595,"")</f>
        <v>Илияна Любомирова Златева</v>
      </c>
      <c r="X1595" s="206">
        <f t="shared" ref="X1595:X1600" si="984">IF(AND($V1595&gt;0,$I1595=1),P1595/$E1595*$V1595,0)</f>
        <v>0</v>
      </c>
      <c r="Y1595" s="209">
        <f t="shared" ref="Y1595:Y1600" si="985">IF(AND($V1595&gt;0,$I1595&lt;&gt;1),Q1595/$E1595*$V1595,0)</f>
        <v>27</v>
      </c>
    </row>
    <row r="1596" spans="2:25" x14ac:dyDescent="0.25">
      <c r="B1596" s="60">
        <f>B1595</f>
        <v>39</v>
      </c>
      <c r="C1596" s="102">
        <v>268</v>
      </c>
      <c r="D1596" s="192" t="str">
        <f t="shared" si="978"/>
        <v>V</v>
      </c>
      <c r="E1596" s="162">
        <v>10</v>
      </c>
      <c r="F1596" s="163">
        <v>43675</v>
      </c>
      <c r="G1596" s="163">
        <v>43684</v>
      </c>
      <c r="H1596" s="164" t="s">
        <v>344</v>
      </c>
      <c r="I1596" s="164">
        <v>3</v>
      </c>
      <c r="J1596" s="162" t="s">
        <v>170</v>
      </c>
      <c r="K1596" s="165" t="s">
        <v>16</v>
      </c>
      <c r="L1596" s="164">
        <v>1</v>
      </c>
      <c r="M1596" s="164">
        <v>8</v>
      </c>
      <c r="N1596" s="166">
        <v>0</v>
      </c>
      <c r="O1596" s="167">
        <v>0</v>
      </c>
      <c r="P1596" s="168"/>
      <c r="Q1596" s="169">
        <v>0</v>
      </c>
      <c r="R1596" s="170" t="s">
        <v>4</v>
      </c>
      <c r="S1596" s="171">
        <v>43620</v>
      </c>
      <c r="T1596" s="203">
        <f t="shared" si="956"/>
        <v>43647</v>
      </c>
      <c r="U1596" s="204">
        <f t="shared" si="957"/>
        <v>43677</v>
      </c>
      <c r="V1596" s="207">
        <f t="shared" ref="V1596:V1601" si="986">IF(G1596-F1596+1-IF(G1596-U1596&gt;0,G1596-U1596,0)-IF(T1596-F1596&gt;0,T1596-F1596,0)&gt;0,G1596-F1596+1-IF(G1596-U1596&gt;0,G1596-U1596,0)-IF(T1596-F1596&gt;0,T1596-F1596,0),0)</f>
        <v>3</v>
      </c>
      <c r="W1596" s="206" t="str">
        <f t="shared" si="983"/>
        <v>Теодора Стоянова</v>
      </c>
      <c r="X1596" s="206">
        <f t="shared" si="984"/>
        <v>0</v>
      </c>
      <c r="Y1596" s="209">
        <f t="shared" si="985"/>
        <v>0</v>
      </c>
    </row>
    <row r="1597" spans="2:25" hidden="1" x14ac:dyDescent="0.25">
      <c r="B1597" s="60">
        <f>B1595</f>
        <v>39</v>
      </c>
      <c r="C1597" s="102">
        <v>269</v>
      </c>
      <c r="D1597" s="192" t="str">
        <f t="shared" si="978"/>
        <v>V</v>
      </c>
      <c r="E1597" s="162"/>
      <c r="F1597" s="163"/>
      <c r="G1597" s="163"/>
      <c r="H1597" s="164"/>
      <c r="I1597" s="164"/>
      <c r="J1597" s="162"/>
      <c r="K1597" s="165"/>
      <c r="L1597" s="164"/>
      <c r="M1597" s="164"/>
      <c r="N1597" s="166"/>
      <c r="O1597" s="167"/>
      <c r="P1597" s="168"/>
      <c r="Q1597" s="169"/>
      <c r="R1597" s="170"/>
      <c r="S1597" s="171"/>
      <c r="T1597" s="203">
        <f t="shared" si="956"/>
        <v>43647</v>
      </c>
      <c r="U1597" s="204">
        <f t="shared" si="957"/>
        <v>43677</v>
      </c>
      <c r="V1597" s="207">
        <f t="shared" si="986"/>
        <v>0</v>
      </c>
      <c r="W1597" s="206" t="str">
        <f t="shared" si="983"/>
        <v/>
      </c>
      <c r="X1597" s="206">
        <f t="shared" si="984"/>
        <v>0</v>
      </c>
      <c r="Y1597" s="209">
        <f t="shared" si="985"/>
        <v>0</v>
      </c>
    </row>
    <row r="1598" spans="2:25" hidden="1" x14ac:dyDescent="0.25">
      <c r="B1598" s="60">
        <f>B1595</f>
        <v>39</v>
      </c>
      <c r="C1598" s="102">
        <v>270</v>
      </c>
      <c r="D1598" s="192" t="str">
        <f t="shared" si="978"/>
        <v>V</v>
      </c>
      <c r="E1598" s="162"/>
      <c r="F1598" s="163"/>
      <c r="G1598" s="163"/>
      <c r="H1598" s="164"/>
      <c r="I1598" s="164"/>
      <c r="J1598" s="162"/>
      <c r="K1598" s="165"/>
      <c r="L1598" s="164"/>
      <c r="M1598" s="164"/>
      <c r="N1598" s="166"/>
      <c r="O1598" s="167"/>
      <c r="P1598" s="168"/>
      <c r="Q1598" s="169"/>
      <c r="R1598" s="170"/>
      <c r="S1598" s="171"/>
      <c r="T1598" s="203">
        <f t="shared" si="956"/>
        <v>43647</v>
      </c>
      <c r="U1598" s="204">
        <f t="shared" si="957"/>
        <v>43677</v>
      </c>
      <c r="V1598" s="207">
        <f t="shared" si="986"/>
        <v>0</v>
      </c>
      <c r="W1598" s="206" t="str">
        <f t="shared" si="983"/>
        <v/>
      </c>
      <c r="X1598" s="206">
        <f t="shared" si="984"/>
        <v>0</v>
      </c>
      <c r="Y1598" s="209">
        <f t="shared" si="985"/>
        <v>0</v>
      </c>
    </row>
    <row r="1599" spans="2:25" hidden="1" x14ac:dyDescent="0.25">
      <c r="B1599" s="60">
        <f>B1595</f>
        <v>39</v>
      </c>
      <c r="C1599" s="102">
        <v>271</v>
      </c>
      <c r="D1599" s="192" t="str">
        <f t="shared" si="978"/>
        <v>V</v>
      </c>
      <c r="E1599" s="162"/>
      <c r="F1599" s="163"/>
      <c r="G1599" s="163"/>
      <c r="H1599" s="164"/>
      <c r="I1599" s="164"/>
      <c r="J1599" s="162"/>
      <c r="K1599" s="165"/>
      <c r="L1599" s="164"/>
      <c r="M1599" s="164"/>
      <c r="N1599" s="166"/>
      <c r="O1599" s="167"/>
      <c r="P1599" s="168"/>
      <c r="Q1599" s="169"/>
      <c r="R1599" s="170"/>
      <c r="S1599" s="171"/>
      <c r="T1599" s="203">
        <f t="shared" si="956"/>
        <v>43647</v>
      </c>
      <c r="U1599" s="204">
        <f t="shared" si="957"/>
        <v>43677</v>
      </c>
      <c r="V1599" s="207">
        <f t="shared" si="986"/>
        <v>0</v>
      </c>
      <c r="W1599" s="206" t="str">
        <f t="shared" si="983"/>
        <v/>
      </c>
      <c r="X1599" s="206">
        <f t="shared" si="984"/>
        <v>0</v>
      </c>
      <c r="Y1599" s="209">
        <f t="shared" si="985"/>
        <v>0</v>
      </c>
    </row>
    <row r="1600" spans="2:25" hidden="1" x14ac:dyDescent="0.25">
      <c r="B1600" s="60">
        <f>B1595</f>
        <v>39</v>
      </c>
      <c r="C1600" s="102">
        <v>272</v>
      </c>
      <c r="D1600" s="192" t="str">
        <f t="shared" si="978"/>
        <v>V</v>
      </c>
      <c r="E1600" s="172"/>
      <c r="F1600" s="173"/>
      <c r="G1600" s="173"/>
      <c r="H1600" s="174"/>
      <c r="I1600" s="174"/>
      <c r="J1600" s="172"/>
      <c r="K1600" s="175"/>
      <c r="L1600" s="174"/>
      <c r="M1600" s="174"/>
      <c r="N1600" s="176"/>
      <c r="O1600" s="177"/>
      <c r="P1600" s="178"/>
      <c r="Q1600" s="179"/>
      <c r="R1600" s="180"/>
      <c r="S1600" s="181"/>
      <c r="T1600" s="203">
        <f t="shared" si="956"/>
        <v>43647</v>
      </c>
      <c r="U1600" s="204">
        <f t="shared" si="957"/>
        <v>43677</v>
      </c>
      <c r="V1600" s="207">
        <f t="shared" si="986"/>
        <v>0</v>
      </c>
      <c r="W1600" s="206" t="str">
        <f t="shared" si="983"/>
        <v/>
      </c>
      <c r="X1600" s="206">
        <f t="shared" si="984"/>
        <v>0</v>
      </c>
      <c r="Y1600" s="209">
        <f t="shared" si="985"/>
        <v>0</v>
      </c>
    </row>
    <row r="1601" spans="2:25" ht="15.75" thickBot="1" x14ac:dyDescent="0.3">
      <c r="B1601" s="141">
        <f>B1595</f>
        <v>39</v>
      </c>
      <c r="C1601" s="142">
        <v>273</v>
      </c>
      <c r="D1601" s="194" t="str">
        <f t="shared" si="978"/>
        <v>V</v>
      </c>
      <c r="E1601" s="189"/>
      <c r="F1601" s="190"/>
      <c r="G1601" s="190"/>
      <c r="H1601" s="182"/>
      <c r="I1601" s="182"/>
      <c r="J1601" s="436" t="s">
        <v>181</v>
      </c>
      <c r="K1601" s="437"/>
      <c r="L1601" s="438"/>
      <c r="M1601" s="182"/>
      <c r="N1601" s="183">
        <v>10</v>
      </c>
      <c r="O1601" s="184">
        <v>10</v>
      </c>
      <c r="P1601" s="185"/>
      <c r="Q1601" s="186">
        <v>10</v>
      </c>
      <c r="R1601" s="187" t="s">
        <v>4</v>
      </c>
      <c r="S1601" s="188">
        <v>43620</v>
      </c>
      <c r="T1601" s="213">
        <f t="shared" si="956"/>
        <v>43647</v>
      </c>
      <c r="U1601" s="214">
        <f t="shared" si="957"/>
        <v>43677</v>
      </c>
      <c r="V1601" s="210">
        <f t="shared" si="986"/>
        <v>0</v>
      </c>
      <c r="W1601" s="211"/>
      <c r="X1601" s="211">
        <f>IF(AND($V1601&gt;0,$I1601=1),IF($E1601=10,P1601/10,P1601/$V1601),0)</f>
        <v>0</v>
      </c>
      <c r="Y1601" s="212">
        <f>IF(AND($V1595&gt;0,$I1601&lt;&gt;1),Q1601/E1595*V1595,0)</f>
        <v>3</v>
      </c>
    </row>
    <row r="1602" spans="2:25" ht="16.5" hidden="1" thickTop="1" thickBot="1" x14ac:dyDescent="0.3">
      <c r="B1602" s="129">
        <f>B1600+1</f>
        <v>40</v>
      </c>
      <c r="C1602" s="130">
        <v>274</v>
      </c>
      <c r="D1602" s="196" t="str">
        <f t="shared" si="978"/>
        <v>V</v>
      </c>
      <c r="E1602" s="131"/>
      <c r="F1602" s="132"/>
      <c r="G1602" s="132"/>
      <c r="H1602" s="133"/>
      <c r="I1602" s="133"/>
      <c r="J1602" s="131"/>
      <c r="K1602" s="134"/>
      <c r="L1602" s="133"/>
      <c r="M1602" s="133"/>
      <c r="N1602" s="135"/>
      <c r="O1602" s="136"/>
      <c r="P1602" s="137"/>
      <c r="Q1602" s="138"/>
      <c r="R1602" s="139"/>
      <c r="S1602" s="140"/>
      <c r="T1602" s="203">
        <f t="shared" si="956"/>
        <v>43647</v>
      </c>
      <c r="U1602" s="204">
        <f t="shared" si="957"/>
        <v>43677</v>
      </c>
      <c r="V1602" s="207">
        <f>IF(G1602-F1602+1-IF(G1602-U1602&gt;0,G1602-U1602,0)-IF(T1602-F1602&gt;0,T1602-F1602,0)&gt;0,G1602-F1602+1-IF(G1602-U1602&gt;0,G1602-U1602,0)-IF(T1602-F1602&gt;0,T1602-F1602,0),0)</f>
        <v>0</v>
      </c>
      <c r="W1602" s="206" t="str">
        <f t="shared" ref="W1602:W1607" si="987">IF(V1602&gt;0,H1602,"")</f>
        <v/>
      </c>
      <c r="X1602" s="206">
        <f t="shared" ref="X1602:X1607" si="988">IF(AND($V1602&gt;0,$I1602=1),P1602/$E1602*$V1602,0)</f>
        <v>0</v>
      </c>
      <c r="Y1602" s="209">
        <f t="shared" ref="Y1602:Y1607" si="989">IF(AND($V1602&gt;0,$I1602&lt;&gt;1),Q1602/$E1602*$V1602,0)</f>
        <v>0</v>
      </c>
    </row>
    <row r="1603" spans="2:25" ht="16.5" hidden="1" thickTop="1" thickBot="1" x14ac:dyDescent="0.3">
      <c r="B1603" s="60">
        <f>B1602</f>
        <v>40</v>
      </c>
      <c r="C1603" s="102">
        <v>275</v>
      </c>
      <c r="D1603" s="192" t="str">
        <f t="shared" si="978"/>
        <v>V</v>
      </c>
      <c r="E1603" s="62"/>
      <c r="F1603" s="105"/>
      <c r="G1603" s="105"/>
      <c r="H1603" s="61"/>
      <c r="I1603" s="61"/>
      <c r="J1603" s="62"/>
      <c r="K1603" s="63"/>
      <c r="L1603" s="61"/>
      <c r="M1603" s="61"/>
      <c r="N1603" s="111"/>
      <c r="O1603" s="112"/>
      <c r="P1603" s="113"/>
      <c r="Q1603" s="114"/>
      <c r="R1603" s="64"/>
      <c r="S1603" s="108"/>
      <c r="T1603" s="203">
        <f t="shared" si="956"/>
        <v>43647</v>
      </c>
      <c r="U1603" s="204">
        <f t="shared" si="957"/>
        <v>43677</v>
      </c>
      <c r="V1603" s="207">
        <f t="shared" ref="V1603:V1608" si="990">IF(G1603-F1603+1-IF(G1603-U1603&gt;0,G1603-U1603,0)-IF(T1603-F1603&gt;0,T1603-F1603,0)&gt;0,G1603-F1603+1-IF(G1603-U1603&gt;0,G1603-U1603,0)-IF(T1603-F1603&gt;0,T1603-F1603,0),0)</f>
        <v>0</v>
      </c>
      <c r="W1603" s="206" t="str">
        <f t="shared" si="987"/>
        <v/>
      </c>
      <c r="X1603" s="206">
        <f t="shared" si="988"/>
        <v>0</v>
      </c>
      <c r="Y1603" s="209">
        <f t="shared" si="989"/>
        <v>0</v>
      </c>
    </row>
    <row r="1604" spans="2:25" ht="16.5" hidden="1" thickTop="1" thickBot="1" x14ac:dyDescent="0.3">
      <c r="B1604" s="60">
        <f>B1602</f>
        <v>40</v>
      </c>
      <c r="C1604" s="102">
        <v>276</v>
      </c>
      <c r="D1604" s="192" t="str">
        <f t="shared" si="978"/>
        <v>V</v>
      </c>
      <c r="E1604" s="62"/>
      <c r="F1604" s="105"/>
      <c r="G1604" s="105"/>
      <c r="H1604" s="61"/>
      <c r="I1604" s="61"/>
      <c r="J1604" s="62"/>
      <c r="K1604" s="63"/>
      <c r="L1604" s="61"/>
      <c r="M1604" s="61"/>
      <c r="N1604" s="111"/>
      <c r="O1604" s="112"/>
      <c r="P1604" s="113"/>
      <c r="Q1604" s="114"/>
      <c r="R1604" s="64"/>
      <c r="S1604" s="108"/>
      <c r="T1604" s="203">
        <f t="shared" si="956"/>
        <v>43647</v>
      </c>
      <c r="U1604" s="204">
        <f t="shared" si="957"/>
        <v>43677</v>
      </c>
      <c r="V1604" s="207">
        <f t="shared" si="990"/>
        <v>0</v>
      </c>
      <c r="W1604" s="206" t="str">
        <f t="shared" si="987"/>
        <v/>
      </c>
      <c r="X1604" s="206">
        <f t="shared" si="988"/>
        <v>0</v>
      </c>
      <c r="Y1604" s="209">
        <f t="shared" si="989"/>
        <v>0</v>
      </c>
    </row>
    <row r="1605" spans="2:25" ht="16.5" hidden="1" thickTop="1" thickBot="1" x14ac:dyDescent="0.3">
      <c r="B1605" s="60">
        <f>B1602</f>
        <v>40</v>
      </c>
      <c r="C1605" s="102">
        <v>277</v>
      </c>
      <c r="D1605" s="192" t="str">
        <f t="shared" si="978"/>
        <v>V</v>
      </c>
      <c r="E1605" s="62"/>
      <c r="F1605" s="105"/>
      <c r="G1605" s="105"/>
      <c r="H1605" s="61"/>
      <c r="I1605" s="61"/>
      <c r="J1605" s="62"/>
      <c r="K1605" s="63"/>
      <c r="L1605" s="61"/>
      <c r="M1605" s="61"/>
      <c r="N1605" s="111"/>
      <c r="O1605" s="112"/>
      <c r="P1605" s="113"/>
      <c r="Q1605" s="114"/>
      <c r="R1605" s="64"/>
      <c r="S1605" s="108"/>
      <c r="T1605" s="203">
        <f t="shared" si="956"/>
        <v>43647</v>
      </c>
      <c r="U1605" s="204">
        <f t="shared" si="957"/>
        <v>43677</v>
      </c>
      <c r="V1605" s="207">
        <f t="shared" si="990"/>
        <v>0</v>
      </c>
      <c r="W1605" s="206" t="str">
        <f t="shared" si="987"/>
        <v/>
      </c>
      <c r="X1605" s="206">
        <f t="shared" si="988"/>
        <v>0</v>
      </c>
      <c r="Y1605" s="209">
        <f t="shared" si="989"/>
        <v>0</v>
      </c>
    </row>
    <row r="1606" spans="2:25" ht="16.5" hidden="1" thickTop="1" thickBot="1" x14ac:dyDescent="0.3">
      <c r="B1606" s="60">
        <f>B1602</f>
        <v>40</v>
      </c>
      <c r="C1606" s="102">
        <v>278</v>
      </c>
      <c r="D1606" s="192" t="str">
        <f t="shared" si="978"/>
        <v>V</v>
      </c>
      <c r="E1606" s="62"/>
      <c r="F1606" s="105"/>
      <c r="G1606" s="105"/>
      <c r="H1606" s="61"/>
      <c r="I1606" s="61"/>
      <c r="J1606" s="62"/>
      <c r="K1606" s="63"/>
      <c r="L1606" s="61"/>
      <c r="M1606" s="61"/>
      <c r="N1606" s="111"/>
      <c r="O1606" s="112"/>
      <c r="P1606" s="113"/>
      <c r="Q1606" s="114"/>
      <c r="R1606" s="64"/>
      <c r="S1606" s="108"/>
      <c r="T1606" s="203">
        <f t="shared" si="956"/>
        <v>43647</v>
      </c>
      <c r="U1606" s="204">
        <f t="shared" si="957"/>
        <v>43677</v>
      </c>
      <c r="V1606" s="207">
        <f t="shared" si="990"/>
        <v>0</v>
      </c>
      <c r="W1606" s="206" t="str">
        <f t="shared" si="987"/>
        <v/>
      </c>
      <c r="X1606" s="206">
        <f t="shared" si="988"/>
        <v>0</v>
      </c>
      <c r="Y1606" s="209">
        <f t="shared" si="989"/>
        <v>0</v>
      </c>
    </row>
    <row r="1607" spans="2:25" ht="16.5" hidden="1" thickTop="1" thickBot="1" x14ac:dyDescent="0.3">
      <c r="B1607" s="60">
        <f>B1602</f>
        <v>40</v>
      </c>
      <c r="C1607" s="102">
        <v>279</v>
      </c>
      <c r="D1607" s="192" t="str">
        <f t="shared" si="978"/>
        <v>V</v>
      </c>
      <c r="E1607" s="62"/>
      <c r="F1607" s="105"/>
      <c r="G1607" s="105"/>
      <c r="H1607" s="61"/>
      <c r="I1607" s="61"/>
      <c r="J1607" s="62"/>
      <c r="K1607" s="63"/>
      <c r="L1607" s="61"/>
      <c r="M1607" s="61"/>
      <c r="N1607" s="111"/>
      <c r="O1607" s="112"/>
      <c r="P1607" s="113"/>
      <c r="Q1607" s="114"/>
      <c r="R1607" s="64"/>
      <c r="S1607" s="108"/>
      <c r="T1607" s="203">
        <f t="shared" si="956"/>
        <v>43647</v>
      </c>
      <c r="U1607" s="204">
        <f t="shared" si="957"/>
        <v>43677</v>
      </c>
      <c r="V1607" s="207">
        <f t="shared" si="990"/>
        <v>0</v>
      </c>
      <c r="W1607" s="206" t="str">
        <f t="shared" si="987"/>
        <v/>
      </c>
      <c r="X1607" s="206">
        <f t="shared" si="988"/>
        <v>0</v>
      </c>
      <c r="Y1607" s="209">
        <f t="shared" si="989"/>
        <v>0</v>
      </c>
    </row>
    <row r="1608" spans="2:25" ht="16.5" hidden="1" thickTop="1" thickBot="1" x14ac:dyDescent="0.3">
      <c r="B1608" s="141">
        <f>B1602</f>
        <v>40</v>
      </c>
      <c r="C1608" s="142">
        <v>280</v>
      </c>
      <c r="D1608" s="194" t="str">
        <f t="shared" si="978"/>
        <v>V</v>
      </c>
      <c r="E1608" s="143"/>
      <c r="F1608" s="144"/>
      <c r="G1608" s="144"/>
      <c r="H1608" s="145"/>
      <c r="I1608" s="145"/>
      <c r="J1608" s="436" t="s">
        <v>181</v>
      </c>
      <c r="K1608" s="437"/>
      <c r="L1608" s="438"/>
      <c r="M1608" s="145"/>
      <c r="N1608" s="146"/>
      <c r="O1608" s="147"/>
      <c r="P1608" s="148"/>
      <c r="Q1608" s="149"/>
      <c r="R1608" s="150"/>
      <c r="S1608" s="151"/>
      <c r="T1608" s="213">
        <f t="shared" si="956"/>
        <v>43647</v>
      </c>
      <c r="U1608" s="214">
        <f t="shared" si="957"/>
        <v>43677</v>
      </c>
      <c r="V1608" s="210">
        <f t="shared" si="990"/>
        <v>0</v>
      </c>
      <c r="W1608" s="211"/>
      <c r="X1608" s="211">
        <f>IF(AND($V1608&gt;0,$I1608=1),IF($E1608=10,P1608/10,P1608/$V1608),0)</f>
        <v>0</v>
      </c>
      <c r="Y1608" s="212">
        <f>IF(AND($V1602&gt;0,$I1608&lt;&gt;1),Q1608/E1602*V1602,0)</f>
        <v>0</v>
      </c>
    </row>
    <row r="1609" spans="2:25" ht="30.75" thickTop="1" x14ac:dyDescent="0.25">
      <c r="B1609" s="129">
        <f>B1607+1</f>
        <v>41</v>
      </c>
      <c r="C1609" s="130">
        <v>281</v>
      </c>
      <c r="D1609" s="196" t="str">
        <f t="shared" si="978"/>
        <v>V</v>
      </c>
      <c r="E1609" s="152">
        <v>10</v>
      </c>
      <c r="F1609" s="153">
        <v>43675</v>
      </c>
      <c r="G1609" s="153">
        <v>43684</v>
      </c>
      <c r="H1609" s="154" t="s">
        <v>285</v>
      </c>
      <c r="I1609" s="154">
        <v>1</v>
      </c>
      <c r="J1609" s="152" t="s">
        <v>168</v>
      </c>
      <c r="K1609" s="155" t="s">
        <v>16</v>
      </c>
      <c r="L1609" s="154">
        <v>1</v>
      </c>
      <c r="M1609" s="154">
        <v>8</v>
      </c>
      <c r="N1609" s="156">
        <v>75</v>
      </c>
      <c r="O1609" s="157">
        <v>75</v>
      </c>
      <c r="P1609" s="158">
        <v>75</v>
      </c>
      <c r="Q1609" s="159"/>
      <c r="R1609" s="160" t="s">
        <v>4</v>
      </c>
      <c r="S1609" s="161">
        <v>43620</v>
      </c>
      <c r="T1609" s="203">
        <f t="shared" si="956"/>
        <v>43647</v>
      </c>
      <c r="U1609" s="204">
        <f t="shared" si="957"/>
        <v>43677</v>
      </c>
      <c r="V1609" s="207">
        <f>IF(G1609-F1609+1-IF(G1609-U1609&gt;0,G1609-U1609,0)-IF(T1609-F1609&gt;0,T1609-F1609,0)&gt;0,G1609-F1609+1-IF(G1609-U1609&gt;0,G1609-U1609,0)-IF(T1609-F1609&gt;0,T1609-F1609,0),0)</f>
        <v>3</v>
      </c>
      <c r="W1609" s="206" t="str">
        <f t="shared" ref="W1609:W1614" si="991">IF(V1609&gt;0,H1609,"")</f>
        <v>Емилия Големанова</v>
      </c>
      <c r="X1609" s="206">
        <f t="shared" ref="X1609:X1614" si="992">IF(AND($V1609&gt;0,$I1609=1),P1609/$E1609*$V1609,0)</f>
        <v>22.5</v>
      </c>
      <c r="Y1609" s="209">
        <f t="shared" ref="Y1609:Y1614" si="993">IF(AND($V1609&gt;0,$I1609&lt;&gt;1),Q1609/$E1609*$V1609,0)</f>
        <v>0</v>
      </c>
    </row>
    <row r="1610" spans="2:25" ht="30" x14ac:dyDescent="0.25">
      <c r="B1610" s="60">
        <f>B1609</f>
        <v>41</v>
      </c>
      <c r="C1610" s="102">
        <v>282</v>
      </c>
      <c r="D1610" s="192" t="str">
        <f t="shared" si="978"/>
        <v>V</v>
      </c>
      <c r="E1610" s="162">
        <v>10</v>
      </c>
      <c r="F1610" s="163">
        <v>43675</v>
      </c>
      <c r="G1610" s="163">
        <v>43684</v>
      </c>
      <c r="H1610" s="164" t="s">
        <v>345</v>
      </c>
      <c r="I1610" s="164">
        <v>1</v>
      </c>
      <c r="J1610" s="162" t="s">
        <v>168</v>
      </c>
      <c r="K1610" s="165" t="s">
        <v>16</v>
      </c>
      <c r="L1610" s="164">
        <v>1</v>
      </c>
      <c r="M1610" s="164">
        <v>8</v>
      </c>
      <c r="N1610" s="166">
        <v>75</v>
      </c>
      <c r="O1610" s="167">
        <v>75</v>
      </c>
      <c r="P1610" s="168">
        <v>75</v>
      </c>
      <c r="Q1610" s="169"/>
      <c r="R1610" s="170" t="s">
        <v>4</v>
      </c>
      <c r="S1610" s="171">
        <v>43620</v>
      </c>
      <c r="T1610" s="203">
        <f t="shared" si="956"/>
        <v>43647</v>
      </c>
      <c r="U1610" s="204">
        <f t="shared" si="957"/>
        <v>43677</v>
      </c>
      <c r="V1610" s="207">
        <f t="shared" ref="V1610:V1615" si="994">IF(G1610-F1610+1-IF(G1610-U1610&gt;0,G1610-U1610,0)-IF(T1610-F1610&gt;0,T1610-F1610,0)&gt;0,G1610-F1610+1-IF(G1610-U1610&gt;0,G1610-U1610,0)-IF(T1610-F1610&gt;0,T1610-F1610,0),0)</f>
        <v>3</v>
      </c>
      <c r="W1610" s="206" t="str">
        <f t="shared" si="991"/>
        <v>Цанко  Големанов</v>
      </c>
      <c r="X1610" s="206">
        <f t="shared" si="992"/>
        <v>22.5</v>
      </c>
      <c r="Y1610" s="209">
        <f t="shared" si="993"/>
        <v>0</v>
      </c>
    </row>
    <row r="1611" spans="2:25" hidden="1" x14ac:dyDescent="0.25">
      <c r="B1611" s="60">
        <f>B1609</f>
        <v>41</v>
      </c>
      <c r="C1611" s="102">
        <v>283</v>
      </c>
      <c r="D1611" s="192" t="str">
        <f t="shared" si="978"/>
        <v>V</v>
      </c>
      <c r="E1611" s="162"/>
      <c r="F1611" s="163"/>
      <c r="G1611" s="163"/>
      <c r="H1611" s="164"/>
      <c r="I1611" s="164"/>
      <c r="J1611" s="162"/>
      <c r="K1611" s="165"/>
      <c r="L1611" s="164"/>
      <c r="M1611" s="164"/>
      <c r="N1611" s="166"/>
      <c r="O1611" s="167"/>
      <c r="P1611" s="168"/>
      <c r="Q1611" s="169"/>
      <c r="R1611" s="170"/>
      <c r="S1611" s="171"/>
      <c r="T1611" s="203">
        <f t="shared" si="956"/>
        <v>43647</v>
      </c>
      <c r="U1611" s="204">
        <f t="shared" si="957"/>
        <v>43677</v>
      </c>
      <c r="V1611" s="207">
        <f t="shared" si="994"/>
        <v>0</v>
      </c>
      <c r="W1611" s="206" t="str">
        <f t="shared" si="991"/>
        <v/>
      </c>
      <c r="X1611" s="206">
        <f t="shared" si="992"/>
        <v>0</v>
      </c>
      <c r="Y1611" s="209">
        <f t="shared" si="993"/>
        <v>0</v>
      </c>
    </row>
    <row r="1612" spans="2:25" hidden="1" x14ac:dyDescent="0.25">
      <c r="B1612" s="60">
        <f>B1609</f>
        <v>41</v>
      </c>
      <c r="C1612" s="102">
        <v>284</v>
      </c>
      <c r="D1612" s="192" t="str">
        <f t="shared" si="978"/>
        <v>V</v>
      </c>
      <c r="E1612" s="162"/>
      <c r="F1612" s="163"/>
      <c r="G1612" s="163"/>
      <c r="H1612" s="164"/>
      <c r="I1612" s="164"/>
      <c r="J1612" s="162"/>
      <c r="K1612" s="165"/>
      <c r="L1612" s="164"/>
      <c r="M1612" s="164"/>
      <c r="N1612" s="166"/>
      <c r="O1612" s="167"/>
      <c r="P1612" s="168"/>
      <c r="Q1612" s="169"/>
      <c r="R1612" s="170"/>
      <c r="S1612" s="171"/>
      <c r="T1612" s="203">
        <f t="shared" si="956"/>
        <v>43647</v>
      </c>
      <c r="U1612" s="204">
        <f t="shared" si="957"/>
        <v>43677</v>
      </c>
      <c r="V1612" s="207">
        <f t="shared" si="994"/>
        <v>0</v>
      </c>
      <c r="W1612" s="206" t="str">
        <f t="shared" si="991"/>
        <v/>
      </c>
      <c r="X1612" s="206">
        <f t="shared" si="992"/>
        <v>0</v>
      </c>
      <c r="Y1612" s="209">
        <f t="shared" si="993"/>
        <v>0</v>
      </c>
    </row>
    <row r="1613" spans="2:25" hidden="1" x14ac:dyDescent="0.25">
      <c r="B1613" s="60">
        <f>B1609</f>
        <v>41</v>
      </c>
      <c r="C1613" s="102">
        <v>285</v>
      </c>
      <c r="D1613" s="192" t="str">
        <f t="shared" si="978"/>
        <v>V</v>
      </c>
      <c r="E1613" s="162"/>
      <c r="F1613" s="163"/>
      <c r="G1613" s="163"/>
      <c r="H1613" s="164"/>
      <c r="I1613" s="164"/>
      <c r="J1613" s="162"/>
      <c r="K1613" s="165"/>
      <c r="L1613" s="164"/>
      <c r="M1613" s="164"/>
      <c r="N1613" s="166"/>
      <c r="O1613" s="167"/>
      <c r="P1613" s="168"/>
      <c r="Q1613" s="169"/>
      <c r="R1613" s="170"/>
      <c r="S1613" s="171"/>
      <c r="T1613" s="203">
        <f t="shared" ref="T1613:T1676" si="995">$F$4</f>
        <v>43647</v>
      </c>
      <c r="U1613" s="204">
        <f t="shared" ref="U1613:U1676" si="996">$G$4</f>
        <v>43677</v>
      </c>
      <c r="V1613" s="207">
        <f t="shared" si="994"/>
        <v>0</v>
      </c>
      <c r="W1613" s="206" t="str">
        <f t="shared" si="991"/>
        <v/>
      </c>
      <c r="X1613" s="206">
        <f t="shared" si="992"/>
        <v>0</v>
      </c>
      <c r="Y1613" s="209">
        <f t="shared" si="993"/>
        <v>0</v>
      </c>
    </row>
    <row r="1614" spans="2:25" hidden="1" x14ac:dyDescent="0.25">
      <c r="B1614" s="60">
        <f>B1609</f>
        <v>41</v>
      </c>
      <c r="C1614" s="102">
        <v>286</v>
      </c>
      <c r="D1614" s="192" t="str">
        <f t="shared" si="978"/>
        <v>V</v>
      </c>
      <c r="E1614" s="172"/>
      <c r="F1614" s="173"/>
      <c r="G1614" s="173"/>
      <c r="H1614" s="174"/>
      <c r="I1614" s="174"/>
      <c r="J1614" s="172"/>
      <c r="K1614" s="175"/>
      <c r="L1614" s="174"/>
      <c r="M1614" s="174"/>
      <c r="N1614" s="176"/>
      <c r="O1614" s="177"/>
      <c r="P1614" s="178"/>
      <c r="Q1614" s="179"/>
      <c r="R1614" s="180"/>
      <c r="S1614" s="181"/>
      <c r="T1614" s="203">
        <f t="shared" si="995"/>
        <v>43647</v>
      </c>
      <c r="U1614" s="204">
        <f t="shared" si="996"/>
        <v>43677</v>
      </c>
      <c r="V1614" s="207">
        <f t="shared" si="994"/>
        <v>0</v>
      </c>
      <c r="W1614" s="206" t="str">
        <f t="shared" si="991"/>
        <v/>
      </c>
      <c r="X1614" s="206">
        <f t="shared" si="992"/>
        <v>0</v>
      </c>
      <c r="Y1614" s="209">
        <f t="shared" si="993"/>
        <v>0</v>
      </c>
    </row>
    <row r="1615" spans="2:25" ht="15.75" thickBot="1" x14ac:dyDescent="0.3">
      <c r="B1615" s="141">
        <f>B1609</f>
        <v>41</v>
      </c>
      <c r="C1615" s="142">
        <v>287</v>
      </c>
      <c r="D1615" s="194" t="str">
        <f t="shared" si="978"/>
        <v>V</v>
      </c>
      <c r="E1615" s="189"/>
      <c r="F1615" s="190"/>
      <c r="G1615" s="190"/>
      <c r="H1615" s="182"/>
      <c r="I1615" s="182"/>
      <c r="J1615" s="436" t="s">
        <v>181</v>
      </c>
      <c r="K1615" s="437"/>
      <c r="L1615" s="438"/>
      <c r="M1615" s="182"/>
      <c r="N1615" s="183">
        <v>10</v>
      </c>
      <c r="O1615" s="184">
        <v>10</v>
      </c>
      <c r="P1615" s="185"/>
      <c r="Q1615" s="186">
        <v>10</v>
      </c>
      <c r="R1615" s="187" t="s">
        <v>4</v>
      </c>
      <c r="S1615" s="188">
        <v>43620</v>
      </c>
      <c r="T1615" s="213">
        <f t="shared" si="995"/>
        <v>43647</v>
      </c>
      <c r="U1615" s="214">
        <f t="shared" si="996"/>
        <v>43677</v>
      </c>
      <c r="V1615" s="210">
        <f t="shared" si="994"/>
        <v>0</v>
      </c>
      <c r="W1615" s="211"/>
      <c r="X1615" s="211">
        <f>IF(AND($V1615&gt;0,$I1615=1),IF($E1615=10,P1615/10,P1615/$V1615),0)</f>
        <v>0</v>
      </c>
      <c r="Y1615" s="212">
        <f>IF(AND($V1609&gt;0,$I1615&lt;&gt;1),Q1615/E1609*V1609,0)</f>
        <v>3</v>
      </c>
    </row>
    <row r="1616" spans="2:25" ht="30.75" thickTop="1" x14ac:dyDescent="0.25">
      <c r="B1616" s="129">
        <f>B1614+1</f>
        <v>42</v>
      </c>
      <c r="C1616" s="130">
        <v>288</v>
      </c>
      <c r="D1616" s="196" t="str">
        <f t="shared" si="978"/>
        <v>V</v>
      </c>
      <c r="E1616" s="131">
        <v>10</v>
      </c>
      <c r="F1616" s="132">
        <v>43675</v>
      </c>
      <c r="G1616" s="132">
        <v>43684</v>
      </c>
      <c r="H1616" s="133" t="s">
        <v>346</v>
      </c>
      <c r="I1616" s="133">
        <v>1</v>
      </c>
      <c r="J1616" s="131" t="s">
        <v>168</v>
      </c>
      <c r="K1616" s="134" t="s">
        <v>61</v>
      </c>
      <c r="L1616" s="133">
        <v>1.5</v>
      </c>
      <c r="M1616" s="133">
        <v>8</v>
      </c>
      <c r="N1616" s="135">
        <v>112.5</v>
      </c>
      <c r="O1616" s="136">
        <v>112.5</v>
      </c>
      <c r="P1616" s="137">
        <v>112.5</v>
      </c>
      <c r="Q1616" s="138"/>
      <c r="R1616" s="139" t="s">
        <v>4</v>
      </c>
      <c r="S1616" s="140">
        <v>43620</v>
      </c>
      <c r="T1616" s="203">
        <f t="shared" si="995"/>
        <v>43647</v>
      </c>
      <c r="U1616" s="204">
        <f t="shared" si="996"/>
        <v>43677</v>
      </c>
      <c r="V1616" s="207">
        <f>IF(G1616-F1616+1-IF(G1616-U1616&gt;0,G1616-U1616,0)-IF(T1616-F1616&gt;0,T1616-F1616,0)&gt;0,G1616-F1616+1-IF(G1616-U1616&gt;0,G1616-U1616,0)-IF(T1616-F1616&gt;0,T1616-F1616,0),0)</f>
        <v>3</v>
      </c>
      <c r="W1616" s="206" t="str">
        <f t="shared" ref="W1616:W1621" si="997">IF(V1616&gt;0,H1616,"")</f>
        <v>Десислава Атанасова</v>
      </c>
      <c r="X1616" s="206">
        <f t="shared" ref="X1616:X1621" si="998">IF(AND($V1616&gt;0,$I1616=1),P1616/$E1616*$V1616,0)</f>
        <v>33.75</v>
      </c>
      <c r="Y1616" s="209">
        <f t="shared" ref="Y1616:Y1621" si="999">IF(AND($V1616&gt;0,$I1616&lt;&gt;1),Q1616/$E1616*$V1616,0)</f>
        <v>0</v>
      </c>
    </row>
    <row r="1617" spans="2:25" ht="45" x14ac:dyDescent="0.25">
      <c r="B1617" s="60">
        <f>B1616</f>
        <v>42</v>
      </c>
      <c r="C1617" s="102">
        <v>289</v>
      </c>
      <c r="D1617" s="192" t="str">
        <f t="shared" si="978"/>
        <v>V</v>
      </c>
      <c r="E1617" s="62">
        <v>10</v>
      </c>
      <c r="F1617" s="105">
        <v>43675</v>
      </c>
      <c r="G1617" s="105">
        <v>43684</v>
      </c>
      <c r="H1617" s="61" t="s">
        <v>347</v>
      </c>
      <c r="I1617" s="61">
        <v>2</v>
      </c>
      <c r="J1617" s="62" t="s">
        <v>167</v>
      </c>
      <c r="K1617" s="63" t="s">
        <v>61</v>
      </c>
      <c r="L1617" s="61">
        <v>1.5</v>
      </c>
      <c r="M1617" s="61">
        <v>8</v>
      </c>
      <c r="N1617" s="111">
        <v>135</v>
      </c>
      <c r="O1617" s="112">
        <v>135</v>
      </c>
      <c r="P1617" s="113"/>
      <c r="Q1617" s="114">
        <v>135</v>
      </c>
      <c r="R1617" s="64" t="s">
        <v>4</v>
      </c>
      <c r="S1617" s="108">
        <v>43620</v>
      </c>
      <c r="T1617" s="203">
        <f t="shared" si="995"/>
        <v>43647</v>
      </c>
      <c r="U1617" s="204">
        <f t="shared" si="996"/>
        <v>43677</v>
      </c>
      <c r="V1617" s="207">
        <f t="shared" ref="V1617:V1622" si="1000">IF(G1617-F1617+1-IF(G1617-U1617&gt;0,G1617-U1617,0)-IF(T1617-F1617&gt;0,T1617-F1617,0)&gt;0,G1617-F1617+1-IF(G1617-U1617&gt;0,G1617-U1617,0)-IF(T1617-F1617&gt;0,T1617-F1617,0),0)</f>
        <v>3</v>
      </c>
      <c r="W1617" s="206" t="str">
        <f t="shared" si="997"/>
        <v>Иво Атанасов</v>
      </c>
      <c r="X1617" s="206">
        <f t="shared" si="998"/>
        <v>0</v>
      </c>
      <c r="Y1617" s="209">
        <f t="shared" si="999"/>
        <v>40.5</v>
      </c>
    </row>
    <row r="1618" spans="2:25" hidden="1" x14ac:dyDescent="0.25">
      <c r="B1618" s="60">
        <f>B1616</f>
        <v>42</v>
      </c>
      <c r="C1618" s="102">
        <v>290</v>
      </c>
      <c r="D1618" s="192" t="str">
        <f t="shared" si="978"/>
        <v>V</v>
      </c>
      <c r="E1618" s="62"/>
      <c r="F1618" s="105"/>
      <c r="G1618" s="105"/>
      <c r="H1618" s="61"/>
      <c r="I1618" s="61"/>
      <c r="J1618" s="62"/>
      <c r="K1618" s="63"/>
      <c r="L1618" s="61"/>
      <c r="M1618" s="61"/>
      <c r="N1618" s="111"/>
      <c r="O1618" s="112"/>
      <c r="P1618" s="113"/>
      <c r="Q1618" s="114"/>
      <c r="R1618" s="64"/>
      <c r="S1618" s="108"/>
      <c r="T1618" s="203">
        <f t="shared" si="995"/>
        <v>43647</v>
      </c>
      <c r="U1618" s="204">
        <f t="shared" si="996"/>
        <v>43677</v>
      </c>
      <c r="V1618" s="207">
        <f t="shared" si="1000"/>
        <v>0</v>
      </c>
      <c r="W1618" s="206" t="str">
        <f t="shared" si="997"/>
        <v/>
      </c>
      <c r="X1618" s="206">
        <f t="shared" si="998"/>
        <v>0</v>
      </c>
      <c r="Y1618" s="209">
        <f t="shared" si="999"/>
        <v>0</v>
      </c>
    </row>
    <row r="1619" spans="2:25" hidden="1" x14ac:dyDescent="0.25">
      <c r="B1619" s="60">
        <f>B1616</f>
        <v>42</v>
      </c>
      <c r="C1619" s="102">
        <v>291</v>
      </c>
      <c r="D1619" s="192" t="str">
        <f t="shared" si="978"/>
        <v>V</v>
      </c>
      <c r="E1619" s="62"/>
      <c r="F1619" s="105"/>
      <c r="G1619" s="105"/>
      <c r="H1619" s="61"/>
      <c r="I1619" s="61"/>
      <c r="J1619" s="62"/>
      <c r="K1619" s="63"/>
      <c r="L1619" s="61"/>
      <c r="M1619" s="61"/>
      <c r="N1619" s="111"/>
      <c r="O1619" s="112"/>
      <c r="P1619" s="113"/>
      <c r="Q1619" s="114"/>
      <c r="R1619" s="64"/>
      <c r="S1619" s="108"/>
      <c r="T1619" s="203">
        <f t="shared" si="995"/>
        <v>43647</v>
      </c>
      <c r="U1619" s="204">
        <f t="shared" si="996"/>
        <v>43677</v>
      </c>
      <c r="V1619" s="207">
        <f t="shared" si="1000"/>
        <v>0</v>
      </c>
      <c r="W1619" s="206" t="str">
        <f t="shared" si="997"/>
        <v/>
      </c>
      <c r="X1619" s="206">
        <f t="shared" si="998"/>
        <v>0</v>
      </c>
      <c r="Y1619" s="209">
        <f t="shared" si="999"/>
        <v>0</v>
      </c>
    </row>
    <row r="1620" spans="2:25" hidden="1" x14ac:dyDescent="0.25">
      <c r="B1620" s="60">
        <f>B1616</f>
        <v>42</v>
      </c>
      <c r="C1620" s="102">
        <v>292</v>
      </c>
      <c r="D1620" s="192" t="str">
        <f t="shared" si="978"/>
        <v>V</v>
      </c>
      <c r="E1620" s="62"/>
      <c r="F1620" s="105"/>
      <c r="G1620" s="105"/>
      <c r="H1620" s="61"/>
      <c r="I1620" s="61"/>
      <c r="J1620" s="62"/>
      <c r="K1620" s="63"/>
      <c r="L1620" s="61"/>
      <c r="M1620" s="61"/>
      <c r="N1620" s="111"/>
      <c r="O1620" s="112"/>
      <c r="P1620" s="113"/>
      <c r="Q1620" s="114"/>
      <c r="R1620" s="64"/>
      <c r="S1620" s="108"/>
      <c r="T1620" s="203">
        <f t="shared" si="995"/>
        <v>43647</v>
      </c>
      <c r="U1620" s="204">
        <f t="shared" si="996"/>
        <v>43677</v>
      </c>
      <c r="V1620" s="207">
        <f t="shared" si="1000"/>
        <v>0</v>
      </c>
      <c r="W1620" s="206" t="str">
        <f t="shared" si="997"/>
        <v/>
      </c>
      <c r="X1620" s="206">
        <f t="shared" si="998"/>
        <v>0</v>
      </c>
      <c r="Y1620" s="209">
        <f t="shared" si="999"/>
        <v>0</v>
      </c>
    </row>
    <row r="1621" spans="2:25" hidden="1" x14ac:dyDescent="0.25">
      <c r="B1621" s="60">
        <f>B1616</f>
        <v>42</v>
      </c>
      <c r="C1621" s="102">
        <v>293</v>
      </c>
      <c r="D1621" s="192" t="str">
        <f t="shared" si="978"/>
        <v>V</v>
      </c>
      <c r="E1621" s="62"/>
      <c r="F1621" s="105"/>
      <c r="G1621" s="105"/>
      <c r="H1621" s="61"/>
      <c r="I1621" s="61"/>
      <c r="J1621" s="62"/>
      <c r="K1621" s="63"/>
      <c r="L1621" s="61"/>
      <c r="M1621" s="61"/>
      <c r="N1621" s="111"/>
      <c r="O1621" s="112"/>
      <c r="P1621" s="113"/>
      <c r="Q1621" s="114"/>
      <c r="R1621" s="64"/>
      <c r="S1621" s="108"/>
      <c r="T1621" s="203">
        <f t="shared" si="995"/>
        <v>43647</v>
      </c>
      <c r="U1621" s="204">
        <f t="shared" si="996"/>
        <v>43677</v>
      </c>
      <c r="V1621" s="207">
        <f t="shared" si="1000"/>
        <v>0</v>
      </c>
      <c r="W1621" s="206" t="str">
        <f t="shared" si="997"/>
        <v/>
      </c>
      <c r="X1621" s="206">
        <f t="shared" si="998"/>
        <v>0</v>
      </c>
      <c r="Y1621" s="209">
        <f t="shared" si="999"/>
        <v>0</v>
      </c>
    </row>
    <row r="1622" spans="2:25" ht="15.75" thickBot="1" x14ac:dyDescent="0.3">
      <c r="B1622" s="141">
        <f>B1616</f>
        <v>42</v>
      </c>
      <c r="C1622" s="142">
        <v>294</v>
      </c>
      <c r="D1622" s="194" t="str">
        <f t="shared" si="978"/>
        <v>V</v>
      </c>
      <c r="E1622" s="143"/>
      <c r="F1622" s="144"/>
      <c r="G1622" s="144"/>
      <c r="H1622" s="145"/>
      <c r="I1622" s="145"/>
      <c r="J1622" s="436" t="s">
        <v>181</v>
      </c>
      <c r="K1622" s="437"/>
      <c r="L1622" s="438"/>
      <c r="M1622" s="145"/>
      <c r="N1622" s="146">
        <v>10</v>
      </c>
      <c r="O1622" s="147">
        <v>10</v>
      </c>
      <c r="P1622" s="148"/>
      <c r="Q1622" s="149">
        <v>10</v>
      </c>
      <c r="R1622" s="150" t="s">
        <v>4</v>
      </c>
      <c r="S1622" s="151">
        <v>43620</v>
      </c>
      <c r="T1622" s="213">
        <f t="shared" si="995"/>
        <v>43647</v>
      </c>
      <c r="U1622" s="214">
        <f t="shared" si="996"/>
        <v>43677</v>
      </c>
      <c r="V1622" s="210">
        <f t="shared" si="1000"/>
        <v>0</v>
      </c>
      <c r="W1622" s="211"/>
      <c r="X1622" s="211">
        <f>IF(AND($V1622&gt;0,$I1622=1),IF($E1622=10,P1622/10,P1622/$V1622),0)</f>
        <v>0</v>
      </c>
      <c r="Y1622" s="212">
        <f>IF(AND($V1616&gt;0,$I1622&lt;&gt;1),Q1622/E1616*V1616,0)</f>
        <v>3</v>
      </c>
    </row>
    <row r="1623" spans="2:25" ht="16.5" hidden="1" thickTop="1" thickBot="1" x14ac:dyDescent="0.3">
      <c r="B1623" s="129">
        <f>B1621+1</f>
        <v>43</v>
      </c>
      <c r="C1623" s="130">
        <v>295</v>
      </c>
      <c r="D1623" s="196" t="str">
        <f t="shared" si="978"/>
        <v>V</v>
      </c>
      <c r="E1623" s="152"/>
      <c r="F1623" s="153"/>
      <c r="G1623" s="153"/>
      <c r="H1623" s="154"/>
      <c r="I1623" s="154"/>
      <c r="J1623" s="152"/>
      <c r="K1623" s="155"/>
      <c r="L1623" s="154"/>
      <c r="M1623" s="154"/>
      <c r="N1623" s="156"/>
      <c r="O1623" s="157"/>
      <c r="P1623" s="158"/>
      <c r="Q1623" s="159"/>
      <c r="R1623" s="160"/>
      <c r="S1623" s="161"/>
      <c r="T1623" s="203">
        <f t="shared" si="995"/>
        <v>43647</v>
      </c>
      <c r="U1623" s="204">
        <f t="shared" si="996"/>
        <v>43677</v>
      </c>
      <c r="V1623" s="207">
        <f>IF(G1623-F1623+1-IF(G1623-U1623&gt;0,G1623-U1623,0)-IF(T1623-F1623&gt;0,T1623-F1623,0)&gt;0,G1623-F1623+1-IF(G1623-U1623&gt;0,G1623-U1623,0)-IF(T1623-F1623&gt;0,T1623-F1623,0),0)</f>
        <v>0</v>
      </c>
      <c r="W1623" s="206" t="str">
        <f t="shared" ref="W1623:W1628" si="1001">IF(V1623&gt;0,H1623,"")</f>
        <v/>
      </c>
      <c r="X1623" s="206">
        <f t="shared" ref="X1623:X1628" si="1002">IF(AND($V1623&gt;0,$I1623=1),P1623/$E1623*$V1623,0)</f>
        <v>0</v>
      </c>
      <c r="Y1623" s="209">
        <f t="shared" ref="Y1623:Y1628" si="1003">IF(AND($V1623&gt;0,$I1623&lt;&gt;1),Q1623/$E1623*$V1623,0)</f>
        <v>0</v>
      </c>
    </row>
    <row r="1624" spans="2:25" ht="16.5" hidden="1" thickTop="1" thickBot="1" x14ac:dyDescent="0.3">
      <c r="B1624" s="60">
        <f>B1623</f>
        <v>43</v>
      </c>
      <c r="C1624" s="102">
        <v>296</v>
      </c>
      <c r="D1624" s="192" t="str">
        <f t="shared" si="978"/>
        <v>V</v>
      </c>
      <c r="E1624" s="162"/>
      <c r="F1624" s="163"/>
      <c r="G1624" s="163"/>
      <c r="H1624" s="164"/>
      <c r="I1624" s="164"/>
      <c r="J1624" s="162"/>
      <c r="K1624" s="165"/>
      <c r="L1624" s="164"/>
      <c r="M1624" s="164"/>
      <c r="N1624" s="166"/>
      <c r="O1624" s="167"/>
      <c r="P1624" s="168"/>
      <c r="Q1624" s="169"/>
      <c r="R1624" s="170"/>
      <c r="S1624" s="171"/>
      <c r="T1624" s="203">
        <f t="shared" si="995"/>
        <v>43647</v>
      </c>
      <c r="U1624" s="204">
        <f t="shared" si="996"/>
        <v>43677</v>
      </c>
      <c r="V1624" s="207">
        <f t="shared" ref="V1624:V1629" si="1004">IF(G1624-F1624+1-IF(G1624-U1624&gt;0,G1624-U1624,0)-IF(T1624-F1624&gt;0,T1624-F1624,0)&gt;0,G1624-F1624+1-IF(G1624-U1624&gt;0,G1624-U1624,0)-IF(T1624-F1624&gt;0,T1624-F1624,0),0)</f>
        <v>0</v>
      </c>
      <c r="W1624" s="206" t="str">
        <f t="shared" si="1001"/>
        <v/>
      </c>
      <c r="X1624" s="206">
        <f t="shared" si="1002"/>
        <v>0</v>
      </c>
      <c r="Y1624" s="209">
        <f t="shared" si="1003"/>
        <v>0</v>
      </c>
    </row>
    <row r="1625" spans="2:25" ht="16.5" hidden="1" thickTop="1" thickBot="1" x14ac:dyDescent="0.3">
      <c r="B1625" s="60">
        <f>B1623</f>
        <v>43</v>
      </c>
      <c r="C1625" s="102">
        <v>297</v>
      </c>
      <c r="D1625" s="192" t="str">
        <f t="shared" si="978"/>
        <v>V</v>
      </c>
      <c r="E1625" s="162"/>
      <c r="F1625" s="163"/>
      <c r="G1625" s="163"/>
      <c r="H1625" s="164"/>
      <c r="I1625" s="164"/>
      <c r="J1625" s="162"/>
      <c r="K1625" s="165"/>
      <c r="L1625" s="164"/>
      <c r="M1625" s="164"/>
      <c r="N1625" s="166"/>
      <c r="O1625" s="167"/>
      <c r="P1625" s="168"/>
      <c r="Q1625" s="169"/>
      <c r="R1625" s="170"/>
      <c r="S1625" s="171"/>
      <c r="T1625" s="203">
        <f t="shared" si="995"/>
        <v>43647</v>
      </c>
      <c r="U1625" s="204">
        <f t="shared" si="996"/>
        <v>43677</v>
      </c>
      <c r="V1625" s="207">
        <f t="shared" si="1004"/>
        <v>0</v>
      </c>
      <c r="W1625" s="206" t="str">
        <f t="shared" si="1001"/>
        <v/>
      </c>
      <c r="X1625" s="206">
        <f t="shared" si="1002"/>
        <v>0</v>
      </c>
      <c r="Y1625" s="209">
        <f t="shared" si="1003"/>
        <v>0</v>
      </c>
    </row>
    <row r="1626" spans="2:25" ht="16.5" hidden="1" thickTop="1" thickBot="1" x14ac:dyDescent="0.3">
      <c r="B1626" s="60">
        <f>B1623</f>
        <v>43</v>
      </c>
      <c r="C1626" s="102">
        <v>298</v>
      </c>
      <c r="D1626" s="192" t="str">
        <f t="shared" si="978"/>
        <v>V</v>
      </c>
      <c r="E1626" s="162"/>
      <c r="F1626" s="163"/>
      <c r="G1626" s="163"/>
      <c r="H1626" s="164"/>
      <c r="I1626" s="164"/>
      <c r="J1626" s="162"/>
      <c r="K1626" s="165"/>
      <c r="L1626" s="164"/>
      <c r="M1626" s="164"/>
      <c r="N1626" s="166"/>
      <c r="O1626" s="167"/>
      <c r="P1626" s="168"/>
      <c r="Q1626" s="169"/>
      <c r="R1626" s="170"/>
      <c r="S1626" s="171"/>
      <c r="T1626" s="203">
        <f t="shared" si="995"/>
        <v>43647</v>
      </c>
      <c r="U1626" s="204">
        <f t="shared" si="996"/>
        <v>43677</v>
      </c>
      <c r="V1626" s="207">
        <f t="shared" si="1004"/>
        <v>0</v>
      </c>
      <c r="W1626" s="206" t="str">
        <f t="shared" si="1001"/>
        <v/>
      </c>
      <c r="X1626" s="206">
        <f t="shared" si="1002"/>
        <v>0</v>
      </c>
      <c r="Y1626" s="209">
        <f t="shared" si="1003"/>
        <v>0</v>
      </c>
    </row>
    <row r="1627" spans="2:25" ht="16.5" hidden="1" thickTop="1" thickBot="1" x14ac:dyDescent="0.3">
      <c r="B1627" s="60">
        <f>B1623</f>
        <v>43</v>
      </c>
      <c r="C1627" s="102">
        <v>299</v>
      </c>
      <c r="D1627" s="192" t="str">
        <f t="shared" si="978"/>
        <v>V</v>
      </c>
      <c r="E1627" s="162"/>
      <c r="F1627" s="163"/>
      <c r="G1627" s="163"/>
      <c r="H1627" s="164"/>
      <c r="I1627" s="164"/>
      <c r="J1627" s="162"/>
      <c r="K1627" s="165"/>
      <c r="L1627" s="164"/>
      <c r="M1627" s="164"/>
      <c r="N1627" s="166"/>
      <c r="O1627" s="167"/>
      <c r="P1627" s="168"/>
      <c r="Q1627" s="169"/>
      <c r="R1627" s="170"/>
      <c r="S1627" s="171"/>
      <c r="T1627" s="203">
        <f t="shared" si="995"/>
        <v>43647</v>
      </c>
      <c r="U1627" s="204">
        <f t="shared" si="996"/>
        <v>43677</v>
      </c>
      <c r="V1627" s="207">
        <f t="shared" si="1004"/>
        <v>0</v>
      </c>
      <c r="W1627" s="206" t="str">
        <f t="shared" si="1001"/>
        <v/>
      </c>
      <c r="X1627" s="206">
        <f t="shared" si="1002"/>
        <v>0</v>
      </c>
      <c r="Y1627" s="209">
        <f t="shared" si="1003"/>
        <v>0</v>
      </c>
    </row>
    <row r="1628" spans="2:25" ht="16.5" hidden="1" thickTop="1" thickBot="1" x14ac:dyDescent="0.3">
      <c r="B1628" s="60">
        <f>B1623</f>
        <v>43</v>
      </c>
      <c r="C1628" s="102">
        <v>300</v>
      </c>
      <c r="D1628" s="192" t="str">
        <f t="shared" si="978"/>
        <v>V</v>
      </c>
      <c r="E1628" s="172"/>
      <c r="F1628" s="173"/>
      <c r="G1628" s="173"/>
      <c r="H1628" s="174"/>
      <c r="I1628" s="174"/>
      <c r="J1628" s="172"/>
      <c r="K1628" s="175"/>
      <c r="L1628" s="174"/>
      <c r="M1628" s="174"/>
      <c r="N1628" s="176"/>
      <c r="O1628" s="177"/>
      <c r="P1628" s="178"/>
      <c r="Q1628" s="179"/>
      <c r="R1628" s="180"/>
      <c r="S1628" s="181"/>
      <c r="T1628" s="203">
        <f t="shared" si="995"/>
        <v>43647</v>
      </c>
      <c r="U1628" s="204">
        <f t="shared" si="996"/>
        <v>43677</v>
      </c>
      <c r="V1628" s="207">
        <f t="shared" si="1004"/>
        <v>0</v>
      </c>
      <c r="W1628" s="206" t="str">
        <f t="shared" si="1001"/>
        <v/>
      </c>
      <c r="X1628" s="206">
        <f t="shared" si="1002"/>
        <v>0</v>
      </c>
      <c r="Y1628" s="209">
        <f t="shared" si="1003"/>
        <v>0</v>
      </c>
    </row>
    <row r="1629" spans="2:25" ht="16.5" hidden="1" thickTop="1" thickBot="1" x14ac:dyDescent="0.3">
      <c r="B1629" s="141">
        <f>B1623</f>
        <v>43</v>
      </c>
      <c r="C1629" s="142">
        <v>301</v>
      </c>
      <c r="D1629" s="194" t="str">
        <f t="shared" si="978"/>
        <v>V</v>
      </c>
      <c r="E1629" s="189"/>
      <c r="F1629" s="190"/>
      <c r="G1629" s="190"/>
      <c r="H1629" s="182"/>
      <c r="I1629" s="182"/>
      <c r="J1629" s="436" t="s">
        <v>181</v>
      </c>
      <c r="K1629" s="437"/>
      <c r="L1629" s="438"/>
      <c r="M1629" s="182"/>
      <c r="N1629" s="183"/>
      <c r="O1629" s="184"/>
      <c r="P1629" s="185"/>
      <c r="Q1629" s="186"/>
      <c r="R1629" s="187"/>
      <c r="S1629" s="188"/>
      <c r="T1629" s="213">
        <f t="shared" si="995"/>
        <v>43647</v>
      </c>
      <c r="U1629" s="214">
        <f t="shared" si="996"/>
        <v>43677</v>
      </c>
      <c r="V1629" s="210">
        <f t="shared" si="1004"/>
        <v>0</v>
      </c>
      <c r="W1629" s="211"/>
      <c r="X1629" s="211">
        <f>IF(AND($V1629&gt;0,$I1629=1),IF($E1629=10,P1629/10,P1629/$V1629),0)</f>
        <v>0</v>
      </c>
      <c r="Y1629" s="212">
        <f>IF(AND($V1623&gt;0,$I1629&lt;&gt;1),Q1629/E1623*V1623,0)</f>
        <v>0</v>
      </c>
    </row>
    <row r="1630" spans="2:25" ht="16.5" hidden="1" thickTop="1" thickBot="1" x14ac:dyDescent="0.3">
      <c r="B1630" s="129">
        <f>B1628+1</f>
        <v>44</v>
      </c>
      <c r="C1630" s="130">
        <v>302</v>
      </c>
      <c r="D1630" s="196" t="str">
        <f t="shared" si="978"/>
        <v>V</v>
      </c>
      <c r="E1630" s="131"/>
      <c r="F1630" s="132"/>
      <c r="G1630" s="132"/>
      <c r="H1630" s="133"/>
      <c r="I1630" s="133"/>
      <c r="J1630" s="131"/>
      <c r="K1630" s="134"/>
      <c r="L1630" s="133"/>
      <c r="M1630" s="133"/>
      <c r="N1630" s="135"/>
      <c r="O1630" s="136"/>
      <c r="P1630" s="137"/>
      <c r="Q1630" s="138"/>
      <c r="R1630" s="139"/>
      <c r="S1630" s="140"/>
      <c r="T1630" s="203">
        <f t="shared" si="995"/>
        <v>43647</v>
      </c>
      <c r="U1630" s="204">
        <f t="shared" si="996"/>
        <v>43677</v>
      </c>
      <c r="V1630" s="207">
        <f>IF(G1630-F1630+1-IF(G1630-U1630&gt;0,G1630-U1630,0)-IF(T1630-F1630&gt;0,T1630-F1630,0)&gt;0,G1630-F1630+1-IF(G1630-U1630&gt;0,G1630-U1630,0)-IF(T1630-F1630&gt;0,T1630-F1630,0),0)</f>
        <v>0</v>
      </c>
      <c r="W1630" s="206" t="str">
        <f t="shared" ref="W1630:W1635" si="1005">IF(V1630&gt;0,H1630,"")</f>
        <v/>
      </c>
      <c r="X1630" s="206">
        <f t="shared" ref="X1630:X1635" si="1006">IF(AND($V1630&gt;0,$I1630=1),P1630/$E1630*$V1630,0)</f>
        <v>0</v>
      </c>
      <c r="Y1630" s="209">
        <f t="shared" ref="Y1630:Y1635" si="1007">IF(AND($V1630&gt;0,$I1630&lt;&gt;1),Q1630/$E1630*$V1630,0)</f>
        <v>0</v>
      </c>
    </row>
    <row r="1631" spans="2:25" ht="16.5" hidden="1" thickTop="1" thickBot="1" x14ac:dyDescent="0.3">
      <c r="B1631" s="60">
        <f>B1630</f>
        <v>44</v>
      </c>
      <c r="C1631" s="102">
        <v>303</v>
      </c>
      <c r="D1631" s="192" t="str">
        <f t="shared" si="978"/>
        <v>V</v>
      </c>
      <c r="E1631" s="62"/>
      <c r="F1631" s="105"/>
      <c r="G1631" s="105"/>
      <c r="H1631" s="61"/>
      <c r="I1631" s="61"/>
      <c r="J1631" s="62"/>
      <c r="K1631" s="63"/>
      <c r="L1631" s="61"/>
      <c r="M1631" s="61"/>
      <c r="N1631" s="111"/>
      <c r="O1631" s="112"/>
      <c r="P1631" s="113"/>
      <c r="Q1631" s="114"/>
      <c r="R1631" s="64"/>
      <c r="S1631" s="108"/>
      <c r="T1631" s="203">
        <f t="shared" si="995"/>
        <v>43647</v>
      </c>
      <c r="U1631" s="204">
        <f t="shared" si="996"/>
        <v>43677</v>
      </c>
      <c r="V1631" s="207">
        <f t="shared" ref="V1631:V1636" si="1008">IF(G1631-F1631+1-IF(G1631-U1631&gt;0,G1631-U1631,0)-IF(T1631-F1631&gt;0,T1631-F1631,0)&gt;0,G1631-F1631+1-IF(G1631-U1631&gt;0,G1631-U1631,0)-IF(T1631-F1631&gt;0,T1631-F1631,0),0)</f>
        <v>0</v>
      </c>
      <c r="W1631" s="206" t="str">
        <f t="shared" si="1005"/>
        <v/>
      </c>
      <c r="X1631" s="206">
        <f t="shared" si="1006"/>
        <v>0</v>
      </c>
      <c r="Y1631" s="209">
        <f t="shared" si="1007"/>
        <v>0</v>
      </c>
    </row>
    <row r="1632" spans="2:25" ht="16.5" hidden="1" thickTop="1" thickBot="1" x14ac:dyDescent="0.3">
      <c r="B1632" s="60">
        <f>B1630</f>
        <v>44</v>
      </c>
      <c r="C1632" s="102">
        <v>304</v>
      </c>
      <c r="D1632" s="192" t="str">
        <f t="shared" si="978"/>
        <v>V</v>
      </c>
      <c r="E1632" s="62"/>
      <c r="F1632" s="105"/>
      <c r="G1632" s="105"/>
      <c r="H1632" s="61"/>
      <c r="I1632" s="61"/>
      <c r="J1632" s="62"/>
      <c r="K1632" s="63"/>
      <c r="L1632" s="61"/>
      <c r="M1632" s="61"/>
      <c r="N1632" s="111"/>
      <c r="O1632" s="112"/>
      <c r="P1632" s="113"/>
      <c r="Q1632" s="114"/>
      <c r="R1632" s="64"/>
      <c r="S1632" s="108"/>
      <c r="T1632" s="203">
        <f t="shared" si="995"/>
        <v>43647</v>
      </c>
      <c r="U1632" s="204">
        <f t="shared" si="996"/>
        <v>43677</v>
      </c>
      <c r="V1632" s="207">
        <f t="shared" si="1008"/>
        <v>0</v>
      </c>
      <c r="W1632" s="206" t="str">
        <f t="shared" si="1005"/>
        <v/>
      </c>
      <c r="X1632" s="206">
        <f t="shared" si="1006"/>
        <v>0</v>
      </c>
      <c r="Y1632" s="209">
        <f t="shared" si="1007"/>
        <v>0</v>
      </c>
    </row>
    <row r="1633" spans="2:25" ht="16.5" hidden="1" thickTop="1" thickBot="1" x14ac:dyDescent="0.3">
      <c r="B1633" s="60">
        <f>B1630</f>
        <v>44</v>
      </c>
      <c r="C1633" s="102">
        <v>305</v>
      </c>
      <c r="D1633" s="192" t="str">
        <f t="shared" si="978"/>
        <v>V</v>
      </c>
      <c r="E1633" s="62"/>
      <c r="F1633" s="105"/>
      <c r="G1633" s="105"/>
      <c r="H1633" s="61"/>
      <c r="I1633" s="61"/>
      <c r="J1633" s="62"/>
      <c r="K1633" s="63"/>
      <c r="L1633" s="61"/>
      <c r="M1633" s="61"/>
      <c r="N1633" s="111"/>
      <c r="O1633" s="112"/>
      <c r="P1633" s="113"/>
      <c r="Q1633" s="114"/>
      <c r="R1633" s="64"/>
      <c r="S1633" s="108"/>
      <c r="T1633" s="203">
        <f t="shared" si="995"/>
        <v>43647</v>
      </c>
      <c r="U1633" s="204">
        <f t="shared" si="996"/>
        <v>43677</v>
      </c>
      <c r="V1633" s="207">
        <f t="shared" si="1008"/>
        <v>0</v>
      </c>
      <c r="W1633" s="206" t="str">
        <f t="shared" si="1005"/>
        <v/>
      </c>
      <c r="X1633" s="206">
        <f t="shared" si="1006"/>
        <v>0</v>
      </c>
      <c r="Y1633" s="209">
        <f t="shared" si="1007"/>
        <v>0</v>
      </c>
    </row>
    <row r="1634" spans="2:25" ht="16.5" hidden="1" thickTop="1" thickBot="1" x14ac:dyDescent="0.3">
      <c r="B1634" s="60">
        <f>B1630</f>
        <v>44</v>
      </c>
      <c r="C1634" s="102">
        <v>306</v>
      </c>
      <c r="D1634" s="192" t="str">
        <f t="shared" si="978"/>
        <v>V</v>
      </c>
      <c r="E1634" s="62"/>
      <c r="F1634" s="105"/>
      <c r="G1634" s="105"/>
      <c r="H1634" s="61"/>
      <c r="I1634" s="61"/>
      <c r="J1634" s="62"/>
      <c r="K1634" s="63"/>
      <c r="L1634" s="61"/>
      <c r="M1634" s="61"/>
      <c r="N1634" s="111"/>
      <c r="O1634" s="112"/>
      <c r="P1634" s="113"/>
      <c r="Q1634" s="114"/>
      <c r="R1634" s="64"/>
      <c r="S1634" s="108"/>
      <c r="T1634" s="203">
        <f t="shared" si="995"/>
        <v>43647</v>
      </c>
      <c r="U1634" s="204">
        <f t="shared" si="996"/>
        <v>43677</v>
      </c>
      <c r="V1634" s="207">
        <f t="shared" si="1008"/>
        <v>0</v>
      </c>
      <c r="W1634" s="206" t="str">
        <f t="shared" si="1005"/>
        <v/>
      </c>
      <c r="X1634" s="206">
        <f t="shared" si="1006"/>
        <v>0</v>
      </c>
      <c r="Y1634" s="209">
        <f t="shared" si="1007"/>
        <v>0</v>
      </c>
    </row>
    <row r="1635" spans="2:25" ht="16.5" hidden="1" thickTop="1" thickBot="1" x14ac:dyDescent="0.3">
      <c r="B1635" s="60">
        <f>B1630</f>
        <v>44</v>
      </c>
      <c r="C1635" s="102">
        <v>307</v>
      </c>
      <c r="D1635" s="192" t="str">
        <f t="shared" si="978"/>
        <v>V</v>
      </c>
      <c r="E1635" s="62"/>
      <c r="F1635" s="105"/>
      <c r="G1635" s="105"/>
      <c r="H1635" s="61"/>
      <c r="I1635" s="61"/>
      <c r="J1635" s="62"/>
      <c r="K1635" s="63"/>
      <c r="L1635" s="61"/>
      <c r="M1635" s="61"/>
      <c r="N1635" s="111"/>
      <c r="O1635" s="112"/>
      <c r="P1635" s="113"/>
      <c r="Q1635" s="114"/>
      <c r="R1635" s="64"/>
      <c r="S1635" s="108"/>
      <c r="T1635" s="203">
        <f t="shared" si="995"/>
        <v>43647</v>
      </c>
      <c r="U1635" s="204">
        <f t="shared" si="996"/>
        <v>43677</v>
      </c>
      <c r="V1635" s="207">
        <f t="shared" si="1008"/>
        <v>0</v>
      </c>
      <c r="W1635" s="206" t="str">
        <f t="shared" si="1005"/>
        <v/>
      </c>
      <c r="X1635" s="206">
        <f t="shared" si="1006"/>
        <v>0</v>
      </c>
      <c r="Y1635" s="209">
        <f t="shared" si="1007"/>
        <v>0</v>
      </c>
    </row>
    <row r="1636" spans="2:25" ht="16.5" hidden="1" thickTop="1" thickBot="1" x14ac:dyDescent="0.3">
      <c r="B1636" s="141">
        <f>B1630</f>
        <v>44</v>
      </c>
      <c r="C1636" s="142">
        <v>308</v>
      </c>
      <c r="D1636" s="194" t="str">
        <f t="shared" si="978"/>
        <v>V</v>
      </c>
      <c r="E1636" s="143"/>
      <c r="F1636" s="144"/>
      <c r="G1636" s="144"/>
      <c r="H1636" s="145"/>
      <c r="I1636" s="145"/>
      <c r="J1636" s="436" t="s">
        <v>181</v>
      </c>
      <c r="K1636" s="437"/>
      <c r="L1636" s="438"/>
      <c r="M1636" s="145"/>
      <c r="N1636" s="146"/>
      <c r="O1636" s="147"/>
      <c r="P1636" s="148"/>
      <c r="Q1636" s="149"/>
      <c r="R1636" s="150"/>
      <c r="S1636" s="151"/>
      <c r="T1636" s="213">
        <f t="shared" si="995"/>
        <v>43647</v>
      </c>
      <c r="U1636" s="214">
        <f t="shared" si="996"/>
        <v>43677</v>
      </c>
      <c r="V1636" s="210">
        <f t="shared" si="1008"/>
        <v>0</v>
      </c>
      <c r="W1636" s="211"/>
      <c r="X1636" s="211">
        <f>IF(AND($V1636&gt;0,$I1636=1),IF($E1636=10,P1636/10,P1636/$V1636),0)</f>
        <v>0</v>
      </c>
      <c r="Y1636" s="212">
        <f>IF(AND($V1630&gt;0,$I1636&lt;&gt;1),Q1636/E1630*V1630,0)</f>
        <v>0</v>
      </c>
    </row>
    <row r="1637" spans="2:25" ht="45.75" thickTop="1" x14ac:dyDescent="0.25">
      <c r="B1637" s="129">
        <f>B1635+1</f>
        <v>45</v>
      </c>
      <c r="C1637" s="130">
        <v>309</v>
      </c>
      <c r="D1637" s="196" t="str">
        <f t="shared" si="978"/>
        <v>V</v>
      </c>
      <c r="E1637" s="152">
        <v>10</v>
      </c>
      <c r="F1637" s="153">
        <v>43675</v>
      </c>
      <c r="G1637" s="153">
        <v>43684</v>
      </c>
      <c r="H1637" s="154" t="s">
        <v>348</v>
      </c>
      <c r="I1637" s="154">
        <v>2</v>
      </c>
      <c r="J1637" s="152" t="s">
        <v>167</v>
      </c>
      <c r="K1637" s="155" t="s">
        <v>16</v>
      </c>
      <c r="L1637" s="154">
        <v>1</v>
      </c>
      <c r="M1637" s="154">
        <v>8</v>
      </c>
      <c r="N1637" s="156">
        <v>90</v>
      </c>
      <c r="O1637" s="157">
        <v>90</v>
      </c>
      <c r="P1637" s="158"/>
      <c r="Q1637" s="159">
        <v>90</v>
      </c>
      <c r="R1637" s="160" t="s">
        <v>4</v>
      </c>
      <c r="S1637" s="161">
        <v>43640</v>
      </c>
      <c r="T1637" s="203">
        <f t="shared" si="995"/>
        <v>43647</v>
      </c>
      <c r="U1637" s="204">
        <f t="shared" si="996"/>
        <v>43677</v>
      </c>
      <c r="V1637" s="207">
        <f>IF(G1637-F1637+1-IF(G1637-U1637&gt;0,G1637-U1637,0)-IF(T1637-F1637&gt;0,T1637-F1637,0)&gt;0,G1637-F1637+1-IF(G1637-U1637&gt;0,G1637-U1637,0)-IF(T1637-F1637&gt;0,T1637-F1637,0),0)</f>
        <v>3</v>
      </c>
      <c r="W1637" s="206" t="str">
        <f t="shared" ref="W1637:W1642" si="1009">IF(V1637&gt;0,H1637,"")</f>
        <v>Надя Милчева Маринова</v>
      </c>
      <c r="X1637" s="206">
        <f t="shared" ref="X1637:X1642" si="1010">IF(AND($V1637&gt;0,$I1637=1),P1637/$E1637*$V1637,0)</f>
        <v>0</v>
      </c>
      <c r="Y1637" s="209">
        <f t="shared" ref="Y1637:Y1642" si="1011">IF(AND($V1637&gt;0,$I1637&lt;&gt;1),Q1637/$E1637*$V1637,0)</f>
        <v>27</v>
      </c>
    </row>
    <row r="1638" spans="2:25" x14ac:dyDescent="0.25">
      <c r="B1638" s="60">
        <f>B1637</f>
        <v>45</v>
      </c>
      <c r="C1638" s="102">
        <v>310</v>
      </c>
      <c r="D1638" s="192" t="str">
        <f t="shared" si="978"/>
        <v>V</v>
      </c>
      <c r="E1638" s="162">
        <v>10</v>
      </c>
      <c r="F1638" s="163">
        <v>43675</v>
      </c>
      <c r="G1638" s="163">
        <v>43684</v>
      </c>
      <c r="H1638" s="164" t="s">
        <v>349</v>
      </c>
      <c r="I1638" s="164">
        <v>5</v>
      </c>
      <c r="J1638" s="162" t="s">
        <v>172</v>
      </c>
      <c r="K1638" s="165" t="s">
        <v>16</v>
      </c>
      <c r="L1638" s="164">
        <v>1</v>
      </c>
      <c r="M1638" s="164">
        <v>8</v>
      </c>
      <c r="N1638" s="166">
        <v>90</v>
      </c>
      <c r="O1638" s="167">
        <v>90</v>
      </c>
      <c r="P1638" s="168"/>
      <c r="Q1638" s="169">
        <v>90</v>
      </c>
      <c r="R1638" s="170" t="s">
        <v>4</v>
      </c>
      <c r="S1638" s="171">
        <v>43640</v>
      </c>
      <c r="T1638" s="203">
        <f t="shared" si="995"/>
        <v>43647</v>
      </c>
      <c r="U1638" s="204">
        <f t="shared" si="996"/>
        <v>43677</v>
      </c>
      <c r="V1638" s="207">
        <f t="shared" ref="V1638:V1643" si="1012">IF(G1638-F1638+1-IF(G1638-U1638&gt;0,G1638-U1638,0)-IF(T1638-F1638&gt;0,T1638-F1638,0)&gt;0,G1638-F1638+1-IF(G1638-U1638&gt;0,G1638-U1638,0)-IF(T1638-F1638&gt;0,T1638-F1638,0),0)</f>
        <v>3</v>
      </c>
      <c r="W1638" s="206" t="str">
        <f t="shared" si="1009"/>
        <v>Нина Иванова Иванова</v>
      </c>
      <c r="X1638" s="206">
        <f t="shared" si="1010"/>
        <v>0</v>
      </c>
      <c r="Y1638" s="209">
        <f t="shared" si="1011"/>
        <v>27</v>
      </c>
    </row>
    <row r="1639" spans="2:25" hidden="1" x14ac:dyDescent="0.25">
      <c r="B1639" s="60">
        <f>B1637</f>
        <v>45</v>
      </c>
      <c r="C1639" s="102">
        <v>311</v>
      </c>
      <c r="D1639" s="192" t="str">
        <f t="shared" si="978"/>
        <v>V</v>
      </c>
      <c r="E1639" s="162"/>
      <c r="F1639" s="163"/>
      <c r="G1639" s="163"/>
      <c r="H1639" s="164"/>
      <c r="I1639" s="164"/>
      <c r="J1639" s="162"/>
      <c r="K1639" s="165"/>
      <c r="L1639" s="164"/>
      <c r="M1639" s="164"/>
      <c r="N1639" s="166"/>
      <c r="O1639" s="167"/>
      <c r="P1639" s="168"/>
      <c r="Q1639" s="169"/>
      <c r="R1639" s="170"/>
      <c r="S1639" s="171"/>
      <c r="T1639" s="203">
        <f t="shared" si="995"/>
        <v>43647</v>
      </c>
      <c r="U1639" s="204">
        <f t="shared" si="996"/>
        <v>43677</v>
      </c>
      <c r="V1639" s="207">
        <f t="shared" si="1012"/>
        <v>0</v>
      </c>
      <c r="W1639" s="206" t="str">
        <f t="shared" si="1009"/>
        <v/>
      </c>
      <c r="X1639" s="206">
        <f t="shared" si="1010"/>
        <v>0</v>
      </c>
      <c r="Y1639" s="209">
        <f t="shared" si="1011"/>
        <v>0</v>
      </c>
    </row>
    <row r="1640" spans="2:25" hidden="1" x14ac:dyDescent="0.25">
      <c r="B1640" s="60">
        <f>B1637</f>
        <v>45</v>
      </c>
      <c r="C1640" s="102">
        <v>312</v>
      </c>
      <c r="D1640" s="192" t="str">
        <f t="shared" si="978"/>
        <v>V</v>
      </c>
      <c r="E1640" s="162"/>
      <c r="F1640" s="163"/>
      <c r="G1640" s="163"/>
      <c r="H1640" s="164"/>
      <c r="I1640" s="164"/>
      <c r="J1640" s="162"/>
      <c r="K1640" s="165"/>
      <c r="L1640" s="164"/>
      <c r="M1640" s="164"/>
      <c r="N1640" s="166"/>
      <c r="O1640" s="167"/>
      <c r="P1640" s="168"/>
      <c r="Q1640" s="169"/>
      <c r="R1640" s="170"/>
      <c r="S1640" s="171"/>
      <c r="T1640" s="203">
        <f t="shared" si="995"/>
        <v>43647</v>
      </c>
      <c r="U1640" s="204">
        <f t="shared" si="996"/>
        <v>43677</v>
      </c>
      <c r="V1640" s="207">
        <f t="shared" si="1012"/>
        <v>0</v>
      </c>
      <c r="W1640" s="206" t="str">
        <f t="shared" si="1009"/>
        <v/>
      </c>
      <c r="X1640" s="206">
        <f t="shared" si="1010"/>
        <v>0</v>
      </c>
      <c r="Y1640" s="209">
        <f t="shared" si="1011"/>
        <v>0</v>
      </c>
    </row>
    <row r="1641" spans="2:25" hidden="1" x14ac:dyDescent="0.25">
      <c r="B1641" s="60">
        <f>B1637</f>
        <v>45</v>
      </c>
      <c r="C1641" s="102">
        <v>313</v>
      </c>
      <c r="D1641" s="192" t="str">
        <f t="shared" si="978"/>
        <v>V</v>
      </c>
      <c r="E1641" s="162"/>
      <c r="F1641" s="163"/>
      <c r="G1641" s="163"/>
      <c r="H1641" s="164"/>
      <c r="I1641" s="164"/>
      <c r="J1641" s="162"/>
      <c r="K1641" s="165"/>
      <c r="L1641" s="164"/>
      <c r="M1641" s="164"/>
      <c r="N1641" s="166"/>
      <c r="O1641" s="167"/>
      <c r="P1641" s="168"/>
      <c r="Q1641" s="169"/>
      <c r="R1641" s="170"/>
      <c r="S1641" s="171"/>
      <c r="T1641" s="203">
        <f t="shared" si="995"/>
        <v>43647</v>
      </c>
      <c r="U1641" s="204">
        <f t="shared" si="996"/>
        <v>43677</v>
      </c>
      <c r="V1641" s="207">
        <f t="shared" si="1012"/>
        <v>0</v>
      </c>
      <c r="W1641" s="206" t="str">
        <f t="shared" si="1009"/>
        <v/>
      </c>
      <c r="X1641" s="206">
        <f t="shared" si="1010"/>
        <v>0</v>
      </c>
      <c r="Y1641" s="209">
        <f t="shared" si="1011"/>
        <v>0</v>
      </c>
    </row>
    <row r="1642" spans="2:25" hidden="1" x14ac:dyDescent="0.25">
      <c r="B1642" s="60">
        <f>B1637</f>
        <v>45</v>
      </c>
      <c r="C1642" s="102">
        <v>314</v>
      </c>
      <c r="D1642" s="192" t="str">
        <f t="shared" si="978"/>
        <v>V</v>
      </c>
      <c r="E1642" s="172"/>
      <c r="F1642" s="173"/>
      <c r="G1642" s="173"/>
      <c r="H1642" s="174"/>
      <c r="I1642" s="174"/>
      <c r="J1642" s="172"/>
      <c r="K1642" s="175"/>
      <c r="L1642" s="174"/>
      <c r="M1642" s="174"/>
      <c r="N1642" s="176"/>
      <c r="O1642" s="177"/>
      <c r="P1642" s="178"/>
      <c r="Q1642" s="179"/>
      <c r="R1642" s="180"/>
      <c r="S1642" s="181"/>
      <c r="T1642" s="203">
        <f t="shared" si="995"/>
        <v>43647</v>
      </c>
      <c r="U1642" s="204">
        <f t="shared" si="996"/>
        <v>43677</v>
      </c>
      <c r="V1642" s="207">
        <f t="shared" si="1012"/>
        <v>0</v>
      </c>
      <c r="W1642" s="206" t="str">
        <f t="shared" si="1009"/>
        <v/>
      </c>
      <c r="X1642" s="206">
        <f t="shared" si="1010"/>
        <v>0</v>
      </c>
      <c r="Y1642" s="209">
        <f t="shared" si="1011"/>
        <v>0</v>
      </c>
    </row>
    <row r="1643" spans="2:25" ht="15.75" thickBot="1" x14ac:dyDescent="0.3">
      <c r="B1643" s="141">
        <f>B1637</f>
        <v>45</v>
      </c>
      <c r="C1643" s="142">
        <v>315</v>
      </c>
      <c r="D1643" s="194" t="str">
        <f t="shared" si="978"/>
        <v>V</v>
      </c>
      <c r="E1643" s="189"/>
      <c r="F1643" s="190"/>
      <c r="G1643" s="190"/>
      <c r="H1643" s="182"/>
      <c r="I1643" s="182"/>
      <c r="J1643" s="436" t="s">
        <v>181</v>
      </c>
      <c r="K1643" s="437"/>
      <c r="L1643" s="438"/>
      <c r="M1643" s="182"/>
      <c r="N1643" s="183">
        <v>10</v>
      </c>
      <c r="O1643" s="184">
        <v>10</v>
      </c>
      <c r="P1643" s="185"/>
      <c r="Q1643" s="186">
        <v>10</v>
      </c>
      <c r="R1643" s="187" t="s">
        <v>4</v>
      </c>
      <c r="S1643" s="188">
        <v>43640</v>
      </c>
      <c r="T1643" s="213">
        <f t="shared" si="995"/>
        <v>43647</v>
      </c>
      <c r="U1643" s="214">
        <f t="shared" si="996"/>
        <v>43677</v>
      </c>
      <c r="V1643" s="210">
        <f t="shared" si="1012"/>
        <v>0</v>
      </c>
      <c r="W1643" s="211"/>
      <c r="X1643" s="211">
        <f>IF(AND($V1643&gt;0,$I1643=1),IF($E1643=10,P1643/10,P1643/$V1643),0)</f>
        <v>0</v>
      </c>
      <c r="Y1643" s="212">
        <f>IF(AND($V1637&gt;0,$I1643&lt;&gt;1),Q1643/E1637*V1637,0)</f>
        <v>3</v>
      </c>
    </row>
    <row r="1644" spans="2:25" ht="30.75" thickTop="1" x14ac:dyDescent="0.25">
      <c r="B1644" s="129">
        <f>B1642+1</f>
        <v>46</v>
      </c>
      <c r="C1644" s="130">
        <v>316</v>
      </c>
      <c r="D1644" s="196" t="str">
        <f t="shared" si="978"/>
        <v>V</v>
      </c>
      <c r="E1644" s="131">
        <v>10</v>
      </c>
      <c r="F1644" s="132">
        <v>43675</v>
      </c>
      <c r="G1644" s="132">
        <v>43684</v>
      </c>
      <c r="H1644" s="133" t="s">
        <v>350</v>
      </c>
      <c r="I1644" s="133">
        <v>1</v>
      </c>
      <c r="J1644" s="131" t="s">
        <v>168</v>
      </c>
      <c r="K1644" s="134" t="s">
        <v>61</v>
      </c>
      <c r="L1644" s="133">
        <v>1.5</v>
      </c>
      <c r="M1644" s="133">
        <v>8</v>
      </c>
      <c r="N1644" s="135">
        <v>112.5</v>
      </c>
      <c r="O1644" s="136">
        <v>112.5</v>
      </c>
      <c r="P1644" s="137">
        <v>112.5</v>
      </c>
      <c r="Q1644" s="138"/>
      <c r="R1644" s="139" t="s">
        <v>4</v>
      </c>
      <c r="S1644" s="140">
        <v>43620</v>
      </c>
      <c r="T1644" s="203">
        <f t="shared" si="995"/>
        <v>43647</v>
      </c>
      <c r="U1644" s="204">
        <f t="shared" si="996"/>
        <v>43677</v>
      </c>
      <c r="V1644" s="207">
        <f>IF(G1644-F1644+1-IF(G1644-U1644&gt;0,G1644-U1644,0)-IF(T1644-F1644&gt;0,T1644-F1644,0)&gt;0,G1644-F1644+1-IF(G1644-U1644&gt;0,G1644-U1644,0)-IF(T1644-F1644&gt;0,T1644-F1644,0),0)</f>
        <v>3</v>
      </c>
      <c r="W1644" s="206" t="str">
        <f t="shared" ref="W1644:W1649" si="1013">IF(V1644&gt;0,H1644,"")</f>
        <v>Цветана Василева Александрова</v>
      </c>
      <c r="X1644" s="206">
        <f t="shared" ref="X1644:X1649" si="1014">IF(AND($V1644&gt;0,$I1644=1),P1644/$E1644*$V1644,0)</f>
        <v>33.75</v>
      </c>
      <c r="Y1644" s="209">
        <f t="shared" ref="Y1644:Y1649" si="1015">IF(AND($V1644&gt;0,$I1644&lt;&gt;1),Q1644/$E1644*$V1644,0)</f>
        <v>0</v>
      </c>
    </row>
    <row r="1645" spans="2:25" ht="45" x14ac:dyDescent="0.25">
      <c r="B1645" s="60">
        <f>B1644</f>
        <v>46</v>
      </c>
      <c r="C1645" s="102">
        <v>317</v>
      </c>
      <c r="D1645" s="192" t="str">
        <f t="shared" si="978"/>
        <v>V</v>
      </c>
      <c r="E1645" s="62">
        <v>10</v>
      </c>
      <c r="F1645" s="105">
        <v>43675</v>
      </c>
      <c r="G1645" s="105">
        <v>43684</v>
      </c>
      <c r="H1645" s="61" t="s">
        <v>351</v>
      </c>
      <c r="I1645" s="61">
        <v>2</v>
      </c>
      <c r="J1645" s="62" t="s">
        <v>167</v>
      </c>
      <c r="K1645" s="63" t="s">
        <v>61</v>
      </c>
      <c r="L1645" s="61">
        <v>1.5</v>
      </c>
      <c r="M1645" s="61">
        <v>8</v>
      </c>
      <c r="N1645" s="111">
        <v>135</v>
      </c>
      <c r="O1645" s="112">
        <v>135</v>
      </c>
      <c r="P1645" s="113"/>
      <c r="Q1645" s="114">
        <v>135</v>
      </c>
      <c r="R1645" s="64" t="s">
        <v>4</v>
      </c>
      <c r="S1645" s="108">
        <v>43620</v>
      </c>
      <c r="T1645" s="203">
        <f t="shared" si="995"/>
        <v>43647</v>
      </c>
      <c r="U1645" s="204">
        <f t="shared" si="996"/>
        <v>43677</v>
      </c>
      <c r="V1645" s="207">
        <f t="shared" ref="V1645:V1650" si="1016">IF(G1645-F1645+1-IF(G1645-U1645&gt;0,G1645-U1645,0)-IF(T1645-F1645&gt;0,T1645-F1645,0)&gt;0,G1645-F1645+1-IF(G1645-U1645&gt;0,G1645-U1645,0)-IF(T1645-F1645&gt;0,T1645-F1645,0),0)</f>
        <v>3</v>
      </c>
      <c r="W1645" s="206" t="str">
        <f t="shared" si="1013"/>
        <v>Александър Александров</v>
      </c>
      <c r="X1645" s="206">
        <f t="shared" si="1014"/>
        <v>0</v>
      </c>
      <c r="Y1645" s="209">
        <f t="shared" si="1015"/>
        <v>40.5</v>
      </c>
    </row>
    <row r="1646" spans="2:25" hidden="1" x14ac:dyDescent="0.25">
      <c r="B1646" s="60">
        <f>B1644</f>
        <v>46</v>
      </c>
      <c r="C1646" s="102">
        <v>318</v>
      </c>
      <c r="D1646" s="192" t="str">
        <f t="shared" si="978"/>
        <v>V</v>
      </c>
      <c r="E1646" s="62"/>
      <c r="F1646" s="105"/>
      <c r="G1646" s="105"/>
      <c r="H1646" s="61"/>
      <c r="I1646" s="61"/>
      <c r="J1646" s="62"/>
      <c r="K1646" s="63"/>
      <c r="L1646" s="61"/>
      <c r="M1646" s="61"/>
      <c r="N1646" s="111"/>
      <c r="O1646" s="112"/>
      <c r="P1646" s="113"/>
      <c r="Q1646" s="114"/>
      <c r="R1646" s="64"/>
      <c r="S1646" s="108"/>
      <c r="T1646" s="203">
        <f t="shared" si="995"/>
        <v>43647</v>
      </c>
      <c r="U1646" s="204">
        <f t="shared" si="996"/>
        <v>43677</v>
      </c>
      <c r="V1646" s="207">
        <f t="shared" si="1016"/>
        <v>0</v>
      </c>
      <c r="W1646" s="206" t="str">
        <f t="shared" si="1013"/>
        <v/>
      </c>
      <c r="X1646" s="206">
        <f t="shared" si="1014"/>
        <v>0</v>
      </c>
      <c r="Y1646" s="209">
        <f t="shared" si="1015"/>
        <v>0</v>
      </c>
    </row>
    <row r="1647" spans="2:25" hidden="1" x14ac:dyDescent="0.25">
      <c r="B1647" s="60">
        <f>B1644</f>
        <v>46</v>
      </c>
      <c r="C1647" s="102">
        <v>319</v>
      </c>
      <c r="D1647" s="192" t="str">
        <f t="shared" si="978"/>
        <v>V</v>
      </c>
      <c r="E1647" s="62"/>
      <c r="F1647" s="105"/>
      <c r="G1647" s="105"/>
      <c r="H1647" s="61"/>
      <c r="I1647" s="61"/>
      <c r="J1647" s="62"/>
      <c r="K1647" s="63"/>
      <c r="L1647" s="61"/>
      <c r="M1647" s="61"/>
      <c r="N1647" s="111"/>
      <c r="O1647" s="112"/>
      <c r="P1647" s="113"/>
      <c r="Q1647" s="114"/>
      <c r="R1647" s="64"/>
      <c r="S1647" s="108"/>
      <c r="T1647" s="203">
        <f t="shared" si="995"/>
        <v>43647</v>
      </c>
      <c r="U1647" s="204">
        <f t="shared" si="996"/>
        <v>43677</v>
      </c>
      <c r="V1647" s="207">
        <f t="shared" si="1016"/>
        <v>0</v>
      </c>
      <c r="W1647" s="206" t="str">
        <f t="shared" si="1013"/>
        <v/>
      </c>
      <c r="X1647" s="206">
        <f t="shared" si="1014"/>
        <v>0</v>
      </c>
      <c r="Y1647" s="209">
        <f t="shared" si="1015"/>
        <v>0</v>
      </c>
    </row>
    <row r="1648" spans="2:25" hidden="1" x14ac:dyDescent="0.25">
      <c r="B1648" s="60">
        <f>B1644</f>
        <v>46</v>
      </c>
      <c r="C1648" s="102">
        <v>320</v>
      </c>
      <c r="D1648" s="192" t="str">
        <f t="shared" si="978"/>
        <v>V</v>
      </c>
      <c r="E1648" s="62"/>
      <c r="F1648" s="105"/>
      <c r="G1648" s="105"/>
      <c r="H1648" s="61"/>
      <c r="I1648" s="61"/>
      <c r="J1648" s="62"/>
      <c r="K1648" s="63"/>
      <c r="L1648" s="61"/>
      <c r="M1648" s="61"/>
      <c r="N1648" s="111"/>
      <c r="O1648" s="112"/>
      <c r="P1648" s="113"/>
      <c r="Q1648" s="114"/>
      <c r="R1648" s="64"/>
      <c r="S1648" s="108"/>
      <c r="T1648" s="203">
        <f t="shared" si="995"/>
        <v>43647</v>
      </c>
      <c r="U1648" s="204">
        <f t="shared" si="996"/>
        <v>43677</v>
      </c>
      <c r="V1648" s="207">
        <f t="shared" si="1016"/>
        <v>0</v>
      </c>
      <c r="W1648" s="206" t="str">
        <f t="shared" si="1013"/>
        <v/>
      </c>
      <c r="X1648" s="206">
        <f t="shared" si="1014"/>
        <v>0</v>
      </c>
      <c r="Y1648" s="209">
        <f t="shared" si="1015"/>
        <v>0</v>
      </c>
    </row>
    <row r="1649" spans="2:25" hidden="1" x14ac:dyDescent="0.25">
      <c r="B1649" s="60">
        <f>B1644</f>
        <v>46</v>
      </c>
      <c r="C1649" s="102">
        <v>321</v>
      </c>
      <c r="D1649" s="192" t="str">
        <f t="shared" si="978"/>
        <v>V</v>
      </c>
      <c r="E1649" s="62"/>
      <c r="F1649" s="105"/>
      <c r="G1649" s="105"/>
      <c r="H1649" s="61"/>
      <c r="I1649" s="61"/>
      <c r="J1649" s="62"/>
      <c r="K1649" s="63"/>
      <c r="L1649" s="61"/>
      <c r="M1649" s="61"/>
      <c r="N1649" s="111"/>
      <c r="O1649" s="112"/>
      <c r="P1649" s="113"/>
      <c r="Q1649" s="114"/>
      <c r="R1649" s="64"/>
      <c r="S1649" s="108"/>
      <c r="T1649" s="203">
        <f t="shared" si="995"/>
        <v>43647</v>
      </c>
      <c r="U1649" s="204">
        <f t="shared" si="996"/>
        <v>43677</v>
      </c>
      <c r="V1649" s="207">
        <f t="shared" si="1016"/>
        <v>0</v>
      </c>
      <c r="W1649" s="206" t="str">
        <f t="shared" si="1013"/>
        <v/>
      </c>
      <c r="X1649" s="206">
        <f t="shared" si="1014"/>
        <v>0</v>
      </c>
      <c r="Y1649" s="209">
        <f t="shared" si="1015"/>
        <v>0</v>
      </c>
    </row>
    <row r="1650" spans="2:25" ht="15.75" thickBot="1" x14ac:dyDescent="0.3">
      <c r="B1650" s="141">
        <f>B1644</f>
        <v>46</v>
      </c>
      <c r="C1650" s="142">
        <v>322</v>
      </c>
      <c r="D1650" s="194" t="str">
        <f t="shared" si="978"/>
        <v>V</v>
      </c>
      <c r="E1650" s="143"/>
      <c r="F1650" s="144"/>
      <c r="G1650" s="144"/>
      <c r="H1650" s="145"/>
      <c r="I1650" s="145"/>
      <c r="J1650" s="436" t="s">
        <v>181</v>
      </c>
      <c r="K1650" s="437"/>
      <c r="L1650" s="438"/>
      <c r="M1650" s="145"/>
      <c r="N1650" s="146">
        <v>10</v>
      </c>
      <c r="O1650" s="147">
        <v>10</v>
      </c>
      <c r="P1650" s="148"/>
      <c r="Q1650" s="149">
        <v>10</v>
      </c>
      <c r="R1650" s="150" t="s">
        <v>4</v>
      </c>
      <c r="S1650" s="151">
        <v>43620</v>
      </c>
      <c r="T1650" s="213">
        <f t="shared" si="995"/>
        <v>43647</v>
      </c>
      <c r="U1650" s="214">
        <f t="shared" si="996"/>
        <v>43677</v>
      </c>
      <c r="V1650" s="210">
        <f t="shared" si="1016"/>
        <v>0</v>
      </c>
      <c r="W1650" s="211"/>
      <c r="X1650" s="211">
        <f>IF(AND($V1650&gt;0,$I1650=1),IF($E1650=10,P1650/10,P1650/$V1650),0)</f>
        <v>0</v>
      </c>
      <c r="Y1650" s="212">
        <f>IF(AND($V1644&gt;0,$I1650&lt;&gt;1),Q1650/E1644*V1644,0)</f>
        <v>3</v>
      </c>
    </row>
    <row r="1651" spans="2:25" ht="30.75" thickTop="1" x14ac:dyDescent="0.25">
      <c r="B1651" s="129">
        <f>B1649+1</f>
        <v>47</v>
      </c>
      <c r="C1651" s="130">
        <v>323</v>
      </c>
      <c r="D1651" s="196" t="str">
        <f t="shared" ref="D1651:D1657" si="1017">D1650</f>
        <v>V</v>
      </c>
      <c r="E1651" s="152">
        <v>10</v>
      </c>
      <c r="F1651" s="153">
        <v>43675</v>
      </c>
      <c r="G1651" s="153">
        <v>43684</v>
      </c>
      <c r="H1651" s="154" t="s">
        <v>352</v>
      </c>
      <c r="I1651" s="154">
        <v>1</v>
      </c>
      <c r="J1651" s="152" t="s">
        <v>168</v>
      </c>
      <c r="K1651" s="155" t="s">
        <v>16</v>
      </c>
      <c r="L1651" s="154">
        <v>1</v>
      </c>
      <c r="M1651" s="154">
        <v>8</v>
      </c>
      <c r="N1651" s="156">
        <v>75</v>
      </c>
      <c r="O1651" s="157">
        <v>75</v>
      </c>
      <c r="P1651" s="158">
        <v>75</v>
      </c>
      <c r="Q1651" s="159"/>
      <c r="R1651" s="160" t="s">
        <v>4</v>
      </c>
      <c r="S1651" s="161">
        <v>43620</v>
      </c>
      <c r="T1651" s="215">
        <f t="shared" si="995"/>
        <v>43647</v>
      </c>
      <c r="U1651" s="216">
        <f t="shared" si="996"/>
        <v>43677</v>
      </c>
      <c r="V1651" s="217">
        <f>IF(G1651-F1651+1-IF(G1651-U1651&gt;0,G1651-U1651,0)-IF(T1651-F1651&gt;0,T1651-F1651,0)&gt;0,G1651-F1651+1-IF(G1651-U1651&gt;0,G1651-U1651,0)-IF(T1651-F1651&gt;0,T1651-F1651,0),0)</f>
        <v>3</v>
      </c>
      <c r="W1651" s="218" t="str">
        <f t="shared" ref="W1651:W1656" si="1018">IF(V1651&gt;0,H1651,"")</f>
        <v>Генчо Попов</v>
      </c>
      <c r="X1651" s="218">
        <f t="shared" ref="X1651:X1656" si="1019">IF(AND($V1651&gt;0,$I1651=1),P1651/$E1651*$V1651,0)</f>
        <v>22.5</v>
      </c>
      <c r="Y1651" s="219">
        <f t="shared" ref="Y1651:Y1656" si="1020">IF(AND($V1651&gt;0,$I1651&lt;&gt;1),Q1651/$E1651*$V1651,0)</f>
        <v>0</v>
      </c>
    </row>
    <row r="1652" spans="2:25" ht="45" x14ac:dyDescent="0.25">
      <c r="B1652" s="60">
        <f>B1651</f>
        <v>47</v>
      </c>
      <c r="C1652" s="102">
        <v>324</v>
      </c>
      <c r="D1652" s="192" t="str">
        <f t="shared" si="1017"/>
        <v>V</v>
      </c>
      <c r="E1652" s="162">
        <v>10</v>
      </c>
      <c r="F1652" s="163">
        <v>43675</v>
      </c>
      <c r="G1652" s="163">
        <v>43684</v>
      </c>
      <c r="H1652" s="164" t="s">
        <v>353</v>
      </c>
      <c r="I1652" s="164">
        <v>2</v>
      </c>
      <c r="J1652" s="162" t="s">
        <v>167</v>
      </c>
      <c r="K1652" s="165" t="s">
        <v>16</v>
      </c>
      <c r="L1652" s="164">
        <v>1</v>
      </c>
      <c r="M1652" s="164">
        <v>8</v>
      </c>
      <c r="N1652" s="166">
        <v>90</v>
      </c>
      <c r="O1652" s="167">
        <v>90</v>
      </c>
      <c r="P1652" s="168"/>
      <c r="Q1652" s="169">
        <v>90</v>
      </c>
      <c r="R1652" s="170" t="s">
        <v>4</v>
      </c>
      <c r="S1652" s="171">
        <v>43620</v>
      </c>
      <c r="T1652" s="203">
        <f t="shared" si="995"/>
        <v>43647</v>
      </c>
      <c r="U1652" s="205">
        <f t="shared" si="996"/>
        <v>43677</v>
      </c>
      <c r="V1652" s="207">
        <f t="shared" ref="V1652:V1657" si="1021">IF(G1652-F1652+1-IF(G1652-U1652&gt;0,G1652-U1652,0)-IF(T1652-F1652&gt;0,T1652-F1652,0)&gt;0,G1652-F1652+1-IF(G1652-U1652&gt;0,G1652-U1652,0)-IF(T1652-F1652&gt;0,T1652-F1652,0),0)</f>
        <v>3</v>
      </c>
      <c r="W1652" s="206" t="str">
        <f t="shared" si="1018"/>
        <v>Стефан Даскалов</v>
      </c>
      <c r="X1652" s="206">
        <f t="shared" si="1019"/>
        <v>0</v>
      </c>
      <c r="Y1652" s="208">
        <f t="shared" si="1020"/>
        <v>27</v>
      </c>
    </row>
    <row r="1653" spans="2:25" ht="45" x14ac:dyDescent="0.25">
      <c r="B1653" s="60">
        <f>B1651</f>
        <v>47</v>
      </c>
      <c r="C1653" s="102">
        <v>325</v>
      </c>
      <c r="D1653" s="192" t="str">
        <f t="shared" si="1017"/>
        <v>V</v>
      </c>
      <c r="E1653" s="162">
        <v>10</v>
      </c>
      <c r="F1653" s="163">
        <v>43675</v>
      </c>
      <c r="G1653" s="163">
        <v>43684</v>
      </c>
      <c r="H1653" s="164" t="s">
        <v>354</v>
      </c>
      <c r="I1653" s="164">
        <v>2</v>
      </c>
      <c r="J1653" s="162" t="s">
        <v>167</v>
      </c>
      <c r="K1653" s="165" t="s">
        <v>16</v>
      </c>
      <c r="L1653" s="164">
        <v>1</v>
      </c>
      <c r="M1653" s="164">
        <v>8</v>
      </c>
      <c r="N1653" s="166">
        <v>90</v>
      </c>
      <c r="O1653" s="167">
        <v>90</v>
      </c>
      <c r="P1653" s="168"/>
      <c r="Q1653" s="169">
        <v>90</v>
      </c>
      <c r="R1653" s="170" t="s">
        <v>4</v>
      </c>
      <c r="S1653" s="171">
        <v>43620</v>
      </c>
      <c r="T1653" s="203">
        <f t="shared" si="995"/>
        <v>43647</v>
      </c>
      <c r="U1653" s="205">
        <f t="shared" si="996"/>
        <v>43677</v>
      </c>
      <c r="V1653" s="207">
        <f t="shared" si="1021"/>
        <v>3</v>
      </c>
      <c r="W1653" s="206" t="str">
        <f t="shared" si="1018"/>
        <v>Детелина Даскалова</v>
      </c>
      <c r="X1653" s="206">
        <f t="shared" si="1019"/>
        <v>0</v>
      </c>
      <c r="Y1653" s="208">
        <f t="shared" si="1020"/>
        <v>27</v>
      </c>
    </row>
    <row r="1654" spans="2:25" hidden="1" x14ac:dyDescent="0.25">
      <c r="B1654" s="60">
        <f>B1651</f>
        <v>47</v>
      </c>
      <c r="C1654" s="102">
        <v>326</v>
      </c>
      <c r="D1654" s="192" t="str">
        <f t="shared" si="1017"/>
        <v>V</v>
      </c>
      <c r="E1654" s="162"/>
      <c r="F1654" s="163"/>
      <c r="G1654" s="163"/>
      <c r="H1654" s="164"/>
      <c r="I1654" s="164"/>
      <c r="J1654" s="162"/>
      <c r="K1654" s="165"/>
      <c r="L1654" s="164"/>
      <c r="M1654" s="164"/>
      <c r="N1654" s="166"/>
      <c r="O1654" s="167"/>
      <c r="P1654" s="168"/>
      <c r="Q1654" s="169"/>
      <c r="R1654" s="170"/>
      <c r="S1654" s="171"/>
      <c r="T1654" s="203">
        <f t="shared" si="995"/>
        <v>43647</v>
      </c>
      <c r="U1654" s="205">
        <f t="shared" si="996"/>
        <v>43677</v>
      </c>
      <c r="V1654" s="207">
        <f t="shared" si="1021"/>
        <v>0</v>
      </c>
      <c r="W1654" s="206" t="str">
        <f t="shared" si="1018"/>
        <v/>
      </c>
      <c r="X1654" s="206">
        <f t="shared" si="1019"/>
        <v>0</v>
      </c>
      <c r="Y1654" s="208">
        <f t="shared" si="1020"/>
        <v>0</v>
      </c>
    </row>
    <row r="1655" spans="2:25" hidden="1" x14ac:dyDescent="0.25">
      <c r="B1655" s="60">
        <f>B1651</f>
        <v>47</v>
      </c>
      <c r="C1655" s="102">
        <v>327</v>
      </c>
      <c r="D1655" s="192" t="str">
        <f t="shared" si="1017"/>
        <v>V</v>
      </c>
      <c r="E1655" s="162"/>
      <c r="F1655" s="163"/>
      <c r="G1655" s="163"/>
      <c r="H1655" s="164"/>
      <c r="I1655" s="164"/>
      <c r="J1655" s="162"/>
      <c r="K1655" s="165"/>
      <c r="L1655" s="164"/>
      <c r="M1655" s="164"/>
      <c r="N1655" s="166"/>
      <c r="O1655" s="167"/>
      <c r="P1655" s="168"/>
      <c r="Q1655" s="169"/>
      <c r="R1655" s="170"/>
      <c r="S1655" s="171"/>
      <c r="T1655" s="203">
        <f t="shared" si="995"/>
        <v>43647</v>
      </c>
      <c r="U1655" s="205">
        <f t="shared" si="996"/>
        <v>43677</v>
      </c>
      <c r="V1655" s="207">
        <f t="shared" si="1021"/>
        <v>0</v>
      </c>
      <c r="W1655" s="206" t="str">
        <f t="shared" si="1018"/>
        <v/>
      </c>
      <c r="X1655" s="206">
        <f t="shared" si="1019"/>
        <v>0</v>
      </c>
      <c r="Y1655" s="208">
        <f t="shared" si="1020"/>
        <v>0</v>
      </c>
    </row>
    <row r="1656" spans="2:25" hidden="1" x14ac:dyDescent="0.25">
      <c r="B1656" s="60">
        <f>B1651</f>
        <v>47</v>
      </c>
      <c r="C1656" s="102">
        <v>328</v>
      </c>
      <c r="D1656" s="192" t="str">
        <f t="shared" si="1017"/>
        <v>V</v>
      </c>
      <c r="E1656" s="172"/>
      <c r="F1656" s="173"/>
      <c r="G1656" s="173"/>
      <c r="H1656" s="174"/>
      <c r="I1656" s="174"/>
      <c r="J1656" s="172"/>
      <c r="K1656" s="175"/>
      <c r="L1656" s="174"/>
      <c r="M1656" s="174"/>
      <c r="N1656" s="176"/>
      <c r="O1656" s="177"/>
      <c r="P1656" s="178"/>
      <c r="Q1656" s="179"/>
      <c r="R1656" s="180"/>
      <c r="S1656" s="181"/>
      <c r="T1656" s="203">
        <f t="shared" si="995"/>
        <v>43647</v>
      </c>
      <c r="U1656" s="205">
        <f t="shared" si="996"/>
        <v>43677</v>
      </c>
      <c r="V1656" s="207">
        <f t="shared" si="1021"/>
        <v>0</v>
      </c>
      <c r="W1656" s="206" t="str">
        <f t="shared" si="1018"/>
        <v/>
      </c>
      <c r="X1656" s="206">
        <f t="shared" si="1019"/>
        <v>0</v>
      </c>
      <c r="Y1656" s="208">
        <f t="shared" si="1020"/>
        <v>0</v>
      </c>
    </row>
    <row r="1657" spans="2:25" ht="15.75" thickBot="1" x14ac:dyDescent="0.3">
      <c r="B1657" s="141">
        <f>B1651</f>
        <v>47</v>
      </c>
      <c r="C1657" s="142">
        <v>329</v>
      </c>
      <c r="D1657" s="194" t="str">
        <f t="shared" si="1017"/>
        <v>V</v>
      </c>
      <c r="E1657" s="189"/>
      <c r="F1657" s="190"/>
      <c r="G1657" s="190"/>
      <c r="H1657" s="182"/>
      <c r="I1657" s="182"/>
      <c r="J1657" s="436" t="s">
        <v>181</v>
      </c>
      <c r="K1657" s="437"/>
      <c r="L1657" s="438"/>
      <c r="M1657" s="182"/>
      <c r="N1657" s="183">
        <v>10</v>
      </c>
      <c r="O1657" s="184">
        <v>10</v>
      </c>
      <c r="P1657" s="185"/>
      <c r="Q1657" s="186">
        <v>10</v>
      </c>
      <c r="R1657" s="187" t="s">
        <v>4</v>
      </c>
      <c r="S1657" s="188">
        <v>43620</v>
      </c>
      <c r="T1657" s="213">
        <f t="shared" si="995"/>
        <v>43647</v>
      </c>
      <c r="U1657" s="214">
        <f t="shared" si="996"/>
        <v>43677</v>
      </c>
      <c r="V1657" s="210">
        <f t="shared" si="1021"/>
        <v>0</v>
      </c>
      <c r="W1657" s="211"/>
      <c r="X1657" s="211">
        <f>IF(AND($V1657&gt;0,$I1657=1),IF($E1657=10,P1657/10,P1657/$V1657),0)</f>
        <v>0</v>
      </c>
      <c r="Y1657" s="212">
        <f>IF(AND($V1651&gt;0,$I1657&lt;&gt;1),Q1657/E1651*V1651,0)</f>
        <v>3</v>
      </c>
    </row>
    <row r="1658" spans="2:25" ht="15.75" thickTop="1" x14ac:dyDescent="0.25">
      <c r="B1658" s="129">
        <v>1</v>
      </c>
      <c r="C1658" s="130">
        <v>1</v>
      </c>
      <c r="D1658" s="191" t="s">
        <v>40</v>
      </c>
      <c r="E1658" s="152">
        <v>10</v>
      </c>
      <c r="F1658" s="153">
        <v>43686</v>
      </c>
      <c r="G1658" s="153">
        <v>43695</v>
      </c>
      <c r="H1658" s="154" t="s">
        <v>355</v>
      </c>
      <c r="I1658" s="154">
        <v>6</v>
      </c>
      <c r="J1658" s="152" t="s">
        <v>166</v>
      </c>
      <c r="K1658" s="155" t="s">
        <v>16</v>
      </c>
      <c r="L1658" s="154">
        <v>1</v>
      </c>
      <c r="M1658" s="154">
        <v>7</v>
      </c>
      <c r="N1658" s="156">
        <v>120</v>
      </c>
      <c r="O1658" s="157">
        <v>120</v>
      </c>
      <c r="P1658" s="158"/>
      <c r="Q1658" s="159">
        <v>120</v>
      </c>
      <c r="R1658" s="160" t="s">
        <v>4</v>
      </c>
      <c r="S1658" s="161">
        <v>43621</v>
      </c>
      <c r="T1658" s="215">
        <f t="shared" si="995"/>
        <v>43647</v>
      </c>
      <c r="U1658" s="216">
        <f t="shared" si="996"/>
        <v>43677</v>
      </c>
      <c r="V1658" s="217">
        <f>IF(G1658-F1658+1-IF(G1658-U1658&gt;0,G1658-U1658,0)-IF(T1658-F1658&gt;0,T1658-F1658,0)&gt;0,G1658-F1658+1-IF(G1658-U1658&gt;0,G1658-U1658,0)-IF(T1658-F1658&gt;0,T1658-F1658,0),0)</f>
        <v>0</v>
      </c>
      <c r="W1658" s="206" t="str">
        <f t="shared" ref="W1658:W1663" si="1022">IF(V1658&gt;0,H1658,"")</f>
        <v/>
      </c>
      <c r="X1658" s="218">
        <f t="shared" ref="X1658:X1663" si="1023">IF(AND($V1658&gt;0,$I1658=1),P1658/$E1658*$V1658,0)</f>
        <v>0</v>
      </c>
      <c r="Y1658" s="219">
        <f t="shared" ref="Y1658:Y1663" si="1024">IF(AND($V1658&gt;0,$I1658&lt;&gt;1),Q1658/$E1658*$V1658,0)</f>
        <v>0</v>
      </c>
    </row>
    <row r="1659" spans="2:25" hidden="1" x14ac:dyDescent="0.25">
      <c r="B1659" s="60">
        <f>B1658</f>
        <v>1</v>
      </c>
      <c r="C1659" s="102">
        <v>2</v>
      </c>
      <c r="D1659" s="192" t="str">
        <f>D1658</f>
        <v>VI</v>
      </c>
      <c r="E1659" s="162"/>
      <c r="F1659" s="163"/>
      <c r="G1659" s="163"/>
      <c r="H1659" s="164"/>
      <c r="I1659" s="164"/>
      <c r="J1659" s="162"/>
      <c r="K1659" s="165"/>
      <c r="L1659" s="164"/>
      <c r="M1659" s="164"/>
      <c r="N1659" s="166"/>
      <c r="O1659" s="167"/>
      <c r="P1659" s="168"/>
      <c r="Q1659" s="169"/>
      <c r="R1659" s="170"/>
      <c r="S1659" s="171"/>
      <c r="T1659" s="203">
        <f t="shared" si="995"/>
        <v>43647</v>
      </c>
      <c r="U1659" s="205">
        <f t="shared" si="996"/>
        <v>43677</v>
      </c>
      <c r="V1659" s="207">
        <f t="shared" ref="V1659:V1664" si="1025">IF(G1659-F1659+1-IF(G1659-U1659&gt;0,G1659-U1659,0)-IF(T1659-F1659&gt;0,T1659-F1659,0)&gt;0,G1659-F1659+1-IF(G1659-U1659&gt;0,G1659-U1659,0)-IF(T1659-F1659&gt;0,T1659-F1659,0),0)</f>
        <v>0</v>
      </c>
      <c r="W1659" s="206" t="str">
        <f t="shared" si="1022"/>
        <v/>
      </c>
      <c r="X1659" s="206">
        <f t="shared" si="1023"/>
        <v>0</v>
      </c>
      <c r="Y1659" s="208">
        <f t="shared" si="1024"/>
        <v>0</v>
      </c>
    </row>
    <row r="1660" spans="2:25" hidden="1" x14ac:dyDescent="0.25">
      <c r="B1660" s="60">
        <f>B1658</f>
        <v>1</v>
      </c>
      <c r="C1660" s="102">
        <v>3</v>
      </c>
      <c r="D1660" s="192" t="str">
        <f t="shared" ref="D1660:D1723" si="1026">D1659</f>
        <v>VI</v>
      </c>
      <c r="E1660" s="162"/>
      <c r="F1660" s="163"/>
      <c r="G1660" s="163"/>
      <c r="H1660" s="164"/>
      <c r="I1660" s="164"/>
      <c r="J1660" s="162"/>
      <c r="K1660" s="165"/>
      <c r="L1660" s="164"/>
      <c r="M1660" s="164"/>
      <c r="N1660" s="166"/>
      <c r="O1660" s="167"/>
      <c r="P1660" s="168"/>
      <c r="Q1660" s="169"/>
      <c r="R1660" s="170"/>
      <c r="S1660" s="171"/>
      <c r="T1660" s="203">
        <f t="shared" si="995"/>
        <v>43647</v>
      </c>
      <c r="U1660" s="205">
        <f t="shared" si="996"/>
        <v>43677</v>
      </c>
      <c r="V1660" s="207">
        <f t="shared" si="1025"/>
        <v>0</v>
      </c>
      <c r="W1660" s="206" t="str">
        <f t="shared" si="1022"/>
        <v/>
      </c>
      <c r="X1660" s="206">
        <f t="shared" si="1023"/>
        <v>0</v>
      </c>
      <c r="Y1660" s="208">
        <f t="shared" si="1024"/>
        <v>0</v>
      </c>
    </row>
    <row r="1661" spans="2:25" hidden="1" x14ac:dyDescent="0.25">
      <c r="B1661" s="60">
        <f>B1658</f>
        <v>1</v>
      </c>
      <c r="C1661" s="102">
        <v>4</v>
      </c>
      <c r="D1661" s="192" t="str">
        <f t="shared" si="1026"/>
        <v>VI</v>
      </c>
      <c r="E1661" s="162"/>
      <c r="F1661" s="163"/>
      <c r="G1661" s="163"/>
      <c r="H1661" s="164"/>
      <c r="I1661" s="164"/>
      <c r="J1661" s="162"/>
      <c r="K1661" s="165"/>
      <c r="L1661" s="164"/>
      <c r="M1661" s="164"/>
      <c r="N1661" s="166"/>
      <c r="O1661" s="167"/>
      <c r="P1661" s="168"/>
      <c r="Q1661" s="169"/>
      <c r="R1661" s="170"/>
      <c r="S1661" s="171"/>
      <c r="T1661" s="203">
        <f t="shared" si="995"/>
        <v>43647</v>
      </c>
      <c r="U1661" s="205">
        <f t="shared" si="996"/>
        <v>43677</v>
      </c>
      <c r="V1661" s="207">
        <f t="shared" si="1025"/>
        <v>0</v>
      </c>
      <c r="W1661" s="206" t="str">
        <f t="shared" si="1022"/>
        <v/>
      </c>
      <c r="X1661" s="206">
        <f t="shared" si="1023"/>
        <v>0</v>
      </c>
      <c r="Y1661" s="208">
        <f t="shared" si="1024"/>
        <v>0</v>
      </c>
    </row>
    <row r="1662" spans="2:25" hidden="1" x14ac:dyDescent="0.25">
      <c r="B1662" s="60">
        <f>B1658</f>
        <v>1</v>
      </c>
      <c r="C1662" s="102">
        <v>5</v>
      </c>
      <c r="D1662" s="192" t="str">
        <f t="shared" si="1026"/>
        <v>VI</v>
      </c>
      <c r="E1662" s="162"/>
      <c r="F1662" s="163"/>
      <c r="G1662" s="163"/>
      <c r="H1662" s="164"/>
      <c r="I1662" s="164"/>
      <c r="J1662" s="162"/>
      <c r="K1662" s="165"/>
      <c r="L1662" s="164"/>
      <c r="M1662" s="164"/>
      <c r="N1662" s="166"/>
      <c r="O1662" s="167"/>
      <c r="P1662" s="168"/>
      <c r="Q1662" s="169"/>
      <c r="R1662" s="170"/>
      <c r="S1662" s="171"/>
      <c r="T1662" s="203">
        <f t="shared" si="995"/>
        <v>43647</v>
      </c>
      <c r="U1662" s="205">
        <f t="shared" si="996"/>
        <v>43677</v>
      </c>
      <c r="V1662" s="207">
        <f t="shared" si="1025"/>
        <v>0</v>
      </c>
      <c r="W1662" s="206" t="str">
        <f t="shared" si="1022"/>
        <v/>
      </c>
      <c r="X1662" s="206">
        <f t="shared" si="1023"/>
        <v>0</v>
      </c>
      <c r="Y1662" s="208">
        <f t="shared" si="1024"/>
        <v>0</v>
      </c>
    </row>
    <row r="1663" spans="2:25" hidden="1" x14ac:dyDescent="0.25">
      <c r="B1663" s="86">
        <f>B1662</f>
        <v>1</v>
      </c>
      <c r="C1663" s="103">
        <v>6</v>
      </c>
      <c r="D1663" s="193" t="str">
        <f t="shared" si="1026"/>
        <v>VI</v>
      </c>
      <c r="E1663" s="172"/>
      <c r="F1663" s="173"/>
      <c r="G1663" s="173"/>
      <c r="H1663" s="174"/>
      <c r="I1663" s="174"/>
      <c r="J1663" s="172"/>
      <c r="K1663" s="175"/>
      <c r="L1663" s="174"/>
      <c r="M1663" s="174"/>
      <c r="N1663" s="176"/>
      <c r="O1663" s="177"/>
      <c r="P1663" s="178"/>
      <c r="Q1663" s="179"/>
      <c r="R1663" s="180"/>
      <c r="S1663" s="181"/>
      <c r="T1663" s="203">
        <f t="shared" si="995"/>
        <v>43647</v>
      </c>
      <c r="U1663" s="205">
        <f t="shared" si="996"/>
        <v>43677</v>
      </c>
      <c r="V1663" s="207">
        <f t="shared" si="1025"/>
        <v>0</v>
      </c>
      <c r="W1663" s="206" t="str">
        <f t="shared" si="1022"/>
        <v/>
      </c>
      <c r="X1663" s="206">
        <f t="shared" si="1023"/>
        <v>0</v>
      </c>
      <c r="Y1663" s="208">
        <f t="shared" si="1024"/>
        <v>0</v>
      </c>
    </row>
    <row r="1664" spans="2:25" ht="15.75" thickBot="1" x14ac:dyDescent="0.3">
      <c r="B1664" s="141">
        <f>B1658</f>
        <v>1</v>
      </c>
      <c r="C1664" s="142">
        <v>7</v>
      </c>
      <c r="D1664" s="194" t="str">
        <f t="shared" si="1026"/>
        <v>VI</v>
      </c>
      <c r="E1664" s="189"/>
      <c r="F1664" s="190"/>
      <c r="G1664" s="190"/>
      <c r="H1664" s="182"/>
      <c r="I1664" s="182"/>
      <c r="J1664" s="436" t="s">
        <v>181</v>
      </c>
      <c r="K1664" s="437"/>
      <c r="L1664" s="438"/>
      <c r="M1664" s="182"/>
      <c r="N1664" s="183">
        <v>10</v>
      </c>
      <c r="O1664" s="184">
        <v>10</v>
      </c>
      <c r="P1664" s="185"/>
      <c r="Q1664" s="186">
        <v>10</v>
      </c>
      <c r="R1664" s="187" t="s">
        <v>4</v>
      </c>
      <c r="S1664" s="188">
        <v>43621</v>
      </c>
      <c r="T1664" s="213">
        <f t="shared" si="995"/>
        <v>43647</v>
      </c>
      <c r="U1664" s="214">
        <f t="shared" si="996"/>
        <v>43677</v>
      </c>
      <c r="V1664" s="210">
        <f t="shared" si="1025"/>
        <v>0</v>
      </c>
      <c r="W1664" s="211"/>
      <c r="X1664" s="211">
        <f>IF(AND($V1664&gt;0,$I1664=1),IF($E1664=10,P1664/10,P1664/$V1664),0)</f>
        <v>0</v>
      </c>
      <c r="Y1664" s="212">
        <f>IF(AND($V1658&gt;0,$I1664&lt;&gt;1),Q1664/E1658*V1658,0)</f>
        <v>0</v>
      </c>
    </row>
    <row r="1665" spans="2:25" ht="16.5" hidden="1" thickTop="1" thickBot="1" x14ac:dyDescent="0.3">
      <c r="B1665" s="91">
        <f>B1664+1</f>
        <v>2</v>
      </c>
      <c r="C1665" s="104">
        <v>8</v>
      </c>
      <c r="D1665" s="195" t="str">
        <f t="shared" si="1026"/>
        <v>VI</v>
      </c>
      <c r="E1665" s="92"/>
      <c r="F1665" s="107"/>
      <c r="G1665" s="107"/>
      <c r="H1665" s="93"/>
      <c r="I1665" s="93"/>
      <c r="J1665" s="92"/>
      <c r="K1665" s="94"/>
      <c r="L1665" s="93"/>
      <c r="M1665" s="93"/>
      <c r="N1665" s="119"/>
      <c r="O1665" s="120"/>
      <c r="P1665" s="121"/>
      <c r="Q1665" s="122"/>
      <c r="R1665" s="95"/>
      <c r="S1665" s="110"/>
      <c r="T1665" s="201">
        <f t="shared" si="995"/>
        <v>43647</v>
      </c>
      <c r="U1665" s="202">
        <f t="shared" si="996"/>
        <v>43677</v>
      </c>
      <c r="V1665" s="207">
        <f>IF(G1665-F1665+1-IF(G1665-U1665&gt;0,G1665-U1665,0)-IF(T1665-F1665&gt;0,T1665-F1665,0)&gt;0,G1665-F1665+1-IF(G1665-U1665&gt;0,G1665-U1665,0)-IF(T1665-F1665&gt;0,T1665-F1665,0),0)</f>
        <v>0</v>
      </c>
      <c r="W1665" s="206" t="str">
        <f t="shared" ref="W1665:W1670" si="1027">IF(V1665&gt;0,H1665,"")</f>
        <v/>
      </c>
      <c r="X1665" s="206">
        <f t="shared" ref="X1665:X1670" si="1028">IF(AND($V1665&gt;0,$I1665=1),P1665/$E1665*$V1665,0)</f>
        <v>0</v>
      </c>
      <c r="Y1665" s="209">
        <f t="shared" ref="Y1665:Y1670" si="1029">IF(AND($V1665&gt;0,$I1665&lt;&gt;1),Q1665/$E1665*$V1665,0)</f>
        <v>0</v>
      </c>
    </row>
    <row r="1666" spans="2:25" ht="16.5" hidden="1" thickTop="1" thickBot="1" x14ac:dyDescent="0.3">
      <c r="B1666" s="60">
        <f>B1665</f>
        <v>2</v>
      </c>
      <c r="C1666" s="102">
        <v>9</v>
      </c>
      <c r="D1666" s="192" t="str">
        <f t="shared" si="1026"/>
        <v>VI</v>
      </c>
      <c r="E1666" s="62"/>
      <c r="F1666" s="105"/>
      <c r="G1666" s="105"/>
      <c r="H1666" s="61"/>
      <c r="I1666" s="61"/>
      <c r="J1666" s="62"/>
      <c r="K1666" s="63"/>
      <c r="L1666" s="61"/>
      <c r="M1666" s="61"/>
      <c r="N1666" s="111"/>
      <c r="O1666" s="112"/>
      <c r="P1666" s="113"/>
      <c r="Q1666" s="114"/>
      <c r="R1666" s="64"/>
      <c r="S1666" s="108"/>
      <c r="T1666" s="203">
        <f t="shared" si="995"/>
        <v>43647</v>
      </c>
      <c r="U1666" s="204">
        <f t="shared" si="996"/>
        <v>43677</v>
      </c>
      <c r="V1666" s="207">
        <f t="shared" ref="V1666:V1671" si="1030">IF(G1666-F1666+1-IF(G1666-U1666&gt;0,G1666-U1666,0)-IF(T1666-F1666&gt;0,T1666-F1666,0)&gt;0,G1666-F1666+1-IF(G1666-U1666&gt;0,G1666-U1666,0)-IF(T1666-F1666&gt;0,T1666-F1666,0),0)</f>
        <v>0</v>
      </c>
      <c r="W1666" s="206" t="str">
        <f t="shared" si="1027"/>
        <v/>
      </c>
      <c r="X1666" s="206">
        <f t="shared" si="1028"/>
        <v>0</v>
      </c>
      <c r="Y1666" s="209">
        <f t="shared" si="1029"/>
        <v>0</v>
      </c>
    </row>
    <row r="1667" spans="2:25" ht="16.5" hidden="1" thickTop="1" thickBot="1" x14ac:dyDescent="0.3">
      <c r="B1667" s="60">
        <f>B1665</f>
        <v>2</v>
      </c>
      <c r="C1667" s="102">
        <v>10</v>
      </c>
      <c r="D1667" s="192" t="str">
        <f t="shared" si="1026"/>
        <v>VI</v>
      </c>
      <c r="E1667" s="62"/>
      <c r="F1667" s="105"/>
      <c r="G1667" s="105"/>
      <c r="H1667" s="61"/>
      <c r="I1667" s="61"/>
      <c r="J1667" s="62"/>
      <c r="K1667" s="63"/>
      <c r="L1667" s="61"/>
      <c r="M1667" s="61"/>
      <c r="N1667" s="111"/>
      <c r="O1667" s="112"/>
      <c r="P1667" s="113"/>
      <c r="Q1667" s="114"/>
      <c r="R1667" s="64"/>
      <c r="S1667" s="108"/>
      <c r="T1667" s="203">
        <f t="shared" si="995"/>
        <v>43647</v>
      </c>
      <c r="U1667" s="204">
        <f t="shared" si="996"/>
        <v>43677</v>
      </c>
      <c r="V1667" s="207">
        <f t="shared" si="1030"/>
        <v>0</v>
      </c>
      <c r="W1667" s="206" t="str">
        <f t="shared" si="1027"/>
        <v/>
      </c>
      <c r="X1667" s="206">
        <f t="shared" si="1028"/>
        <v>0</v>
      </c>
      <c r="Y1667" s="209">
        <f t="shared" si="1029"/>
        <v>0</v>
      </c>
    </row>
    <row r="1668" spans="2:25" ht="16.5" hidden="1" thickTop="1" thickBot="1" x14ac:dyDescent="0.3">
      <c r="B1668" s="60">
        <f>B1665</f>
        <v>2</v>
      </c>
      <c r="C1668" s="102">
        <v>11</v>
      </c>
      <c r="D1668" s="192" t="str">
        <f t="shared" si="1026"/>
        <v>VI</v>
      </c>
      <c r="E1668" s="62"/>
      <c r="F1668" s="105"/>
      <c r="G1668" s="105"/>
      <c r="H1668" s="61"/>
      <c r="I1668" s="61"/>
      <c r="J1668" s="62"/>
      <c r="K1668" s="63"/>
      <c r="L1668" s="61"/>
      <c r="M1668" s="61"/>
      <c r="N1668" s="111"/>
      <c r="O1668" s="112"/>
      <c r="P1668" s="113"/>
      <c r="Q1668" s="114"/>
      <c r="R1668" s="64"/>
      <c r="S1668" s="108"/>
      <c r="T1668" s="203">
        <f t="shared" si="995"/>
        <v>43647</v>
      </c>
      <c r="U1668" s="204">
        <f t="shared" si="996"/>
        <v>43677</v>
      </c>
      <c r="V1668" s="207">
        <f t="shared" si="1030"/>
        <v>0</v>
      </c>
      <c r="W1668" s="206" t="str">
        <f t="shared" si="1027"/>
        <v/>
      </c>
      <c r="X1668" s="206">
        <f t="shared" si="1028"/>
        <v>0</v>
      </c>
      <c r="Y1668" s="209">
        <f t="shared" si="1029"/>
        <v>0</v>
      </c>
    </row>
    <row r="1669" spans="2:25" ht="16.5" hidden="1" thickTop="1" thickBot="1" x14ac:dyDescent="0.3">
      <c r="B1669" s="60">
        <f>B1665</f>
        <v>2</v>
      </c>
      <c r="C1669" s="102">
        <v>12</v>
      </c>
      <c r="D1669" s="192" t="str">
        <f t="shared" si="1026"/>
        <v>VI</v>
      </c>
      <c r="E1669" s="62"/>
      <c r="F1669" s="105"/>
      <c r="G1669" s="105"/>
      <c r="H1669" s="61"/>
      <c r="I1669" s="61"/>
      <c r="J1669" s="62"/>
      <c r="K1669" s="63"/>
      <c r="L1669" s="61"/>
      <c r="M1669" s="61"/>
      <c r="N1669" s="111"/>
      <c r="O1669" s="112"/>
      <c r="P1669" s="113"/>
      <c r="Q1669" s="114"/>
      <c r="R1669" s="64"/>
      <c r="S1669" s="108"/>
      <c r="T1669" s="203">
        <f t="shared" si="995"/>
        <v>43647</v>
      </c>
      <c r="U1669" s="204">
        <f t="shared" si="996"/>
        <v>43677</v>
      </c>
      <c r="V1669" s="207">
        <f t="shared" si="1030"/>
        <v>0</v>
      </c>
      <c r="W1669" s="206" t="str">
        <f t="shared" si="1027"/>
        <v/>
      </c>
      <c r="X1669" s="206">
        <f t="shared" si="1028"/>
        <v>0</v>
      </c>
      <c r="Y1669" s="209">
        <f t="shared" si="1029"/>
        <v>0</v>
      </c>
    </row>
    <row r="1670" spans="2:25" ht="16.5" hidden="1" thickTop="1" thickBot="1" x14ac:dyDescent="0.3">
      <c r="B1670" s="86">
        <f>B1665</f>
        <v>2</v>
      </c>
      <c r="C1670" s="103">
        <v>13</v>
      </c>
      <c r="D1670" s="193" t="str">
        <f t="shared" si="1026"/>
        <v>VI</v>
      </c>
      <c r="E1670" s="87"/>
      <c r="F1670" s="106"/>
      <c r="G1670" s="106"/>
      <c r="H1670" s="88"/>
      <c r="I1670" s="88"/>
      <c r="J1670" s="87"/>
      <c r="K1670" s="89"/>
      <c r="L1670" s="88"/>
      <c r="M1670" s="88"/>
      <c r="N1670" s="115"/>
      <c r="O1670" s="116"/>
      <c r="P1670" s="117"/>
      <c r="Q1670" s="118"/>
      <c r="R1670" s="90"/>
      <c r="S1670" s="109"/>
      <c r="T1670" s="203">
        <f t="shared" si="995"/>
        <v>43647</v>
      </c>
      <c r="U1670" s="204">
        <f t="shared" si="996"/>
        <v>43677</v>
      </c>
      <c r="V1670" s="207">
        <f t="shared" si="1030"/>
        <v>0</v>
      </c>
      <c r="W1670" s="206" t="str">
        <f t="shared" si="1027"/>
        <v/>
      </c>
      <c r="X1670" s="206">
        <f t="shared" si="1028"/>
        <v>0</v>
      </c>
      <c r="Y1670" s="209">
        <f t="shared" si="1029"/>
        <v>0</v>
      </c>
    </row>
    <row r="1671" spans="2:25" ht="16.5" hidden="1" thickTop="1" thickBot="1" x14ac:dyDescent="0.3">
      <c r="B1671" s="141">
        <f>B1665</f>
        <v>2</v>
      </c>
      <c r="C1671" s="142">
        <v>14</v>
      </c>
      <c r="D1671" s="194" t="str">
        <f t="shared" si="1026"/>
        <v>VI</v>
      </c>
      <c r="E1671" s="143"/>
      <c r="F1671" s="144"/>
      <c r="G1671" s="144"/>
      <c r="H1671" s="145"/>
      <c r="I1671" s="145"/>
      <c r="J1671" s="436" t="s">
        <v>181</v>
      </c>
      <c r="K1671" s="437"/>
      <c r="L1671" s="438"/>
      <c r="M1671" s="145"/>
      <c r="N1671" s="146"/>
      <c r="O1671" s="147"/>
      <c r="P1671" s="148"/>
      <c r="Q1671" s="149"/>
      <c r="R1671" s="150"/>
      <c r="S1671" s="151"/>
      <c r="T1671" s="213">
        <f t="shared" si="995"/>
        <v>43647</v>
      </c>
      <c r="U1671" s="214">
        <f t="shared" si="996"/>
        <v>43677</v>
      </c>
      <c r="V1671" s="210">
        <f t="shared" si="1030"/>
        <v>0</v>
      </c>
      <c r="W1671" s="211"/>
      <c r="X1671" s="211">
        <f>IF(AND($V1671&gt;0,$I1671=1),IF($E1671=10,P1671/10,P1671/$V1671),0)</f>
        <v>0</v>
      </c>
      <c r="Y1671" s="212">
        <f>IF(AND($V1665&gt;0,$I1671&lt;&gt;1),Q1671/E1665*V1665,0)</f>
        <v>0</v>
      </c>
    </row>
    <row r="1672" spans="2:25" ht="16.5" hidden="1" thickTop="1" thickBot="1" x14ac:dyDescent="0.3">
      <c r="B1672" s="129">
        <f>B1670+1</f>
        <v>3</v>
      </c>
      <c r="C1672" s="130">
        <v>15</v>
      </c>
      <c r="D1672" s="196" t="str">
        <f t="shared" si="1026"/>
        <v>VI</v>
      </c>
      <c r="E1672" s="152"/>
      <c r="F1672" s="153"/>
      <c r="G1672" s="153"/>
      <c r="H1672" s="154"/>
      <c r="I1672" s="154"/>
      <c r="J1672" s="152"/>
      <c r="K1672" s="155"/>
      <c r="L1672" s="154"/>
      <c r="M1672" s="154"/>
      <c r="N1672" s="156"/>
      <c r="O1672" s="157"/>
      <c r="P1672" s="158"/>
      <c r="Q1672" s="159"/>
      <c r="R1672" s="160"/>
      <c r="S1672" s="161"/>
      <c r="T1672" s="203">
        <f t="shared" si="995"/>
        <v>43647</v>
      </c>
      <c r="U1672" s="204">
        <f t="shared" si="996"/>
        <v>43677</v>
      </c>
      <c r="V1672" s="207">
        <f>IF(G1672-F1672+1-IF(G1672-U1672&gt;0,G1672-U1672,0)-IF(T1672-F1672&gt;0,T1672-F1672,0)&gt;0,G1672-F1672+1-IF(G1672-U1672&gt;0,G1672-U1672,0)-IF(T1672-F1672&gt;0,T1672-F1672,0),0)</f>
        <v>0</v>
      </c>
      <c r="W1672" s="206" t="str">
        <f t="shared" ref="W1672:W1677" si="1031">IF(V1672&gt;0,H1672,"")</f>
        <v/>
      </c>
      <c r="X1672" s="206">
        <f t="shared" ref="X1672:X1677" si="1032">IF(AND($V1672&gt;0,$I1672=1),P1672/$E1672*$V1672,0)</f>
        <v>0</v>
      </c>
      <c r="Y1672" s="209">
        <f t="shared" ref="Y1672:Y1677" si="1033">IF(AND($V1672&gt;0,$I1672&lt;&gt;1),Q1672/$E1672*$V1672,0)</f>
        <v>0</v>
      </c>
    </row>
    <row r="1673" spans="2:25" ht="16.5" hidden="1" thickTop="1" thickBot="1" x14ac:dyDescent="0.3">
      <c r="B1673" s="60">
        <f>B1672</f>
        <v>3</v>
      </c>
      <c r="C1673" s="102">
        <v>16</v>
      </c>
      <c r="D1673" s="192" t="str">
        <f t="shared" si="1026"/>
        <v>VI</v>
      </c>
      <c r="E1673" s="162"/>
      <c r="F1673" s="163"/>
      <c r="G1673" s="163"/>
      <c r="H1673" s="164"/>
      <c r="I1673" s="164"/>
      <c r="J1673" s="162"/>
      <c r="K1673" s="165"/>
      <c r="L1673" s="164"/>
      <c r="M1673" s="164"/>
      <c r="N1673" s="166"/>
      <c r="O1673" s="167"/>
      <c r="P1673" s="168"/>
      <c r="Q1673" s="169"/>
      <c r="R1673" s="170"/>
      <c r="S1673" s="171"/>
      <c r="T1673" s="203">
        <f t="shared" si="995"/>
        <v>43647</v>
      </c>
      <c r="U1673" s="204">
        <f t="shared" si="996"/>
        <v>43677</v>
      </c>
      <c r="V1673" s="207">
        <f t="shared" ref="V1673:V1678" si="1034">IF(G1673-F1673+1-IF(G1673-U1673&gt;0,G1673-U1673,0)-IF(T1673-F1673&gt;0,T1673-F1673,0)&gt;0,G1673-F1673+1-IF(G1673-U1673&gt;0,G1673-U1673,0)-IF(T1673-F1673&gt;0,T1673-F1673,0),0)</f>
        <v>0</v>
      </c>
      <c r="W1673" s="206" t="str">
        <f t="shared" si="1031"/>
        <v/>
      </c>
      <c r="X1673" s="206">
        <f t="shared" si="1032"/>
        <v>0</v>
      </c>
      <c r="Y1673" s="209">
        <f t="shared" si="1033"/>
        <v>0</v>
      </c>
    </row>
    <row r="1674" spans="2:25" ht="16.5" hidden="1" thickTop="1" thickBot="1" x14ac:dyDescent="0.3">
      <c r="B1674" s="60">
        <f>B1672</f>
        <v>3</v>
      </c>
      <c r="C1674" s="102">
        <v>17</v>
      </c>
      <c r="D1674" s="192" t="str">
        <f t="shared" si="1026"/>
        <v>VI</v>
      </c>
      <c r="E1674" s="162"/>
      <c r="F1674" s="163"/>
      <c r="G1674" s="163"/>
      <c r="H1674" s="164"/>
      <c r="I1674" s="164"/>
      <c r="J1674" s="162"/>
      <c r="K1674" s="165"/>
      <c r="L1674" s="164"/>
      <c r="M1674" s="164"/>
      <c r="N1674" s="166"/>
      <c r="O1674" s="167"/>
      <c r="P1674" s="168"/>
      <c r="Q1674" s="169"/>
      <c r="R1674" s="170"/>
      <c r="S1674" s="171"/>
      <c r="T1674" s="203">
        <f t="shared" si="995"/>
        <v>43647</v>
      </c>
      <c r="U1674" s="204">
        <f t="shared" si="996"/>
        <v>43677</v>
      </c>
      <c r="V1674" s="207">
        <f t="shared" si="1034"/>
        <v>0</v>
      </c>
      <c r="W1674" s="206" t="str">
        <f t="shared" si="1031"/>
        <v/>
      </c>
      <c r="X1674" s="206">
        <f t="shared" si="1032"/>
        <v>0</v>
      </c>
      <c r="Y1674" s="209">
        <f t="shared" si="1033"/>
        <v>0</v>
      </c>
    </row>
    <row r="1675" spans="2:25" ht="16.5" hidden="1" thickTop="1" thickBot="1" x14ac:dyDescent="0.3">
      <c r="B1675" s="60">
        <f>B1672</f>
        <v>3</v>
      </c>
      <c r="C1675" s="102">
        <v>18</v>
      </c>
      <c r="D1675" s="192" t="str">
        <f t="shared" si="1026"/>
        <v>VI</v>
      </c>
      <c r="E1675" s="162"/>
      <c r="F1675" s="163"/>
      <c r="G1675" s="163"/>
      <c r="H1675" s="164"/>
      <c r="I1675" s="164"/>
      <c r="J1675" s="162"/>
      <c r="K1675" s="165"/>
      <c r="L1675" s="164"/>
      <c r="M1675" s="164"/>
      <c r="N1675" s="166"/>
      <c r="O1675" s="167"/>
      <c r="P1675" s="168"/>
      <c r="Q1675" s="169"/>
      <c r="R1675" s="170"/>
      <c r="S1675" s="171"/>
      <c r="T1675" s="203">
        <f t="shared" si="995"/>
        <v>43647</v>
      </c>
      <c r="U1675" s="204">
        <f t="shared" si="996"/>
        <v>43677</v>
      </c>
      <c r="V1675" s="207">
        <f t="shared" si="1034"/>
        <v>0</v>
      </c>
      <c r="W1675" s="206" t="str">
        <f t="shared" si="1031"/>
        <v/>
      </c>
      <c r="X1675" s="206">
        <f t="shared" si="1032"/>
        <v>0</v>
      </c>
      <c r="Y1675" s="209">
        <f t="shared" si="1033"/>
        <v>0</v>
      </c>
    </row>
    <row r="1676" spans="2:25" ht="16.5" hidden="1" thickTop="1" thickBot="1" x14ac:dyDescent="0.3">
      <c r="B1676" s="60">
        <f>B1672</f>
        <v>3</v>
      </c>
      <c r="C1676" s="102">
        <v>19</v>
      </c>
      <c r="D1676" s="192" t="str">
        <f t="shared" si="1026"/>
        <v>VI</v>
      </c>
      <c r="E1676" s="162"/>
      <c r="F1676" s="163"/>
      <c r="G1676" s="163"/>
      <c r="H1676" s="164"/>
      <c r="I1676" s="164"/>
      <c r="J1676" s="162"/>
      <c r="K1676" s="165"/>
      <c r="L1676" s="164"/>
      <c r="M1676" s="164"/>
      <c r="N1676" s="166"/>
      <c r="O1676" s="167"/>
      <c r="P1676" s="168"/>
      <c r="Q1676" s="169"/>
      <c r="R1676" s="170"/>
      <c r="S1676" s="171"/>
      <c r="T1676" s="203">
        <f t="shared" si="995"/>
        <v>43647</v>
      </c>
      <c r="U1676" s="204">
        <f t="shared" si="996"/>
        <v>43677</v>
      </c>
      <c r="V1676" s="207">
        <f t="shared" si="1034"/>
        <v>0</v>
      </c>
      <c r="W1676" s="206" t="str">
        <f t="shared" si="1031"/>
        <v/>
      </c>
      <c r="X1676" s="206">
        <f t="shared" si="1032"/>
        <v>0</v>
      </c>
      <c r="Y1676" s="209">
        <f t="shared" si="1033"/>
        <v>0</v>
      </c>
    </row>
    <row r="1677" spans="2:25" ht="16.5" hidden="1" thickTop="1" thickBot="1" x14ac:dyDescent="0.3">
      <c r="B1677" s="60">
        <f>B1672</f>
        <v>3</v>
      </c>
      <c r="C1677" s="102">
        <v>20</v>
      </c>
      <c r="D1677" s="192" t="str">
        <f t="shared" si="1026"/>
        <v>VI</v>
      </c>
      <c r="E1677" s="172"/>
      <c r="F1677" s="173"/>
      <c r="G1677" s="173"/>
      <c r="H1677" s="174"/>
      <c r="I1677" s="174"/>
      <c r="J1677" s="172"/>
      <c r="K1677" s="175"/>
      <c r="L1677" s="174"/>
      <c r="M1677" s="174"/>
      <c r="N1677" s="176"/>
      <c r="O1677" s="177"/>
      <c r="P1677" s="178"/>
      <c r="Q1677" s="179"/>
      <c r="R1677" s="180"/>
      <c r="S1677" s="181"/>
      <c r="T1677" s="203">
        <f t="shared" ref="T1677:T1740" si="1035">$F$4</f>
        <v>43647</v>
      </c>
      <c r="U1677" s="204">
        <f t="shared" ref="U1677:U1740" si="1036">$G$4</f>
        <v>43677</v>
      </c>
      <c r="V1677" s="207">
        <f t="shared" si="1034"/>
        <v>0</v>
      </c>
      <c r="W1677" s="206" t="str">
        <f t="shared" si="1031"/>
        <v/>
      </c>
      <c r="X1677" s="206">
        <f t="shared" si="1032"/>
        <v>0</v>
      </c>
      <c r="Y1677" s="209">
        <f t="shared" si="1033"/>
        <v>0</v>
      </c>
    </row>
    <row r="1678" spans="2:25" ht="16.5" hidden="1" thickTop="1" thickBot="1" x14ac:dyDescent="0.3">
      <c r="B1678" s="141">
        <f>B1672</f>
        <v>3</v>
      </c>
      <c r="C1678" s="142">
        <v>21</v>
      </c>
      <c r="D1678" s="194" t="str">
        <f t="shared" si="1026"/>
        <v>VI</v>
      </c>
      <c r="E1678" s="189"/>
      <c r="F1678" s="190"/>
      <c r="G1678" s="190"/>
      <c r="H1678" s="182"/>
      <c r="I1678" s="182"/>
      <c r="J1678" s="436" t="s">
        <v>181</v>
      </c>
      <c r="K1678" s="437"/>
      <c r="L1678" s="438"/>
      <c r="M1678" s="182"/>
      <c r="N1678" s="183"/>
      <c r="O1678" s="184"/>
      <c r="P1678" s="185"/>
      <c r="Q1678" s="186"/>
      <c r="R1678" s="187"/>
      <c r="S1678" s="188"/>
      <c r="T1678" s="213">
        <f t="shared" si="1035"/>
        <v>43647</v>
      </c>
      <c r="U1678" s="214">
        <f t="shared" si="1036"/>
        <v>43677</v>
      </c>
      <c r="V1678" s="210">
        <f t="shared" si="1034"/>
        <v>0</v>
      </c>
      <c r="W1678" s="211"/>
      <c r="X1678" s="211">
        <f>IF(AND($V1678&gt;0,$I1678=1),IF($E1678=10,P1678/10,P1678/$V1678),0)</f>
        <v>0</v>
      </c>
      <c r="Y1678" s="212">
        <f>IF(AND($V1672&gt;0,$I1678&lt;&gt;1),Q1678/E1672*V1672,0)</f>
        <v>0</v>
      </c>
    </row>
    <row r="1679" spans="2:25" ht="45.75" thickTop="1" x14ac:dyDescent="0.25">
      <c r="B1679" s="129">
        <f>B1677+1</f>
        <v>4</v>
      </c>
      <c r="C1679" s="130">
        <v>22</v>
      </c>
      <c r="D1679" s="196" t="str">
        <f t="shared" si="1026"/>
        <v>VI</v>
      </c>
      <c r="E1679" s="131">
        <v>10</v>
      </c>
      <c r="F1679" s="132">
        <v>43686</v>
      </c>
      <c r="G1679" s="132">
        <v>43695</v>
      </c>
      <c r="H1679" s="133" t="s">
        <v>317</v>
      </c>
      <c r="I1679" s="133">
        <v>2</v>
      </c>
      <c r="J1679" s="131" t="s">
        <v>167</v>
      </c>
      <c r="K1679" s="134" t="s">
        <v>16</v>
      </c>
      <c r="L1679" s="133">
        <v>1</v>
      </c>
      <c r="M1679" s="133">
        <v>7</v>
      </c>
      <c r="N1679" s="135">
        <v>53</v>
      </c>
      <c r="O1679" s="136">
        <v>53</v>
      </c>
      <c r="P1679" s="137"/>
      <c r="Q1679" s="138">
        <v>53</v>
      </c>
      <c r="R1679" s="139" t="s">
        <v>4</v>
      </c>
      <c r="S1679" s="140">
        <v>43620</v>
      </c>
      <c r="T1679" s="203">
        <f t="shared" si="1035"/>
        <v>43647</v>
      </c>
      <c r="U1679" s="204">
        <f t="shared" si="1036"/>
        <v>43677</v>
      </c>
      <c r="V1679" s="207">
        <f>IF(G1679-F1679+1-IF(G1679-U1679&gt;0,G1679-U1679,0)-IF(T1679-F1679&gt;0,T1679-F1679,0)&gt;0,G1679-F1679+1-IF(G1679-U1679&gt;0,G1679-U1679,0)-IF(T1679-F1679&gt;0,T1679-F1679,0),0)</f>
        <v>0</v>
      </c>
      <c r="W1679" s="206" t="str">
        <f t="shared" ref="W1679:W1684" si="1037">IF(V1679&gt;0,H1679,"")</f>
        <v/>
      </c>
      <c r="X1679" s="206">
        <f t="shared" ref="X1679:X1684" si="1038">IF(AND($V1679&gt;0,$I1679=1),P1679/$E1679*$V1679,0)</f>
        <v>0</v>
      </c>
      <c r="Y1679" s="209">
        <f t="shared" ref="Y1679:Y1684" si="1039">IF(AND($V1679&gt;0,$I1679&lt;&gt;1),Q1679/$E1679*$V1679,0)</f>
        <v>0</v>
      </c>
    </row>
    <row r="1680" spans="2:25" ht="45" x14ac:dyDescent="0.25">
      <c r="B1680" s="60">
        <f>B1679</f>
        <v>4</v>
      </c>
      <c r="C1680" s="102">
        <v>23</v>
      </c>
      <c r="D1680" s="192" t="str">
        <f t="shared" si="1026"/>
        <v>VI</v>
      </c>
      <c r="E1680" s="62">
        <v>10</v>
      </c>
      <c r="F1680" s="105">
        <v>43686</v>
      </c>
      <c r="G1680" s="105">
        <v>43695</v>
      </c>
      <c r="H1680" s="61" t="s">
        <v>318</v>
      </c>
      <c r="I1680" s="61">
        <v>2</v>
      </c>
      <c r="J1680" s="62" t="s">
        <v>167</v>
      </c>
      <c r="K1680" s="63" t="s">
        <v>16</v>
      </c>
      <c r="L1680" s="61">
        <v>1</v>
      </c>
      <c r="M1680" s="61">
        <v>7</v>
      </c>
      <c r="N1680" s="111">
        <v>53</v>
      </c>
      <c r="O1680" s="112">
        <v>53</v>
      </c>
      <c r="P1680" s="113"/>
      <c r="Q1680" s="114">
        <v>53</v>
      </c>
      <c r="R1680" s="64" t="s">
        <v>4</v>
      </c>
      <c r="S1680" s="108">
        <v>43620</v>
      </c>
      <c r="T1680" s="203">
        <f t="shared" si="1035"/>
        <v>43647</v>
      </c>
      <c r="U1680" s="204">
        <f t="shared" si="1036"/>
        <v>43677</v>
      </c>
      <c r="V1680" s="207">
        <f t="shared" ref="V1680:V1685" si="1040">IF(G1680-F1680+1-IF(G1680-U1680&gt;0,G1680-U1680,0)-IF(T1680-F1680&gt;0,T1680-F1680,0)&gt;0,G1680-F1680+1-IF(G1680-U1680&gt;0,G1680-U1680,0)-IF(T1680-F1680&gt;0,T1680-F1680,0),0)</f>
        <v>0</v>
      </c>
      <c r="W1680" s="206" t="str">
        <f t="shared" si="1037"/>
        <v/>
      </c>
      <c r="X1680" s="206">
        <f t="shared" si="1038"/>
        <v>0</v>
      </c>
      <c r="Y1680" s="209">
        <f t="shared" si="1039"/>
        <v>0</v>
      </c>
    </row>
    <row r="1681" spans="2:25" hidden="1" x14ac:dyDescent="0.25">
      <c r="B1681" s="60">
        <f>B1679</f>
        <v>4</v>
      </c>
      <c r="C1681" s="102">
        <v>24</v>
      </c>
      <c r="D1681" s="192" t="str">
        <f t="shared" si="1026"/>
        <v>VI</v>
      </c>
      <c r="E1681" s="62"/>
      <c r="F1681" s="105"/>
      <c r="G1681" s="105"/>
      <c r="H1681" s="61"/>
      <c r="I1681" s="61"/>
      <c r="J1681" s="62"/>
      <c r="K1681" s="63"/>
      <c r="L1681" s="61"/>
      <c r="M1681" s="61"/>
      <c r="N1681" s="111"/>
      <c r="O1681" s="112"/>
      <c r="P1681" s="113"/>
      <c r="Q1681" s="114"/>
      <c r="R1681" s="64"/>
      <c r="S1681" s="108"/>
      <c r="T1681" s="203">
        <f t="shared" si="1035"/>
        <v>43647</v>
      </c>
      <c r="U1681" s="204">
        <f t="shared" si="1036"/>
        <v>43677</v>
      </c>
      <c r="V1681" s="207">
        <f t="shared" si="1040"/>
        <v>0</v>
      </c>
      <c r="W1681" s="206" t="str">
        <f t="shared" si="1037"/>
        <v/>
      </c>
      <c r="X1681" s="206">
        <f t="shared" si="1038"/>
        <v>0</v>
      </c>
      <c r="Y1681" s="209">
        <f t="shared" si="1039"/>
        <v>0</v>
      </c>
    </row>
    <row r="1682" spans="2:25" hidden="1" x14ac:dyDescent="0.25">
      <c r="B1682" s="60">
        <f>B1679</f>
        <v>4</v>
      </c>
      <c r="C1682" s="102">
        <v>25</v>
      </c>
      <c r="D1682" s="192" t="str">
        <f t="shared" si="1026"/>
        <v>VI</v>
      </c>
      <c r="E1682" s="62"/>
      <c r="F1682" s="105"/>
      <c r="G1682" s="105"/>
      <c r="H1682" s="61"/>
      <c r="I1682" s="61"/>
      <c r="J1682" s="62"/>
      <c r="K1682" s="63"/>
      <c r="L1682" s="61"/>
      <c r="M1682" s="61"/>
      <c r="N1682" s="111"/>
      <c r="O1682" s="112"/>
      <c r="P1682" s="113"/>
      <c r="Q1682" s="114"/>
      <c r="R1682" s="64"/>
      <c r="S1682" s="108"/>
      <c r="T1682" s="203">
        <f t="shared" si="1035"/>
        <v>43647</v>
      </c>
      <c r="U1682" s="204">
        <f t="shared" si="1036"/>
        <v>43677</v>
      </c>
      <c r="V1682" s="207">
        <f t="shared" si="1040"/>
        <v>0</v>
      </c>
      <c r="W1682" s="206" t="str">
        <f t="shared" si="1037"/>
        <v/>
      </c>
      <c r="X1682" s="206">
        <f t="shared" si="1038"/>
        <v>0</v>
      </c>
      <c r="Y1682" s="209">
        <f t="shared" si="1039"/>
        <v>0</v>
      </c>
    </row>
    <row r="1683" spans="2:25" hidden="1" x14ac:dyDescent="0.25">
      <c r="B1683" s="60">
        <f>B1679</f>
        <v>4</v>
      </c>
      <c r="C1683" s="102">
        <v>26</v>
      </c>
      <c r="D1683" s="192" t="str">
        <f t="shared" si="1026"/>
        <v>VI</v>
      </c>
      <c r="E1683" s="62"/>
      <c r="F1683" s="105"/>
      <c r="G1683" s="105"/>
      <c r="H1683" s="61"/>
      <c r="I1683" s="61"/>
      <c r="J1683" s="62"/>
      <c r="K1683" s="63"/>
      <c r="L1683" s="61"/>
      <c r="M1683" s="61"/>
      <c r="N1683" s="111"/>
      <c r="O1683" s="112"/>
      <c r="P1683" s="113"/>
      <c r="Q1683" s="114"/>
      <c r="R1683" s="64"/>
      <c r="S1683" s="108"/>
      <c r="T1683" s="203">
        <f t="shared" si="1035"/>
        <v>43647</v>
      </c>
      <c r="U1683" s="204">
        <f t="shared" si="1036"/>
        <v>43677</v>
      </c>
      <c r="V1683" s="207">
        <f t="shared" si="1040"/>
        <v>0</v>
      </c>
      <c r="W1683" s="206" t="str">
        <f t="shared" si="1037"/>
        <v/>
      </c>
      <c r="X1683" s="206">
        <f t="shared" si="1038"/>
        <v>0</v>
      </c>
      <c r="Y1683" s="209">
        <f t="shared" si="1039"/>
        <v>0</v>
      </c>
    </row>
    <row r="1684" spans="2:25" hidden="1" x14ac:dyDescent="0.25">
      <c r="B1684" s="60">
        <f>B1679</f>
        <v>4</v>
      </c>
      <c r="C1684" s="102">
        <v>27</v>
      </c>
      <c r="D1684" s="192" t="str">
        <f t="shared" si="1026"/>
        <v>VI</v>
      </c>
      <c r="E1684" s="62"/>
      <c r="F1684" s="105"/>
      <c r="G1684" s="105"/>
      <c r="H1684" s="61"/>
      <c r="I1684" s="61"/>
      <c r="J1684" s="62"/>
      <c r="K1684" s="63"/>
      <c r="L1684" s="61"/>
      <c r="M1684" s="61"/>
      <c r="N1684" s="111"/>
      <c r="O1684" s="112"/>
      <c r="P1684" s="113"/>
      <c r="Q1684" s="114"/>
      <c r="R1684" s="64"/>
      <c r="S1684" s="108"/>
      <c r="T1684" s="203">
        <f t="shared" si="1035"/>
        <v>43647</v>
      </c>
      <c r="U1684" s="204">
        <f t="shared" si="1036"/>
        <v>43677</v>
      </c>
      <c r="V1684" s="207">
        <f t="shared" si="1040"/>
        <v>0</v>
      </c>
      <c r="W1684" s="206" t="str">
        <f t="shared" si="1037"/>
        <v/>
      </c>
      <c r="X1684" s="206">
        <f t="shared" si="1038"/>
        <v>0</v>
      </c>
      <c r="Y1684" s="209">
        <f t="shared" si="1039"/>
        <v>0</v>
      </c>
    </row>
    <row r="1685" spans="2:25" ht="15.75" thickBot="1" x14ac:dyDescent="0.3">
      <c r="B1685" s="141">
        <f>B1679</f>
        <v>4</v>
      </c>
      <c r="C1685" s="142">
        <v>28</v>
      </c>
      <c r="D1685" s="194" t="str">
        <f t="shared" si="1026"/>
        <v>VI</v>
      </c>
      <c r="E1685" s="143"/>
      <c r="F1685" s="144"/>
      <c r="G1685" s="144"/>
      <c r="H1685" s="145"/>
      <c r="I1685" s="145"/>
      <c r="J1685" s="436" t="s">
        <v>181</v>
      </c>
      <c r="K1685" s="437"/>
      <c r="L1685" s="438"/>
      <c r="M1685" s="145"/>
      <c r="N1685" s="146">
        <v>10</v>
      </c>
      <c r="O1685" s="147">
        <v>10</v>
      </c>
      <c r="P1685" s="148"/>
      <c r="Q1685" s="149">
        <v>10</v>
      </c>
      <c r="R1685" s="150" t="s">
        <v>4</v>
      </c>
      <c r="S1685" s="151">
        <v>43620</v>
      </c>
      <c r="T1685" s="213">
        <f t="shared" si="1035"/>
        <v>43647</v>
      </c>
      <c r="U1685" s="214">
        <f t="shared" si="1036"/>
        <v>43677</v>
      </c>
      <c r="V1685" s="210">
        <f t="shared" si="1040"/>
        <v>0</v>
      </c>
      <c r="W1685" s="211"/>
      <c r="X1685" s="211">
        <f>IF(AND($V1685&gt;0,$I1685=1),IF($E1685=10,P1685/10,P1685/$V1685),0)</f>
        <v>0</v>
      </c>
      <c r="Y1685" s="212">
        <f>IF(AND($V1679&gt;0,$I1685&lt;&gt;1),Q1685/E1679*V1679,0)</f>
        <v>0</v>
      </c>
    </row>
    <row r="1686" spans="2:25" ht="45.75" thickTop="1" x14ac:dyDescent="0.25">
      <c r="B1686" s="129">
        <f>B1684+1</f>
        <v>5</v>
      </c>
      <c r="C1686" s="130">
        <v>29</v>
      </c>
      <c r="D1686" s="196" t="str">
        <f t="shared" si="1026"/>
        <v>VI</v>
      </c>
      <c r="E1686" s="152">
        <v>10</v>
      </c>
      <c r="F1686" s="153">
        <v>43686</v>
      </c>
      <c r="G1686" s="153">
        <v>43695</v>
      </c>
      <c r="H1686" s="154" t="s">
        <v>356</v>
      </c>
      <c r="I1686" s="154">
        <v>2</v>
      </c>
      <c r="J1686" s="152" t="s">
        <v>167</v>
      </c>
      <c r="K1686" s="155" t="s">
        <v>16</v>
      </c>
      <c r="L1686" s="154">
        <v>1</v>
      </c>
      <c r="M1686" s="154">
        <v>7</v>
      </c>
      <c r="N1686" s="156">
        <v>53</v>
      </c>
      <c r="O1686" s="157">
        <v>53</v>
      </c>
      <c r="P1686" s="158"/>
      <c r="Q1686" s="159">
        <v>53</v>
      </c>
      <c r="R1686" s="160" t="s">
        <v>4</v>
      </c>
      <c r="S1686" s="161">
        <v>43620</v>
      </c>
      <c r="T1686" s="203">
        <f t="shared" si="1035"/>
        <v>43647</v>
      </c>
      <c r="U1686" s="204">
        <f t="shared" si="1036"/>
        <v>43677</v>
      </c>
      <c r="V1686" s="207">
        <f>IF(G1686-F1686+1-IF(G1686-U1686&gt;0,G1686-U1686,0)-IF(T1686-F1686&gt;0,T1686-F1686,0)&gt;0,G1686-F1686+1-IF(G1686-U1686&gt;0,G1686-U1686,0)-IF(T1686-F1686&gt;0,T1686-F1686,0),0)</f>
        <v>0</v>
      </c>
      <c r="W1686" s="206" t="str">
        <f t="shared" ref="W1686:W1691" si="1041">IF(V1686&gt;0,H1686,"")</f>
        <v/>
      </c>
      <c r="X1686" s="206">
        <f t="shared" ref="X1686:X1691" si="1042">IF(AND($V1686&gt;0,$I1686=1),P1686/$E1686*$V1686,0)</f>
        <v>0</v>
      </c>
      <c r="Y1686" s="209">
        <f t="shared" ref="Y1686:Y1691" si="1043">IF(AND($V1686&gt;0,$I1686&lt;&gt;1),Q1686/$E1686*$V1686,0)</f>
        <v>0</v>
      </c>
    </row>
    <row r="1687" spans="2:25" x14ac:dyDescent="0.25">
      <c r="B1687" s="60">
        <f>B1686</f>
        <v>5</v>
      </c>
      <c r="C1687" s="102">
        <v>30</v>
      </c>
      <c r="D1687" s="192" t="str">
        <f t="shared" si="1026"/>
        <v>VI</v>
      </c>
      <c r="E1687" s="162">
        <v>10</v>
      </c>
      <c r="F1687" s="163">
        <v>43686</v>
      </c>
      <c r="G1687" s="163">
        <v>43695</v>
      </c>
      <c r="H1687" s="164" t="s">
        <v>357</v>
      </c>
      <c r="I1687" s="164">
        <v>6</v>
      </c>
      <c r="J1687" s="162" t="s">
        <v>166</v>
      </c>
      <c r="K1687" s="165" t="s">
        <v>16</v>
      </c>
      <c r="L1687" s="164">
        <v>1</v>
      </c>
      <c r="M1687" s="164">
        <v>7</v>
      </c>
      <c r="N1687" s="166">
        <v>120</v>
      </c>
      <c r="O1687" s="167">
        <v>120</v>
      </c>
      <c r="P1687" s="168"/>
      <c r="Q1687" s="169">
        <v>120</v>
      </c>
      <c r="R1687" s="170" t="s">
        <v>4</v>
      </c>
      <c r="S1687" s="171">
        <v>43620</v>
      </c>
      <c r="T1687" s="203">
        <f t="shared" si="1035"/>
        <v>43647</v>
      </c>
      <c r="U1687" s="204">
        <f t="shared" si="1036"/>
        <v>43677</v>
      </c>
      <c r="V1687" s="207">
        <f t="shared" ref="V1687:V1692" si="1044">IF(G1687-F1687+1-IF(G1687-U1687&gt;0,G1687-U1687,0)-IF(T1687-F1687&gt;0,T1687-F1687,0)&gt;0,G1687-F1687+1-IF(G1687-U1687&gt;0,G1687-U1687,0)-IF(T1687-F1687&gt;0,T1687-F1687,0),0)</f>
        <v>0</v>
      </c>
      <c r="W1687" s="206" t="str">
        <f t="shared" si="1041"/>
        <v/>
      </c>
      <c r="X1687" s="206">
        <f t="shared" si="1042"/>
        <v>0</v>
      </c>
      <c r="Y1687" s="209">
        <f t="shared" si="1043"/>
        <v>0</v>
      </c>
    </row>
    <row r="1688" spans="2:25" hidden="1" x14ac:dyDescent="0.25">
      <c r="B1688" s="60">
        <f>B1686</f>
        <v>5</v>
      </c>
      <c r="C1688" s="102">
        <v>31</v>
      </c>
      <c r="D1688" s="192" t="str">
        <f t="shared" si="1026"/>
        <v>VI</v>
      </c>
      <c r="E1688" s="162"/>
      <c r="F1688" s="163"/>
      <c r="G1688" s="163"/>
      <c r="H1688" s="164"/>
      <c r="I1688" s="164"/>
      <c r="J1688" s="162"/>
      <c r="K1688" s="165"/>
      <c r="L1688" s="164"/>
      <c r="M1688" s="164"/>
      <c r="N1688" s="166"/>
      <c r="O1688" s="167"/>
      <c r="P1688" s="168"/>
      <c r="Q1688" s="169"/>
      <c r="R1688" s="170"/>
      <c r="S1688" s="171"/>
      <c r="T1688" s="203">
        <f t="shared" si="1035"/>
        <v>43647</v>
      </c>
      <c r="U1688" s="204">
        <f t="shared" si="1036"/>
        <v>43677</v>
      </c>
      <c r="V1688" s="207">
        <f t="shared" si="1044"/>
        <v>0</v>
      </c>
      <c r="W1688" s="206" t="str">
        <f t="shared" si="1041"/>
        <v/>
      </c>
      <c r="X1688" s="206">
        <f t="shared" si="1042"/>
        <v>0</v>
      </c>
      <c r="Y1688" s="209">
        <f t="shared" si="1043"/>
        <v>0</v>
      </c>
    </row>
    <row r="1689" spans="2:25" hidden="1" x14ac:dyDescent="0.25">
      <c r="B1689" s="60">
        <f>B1686</f>
        <v>5</v>
      </c>
      <c r="C1689" s="102">
        <v>32</v>
      </c>
      <c r="D1689" s="192" t="str">
        <f t="shared" si="1026"/>
        <v>VI</v>
      </c>
      <c r="E1689" s="162"/>
      <c r="F1689" s="163"/>
      <c r="G1689" s="163"/>
      <c r="H1689" s="164"/>
      <c r="I1689" s="164"/>
      <c r="J1689" s="162"/>
      <c r="K1689" s="165"/>
      <c r="L1689" s="164"/>
      <c r="M1689" s="164"/>
      <c r="N1689" s="166"/>
      <c r="O1689" s="167"/>
      <c r="P1689" s="168"/>
      <c r="Q1689" s="169"/>
      <c r="R1689" s="170"/>
      <c r="S1689" s="171"/>
      <c r="T1689" s="203">
        <f t="shared" si="1035"/>
        <v>43647</v>
      </c>
      <c r="U1689" s="204">
        <f t="shared" si="1036"/>
        <v>43677</v>
      </c>
      <c r="V1689" s="207">
        <f t="shared" si="1044"/>
        <v>0</v>
      </c>
      <c r="W1689" s="206" t="str">
        <f t="shared" si="1041"/>
        <v/>
      </c>
      <c r="X1689" s="206">
        <f t="shared" si="1042"/>
        <v>0</v>
      </c>
      <c r="Y1689" s="209">
        <f t="shared" si="1043"/>
        <v>0</v>
      </c>
    </row>
    <row r="1690" spans="2:25" hidden="1" x14ac:dyDescent="0.25">
      <c r="B1690" s="60">
        <f>B1686</f>
        <v>5</v>
      </c>
      <c r="C1690" s="102">
        <v>33</v>
      </c>
      <c r="D1690" s="192" t="str">
        <f t="shared" si="1026"/>
        <v>VI</v>
      </c>
      <c r="E1690" s="162"/>
      <c r="F1690" s="163"/>
      <c r="G1690" s="163"/>
      <c r="H1690" s="164"/>
      <c r="I1690" s="164"/>
      <c r="J1690" s="162"/>
      <c r="K1690" s="165"/>
      <c r="L1690" s="164"/>
      <c r="M1690" s="164"/>
      <c r="N1690" s="166"/>
      <c r="O1690" s="167"/>
      <c r="P1690" s="168"/>
      <c r="Q1690" s="169"/>
      <c r="R1690" s="170"/>
      <c r="S1690" s="171"/>
      <c r="T1690" s="203">
        <f t="shared" si="1035"/>
        <v>43647</v>
      </c>
      <c r="U1690" s="204">
        <f t="shared" si="1036"/>
        <v>43677</v>
      </c>
      <c r="V1690" s="207">
        <f t="shared" si="1044"/>
        <v>0</v>
      </c>
      <c r="W1690" s="206" t="str">
        <f t="shared" si="1041"/>
        <v/>
      </c>
      <c r="X1690" s="206">
        <f t="shared" si="1042"/>
        <v>0</v>
      </c>
      <c r="Y1690" s="209">
        <f t="shared" si="1043"/>
        <v>0</v>
      </c>
    </row>
    <row r="1691" spans="2:25" hidden="1" x14ac:dyDescent="0.25">
      <c r="B1691" s="60">
        <f>B1686</f>
        <v>5</v>
      </c>
      <c r="C1691" s="102">
        <v>34</v>
      </c>
      <c r="D1691" s="192" t="str">
        <f t="shared" si="1026"/>
        <v>VI</v>
      </c>
      <c r="E1691" s="172"/>
      <c r="F1691" s="173"/>
      <c r="G1691" s="173"/>
      <c r="H1691" s="174"/>
      <c r="I1691" s="174"/>
      <c r="J1691" s="172"/>
      <c r="K1691" s="175"/>
      <c r="L1691" s="174"/>
      <c r="M1691" s="174"/>
      <c r="N1691" s="176"/>
      <c r="O1691" s="177"/>
      <c r="P1691" s="178"/>
      <c r="Q1691" s="179"/>
      <c r="R1691" s="180"/>
      <c r="S1691" s="181"/>
      <c r="T1691" s="203">
        <f t="shared" si="1035"/>
        <v>43647</v>
      </c>
      <c r="U1691" s="204">
        <f t="shared" si="1036"/>
        <v>43677</v>
      </c>
      <c r="V1691" s="207">
        <f t="shared" si="1044"/>
        <v>0</v>
      </c>
      <c r="W1691" s="206" t="str">
        <f t="shared" si="1041"/>
        <v/>
      </c>
      <c r="X1691" s="206">
        <f t="shared" si="1042"/>
        <v>0</v>
      </c>
      <c r="Y1691" s="209">
        <f t="shared" si="1043"/>
        <v>0</v>
      </c>
    </row>
    <row r="1692" spans="2:25" ht="15.75" thickBot="1" x14ac:dyDescent="0.3">
      <c r="B1692" s="141">
        <f>B1686</f>
        <v>5</v>
      </c>
      <c r="C1692" s="142">
        <v>35</v>
      </c>
      <c r="D1692" s="194" t="str">
        <f t="shared" si="1026"/>
        <v>VI</v>
      </c>
      <c r="E1692" s="189"/>
      <c r="F1692" s="190"/>
      <c r="G1692" s="190"/>
      <c r="H1692" s="182"/>
      <c r="I1692" s="182"/>
      <c r="J1692" s="436" t="s">
        <v>181</v>
      </c>
      <c r="K1692" s="437"/>
      <c r="L1692" s="438"/>
      <c r="M1692" s="182"/>
      <c r="N1692" s="183">
        <v>10</v>
      </c>
      <c r="O1692" s="184">
        <v>10</v>
      </c>
      <c r="P1692" s="185"/>
      <c r="Q1692" s="186">
        <v>10</v>
      </c>
      <c r="R1692" s="187" t="s">
        <v>4</v>
      </c>
      <c r="S1692" s="188">
        <v>43620</v>
      </c>
      <c r="T1692" s="213">
        <f t="shared" si="1035"/>
        <v>43647</v>
      </c>
      <c r="U1692" s="214">
        <f t="shared" si="1036"/>
        <v>43677</v>
      </c>
      <c r="V1692" s="210">
        <f t="shared" si="1044"/>
        <v>0</v>
      </c>
      <c r="W1692" s="211"/>
      <c r="X1692" s="211">
        <f>IF(AND($V1692&gt;0,$I1692=1),IF($E1692=10,P1692/10,P1692/$V1692),0)</f>
        <v>0</v>
      </c>
      <c r="Y1692" s="212">
        <f>IF(AND($V1686&gt;0,$I1692&lt;&gt;1),Q1692/E1686*V1686,0)</f>
        <v>0</v>
      </c>
    </row>
    <row r="1693" spans="2:25" ht="30.75" thickTop="1" x14ac:dyDescent="0.25">
      <c r="B1693" s="129">
        <f>B1691+1</f>
        <v>6</v>
      </c>
      <c r="C1693" s="130">
        <v>36</v>
      </c>
      <c r="D1693" s="196" t="str">
        <f t="shared" si="1026"/>
        <v>VI</v>
      </c>
      <c r="E1693" s="131">
        <v>10</v>
      </c>
      <c r="F1693" s="132">
        <v>43686</v>
      </c>
      <c r="G1693" s="132">
        <v>43695</v>
      </c>
      <c r="H1693" s="133" t="s">
        <v>358</v>
      </c>
      <c r="I1693" s="133">
        <v>1</v>
      </c>
      <c r="J1693" s="131" t="s">
        <v>168</v>
      </c>
      <c r="K1693" s="134" t="s">
        <v>16</v>
      </c>
      <c r="L1693" s="133">
        <v>1</v>
      </c>
      <c r="M1693" s="133">
        <v>7</v>
      </c>
      <c r="N1693" s="135">
        <v>44</v>
      </c>
      <c r="O1693" s="136">
        <v>44</v>
      </c>
      <c r="P1693" s="137">
        <v>44</v>
      </c>
      <c r="Q1693" s="138"/>
      <c r="R1693" s="139" t="s">
        <v>4</v>
      </c>
      <c r="S1693" s="140">
        <v>43620</v>
      </c>
      <c r="T1693" s="203">
        <f t="shared" si="1035"/>
        <v>43647</v>
      </c>
      <c r="U1693" s="204">
        <f t="shared" si="1036"/>
        <v>43677</v>
      </c>
      <c r="V1693" s="207">
        <f>IF(G1693-F1693+1-IF(G1693-U1693&gt;0,G1693-U1693,0)-IF(T1693-F1693&gt;0,T1693-F1693,0)&gt;0,G1693-F1693+1-IF(G1693-U1693&gt;0,G1693-U1693,0)-IF(T1693-F1693&gt;0,T1693-F1693,0),0)</f>
        <v>0</v>
      </c>
      <c r="W1693" s="206" t="str">
        <f t="shared" ref="W1693:W1698" si="1045">IF(V1693&gt;0,H1693,"")</f>
        <v/>
      </c>
      <c r="X1693" s="206">
        <f t="shared" ref="X1693:X1698" si="1046">IF(AND($V1693&gt;0,$I1693=1),P1693/$E1693*$V1693,0)</f>
        <v>0</v>
      </c>
      <c r="Y1693" s="209">
        <f t="shared" ref="Y1693:Y1698" si="1047">IF(AND($V1693&gt;0,$I1693&lt;&gt;1),Q1693/$E1693*$V1693,0)</f>
        <v>0</v>
      </c>
    </row>
    <row r="1694" spans="2:25" hidden="1" x14ac:dyDescent="0.25">
      <c r="B1694" s="60">
        <f>B1693</f>
        <v>6</v>
      </c>
      <c r="C1694" s="102">
        <v>37</v>
      </c>
      <c r="D1694" s="192" t="str">
        <f t="shared" si="1026"/>
        <v>VI</v>
      </c>
      <c r="E1694" s="62"/>
      <c r="F1694" s="105"/>
      <c r="G1694" s="105"/>
      <c r="H1694" s="61"/>
      <c r="I1694" s="61"/>
      <c r="J1694" s="62"/>
      <c r="K1694" s="63"/>
      <c r="L1694" s="61"/>
      <c r="M1694" s="61"/>
      <c r="N1694" s="111"/>
      <c r="O1694" s="112"/>
      <c r="P1694" s="113"/>
      <c r="Q1694" s="114"/>
      <c r="R1694" s="64"/>
      <c r="S1694" s="108"/>
      <c r="T1694" s="203">
        <f t="shared" si="1035"/>
        <v>43647</v>
      </c>
      <c r="U1694" s="204">
        <f t="shared" si="1036"/>
        <v>43677</v>
      </c>
      <c r="V1694" s="207">
        <f t="shared" ref="V1694:V1699" si="1048">IF(G1694-F1694+1-IF(G1694-U1694&gt;0,G1694-U1694,0)-IF(T1694-F1694&gt;0,T1694-F1694,0)&gt;0,G1694-F1694+1-IF(G1694-U1694&gt;0,G1694-U1694,0)-IF(T1694-F1694&gt;0,T1694-F1694,0),0)</f>
        <v>0</v>
      </c>
      <c r="W1694" s="206" t="str">
        <f t="shared" si="1045"/>
        <v/>
      </c>
      <c r="X1694" s="206">
        <f t="shared" si="1046"/>
        <v>0</v>
      </c>
      <c r="Y1694" s="209">
        <f t="shared" si="1047"/>
        <v>0</v>
      </c>
    </row>
    <row r="1695" spans="2:25" hidden="1" x14ac:dyDescent="0.25">
      <c r="B1695" s="60">
        <f>B1693</f>
        <v>6</v>
      </c>
      <c r="C1695" s="102">
        <v>38</v>
      </c>
      <c r="D1695" s="192" t="str">
        <f t="shared" si="1026"/>
        <v>VI</v>
      </c>
      <c r="E1695" s="62"/>
      <c r="F1695" s="105"/>
      <c r="G1695" s="105"/>
      <c r="H1695" s="61"/>
      <c r="I1695" s="61"/>
      <c r="J1695" s="62"/>
      <c r="K1695" s="63"/>
      <c r="L1695" s="61"/>
      <c r="M1695" s="61"/>
      <c r="N1695" s="111"/>
      <c r="O1695" s="112"/>
      <c r="P1695" s="113"/>
      <c r="Q1695" s="114"/>
      <c r="R1695" s="64"/>
      <c r="S1695" s="108"/>
      <c r="T1695" s="203">
        <f t="shared" si="1035"/>
        <v>43647</v>
      </c>
      <c r="U1695" s="204">
        <f t="shared" si="1036"/>
        <v>43677</v>
      </c>
      <c r="V1695" s="207">
        <f t="shared" si="1048"/>
        <v>0</v>
      </c>
      <c r="W1695" s="206" t="str">
        <f t="shared" si="1045"/>
        <v/>
      </c>
      <c r="X1695" s="206">
        <f t="shared" si="1046"/>
        <v>0</v>
      </c>
      <c r="Y1695" s="209">
        <f t="shared" si="1047"/>
        <v>0</v>
      </c>
    </row>
    <row r="1696" spans="2:25" hidden="1" x14ac:dyDescent="0.25">
      <c r="B1696" s="60">
        <f>B1693</f>
        <v>6</v>
      </c>
      <c r="C1696" s="102">
        <v>39</v>
      </c>
      <c r="D1696" s="192" t="str">
        <f t="shared" si="1026"/>
        <v>VI</v>
      </c>
      <c r="E1696" s="62"/>
      <c r="F1696" s="105"/>
      <c r="G1696" s="105"/>
      <c r="H1696" s="61"/>
      <c r="I1696" s="61"/>
      <c r="J1696" s="62"/>
      <c r="K1696" s="63"/>
      <c r="L1696" s="61"/>
      <c r="M1696" s="61"/>
      <c r="N1696" s="111"/>
      <c r="O1696" s="112"/>
      <c r="P1696" s="113"/>
      <c r="Q1696" s="114"/>
      <c r="R1696" s="64"/>
      <c r="S1696" s="108"/>
      <c r="T1696" s="203">
        <f t="shared" si="1035"/>
        <v>43647</v>
      </c>
      <c r="U1696" s="204">
        <f t="shared" si="1036"/>
        <v>43677</v>
      </c>
      <c r="V1696" s="207">
        <f t="shared" si="1048"/>
        <v>0</v>
      </c>
      <c r="W1696" s="206" t="str">
        <f t="shared" si="1045"/>
        <v/>
      </c>
      <c r="X1696" s="206">
        <f t="shared" si="1046"/>
        <v>0</v>
      </c>
      <c r="Y1696" s="209">
        <f t="shared" si="1047"/>
        <v>0</v>
      </c>
    </row>
    <row r="1697" spans="2:25" hidden="1" x14ac:dyDescent="0.25">
      <c r="B1697" s="60">
        <f>B1693</f>
        <v>6</v>
      </c>
      <c r="C1697" s="102">
        <v>40</v>
      </c>
      <c r="D1697" s="192" t="str">
        <f t="shared" si="1026"/>
        <v>VI</v>
      </c>
      <c r="E1697" s="62"/>
      <c r="F1697" s="105"/>
      <c r="G1697" s="105"/>
      <c r="H1697" s="61"/>
      <c r="I1697" s="61"/>
      <c r="J1697" s="62"/>
      <c r="K1697" s="63"/>
      <c r="L1697" s="61"/>
      <c r="M1697" s="61"/>
      <c r="N1697" s="111"/>
      <c r="O1697" s="112"/>
      <c r="P1697" s="113"/>
      <c r="Q1697" s="114"/>
      <c r="R1697" s="64"/>
      <c r="S1697" s="108"/>
      <c r="T1697" s="203">
        <f t="shared" si="1035"/>
        <v>43647</v>
      </c>
      <c r="U1697" s="204">
        <f t="shared" si="1036"/>
        <v>43677</v>
      </c>
      <c r="V1697" s="207">
        <f t="shared" si="1048"/>
        <v>0</v>
      </c>
      <c r="W1697" s="206" t="str">
        <f t="shared" si="1045"/>
        <v/>
      </c>
      <c r="X1697" s="206">
        <f t="shared" si="1046"/>
        <v>0</v>
      </c>
      <c r="Y1697" s="209">
        <f t="shared" si="1047"/>
        <v>0</v>
      </c>
    </row>
    <row r="1698" spans="2:25" hidden="1" x14ac:dyDescent="0.25">
      <c r="B1698" s="60">
        <f>B1693</f>
        <v>6</v>
      </c>
      <c r="C1698" s="102">
        <v>41</v>
      </c>
      <c r="D1698" s="192" t="str">
        <f t="shared" si="1026"/>
        <v>VI</v>
      </c>
      <c r="E1698" s="62"/>
      <c r="F1698" s="105"/>
      <c r="G1698" s="105"/>
      <c r="H1698" s="61"/>
      <c r="I1698" s="61"/>
      <c r="J1698" s="62"/>
      <c r="K1698" s="63"/>
      <c r="L1698" s="61"/>
      <c r="M1698" s="61"/>
      <c r="N1698" s="111"/>
      <c r="O1698" s="112"/>
      <c r="P1698" s="113"/>
      <c r="Q1698" s="114"/>
      <c r="R1698" s="64"/>
      <c r="S1698" s="108"/>
      <c r="T1698" s="203">
        <f t="shared" si="1035"/>
        <v>43647</v>
      </c>
      <c r="U1698" s="204">
        <f t="shared" si="1036"/>
        <v>43677</v>
      </c>
      <c r="V1698" s="207">
        <f t="shared" si="1048"/>
        <v>0</v>
      </c>
      <c r="W1698" s="206" t="str">
        <f t="shared" si="1045"/>
        <v/>
      </c>
      <c r="X1698" s="206">
        <f t="shared" si="1046"/>
        <v>0</v>
      </c>
      <c r="Y1698" s="209">
        <f t="shared" si="1047"/>
        <v>0</v>
      </c>
    </row>
    <row r="1699" spans="2:25" ht="15.75" thickBot="1" x14ac:dyDescent="0.3">
      <c r="B1699" s="141">
        <f>B1693</f>
        <v>6</v>
      </c>
      <c r="C1699" s="142">
        <v>42</v>
      </c>
      <c r="D1699" s="194" t="str">
        <f t="shared" si="1026"/>
        <v>VI</v>
      </c>
      <c r="E1699" s="143"/>
      <c r="F1699" s="144"/>
      <c r="G1699" s="144"/>
      <c r="H1699" s="145"/>
      <c r="I1699" s="145"/>
      <c r="J1699" s="436" t="s">
        <v>181</v>
      </c>
      <c r="K1699" s="437"/>
      <c r="L1699" s="438"/>
      <c r="M1699" s="145"/>
      <c r="N1699" s="146">
        <v>10</v>
      </c>
      <c r="O1699" s="147">
        <v>10</v>
      </c>
      <c r="P1699" s="148"/>
      <c r="Q1699" s="149">
        <v>10</v>
      </c>
      <c r="R1699" s="150" t="s">
        <v>4</v>
      </c>
      <c r="S1699" s="151">
        <v>43620</v>
      </c>
      <c r="T1699" s="213">
        <f t="shared" si="1035"/>
        <v>43647</v>
      </c>
      <c r="U1699" s="214">
        <f t="shared" si="1036"/>
        <v>43677</v>
      </c>
      <c r="V1699" s="210">
        <f t="shared" si="1048"/>
        <v>0</v>
      </c>
      <c r="W1699" s="211"/>
      <c r="X1699" s="211">
        <f>IF(AND($V1699&gt;0,$I1699=1),IF($E1699=10,P1699/10,P1699/$V1699),0)</f>
        <v>0</v>
      </c>
      <c r="Y1699" s="212">
        <f>IF(AND($V1693&gt;0,$I1699&lt;&gt;1),Q1699/E1693*V1693,0)</f>
        <v>0</v>
      </c>
    </row>
    <row r="1700" spans="2:25" ht="16.5" hidden="1" thickTop="1" thickBot="1" x14ac:dyDescent="0.3">
      <c r="B1700" s="129">
        <f>B1698+1</f>
        <v>7</v>
      </c>
      <c r="C1700" s="130">
        <v>43</v>
      </c>
      <c r="D1700" s="196" t="str">
        <f t="shared" si="1026"/>
        <v>VI</v>
      </c>
      <c r="E1700" s="152"/>
      <c r="F1700" s="153"/>
      <c r="G1700" s="153"/>
      <c r="H1700" s="154"/>
      <c r="I1700" s="154"/>
      <c r="J1700" s="152"/>
      <c r="K1700" s="155"/>
      <c r="L1700" s="154"/>
      <c r="M1700" s="154"/>
      <c r="N1700" s="156"/>
      <c r="O1700" s="157"/>
      <c r="P1700" s="158"/>
      <c r="Q1700" s="159"/>
      <c r="R1700" s="160"/>
      <c r="S1700" s="161"/>
      <c r="T1700" s="203">
        <f t="shared" si="1035"/>
        <v>43647</v>
      </c>
      <c r="U1700" s="204">
        <f t="shared" si="1036"/>
        <v>43677</v>
      </c>
      <c r="V1700" s="207">
        <f>IF(G1700-F1700+1-IF(G1700-U1700&gt;0,G1700-U1700,0)-IF(T1700-F1700&gt;0,T1700-F1700,0)&gt;0,G1700-F1700+1-IF(G1700-U1700&gt;0,G1700-U1700,0)-IF(T1700-F1700&gt;0,T1700-F1700,0),0)</f>
        <v>0</v>
      </c>
      <c r="W1700" s="206" t="str">
        <f t="shared" ref="W1700:W1705" si="1049">IF(V1700&gt;0,H1700,"")</f>
        <v/>
      </c>
      <c r="X1700" s="206">
        <f t="shared" ref="X1700:X1705" si="1050">IF(AND($V1700&gt;0,$I1700=1),P1700/$E1700*$V1700,0)</f>
        <v>0</v>
      </c>
      <c r="Y1700" s="209">
        <f t="shared" ref="Y1700:Y1705" si="1051">IF(AND($V1700&gt;0,$I1700&lt;&gt;1),Q1700/$E1700*$V1700,0)</f>
        <v>0</v>
      </c>
    </row>
    <row r="1701" spans="2:25" ht="16.5" hidden="1" thickTop="1" thickBot="1" x14ac:dyDescent="0.3">
      <c r="B1701" s="60">
        <f>B1700</f>
        <v>7</v>
      </c>
      <c r="C1701" s="102">
        <v>44</v>
      </c>
      <c r="D1701" s="192" t="str">
        <f t="shared" si="1026"/>
        <v>VI</v>
      </c>
      <c r="E1701" s="162"/>
      <c r="F1701" s="163"/>
      <c r="G1701" s="163"/>
      <c r="H1701" s="164"/>
      <c r="I1701" s="164"/>
      <c r="J1701" s="162"/>
      <c r="K1701" s="165"/>
      <c r="L1701" s="164"/>
      <c r="M1701" s="164"/>
      <c r="N1701" s="166"/>
      <c r="O1701" s="167"/>
      <c r="P1701" s="168"/>
      <c r="Q1701" s="169"/>
      <c r="R1701" s="170"/>
      <c r="S1701" s="171"/>
      <c r="T1701" s="203">
        <f t="shared" si="1035"/>
        <v>43647</v>
      </c>
      <c r="U1701" s="204">
        <f t="shared" si="1036"/>
        <v>43677</v>
      </c>
      <c r="V1701" s="207">
        <f t="shared" ref="V1701:V1706" si="1052">IF(G1701-F1701+1-IF(G1701-U1701&gt;0,G1701-U1701,0)-IF(T1701-F1701&gt;0,T1701-F1701,0)&gt;0,G1701-F1701+1-IF(G1701-U1701&gt;0,G1701-U1701,0)-IF(T1701-F1701&gt;0,T1701-F1701,0),0)</f>
        <v>0</v>
      </c>
      <c r="W1701" s="206" t="str">
        <f t="shared" si="1049"/>
        <v/>
      </c>
      <c r="X1701" s="206">
        <f t="shared" si="1050"/>
        <v>0</v>
      </c>
      <c r="Y1701" s="209">
        <f t="shared" si="1051"/>
        <v>0</v>
      </c>
    </row>
    <row r="1702" spans="2:25" ht="16.5" hidden="1" thickTop="1" thickBot="1" x14ac:dyDescent="0.3">
      <c r="B1702" s="60">
        <f>B1700</f>
        <v>7</v>
      </c>
      <c r="C1702" s="102">
        <v>45</v>
      </c>
      <c r="D1702" s="192" t="str">
        <f t="shared" si="1026"/>
        <v>VI</v>
      </c>
      <c r="E1702" s="162"/>
      <c r="F1702" s="163"/>
      <c r="G1702" s="163"/>
      <c r="H1702" s="164"/>
      <c r="I1702" s="164"/>
      <c r="J1702" s="162"/>
      <c r="K1702" s="165"/>
      <c r="L1702" s="164"/>
      <c r="M1702" s="164"/>
      <c r="N1702" s="166"/>
      <c r="O1702" s="167"/>
      <c r="P1702" s="168"/>
      <c r="Q1702" s="169"/>
      <c r="R1702" s="170"/>
      <c r="S1702" s="171"/>
      <c r="T1702" s="203">
        <f t="shared" si="1035"/>
        <v>43647</v>
      </c>
      <c r="U1702" s="204">
        <f t="shared" si="1036"/>
        <v>43677</v>
      </c>
      <c r="V1702" s="207">
        <f t="shared" si="1052"/>
        <v>0</v>
      </c>
      <c r="W1702" s="206" t="str">
        <f t="shared" si="1049"/>
        <v/>
      </c>
      <c r="X1702" s="206">
        <f t="shared" si="1050"/>
        <v>0</v>
      </c>
      <c r="Y1702" s="209">
        <f t="shared" si="1051"/>
        <v>0</v>
      </c>
    </row>
    <row r="1703" spans="2:25" ht="16.5" hidden="1" thickTop="1" thickBot="1" x14ac:dyDescent="0.3">
      <c r="B1703" s="60">
        <f>B1700</f>
        <v>7</v>
      </c>
      <c r="C1703" s="102">
        <v>46</v>
      </c>
      <c r="D1703" s="192" t="str">
        <f t="shared" si="1026"/>
        <v>VI</v>
      </c>
      <c r="E1703" s="162"/>
      <c r="F1703" s="163"/>
      <c r="G1703" s="163"/>
      <c r="H1703" s="164"/>
      <c r="I1703" s="164"/>
      <c r="J1703" s="162"/>
      <c r="K1703" s="165"/>
      <c r="L1703" s="164"/>
      <c r="M1703" s="164"/>
      <c r="N1703" s="166"/>
      <c r="O1703" s="167"/>
      <c r="P1703" s="168"/>
      <c r="Q1703" s="169"/>
      <c r="R1703" s="170"/>
      <c r="S1703" s="171"/>
      <c r="T1703" s="203">
        <f t="shared" si="1035"/>
        <v>43647</v>
      </c>
      <c r="U1703" s="204">
        <f t="shared" si="1036"/>
        <v>43677</v>
      </c>
      <c r="V1703" s="207">
        <f t="shared" si="1052"/>
        <v>0</v>
      </c>
      <c r="W1703" s="206" t="str">
        <f t="shared" si="1049"/>
        <v/>
      </c>
      <c r="X1703" s="206">
        <f t="shared" si="1050"/>
        <v>0</v>
      </c>
      <c r="Y1703" s="209">
        <f t="shared" si="1051"/>
        <v>0</v>
      </c>
    </row>
    <row r="1704" spans="2:25" ht="16.5" hidden="1" thickTop="1" thickBot="1" x14ac:dyDescent="0.3">
      <c r="B1704" s="60">
        <f>B1700</f>
        <v>7</v>
      </c>
      <c r="C1704" s="102">
        <v>47</v>
      </c>
      <c r="D1704" s="192" t="str">
        <f t="shared" si="1026"/>
        <v>VI</v>
      </c>
      <c r="E1704" s="162"/>
      <c r="F1704" s="163"/>
      <c r="G1704" s="163"/>
      <c r="H1704" s="164"/>
      <c r="I1704" s="164"/>
      <c r="J1704" s="162"/>
      <c r="K1704" s="165"/>
      <c r="L1704" s="164"/>
      <c r="M1704" s="164"/>
      <c r="N1704" s="166"/>
      <c r="O1704" s="167"/>
      <c r="P1704" s="168"/>
      <c r="Q1704" s="169"/>
      <c r="R1704" s="170"/>
      <c r="S1704" s="171"/>
      <c r="T1704" s="203">
        <f t="shared" si="1035"/>
        <v>43647</v>
      </c>
      <c r="U1704" s="204">
        <f t="shared" si="1036"/>
        <v>43677</v>
      </c>
      <c r="V1704" s="207">
        <f t="shared" si="1052"/>
        <v>0</v>
      </c>
      <c r="W1704" s="206" t="str">
        <f t="shared" si="1049"/>
        <v/>
      </c>
      <c r="X1704" s="206">
        <f t="shared" si="1050"/>
        <v>0</v>
      </c>
      <c r="Y1704" s="209">
        <f t="shared" si="1051"/>
        <v>0</v>
      </c>
    </row>
    <row r="1705" spans="2:25" ht="16.5" hidden="1" thickTop="1" thickBot="1" x14ac:dyDescent="0.3">
      <c r="B1705" s="60">
        <f>B1700</f>
        <v>7</v>
      </c>
      <c r="C1705" s="102">
        <v>48</v>
      </c>
      <c r="D1705" s="192" t="str">
        <f t="shared" si="1026"/>
        <v>VI</v>
      </c>
      <c r="E1705" s="172"/>
      <c r="F1705" s="173"/>
      <c r="G1705" s="173"/>
      <c r="H1705" s="174"/>
      <c r="I1705" s="174"/>
      <c r="J1705" s="172"/>
      <c r="K1705" s="175"/>
      <c r="L1705" s="174"/>
      <c r="M1705" s="174"/>
      <c r="N1705" s="176"/>
      <c r="O1705" s="177"/>
      <c r="P1705" s="178"/>
      <c r="Q1705" s="179"/>
      <c r="R1705" s="180"/>
      <c r="S1705" s="181"/>
      <c r="T1705" s="203">
        <f t="shared" si="1035"/>
        <v>43647</v>
      </c>
      <c r="U1705" s="204">
        <f t="shared" si="1036"/>
        <v>43677</v>
      </c>
      <c r="V1705" s="207">
        <f t="shared" si="1052"/>
        <v>0</v>
      </c>
      <c r="W1705" s="206" t="str">
        <f t="shared" si="1049"/>
        <v/>
      </c>
      <c r="X1705" s="206">
        <f t="shared" si="1050"/>
        <v>0</v>
      </c>
      <c r="Y1705" s="209">
        <f t="shared" si="1051"/>
        <v>0</v>
      </c>
    </row>
    <row r="1706" spans="2:25" ht="16.5" hidden="1" thickTop="1" thickBot="1" x14ac:dyDescent="0.3">
      <c r="B1706" s="141">
        <f>B1700</f>
        <v>7</v>
      </c>
      <c r="C1706" s="142">
        <v>49</v>
      </c>
      <c r="D1706" s="194" t="str">
        <f t="shared" si="1026"/>
        <v>VI</v>
      </c>
      <c r="E1706" s="189"/>
      <c r="F1706" s="190"/>
      <c r="G1706" s="190"/>
      <c r="H1706" s="182"/>
      <c r="I1706" s="182"/>
      <c r="J1706" s="436" t="s">
        <v>181</v>
      </c>
      <c r="K1706" s="437"/>
      <c r="L1706" s="438"/>
      <c r="M1706" s="182"/>
      <c r="N1706" s="183"/>
      <c r="O1706" s="184"/>
      <c r="P1706" s="185"/>
      <c r="Q1706" s="186"/>
      <c r="R1706" s="187"/>
      <c r="S1706" s="188"/>
      <c r="T1706" s="213">
        <f t="shared" si="1035"/>
        <v>43647</v>
      </c>
      <c r="U1706" s="214">
        <f t="shared" si="1036"/>
        <v>43677</v>
      </c>
      <c r="V1706" s="210">
        <f t="shared" si="1052"/>
        <v>0</v>
      </c>
      <c r="W1706" s="211"/>
      <c r="X1706" s="211">
        <f>IF(AND($V1706&gt;0,$I1706=1),IF($E1706=10,P1706/10,P1706/$V1706),0)</f>
        <v>0</v>
      </c>
      <c r="Y1706" s="212">
        <f>IF(AND($V1700&gt;0,$I1706&lt;&gt;1),Q1706/E1700*V1700,0)</f>
        <v>0</v>
      </c>
    </row>
    <row r="1707" spans="2:25" ht="15.75" thickTop="1" x14ac:dyDescent="0.25">
      <c r="B1707" s="129">
        <f>B1705+1</f>
        <v>8</v>
      </c>
      <c r="C1707" s="130">
        <v>50</v>
      </c>
      <c r="D1707" s="196" t="str">
        <f t="shared" si="1026"/>
        <v>VI</v>
      </c>
      <c r="E1707" s="131">
        <v>10</v>
      </c>
      <c r="F1707" s="132">
        <v>43686</v>
      </c>
      <c r="G1707" s="132">
        <v>43695</v>
      </c>
      <c r="H1707" s="133" t="s">
        <v>393</v>
      </c>
      <c r="I1707" s="133">
        <v>6</v>
      </c>
      <c r="J1707" s="131" t="s">
        <v>166</v>
      </c>
      <c r="K1707" s="134" t="s">
        <v>16</v>
      </c>
      <c r="L1707" s="133">
        <v>1</v>
      </c>
      <c r="M1707" s="133">
        <v>7</v>
      </c>
      <c r="N1707" s="135">
        <v>120</v>
      </c>
      <c r="O1707" s="136">
        <v>120</v>
      </c>
      <c r="P1707" s="137"/>
      <c r="Q1707" s="138">
        <v>120</v>
      </c>
      <c r="R1707" s="139"/>
      <c r="S1707" s="140"/>
      <c r="T1707" s="203">
        <f t="shared" si="1035"/>
        <v>43647</v>
      </c>
      <c r="U1707" s="204">
        <f t="shared" si="1036"/>
        <v>43677</v>
      </c>
      <c r="V1707" s="207">
        <f>IF(G1707-F1707+1-IF(G1707-U1707&gt;0,G1707-U1707,0)-IF(T1707-F1707&gt;0,T1707-F1707,0)&gt;0,G1707-F1707+1-IF(G1707-U1707&gt;0,G1707-U1707,0)-IF(T1707-F1707&gt;0,T1707-F1707,0),0)</f>
        <v>0</v>
      </c>
      <c r="W1707" s="206" t="str">
        <f t="shared" ref="W1707:W1712" si="1053">IF(V1707&gt;0,H1707,"")</f>
        <v/>
      </c>
      <c r="X1707" s="206">
        <f t="shared" ref="X1707:X1712" si="1054">IF(AND($V1707&gt;0,$I1707=1),P1707/$E1707*$V1707,0)</f>
        <v>0</v>
      </c>
      <c r="Y1707" s="209">
        <f t="shared" ref="Y1707:Y1712" si="1055">IF(AND($V1707&gt;0,$I1707&lt;&gt;1),Q1707/$E1707*$V1707,0)</f>
        <v>0</v>
      </c>
    </row>
    <row r="1708" spans="2:25" hidden="1" x14ac:dyDescent="0.25">
      <c r="B1708" s="60">
        <f>B1707</f>
        <v>8</v>
      </c>
      <c r="C1708" s="102">
        <v>51</v>
      </c>
      <c r="D1708" s="192" t="str">
        <f t="shared" si="1026"/>
        <v>VI</v>
      </c>
      <c r="E1708" s="62"/>
      <c r="F1708" s="105"/>
      <c r="G1708" s="105"/>
      <c r="H1708" s="61"/>
      <c r="I1708" s="61"/>
      <c r="J1708" s="62"/>
      <c r="K1708" s="63"/>
      <c r="L1708" s="61"/>
      <c r="M1708" s="61"/>
      <c r="N1708" s="111"/>
      <c r="O1708" s="112"/>
      <c r="P1708" s="113"/>
      <c r="Q1708" s="114"/>
      <c r="R1708" s="64"/>
      <c r="S1708" s="108"/>
      <c r="T1708" s="203">
        <f t="shared" si="1035"/>
        <v>43647</v>
      </c>
      <c r="U1708" s="204">
        <f t="shared" si="1036"/>
        <v>43677</v>
      </c>
      <c r="V1708" s="207">
        <f t="shared" ref="V1708:V1713" si="1056">IF(G1708-F1708+1-IF(G1708-U1708&gt;0,G1708-U1708,0)-IF(T1708-F1708&gt;0,T1708-F1708,0)&gt;0,G1708-F1708+1-IF(G1708-U1708&gt;0,G1708-U1708,0)-IF(T1708-F1708&gt;0,T1708-F1708,0),0)</f>
        <v>0</v>
      </c>
      <c r="W1708" s="206" t="str">
        <f t="shared" si="1053"/>
        <v/>
      </c>
      <c r="X1708" s="206">
        <f t="shared" si="1054"/>
        <v>0</v>
      </c>
      <c r="Y1708" s="209">
        <f t="shared" si="1055"/>
        <v>0</v>
      </c>
    </row>
    <row r="1709" spans="2:25" hidden="1" x14ac:dyDescent="0.25">
      <c r="B1709" s="60">
        <f>B1707</f>
        <v>8</v>
      </c>
      <c r="C1709" s="102">
        <v>52</v>
      </c>
      <c r="D1709" s="192" t="str">
        <f t="shared" si="1026"/>
        <v>VI</v>
      </c>
      <c r="E1709" s="62"/>
      <c r="F1709" s="105"/>
      <c r="G1709" s="105"/>
      <c r="H1709" s="61"/>
      <c r="I1709" s="61"/>
      <c r="J1709" s="62"/>
      <c r="K1709" s="63"/>
      <c r="L1709" s="61"/>
      <c r="M1709" s="61"/>
      <c r="N1709" s="111"/>
      <c r="O1709" s="112"/>
      <c r="P1709" s="113"/>
      <c r="Q1709" s="114"/>
      <c r="R1709" s="64"/>
      <c r="S1709" s="108"/>
      <c r="T1709" s="203">
        <f t="shared" si="1035"/>
        <v>43647</v>
      </c>
      <c r="U1709" s="204">
        <f t="shared" si="1036"/>
        <v>43677</v>
      </c>
      <c r="V1709" s="207">
        <f t="shared" si="1056"/>
        <v>0</v>
      </c>
      <c r="W1709" s="206" t="str">
        <f t="shared" si="1053"/>
        <v/>
      </c>
      <c r="X1709" s="206">
        <f t="shared" si="1054"/>
        <v>0</v>
      </c>
      <c r="Y1709" s="209">
        <f t="shared" si="1055"/>
        <v>0</v>
      </c>
    </row>
    <row r="1710" spans="2:25" hidden="1" x14ac:dyDescent="0.25">
      <c r="B1710" s="60">
        <f>B1707</f>
        <v>8</v>
      </c>
      <c r="C1710" s="102">
        <v>53</v>
      </c>
      <c r="D1710" s="192" t="str">
        <f t="shared" si="1026"/>
        <v>VI</v>
      </c>
      <c r="E1710" s="62"/>
      <c r="F1710" s="105"/>
      <c r="G1710" s="105"/>
      <c r="H1710" s="61"/>
      <c r="I1710" s="61"/>
      <c r="J1710" s="62"/>
      <c r="K1710" s="63"/>
      <c r="L1710" s="61"/>
      <c r="M1710" s="61"/>
      <c r="N1710" s="111"/>
      <c r="O1710" s="112"/>
      <c r="P1710" s="113"/>
      <c r="Q1710" s="114"/>
      <c r="R1710" s="64"/>
      <c r="S1710" s="108"/>
      <c r="T1710" s="203">
        <f t="shared" si="1035"/>
        <v>43647</v>
      </c>
      <c r="U1710" s="204">
        <f t="shared" si="1036"/>
        <v>43677</v>
      </c>
      <c r="V1710" s="207">
        <f t="shared" si="1056"/>
        <v>0</v>
      </c>
      <c r="W1710" s="206" t="str">
        <f t="shared" si="1053"/>
        <v/>
      </c>
      <c r="X1710" s="206">
        <f t="shared" si="1054"/>
        <v>0</v>
      </c>
      <c r="Y1710" s="209">
        <f t="shared" si="1055"/>
        <v>0</v>
      </c>
    </row>
    <row r="1711" spans="2:25" hidden="1" x14ac:dyDescent="0.25">
      <c r="B1711" s="60">
        <f>B1707</f>
        <v>8</v>
      </c>
      <c r="C1711" s="102">
        <v>54</v>
      </c>
      <c r="D1711" s="192" t="str">
        <f t="shared" si="1026"/>
        <v>VI</v>
      </c>
      <c r="E1711" s="62"/>
      <c r="F1711" s="105"/>
      <c r="G1711" s="105"/>
      <c r="H1711" s="61"/>
      <c r="I1711" s="61"/>
      <c r="J1711" s="62"/>
      <c r="K1711" s="63"/>
      <c r="L1711" s="61"/>
      <c r="M1711" s="61"/>
      <c r="N1711" s="111"/>
      <c r="O1711" s="112"/>
      <c r="P1711" s="113"/>
      <c r="Q1711" s="114"/>
      <c r="R1711" s="64"/>
      <c r="S1711" s="108"/>
      <c r="T1711" s="203">
        <f t="shared" si="1035"/>
        <v>43647</v>
      </c>
      <c r="U1711" s="204">
        <f t="shared" si="1036"/>
        <v>43677</v>
      </c>
      <c r="V1711" s="207">
        <f t="shared" si="1056"/>
        <v>0</v>
      </c>
      <c r="W1711" s="206" t="str">
        <f t="shared" si="1053"/>
        <v/>
      </c>
      <c r="X1711" s="206">
        <f t="shared" si="1054"/>
        <v>0</v>
      </c>
      <c r="Y1711" s="209">
        <f t="shared" si="1055"/>
        <v>0</v>
      </c>
    </row>
    <row r="1712" spans="2:25" hidden="1" x14ac:dyDescent="0.25">
      <c r="B1712" s="60">
        <f>B1707</f>
        <v>8</v>
      </c>
      <c r="C1712" s="102">
        <v>55</v>
      </c>
      <c r="D1712" s="192" t="str">
        <f t="shared" si="1026"/>
        <v>VI</v>
      </c>
      <c r="E1712" s="62"/>
      <c r="F1712" s="105"/>
      <c r="G1712" s="105"/>
      <c r="H1712" s="61"/>
      <c r="I1712" s="61"/>
      <c r="J1712" s="62"/>
      <c r="K1712" s="63"/>
      <c r="L1712" s="61"/>
      <c r="M1712" s="61"/>
      <c r="N1712" s="111"/>
      <c r="O1712" s="112"/>
      <c r="P1712" s="113"/>
      <c r="Q1712" s="114"/>
      <c r="R1712" s="64"/>
      <c r="S1712" s="108"/>
      <c r="T1712" s="203">
        <f t="shared" si="1035"/>
        <v>43647</v>
      </c>
      <c r="U1712" s="204">
        <f t="shared" si="1036"/>
        <v>43677</v>
      </c>
      <c r="V1712" s="207">
        <f t="shared" si="1056"/>
        <v>0</v>
      </c>
      <c r="W1712" s="206" t="str">
        <f t="shared" si="1053"/>
        <v/>
      </c>
      <c r="X1712" s="206">
        <f t="shared" si="1054"/>
        <v>0</v>
      </c>
      <c r="Y1712" s="209">
        <f t="shared" si="1055"/>
        <v>0</v>
      </c>
    </row>
    <row r="1713" spans="2:25" ht="15.75" thickBot="1" x14ac:dyDescent="0.3">
      <c r="B1713" s="141">
        <f>B1707</f>
        <v>8</v>
      </c>
      <c r="C1713" s="142">
        <v>56</v>
      </c>
      <c r="D1713" s="194" t="str">
        <f t="shared" si="1026"/>
        <v>VI</v>
      </c>
      <c r="E1713" s="143"/>
      <c r="F1713" s="144"/>
      <c r="G1713" s="144"/>
      <c r="H1713" s="145"/>
      <c r="I1713" s="145"/>
      <c r="J1713" s="436" t="s">
        <v>181</v>
      </c>
      <c r="K1713" s="437"/>
      <c r="L1713" s="438"/>
      <c r="M1713" s="145"/>
      <c r="N1713" s="146">
        <v>10</v>
      </c>
      <c r="O1713" s="147">
        <v>10</v>
      </c>
      <c r="P1713" s="148"/>
      <c r="Q1713" s="149">
        <v>10</v>
      </c>
      <c r="R1713" s="150"/>
      <c r="S1713" s="151"/>
      <c r="T1713" s="213">
        <f t="shared" si="1035"/>
        <v>43647</v>
      </c>
      <c r="U1713" s="214">
        <f t="shared" si="1036"/>
        <v>43677</v>
      </c>
      <c r="V1713" s="210">
        <f t="shared" si="1056"/>
        <v>0</v>
      </c>
      <c r="W1713" s="211"/>
      <c r="X1713" s="211">
        <f>IF(AND($V1713&gt;0,$I1713=1),IF($E1713=10,P1713/10,P1713/$V1713),0)</f>
        <v>0</v>
      </c>
      <c r="Y1713" s="212">
        <f>IF(AND($V1707&gt;0,$I1713&lt;&gt;1),Q1713/E1707*V1707,0)</f>
        <v>0</v>
      </c>
    </row>
    <row r="1714" spans="2:25" ht="16.5" hidden="1" thickTop="1" thickBot="1" x14ac:dyDescent="0.3">
      <c r="B1714" s="129">
        <f>B1712+1</f>
        <v>9</v>
      </c>
      <c r="C1714" s="130">
        <v>57</v>
      </c>
      <c r="D1714" s="196" t="str">
        <f t="shared" si="1026"/>
        <v>VI</v>
      </c>
      <c r="E1714" s="152"/>
      <c r="F1714" s="153"/>
      <c r="G1714" s="153"/>
      <c r="H1714" s="154"/>
      <c r="I1714" s="154"/>
      <c r="J1714" s="152"/>
      <c r="K1714" s="155"/>
      <c r="L1714" s="154"/>
      <c r="M1714" s="154"/>
      <c r="N1714" s="156"/>
      <c r="O1714" s="157"/>
      <c r="P1714" s="158"/>
      <c r="Q1714" s="159"/>
      <c r="R1714" s="160"/>
      <c r="S1714" s="161"/>
      <c r="T1714" s="203">
        <f t="shared" si="1035"/>
        <v>43647</v>
      </c>
      <c r="U1714" s="204">
        <f t="shared" si="1036"/>
        <v>43677</v>
      </c>
      <c r="V1714" s="207">
        <f>IF(G1714-F1714+1-IF(G1714-U1714&gt;0,G1714-U1714,0)-IF(T1714-F1714&gt;0,T1714-F1714,0)&gt;0,G1714-F1714+1-IF(G1714-U1714&gt;0,G1714-U1714,0)-IF(T1714-F1714&gt;0,T1714-F1714,0),0)</f>
        <v>0</v>
      </c>
      <c r="W1714" s="206" t="str">
        <f t="shared" ref="W1714:W1719" si="1057">IF(V1714&gt;0,H1714,"")</f>
        <v/>
      </c>
      <c r="X1714" s="206">
        <f t="shared" ref="X1714:X1719" si="1058">IF(AND($V1714&gt;0,$I1714=1),P1714/$E1714*$V1714,0)</f>
        <v>0</v>
      </c>
      <c r="Y1714" s="209">
        <f t="shared" ref="Y1714:Y1719" si="1059">IF(AND($V1714&gt;0,$I1714&lt;&gt;1),Q1714/$E1714*$V1714,0)</f>
        <v>0</v>
      </c>
    </row>
    <row r="1715" spans="2:25" ht="16.5" hidden="1" thickTop="1" thickBot="1" x14ac:dyDescent="0.3">
      <c r="B1715" s="60">
        <f>B1714</f>
        <v>9</v>
      </c>
      <c r="C1715" s="102">
        <v>58</v>
      </c>
      <c r="D1715" s="192" t="str">
        <f t="shared" si="1026"/>
        <v>VI</v>
      </c>
      <c r="E1715" s="162"/>
      <c r="F1715" s="163"/>
      <c r="G1715" s="163"/>
      <c r="H1715" s="164"/>
      <c r="I1715" s="164"/>
      <c r="J1715" s="162"/>
      <c r="K1715" s="165"/>
      <c r="L1715" s="164"/>
      <c r="M1715" s="164"/>
      <c r="N1715" s="166"/>
      <c r="O1715" s="167"/>
      <c r="P1715" s="168"/>
      <c r="Q1715" s="169"/>
      <c r="R1715" s="170"/>
      <c r="S1715" s="171"/>
      <c r="T1715" s="203">
        <f t="shared" si="1035"/>
        <v>43647</v>
      </c>
      <c r="U1715" s="204">
        <f t="shared" si="1036"/>
        <v>43677</v>
      </c>
      <c r="V1715" s="207">
        <f t="shared" ref="V1715:V1720" si="1060">IF(G1715-F1715+1-IF(G1715-U1715&gt;0,G1715-U1715,0)-IF(T1715-F1715&gt;0,T1715-F1715,0)&gt;0,G1715-F1715+1-IF(G1715-U1715&gt;0,G1715-U1715,0)-IF(T1715-F1715&gt;0,T1715-F1715,0),0)</f>
        <v>0</v>
      </c>
      <c r="W1715" s="206" t="str">
        <f t="shared" si="1057"/>
        <v/>
      </c>
      <c r="X1715" s="206">
        <f t="shared" si="1058"/>
        <v>0</v>
      </c>
      <c r="Y1715" s="209">
        <f t="shared" si="1059"/>
        <v>0</v>
      </c>
    </row>
    <row r="1716" spans="2:25" ht="16.5" hidden="1" thickTop="1" thickBot="1" x14ac:dyDescent="0.3">
      <c r="B1716" s="60">
        <f>B1714</f>
        <v>9</v>
      </c>
      <c r="C1716" s="102">
        <v>59</v>
      </c>
      <c r="D1716" s="192" t="str">
        <f t="shared" si="1026"/>
        <v>VI</v>
      </c>
      <c r="E1716" s="162"/>
      <c r="F1716" s="163"/>
      <c r="G1716" s="163"/>
      <c r="H1716" s="164"/>
      <c r="I1716" s="164"/>
      <c r="J1716" s="162"/>
      <c r="K1716" s="165"/>
      <c r="L1716" s="164"/>
      <c r="M1716" s="164"/>
      <c r="N1716" s="166"/>
      <c r="O1716" s="167"/>
      <c r="P1716" s="168"/>
      <c r="Q1716" s="169"/>
      <c r="R1716" s="170"/>
      <c r="S1716" s="171"/>
      <c r="T1716" s="203">
        <f t="shared" si="1035"/>
        <v>43647</v>
      </c>
      <c r="U1716" s="204">
        <f t="shared" si="1036"/>
        <v>43677</v>
      </c>
      <c r="V1716" s="207">
        <f t="shared" si="1060"/>
        <v>0</v>
      </c>
      <c r="W1716" s="206" t="str">
        <f t="shared" si="1057"/>
        <v/>
      </c>
      <c r="X1716" s="206">
        <f t="shared" si="1058"/>
        <v>0</v>
      </c>
      <c r="Y1716" s="209">
        <f t="shared" si="1059"/>
        <v>0</v>
      </c>
    </row>
    <row r="1717" spans="2:25" ht="16.5" hidden="1" thickTop="1" thickBot="1" x14ac:dyDescent="0.3">
      <c r="B1717" s="60">
        <f>B1714</f>
        <v>9</v>
      </c>
      <c r="C1717" s="102">
        <v>60</v>
      </c>
      <c r="D1717" s="192" t="str">
        <f t="shared" si="1026"/>
        <v>VI</v>
      </c>
      <c r="E1717" s="162"/>
      <c r="F1717" s="163"/>
      <c r="G1717" s="163"/>
      <c r="H1717" s="164"/>
      <c r="I1717" s="164"/>
      <c r="J1717" s="162"/>
      <c r="K1717" s="165"/>
      <c r="L1717" s="164"/>
      <c r="M1717" s="164"/>
      <c r="N1717" s="166"/>
      <c r="O1717" s="167"/>
      <c r="P1717" s="168"/>
      <c r="Q1717" s="169"/>
      <c r="R1717" s="170"/>
      <c r="S1717" s="171"/>
      <c r="T1717" s="203">
        <f t="shared" si="1035"/>
        <v>43647</v>
      </c>
      <c r="U1717" s="204">
        <f t="shared" si="1036"/>
        <v>43677</v>
      </c>
      <c r="V1717" s="207">
        <f t="shared" si="1060"/>
        <v>0</v>
      </c>
      <c r="W1717" s="206" t="str">
        <f t="shared" si="1057"/>
        <v/>
      </c>
      <c r="X1717" s="206">
        <f t="shared" si="1058"/>
        <v>0</v>
      </c>
      <c r="Y1717" s="209">
        <f t="shared" si="1059"/>
        <v>0</v>
      </c>
    </row>
    <row r="1718" spans="2:25" ht="16.5" hidden="1" thickTop="1" thickBot="1" x14ac:dyDescent="0.3">
      <c r="B1718" s="60">
        <f>B1714</f>
        <v>9</v>
      </c>
      <c r="C1718" s="102">
        <v>61</v>
      </c>
      <c r="D1718" s="192" t="str">
        <f t="shared" si="1026"/>
        <v>VI</v>
      </c>
      <c r="E1718" s="162"/>
      <c r="F1718" s="163"/>
      <c r="G1718" s="163"/>
      <c r="H1718" s="164"/>
      <c r="I1718" s="164"/>
      <c r="J1718" s="162"/>
      <c r="K1718" s="165"/>
      <c r="L1718" s="164"/>
      <c r="M1718" s="164"/>
      <c r="N1718" s="166"/>
      <c r="O1718" s="167"/>
      <c r="P1718" s="168"/>
      <c r="Q1718" s="169"/>
      <c r="R1718" s="170"/>
      <c r="S1718" s="171"/>
      <c r="T1718" s="203">
        <f t="shared" si="1035"/>
        <v>43647</v>
      </c>
      <c r="U1718" s="204">
        <f t="shared" si="1036"/>
        <v>43677</v>
      </c>
      <c r="V1718" s="207">
        <f t="shared" si="1060"/>
        <v>0</v>
      </c>
      <c r="W1718" s="206" t="str">
        <f t="shared" si="1057"/>
        <v/>
      </c>
      <c r="X1718" s="206">
        <f t="shared" si="1058"/>
        <v>0</v>
      </c>
      <c r="Y1718" s="209">
        <f t="shared" si="1059"/>
        <v>0</v>
      </c>
    </row>
    <row r="1719" spans="2:25" ht="16.5" hidden="1" thickTop="1" thickBot="1" x14ac:dyDescent="0.3">
      <c r="B1719" s="60">
        <f>B1714</f>
        <v>9</v>
      </c>
      <c r="C1719" s="102">
        <v>62</v>
      </c>
      <c r="D1719" s="192" t="str">
        <f t="shared" si="1026"/>
        <v>VI</v>
      </c>
      <c r="E1719" s="172"/>
      <c r="F1719" s="173"/>
      <c r="G1719" s="173"/>
      <c r="H1719" s="174"/>
      <c r="I1719" s="174"/>
      <c r="J1719" s="172"/>
      <c r="K1719" s="175"/>
      <c r="L1719" s="174"/>
      <c r="M1719" s="174"/>
      <c r="N1719" s="176"/>
      <c r="O1719" s="177"/>
      <c r="P1719" s="178"/>
      <c r="Q1719" s="179"/>
      <c r="R1719" s="180"/>
      <c r="S1719" s="181"/>
      <c r="T1719" s="203">
        <f t="shared" si="1035"/>
        <v>43647</v>
      </c>
      <c r="U1719" s="204">
        <f t="shared" si="1036"/>
        <v>43677</v>
      </c>
      <c r="V1719" s="207">
        <f t="shared" si="1060"/>
        <v>0</v>
      </c>
      <c r="W1719" s="206" t="str">
        <f t="shared" si="1057"/>
        <v/>
      </c>
      <c r="X1719" s="206">
        <f t="shared" si="1058"/>
        <v>0</v>
      </c>
      <c r="Y1719" s="209">
        <f t="shared" si="1059"/>
        <v>0</v>
      </c>
    </row>
    <row r="1720" spans="2:25" ht="16.5" hidden="1" thickTop="1" thickBot="1" x14ac:dyDescent="0.3">
      <c r="B1720" s="141">
        <f>B1714</f>
        <v>9</v>
      </c>
      <c r="C1720" s="142">
        <v>63</v>
      </c>
      <c r="D1720" s="194" t="str">
        <f t="shared" si="1026"/>
        <v>VI</v>
      </c>
      <c r="E1720" s="189"/>
      <c r="F1720" s="190"/>
      <c r="G1720" s="190"/>
      <c r="H1720" s="182"/>
      <c r="I1720" s="182"/>
      <c r="J1720" s="436" t="s">
        <v>181</v>
      </c>
      <c r="K1720" s="437"/>
      <c r="L1720" s="438"/>
      <c r="M1720" s="182"/>
      <c r="N1720" s="183"/>
      <c r="O1720" s="184"/>
      <c r="P1720" s="185"/>
      <c r="Q1720" s="186"/>
      <c r="R1720" s="187"/>
      <c r="S1720" s="188"/>
      <c r="T1720" s="213">
        <f t="shared" si="1035"/>
        <v>43647</v>
      </c>
      <c r="U1720" s="214">
        <f t="shared" si="1036"/>
        <v>43677</v>
      </c>
      <c r="V1720" s="210">
        <f t="shared" si="1060"/>
        <v>0</v>
      </c>
      <c r="W1720" s="211"/>
      <c r="X1720" s="211">
        <f>IF(AND($V1720&gt;0,$I1720=1),IF($E1720=10,P1720/10,P1720/$V1720),0)</f>
        <v>0</v>
      </c>
      <c r="Y1720" s="212">
        <f>IF(AND($V1714&gt;0,$I1720&lt;&gt;1),Q1720/E1714*V1714,0)</f>
        <v>0</v>
      </c>
    </row>
    <row r="1721" spans="2:25" ht="16.5" hidden="1" thickTop="1" thickBot="1" x14ac:dyDescent="0.3">
      <c r="B1721" s="129">
        <f>B1719+1</f>
        <v>10</v>
      </c>
      <c r="C1721" s="130">
        <v>64</v>
      </c>
      <c r="D1721" s="196" t="str">
        <f t="shared" si="1026"/>
        <v>VI</v>
      </c>
      <c r="E1721" s="131"/>
      <c r="F1721" s="132"/>
      <c r="G1721" s="132"/>
      <c r="H1721" s="133"/>
      <c r="I1721" s="133"/>
      <c r="J1721" s="131"/>
      <c r="K1721" s="134"/>
      <c r="L1721" s="133"/>
      <c r="M1721" s="133"/>
      <c r="N1721" s="135"/>
      <c r="O1721" s="136"/>
      <c r="P1721" s="137"/>
      <c r="Q1721" s="138"/>
      <c r="R1721" s="139"/>
      <c r="S1721" s="140"/>
      <c r="T1721" s="203">
        <f t="shared" si="1035"/>
        <v>43647</v>
      </c>
      <c r="U1721" s="204">
        <f t="shared" si="1036"/>
        <v>43677</v>
      </c>
      <c r="V1721" s="207">
        <f>IF(G1721-F1721+1-IF(G1721-U1721&gt;0,G1721-U1721,0)-IF(T1721-F1721&gt;0,T1721-F1721,0)&gt;0,G1721-F1721+1-IF(G1721-U1721&gt;0,G1721-U1721,0)-IF(T1721-F1721&gt;0,T1721-F1721,0),0)</f>
        <v>0</v>
      </c>
      <c r="W1721" s="206" t="str">
        <f t="shared" ref="W1721:W1726" si="1061">IF(V1721&gt;0,H1721,"")</f>
        <v/>
      </c>
      <c r="X1721" s="206">
        <f t="shared" ref="X1721:X1726" si="1062">IF(AND($V1721&gt;0,$I1721=1),P1721/$E1721*$V1721,0)</f>
        <v>0</v>
      </c>
      <c r="Y1721" s="209">
        <f t="shared" ref="Y1721:Y1726" si="1063">IF(AND($V1721&gt;0,$I1721&lt;&gt;1),Q1721/$E1721*$V1721,0)</f>
        <v>0</v>
      </c>
    </row>
    <row r="1722" spans="2:25" ht="16.5" hidden="1" thickTop="1" thickBot="1" x14ac:dyDescent="0.3">
      <c r="B1722" s="60">
        <f>B1721</f>
        <v>10</v>
      </c>
      <c r="C1722" s="102">
        <v>65</v>
      </c>
      <c r="D1722" s="192" t="str">
        <f t="shared" si="1026"/>
        <v>VI</v>
      </c>
      <c r="E1722" s="62"/>
      <c r="F1722" s="105"/>
      <c r="G1722" s="105"/>
      <c r="H1722" s="61"/>
      <c r="I1722" s="61"/>
      <c r="J1722" s="62"/>
      <c r="K1722" s="63"/>
      <c r="L1722" s="61"/>
      <c r="M1722" s="61"/>
      <c r="N1722" s="111"/>
      <c r="O1722" s="112"/>
      <c r="P1722" s="113"/>
      <c r="Q1722" s="114"/>
      <c r="R1722" s="64"/>
      <c r="S1722" s="108"/>
      <c r="T1722" s="203">
        <f t="shared" si="1035"/>
        <v>43647</v>
      </c>
      <c r="U1722" s="204">
        <f t="shared" si="1036"/>
        <v>43677</v>
      </c>
      <c r="V1722" s="207">
        <f t="shared" ref="V1722:V1727" si="1064">IF(G1722-F1722+1-IF(G1722-U1722&gt;0,G1722-U1722,0)-IF(T1722-F1722&gt;0,T1722-F1722,0)&gt;0,G1722-F1722+1-IF(G1722-U1722&gt;0,G1722-U1722,0)-IF(T1722-F1722&gt;0,T1722-F1722,0),0)</f>
        <v>0</v>
      </c>
      <c r="W1722" s="206" t="str">
        <f t="shared" si="1061"/>
        <v/>
      </c>
      <c r="X1722" s="206">
        <f t="shared" si="1062"/>
        <v>0</v>
      </c>
      <c r="Y1722" s="209">
        <f t="shared" si="1063"/>
        <v>0</v>
      </c>
    </row>
    <row r="1723" spans="2:25" ht="16.5" hidden="1" thickTop="1" thickBot="1" x14ac:dyDescent="0.3">
      <c r="B1723" s="60">
        <f>B1721</f>
        <v>10</v>
      </c>
      <c r="C1723" s="102">
        <v>66</v>
      </c>
      <c r="D1723" s="192" t="str">
        <f t="shared" si="1026"/>
        <v>VI</v>
      </c>
      <c r="E1723" s="62"/>
      <c r="F1723" s="105"/>
      <c r="G1723" s="105"/>
      <c r="H1723" s="61"/>
      <c r="I1723" s="61"/>
      <c r="J1723" s="62"/>
      <c r="K1723" s="63"/>
      <c r="L1723" s="61"/>
      <c r="M1723" s="61"/>
      <c r="N1723" s="111"/>
      <c r="O1723" s="112"/>
      <c r="P1723" s="113"/>
      <c r="Q1723" s="114"/>
      <c r="R1723" s="64"/>
      <c r="S1723" s="108"/>
      <c r="T1723" s="203">
        <f t="shared" si="1035"/>
        <v>43647</v>
      </c>
      <c r="U1723" s="204">
        <f t="shared" si="1036"/>
        <v>43677</v>
      </c>
      <c r="V1723" s="207">
        <f t="shared" si="1064"/>
        <v>0</v>
      </c>
      <c r="W1723" s="206" t="str">
        <f t="shared" si="1061"/>
        <v/>
      </c>
      <c r="X1723" s="206">
        <f t="shared" si="1062"/>
        <v>0</v>
      </c>
      <c r="Y1723" s="209">
        <f t="shared" si="1063"/>
        <v>0</v>
      </c>
    </row>
    <row r="1724" spans="2:25" ht="16.5" hidden="1" thickTop="1" thickBot="1" x14ac:dyDescent="0.3">
      <c r="B1724" s="60">
        <f>B1721</f>
        <v>10</v>
      </c>
      <c r="C1724" s="102">
        <v>67</v>
      </c>
      <c r="D1724" s="192" t="str">
        <f t="shared" ref="D1724:D1787" si="1065">D1723</f>
        <v>VI</v>
      </c>
      <c r="E1724" s="62"/>
      <c r="F1724" s="105"/>
      <c r="G1724" s="105"/>
      <c r="H1724" s="61"/>
      <c r="I1724" s="61"/>
      <c r="J1724" s="62"/>
      <c r="K1724" s="63"/>
      <c r="L1724" s="61"/>
      <c r="M1724" s="61"/>
      <c r="N1724" s="111"/>
      <c r="O1724" s="112"/>
      <c r="P1724" s="113"/>
      <c r="Q1724" s="114"/>
      <c r="R1724" s="64"/>
      <c r="S1724" s="108"/>
      <c r="T1724" s="203">
        <f t="shared" si="1035"/>
        <v>43647</v>
      </c>
      <c r="U1724" s="204">
        <f t="shared" si="1036"/>
        <v>43677</v>
      </c>
      <c r="V1724" s="207">
        <f t="shared" si="1064"/>
        <v>0</v>
      </c>
      <c r="W1724" s="206" t="str">
        <f t="shared" si="1061"/>
        <v/>
      </c>
      <c r="X1724" s="206">
        <f t="shared" si="1062"/>
        <v>0</v>
      </c>
      <c r="Y1724" s="209">
        <f t="shared" si="1063"/>
        <v>0</v>
      </c>
    </row>
    <row r="1725" spans="2:25" ht="16.5" hidden="1" thickTop="1" thickBot="1" x14ac:dyDescent="0.3">
      <c r="B1725" s="60">
        <f>B1721</f>
        <v>10</v>
      </c>
      <c r="C1725" s="102">
        <v>68</v>
      </c>
      <c r="D1725" s="192" t="str">
        <f t="shared" si="1065"/>
        <v>VI</v>
      </c>
      <c r="E1725" s="62"/>
      <c r="F1725" s="105"/>
      <c r="G1725" s="105"/>
      <c r="H1725" s="61"/>
      <c r="I1725" s="61"/>
      <c r="J1725" s="62"/>
      <c r="K1725" s="63"/>
      <c r="L1725" s="61"/>
      <c r="M1725" s="61"/>
      <c r="N1725" s="111"/>
      <c r="O1725" s="112"/>
      <c r="P1725" s="113"/>
      <c r="Q1725" s="114"/>
      <c r="R1725" s="64"/>
      <c r="S1725" s="108"/>
      <c r="T1725" s="203">
        <f t="shared" si="1035"/>
        <v>43647</v>
      </c>
      <c r="U1725" s="204">
        <f t="shared" si="1036"/>
        <v>43677</v>
      </c>
      <c r="V1725" s="207">
        <f t="shared" si="1064"/>
        <v>0</v>
      </c>
      <c r="W1725" s="206" t="str">
        <f t="shared" si="1061"/>
        <v/>
      </c>
      <c r="X1725" s="206">
        <f t="shared" si="1062"/>
        <v>0</v>
      </c>
      <c r="Y1725" s="209">
        <f t="shared" si="1063"/>
        <v>0</v>
      </c>
    </row>
    <row r="1726" spans="2:25" ht="16.5" hidden="1" thickTop="1" thickBot="1" x14ac:dyDescent="0.3">
      <c r="B1726" s="60">
        <f>B1721</f>
        <v>10</v>
      </c>
      <c r="C1726" s="102">
        <v>69</v>
      </c>
      <c r="D1726" s="192" t="str">
        <f t="shared" si="1065"/>
        <v>VI</v>
      </c>
      <c r="E1726" s="62"/>
      <c r="F1726" s="105"/>
      <c r="G1726" s="105"/>
      <c r="H1726" s="61"/>
      <c r="I1726" s="61"/>
      <c r="J1726" s="62"/>
      <c r="K1726" s="63"/>
      <c r="L1726" s="61"/>
      <c r="M1726" s="61"/>
      <c r="N1726" s="111"/>
      <c r="O1726" s="112"/>
      <c r="P1726" s="113"/>
      <c r="Q1726" s="114"/>
      <c r="R1726" s="64"/>
      <c r="S1726" s="108"/>
      <c r="T1726" s="203">
        <f t="shared" si="1035"/>
        <v>43647</v>
      </c>
      <c r="U1726" s="204">
        <f t="shared" si="1036"/>
        <v>43677</v>
      </c>
      <c r="V1726" s="207">
        <f t="shared" si="1064"/>
        <v>0</v>
      </c>
      <c r="W1726" s="206" t="str">
        <f t="shared" si="1061"/>
        <v/>
      </c>
      <c r="X1726" s="206">
        <f t="shared" si="1062"/>
        <v>0</v>
      </c>
      <c r="Y1726" s="209">
        <f t="shared" si="1063"/>
        <v>0</v>
      </c>
    </row>
    <row r="1727" spans="2:25" ht="16.5" hidden="1" thickTop="1" thickBot="1" x14ac:dyDescent="0.3">
      <c r="B1727" s="141">
        <f>B1721</f>
        <v>10</v>
      </c>
      <c r="C1727" s="142">
        <v>70</v>
      </c>
      <c r="D1727" s="194" t="str">
        <f t="shared" si="1065"/>
        <v>VI</v>
      </c>
      <c r="E1727" s="143"/>
      <c r="F1727" s="144"/>
      <c r="G1727" s="144"/>
      <c r="H1727" s="145"/>
      <c r="I1727" s="145"/>
      <c r="J1727" s="436" t="s">
        <v>181</v>
      </c>
      <c r="K1727" s="437"/>
      <c r="L1727" s="438"/>
      <c r="M1727" s="145"/>
      <c r="N1727" s="146"/>
      <c r="O1727" s="147"/>
      <c r="P1727" s="148"/>
      <c r="Q1727" s="149"/>
      <c r="R1727" s="150"/>
      <c r="S1727" s="151"/>
      <c r="T1727" s="213">
        <f t="shared" si="1035"/>
        <v>43647</v>
      </c>
      <c r="U1727" s="214">
        <f t="shared" si="1036"/>
        <v>43677</v>
      </c>
      <c r="V1727" s="210">
        <f t="shared" si="1064"/>
        <v>0</v>
      </c>
      <c r="W1727" s="211"/>
      <c r="X1727" s="211">
        <f>IF(AND($V1727&gt;0,$I1727=1),IF($E1727=10,P1727/10,P1727/$V1727),0)</f>
        <v>0</v>
      </c>
      <c r="Y1727" s="212">
        <f>IF(AND($V1721&gt;0,$I1727&lt;&gt;1),Q1727/E1721*V1721,0)</f>
        <v>0</v>
      </c>
    </row>
    <row r="1728" spans="2:25" ht="16.5" hidden="1" thickTop="1" thickBot="1" x14ac:dyDescent="0.3">
      <c r="B1728" s="129">
        <f>B1726+1</f>
        <v>11</v>
      </c>
      <c r="C1728" s="130">
        <v>71</v>
      </c>
      <c r="D1728" s="196" t="str">
        <f t="shared" si="1065"/>
        <v>VI</v>
      </c>
      <c r="E1728" s="152"/>
      <c r="F1728" s="153"/>
      <c r="G1728" s="153"/>
      <c r="H1728" s="154"/>
      <c r="I1728" s="154"/>
      <c r="J1728" s="152"/>
      <c r="K1728" s="155"/>
      <c r="L1728" s="154"/>
      <c r="M1728" s="154"/>
      <c r="N1728" s="156"/>
      <c r="O1728" s="157"/>
      <c r="P1728" s="158"/>
      <c r="Q1728" s="159"/>
      <c r="R1728" s="160"/>
      <c r="S1728" s="161"/>
      <c r="T1728" s="203">
        <f t="shared" si="1035"/>
        <v>43647</v>
      </c>
      <c r="U1728" s="204">
        <f t="shared" si="1036"/>
        <v>43677</v>
      </c>
      <c r="V1728" s="207">
        <f>IF(G1728-F1728+1-IF(G1728-U1728&gt;0,G1728-U1728,0)-IF(T1728-F1728&gt;0,T1728-F1728,0)&gt;0,G1728-F1728+1-IF(G1728-U1728&gt;0,G1728-U1728,0)-IF(T1728-F1728&gt;0,T1728-F1728,0),0)</f>
        <v>0</v>
      </c>
      <c r="W1728" s="206" t="str">
        <f t="shared" ref="W1728:W1733" si="1066">IF(V1728&gt;0,H1728,"")</f>
        <v/>
      </c>
      <c r="X1728" s="206">
        <f t="shared" ref="X1728:X1733" si="1067">IF(AND($V1728&gt;0,$I1728=1),P1728/$E1728*$V1728,0)</f>
        <v>0</v>
      </c>
      <c r="Y1728" s="209">
        <f t="shared" ref="Y1728:Y1733" si="1068">IF(AND($V1728&gt;0,$I1728&lt;&gt;1),Q1728/$E1728*$V1728,0)</f>
        <v>0</v>
      </c>
    </row>
    <row r="1729" spans="2:25" ht="16.5" hidden="1" thickTop="1" thickBot="1" x14ac:dyDescent="0.3">
      <c r="B1729" s="60">
        <f>B1728</f>
        <v>11</v>
      </c>
      <c r="C1729" s="102">
        <v>72</v>
      </c>
      <c r="D1729" s="192" t="str">
        <f t="shared" si="1065"/>
        <v>VI</v>
      </c>
      <c r="E1729" s="162"/>
      <c r="F1729" s="163"/>
      <c r="G1729" s="163"/>
      <c r="H1729" s="164"/>
      <c r="I1729" s="164"/>
      <c r="J1729" s="162"/>
      <c r="K1729" s="165"/>
      <c r="L1729" s="164"/>
      <c r="M1729" s="164"/>
      <c r="N1729" s="166"/>
      <c r="O1729" s="167"/>
      <c r="P1729" s="168"/>
      <c r="Q1729" s="169"/>
      <c r="R1729" s="170"/>
      <c r="S1729" s="171"/>
      <c r="T1729" s="203">
        <f t="shared" si="1035"/>
        <v>43647</v>
      </c>
      <c r="U1729" s="204">
        <f t="shared" si="1036"/>
        <v>43677</v>
      </c>
      <c r="V1729" s="207">
        <f t="shared" ref="V1729:V1734" si="1069">IF(G1729-F1729+1-IF(G1729-U1729&gt;0,G1729-U1729,0)-IF(T1729-F1729&gt;0,T1729-F1729,0)&gt;0,G1729-F1729+1-IF(G1729-U1729&gt;0,G1729-U1729,0)-IF(T1729-F1729&gt;0,T1729-F1729,0),0)</f>
        <v>0</v>
      </c>
      <c r="W1729" s="206" t="str">
        <f t="shared" si="1066"/>
        <v/>
      </c>
      <c r="X1729" s="206">
        <f t="shared" si="1067"/>
        <v>0</v>
      </c>
      <c r="Y1729" s="209">
        <f t="shared" si="1068"/>
        <v>0</v>
      </c>
    </row>
    <row r="1730" spans="2:25" ht="16.5" hidden="1" thickTop="1" thickBot="1" x14ac:dyDescent="0.3">
      <c r="B1730" s="60">
        <f>B1728</f>
        <v>11</v>
      </c>
      <c r="C1730" s="102">
        <v>73</v>
      </c>
      <c r="D1730" s="192" t="str">
        <f t="shared" si="1065"/>
        <v>VI</v>
      </c>
      <c r="E1730" s="162"/>
      <c r="F1730" s="163"/>
      <c r="G1730" s="163"/>
      <c r="H1730" s="164"/>
      <c r="I1730" s="164"/>
      <c r="J1730" s="162"/>
      <c r="K1730" s="165"/>
      <c r="L1730" s="164"/>
      <c r="M1730" s="164"/>
      <c r="N1730" s="166"/>
      <c r="O1730" s="167"/>
      <c r="P1730" s="168"/>
      <c r="Q1730" s="169"/>
      <c r="R1730" s="170"/>
      <c r="S1730" s="171"/>
      <c r="T1730" s="203">
        <f t="shared" si="1035"/>
        <v>43647</v>
      </c>
      <c r="U1730" s="204">
        <f t="shared" si="1036"/>
        <v>43677</v>
      </c>
      <c r="V1730" s="207">
        <f t="shared" si="1069"/>
        <v>0</v>
      </c>
      <c r="W1730" s="206" t="str">
        <f t="shared" si="1066"/>
        <v/>
      </c>
      <c r="X1730" s="206">
        <f t="shared" si="1067"/>
        <v>0</v>
      </c>
      <c r="Y1730" s="209">
        <f t="shared" si="1068"/>
        <v>0</v>
      </c>
    </row>
    <row r="1731" spans="2:25" ht="16.5" hidden="1" thickTop="1" thickBot="1" x14ac:dyDescent="0.3">
      <c r="B1731" s="60">
        <f>B1728</f>
        <v>11</v>
      </c>
      <c r="C1731" s="102">
        <v>74</v>
      </c>
      <c r="D1731" s="192" t="str">
        <f t="shared" si="1065"/>
        <v>VI</v>
      </c>
      <c r="E1731" s="162"/>
      <c r="F1731" s="163"/>
      <c r="G1731" s="163"/>
      <c r="H1731" s="164"/>
      <c r="I1731" s="164"/>
      <c r="J1731" s="162"/>
      <c r="K1731" s="165"/>
      <c r="L1731" s="164"/>
      <c r="M1731" s="164"/>
      <c r="N1731" s="166"/>
      <c r="O1731" s="167"/>
      <c r="P1731" s="168"/>
      <c r="Q1731" s="169"/>
      <c r="R1731" s="170"/>
      <c r="S1731" s="171"/>
      <c r="T1731" s="203">
        <f t="shared" si="1035"/>
        <v>43647</v>
      </c>
      <c r="U1731" s="204">
        <f t="shared" si="1036"/>
        <v>43677</v>
      </c>
      <c r="V1731" s="207">
        <f t="shared" si="1069"/>
        <v>0</v>
      </c>
      <c r="W1731" s="206" t="str">
        <f t="shared" si="1066"/>
        <v/>
      </c>
      <c r="X1731" s="206">
        <f t="shared" si="1067"/>
        <v>0</v>
      </c>
      <c r="Y1731" s="209">
        <f t="shared" si="1068"/>
        <v>0</v>
      </c>
    </row>
    <row r="1732" spans="2:25" ht="16.5" hidden="1" thickTop="1" thickBot="1" x14ac:dyDescent="0.3">
      <c r="B1732" s="60">
        <f>B1728</f>
        <v>11</v>
      </c>
      <c r="C1732" s="102">
        <v>75</v>
      </c>
      <c r="D1732" s="192" t="str">
        <f t="shared" si="1065"/>
        <v>VI</v>
      </c>
      <c r="E1732" s="162"/>
      <c r="F1732" s="163"/>
      <c r="G1732" s="163"/>
      <c r="H1732" s="164"/>
      <c r="I1732" s="164"/>
      <c r="J1732" s="162"/>
      <c r="K1732" s="165"/>
      <c r="L1732" s="164"/>
      <c r="M1732" s="164"/>
      <c r="N1732" s="166"/>
      <c r="O1732" s="167"/>
      <c r="P1732" s="168"/>
      <c r="Q1732" s="169"/>
      <c r="R1732" s="170"/>
      <c r="S1732" s="171"/>
      <c r="T1732" s="203">
        <f t="shared" si="1035"/>
        <v>43647</v>
      </c>
      <c r="U1732" s="204">
        <f t="shared" si="1036"/>
        <v>43677</v>
      </c>
      <c r="V1732" s="207">
        <f t="shared" si="1069"/>
        <v>0</v>
      </c>
      <c r="W1732" s="206" t="str">
        <f t="shared" si="1066"/>
        <v/>
      </c>
      <c r="X1732" s="206">
        <f t="shared" si="1067"/>
        <v>0</v>
      </c>
      <c r="Y1732" s="209">
        <f t="shared" si="1068"/>
        <v>0</v>
      </c>
    </row>
    <row r="1733" spans="2:25" ht="16.5" hidden="1" thickTop="1" thickBot="1" x14ac:dyDescent="0.3">
      <c r="B1733" s="60">
        <f>B1728</f>
        <v>11</v>
      </c>
      <c r="C1733" s="102">
        <v>76</v>
      </c>
      <c r="D1733" s="192" t="str">
        <f t="shared" si="1065"/>
        <v>VI</v>
      </c>
      <c r="E1733" s="172"/>
      <c r="F1733" s="173"/>
      <c r="G1733" s="173"/>
      <c r="H1733" s="174"/>
      <c r="I1733" s="174"/>
      <c r="J1733" s="172"/>
      <c r="K1733" s="175"/>
      <c r="L1733" s="174"/>
      <c r="M1733" s="174"/>
      <c r="N1733" s="176"/>
      <c r="O1733" s="177"/>
      <c r="P1733" s="178"/>
      <c r="Q1733" s="179"/>
      <c r="R1733" s="180"/>
      <c r="S1733" s="181"/>
      <c r="T1733" s="203">
        <f t="shared" si="1035"/>
        <v>43647</v>
      </c>
      <c r="U1733" s="204">
        <f t="shared" si="1036"/>
        <v>43677</v>
      </c>
      <c r="V1733" s="207">
        <f t="shared" si="1069"/>
        <v>0</v>
      </c>
      <c r="W1733" s="206" t="str">
        <f t="shared" si="1066"/>
        <v/>
      </c>
      <c r="X1733" s="206">
        <f t="shared" si="1067"/>
        <v>0</v>
      </c>
      <c r="Y1733" s="209">
        <f t="shared" si="1068"/>
        <v>0</v>
      </c>
    </row>
    <row r="1734" spans="2:25" ht="16.5" hidden="1" thickTop="1" thickBot="1" x14ac:dyDescent="0.3">
      <c r="B1734" s="141">
        <f>B1728</f>
        <v>11</v>
      </c>
      <c r="C1734" s="142">
        <v>77</v>
      </c>
      <c r="D1734" s="194" t="str">
        <f t="shared" si="1065"/>
        <v>VI</v>
      </c>
      <c r="E1734" s="189"/>
      <c r="F1734" s="190"/>
      <c r="G1734" s="190"/>
      <c r="H1734" s="182"/>
      <c r="I1734" s="182"/>
      <c r="J1734" s="436" t="s">
        <v>181</v>
      </c>
      <c r="K1734" s="437"/>
      <c r="L1734" s="438"/>
      <c r="M1734" s="182"/>
      <c r="N1734" s="183"/>
      <c r="O1734" s="184"/>
      <c r="P1734" s="185"/>
      <c r="Q1734" s="186"/>
      <c r="R1734" s="187"/>
      <c r="S1734" s="188"/>
      <c r="T1734" s="213">
        <f t="shared" si="1035"/>
        <v>43647</v>
      </c>
      <c r="U1734" s="214">
        <f t="shared" si="1036"/>
        <v>43677</v>
      </c>
      <c r="V1734" s="210">
        <f t="shared" si="1069"/>
        <v>0</v>
      </c>
      <c r="W1734" s="211"/>
      <c r="X1734" s="211">
        <f>IF(AND($V1734&gt;0,$I1734=1),IF($E1734=10,P1734/10,P1734/$V1734),0)</f>
        <v>0</v>
      </c>
      <c r="Y1734" s="212">
        <f>IF(AND($V1728&gt;0,$I1734&lt;&gt;1),Q1734/E1728*V1728,0)</f>
        <v>0</v>
      </c>
    </row>
    <row r="1735" spans="2:25" ht="30.75" thickTop="1" x14ac:dyDescent="0.25">
      <c r="B1735" s="129">
        <f>B1733+1</f>
        <v>12</v>
      </c>
      <c r="C1735" s="130">
        <v>78</v>
      </c>
      <c r="D1735" s="196" t="str">
        <f t="shared" si="1065"/>
        <v>VI</v>
      </c>
      <c r="E1735" s="131">
        <v>10</v>
      </c>
      <c r="F1735" s="132">
        <v>43686</v>
      </c>
      <c r="G1735" s="132">
        <v>43695</v>
      </c>
      <c r="H1735" s="133" t="s">
        <v>238</v>
      </c>
      <c r="I1735" s="133">
        <v>1</v>
      </c>
      <c r="J1735" s="131" t="s">
        <v>168</v>
      </c>
      <c r="K1735" s="134" t="s">
        <v>16</v>
      </c>
      <c r="L1735" s="133">
        <v>1</v>
      </c>
      <c r="M1735" s="133">
        <v>7</v>
      </c>
      <c r="N1735" s="135">
        <v>44</v>
      </c>
      <c r="O1735" s="136">
        <v>44</v>
      </c>
      <c r="P1735" s="137">
        <v>44</v>
      </c>
      <c r="Q1735" s="138"/>
      <c r="R1735" s="139" t="s">
        <v>4</v>
      </c>
      <c r="S1735" s="140">
        <v>43620</v>
      </c>
      <c r="T1735" s="203">
        <f t="shared" si="1035"/>
        <v>43647</v>
      </c>
      <c r="U1735" s="204">
        <f t="shared" si="1036"/>
        <v>43677</v>
      </c>
      <c r="V1735" s="207">
        <f>IF(G1735-F1735+1-IF(G1735-U1735&gt;0,G1735-U1735,0)-IF(T1735-F1735&gt;0,T1735-F1735,0)&gt;0,G1735-F1735+1-IF(G1735-U1735&gt;0,G1735-U1735,0)-IF(T1735-F1735&gt;0,T1735-F1735,0),0)</f>
        <v>0</v>
      </c>
      <c r="W1735" s="206" t="str">
        <f t="shared" ref="W1735:W1740" si="1070">IF(V1735&gt;0,H1735,"")</f>
        <v/>
      </c>
      <c r="X1735" s="206">
        <f t="shared" ref="X1735:X1740" si="1071">IF(AND($V1735&gt;0,$I1735=1),P1735/$E1735*$V1735,0)</f>
        <v>0</v>
      </c>
      <c r="Y1735" s="209">
        <f t="shared" ref="Y1735:Y1740" si="1072">IF(AND($V1735&gt;0,$I1735&lt;&gt;1),Q1735/$E1735*$V1735,0)</f>
        <v>0</v>
      </c>
    </row>
    <row r="1736" spans="2:25" hidden="1" x14ac:dyDescent="0.25">
      <c r="B1736" s="60">
        <f>B1735</f>
        <v>12</v>
      </c>
      <c r="C1736" s="102">
        <v>79</v>
      </c>
      <c r="D1736" s="192" t="str">
        <f t="shared" si="1065"/>
        <v>VI</v>
      </c>
      <c r="E1736" s="62"/>
      <c r="F1736" s="105"/>
      <c r="G1736" s="105"/>
      <c r="H1736" s="61"/>
      <c r="I1736" s="61"/>
      <c r="J1736" s="62"/>
      <c r="K1736" s="63"/>
      <c r="L1736" s="61"/>
      <c r="M1736" s="61"/>
      <c r="N1736" s="111"/>
      <c r="O1736" s="112"/>
      <c r="P1736" s="113"/>
      <c r="Q1736" s="114"/>
      <c r="R1736" s="64"/>
      <c r="S1736" s="108"/>
      <c r="T1736" s="203">
        <f t="shared" si="1035"/>
        <v>43647</v>
      </c>
      <c r="U1736" s="204">
        <f t="shared" si="1036"/>
        <v>43677</v>
      </c>
      <c r="V1736" s="207">
        <f t="shared" ref="V1736:V1741" si="1073">IF(G1736-F1736+1-IF(G1736-U1736&gt;0,G1736-U1736,0)-IF(T1736-F1736&gt;0,T1736-F1736,0)&gt;0,G1736-F1736+1-IF(G1736-U1736&gt;0,G1736-U1736,0)-IF(T1736-F1736&gt;0,T1736-F1736,0),0)</f>
        <v>0</v>
      </c>
      <c r="W1736" s="206" t="str">
        <f t="shared" si="1070"/>
        <v/>
      </c>
      <c r="X1736" s="206">
        <f t="shared" si="1071"/>
        <v>0</v>
      </c>
      <c r="Y1736" s="209">
        <f t="shared" si="1072"/>
        <v>0</v>
      </c>
    </row>
    <row r="1737" spans="2:25" hidden="1" x14ac:dyDescent="0.25">
      <c r="B1737" s="60">
        <f>B1735</f>
        <v>12</v>
      </c>
      <c r="C1737" s="102">
        <v>80</v>
      </c>
      <c r="D1737" s="192" t="str">
        <f t="shared" si="1065"/>
        <v>VI</v>
      </c>
      <c r="E1737" s="62"/>
      <c r="F1737" s="105"/>
      <c r="G1737" s="105"/>
      <c r="H1737" s="61"/>
      <c r="I1737" s="61"/>
      <c r="J1737" s="62"/>
      <c r="K1737" s="63"/>
      <c r="L1737" s="61"/>
      <c r="M1737" s="61"/>
      <c r="N1737" s="111"/>
      <c r="O1737" s="112"/>
      <c r="P1737" s="113"/>
      <c r="Q1737" s="114"/>
      <c r="R1737" s="64"/>
      <c r="S1737" s="108"/>
      <c r="T1737" s="203">
        <f t="shared" si="1035"/>
        <v>43647</v>
      </c>
      <c r="U1737" s="204">
        <f t="shared" si="1036"/>
        <v>43677</v>
      </c>
      <c r="V1737" s="207">
        <f t="shared" si="1073"/>
        <v>0</v>
      </c>
      <c r="W1737" s="206" t="str">
        <f t="shared" si="1070"/>
        <v/>
      </c>
      <c r="X1737" s="206">
        <f t="shared" si="1071"/>
        <v>0</v>
      </c>
      <c r="Y1737" s="209">
        <f t="shared" si="1072"/>
        <v>0</v>
      </c>
    </row>
    <row r="1738" spans="2:25" hidden="1" x14ac:dyDescent="0.25">
      <c r="B1738" s="60">
        <f>B1735</f>
        <v>12</v>
      </c>
      <c r="C1738" s="102">
        <v>81</v>
      </c>
      <c r="D1738" s="192" t="str">
        <f t="shared" si="1065"/>
        <v>VI</v>
      </c>
      <c r="E1738" s="62"/>
      <c r="F1738" s="105"/>
      <c r="G1738" s="105"/>
      <c r="H1738" s="61"/>
      <c r="I1738" s="61"/>
      <c r="J1738" s="62"/>
      <c r="K1738" s="63"/>
      <c r="L1738" s="61"/>
      <c r="M1738" s="61"/>
      <c r="N1738" s="111"/>
      <c r="O1738" s="112"/>
      <c r="P1738" s="113"/>
      <c r="Q1738" s="114"/>
      <c r="R1738" s="64"/>
      <c r="S1738" s="108"/>
      <c r="T1738" s="203">
        <f t="shared" si="1035"/>
        <v>43647</v>
      </c>
      <c r="U1738" s="204">
        <f t="shared" si="1036"/>
        <v>43677</v>
      </c>
      <c r="V1738" s="207">
        <f t="shared" si="1073"/>
        <v>0</v>
      </c>
      <c r="W1738" s="206" t="str">
        <f t="shared" si="1070"/>
        <v/>
      </c>
      <c r="X1738" s="206">
        <f t="shared" si="1071"/>
        <v>0</v>
      </c>
      <c r="Y1738" s="209">
        <f t="shared" si="1072"/>
        <v>0</v>
      </c>
    </row>
    <row r="1739" spans="2:25" hidden="1" x14ac:dyDescent="0.25">
      <c r="B1739" s="60">
        <f>B1735</f>
        <v>12</v>
      </c>
      <c r="C1739" s="102">
        <v>82</v>
      </c>
      <c r="D1739" s="192" t="str">
        <f t="shared" si="1065"/>
        <v>VI</v>
      </c>
      <c r="E1739" s="62"/>
      <c r="F1739" s="105"/>
      <c r="G1739" s="105"/>
      <c r="H1739" s="61"/>
      <c r="I1739" s="61"/>
      <c r="J1739" s="62"/>
      <c r="K1739" s="63"/>
      <c r="L1739" s="61"/>
      <c r="M1739" s="61"/>
      <c r="N1739" s="111"/>
      <c r="O1739" s="112"/>
      <c r="P1739" s="113"/>
      <c r="Q1739" s="114"/>
      <c r="R1739" s="64"/>
      <c r="S1739" s="108"/>
      <c r="T1739" s="203">
        <f t="shared" si="1035"/>
        <v>43647</v>
      </c>
      <c r="U1739" s="204">
        <f t="shared" si="1036"/>
        <v>43677</v>
      </c>
      <c r="V1739" s="207">
        <f t="shared" si="1073"/>
        <v>0</v>
      </c>
      <c r="W1739" s="206" t="str">
        <f t="shared" si="1070"/>
        <v/>
      </c>
      <c r="X1739" s="206">
        <f t="shared" si="1071"/>
        <v>0</v>
      </c>
      <c r="Y1739" s="209">
        <f t="shared" si="1072"/>
        <v>0</v>
      </c>
    </row>
    <row r="1740" spans="2:25" hidden="1" x14ac:dyDescent="0.25">
      <c r="B1740" s="60">
        <f>B1735</f>
        <v>12</v>
      </c>
      <c r="C1740" s="102">
        <v>83</v>
      </c>
      <c r="D1740" s="192" t="str">
        <f t="shared" si="1065"/>
        <v>VI</v>
      </c>
      <c r="E1740" s="62"/>
      <c r="F1740" s="105"/>
      <c r="G1740" s="105"/>
      <c r="H1740" s="61"/>
      <c r="I1740" s="61"/>
      <c r="J1740" s="62"/>
      <c r="K1740" s="63"/>
      <c r="L1740" s="61"/>
      <c r="M1740" s="61"/>
      <c r="N1740" s="111"/>
      <c r="O1740" s="112"/>
      <c r="P1740" s="113"/>
      <c r="Q1740" s="114"/>
      <c r="R1740" s="64"/>
      <c r="S1740" s="108"/>
      <c r="T1740" s="203">
        <f t="shared" si="1035"/>
        <v>43647</v>
      </c>
      <c r="U1740" s="204">
        <f t="shared" si="1036"/>
        <v>43677</v>
      </c>
      <c r="V1740" s="207">
        <f t="shared" si="1073"/>
        <v>0</v>
      </c>
      <c r="W1740" s="206" t="str">
        <f t="shared" si="1070"/>
        <v/>
      </c>
      <c r="X1740" s="206">
        <f t="shared" si="1071"/>
        <v>0</v>
      </c>
      <c r="Y1740" s="209">
        <f t="shared" si="1072"/>
        <v>0</v>
      </c>
    </row>
    <row r="1741" spans="2:25" ht="15.75" thickBot="1" x14ac:dyDescent="0.3">
      <c r="B1741" s="141">
        <f>B1735</f>
        <v>12</v>
      </c>
      <c r="C1741" s="142">
        <v>84</v>
      </c>
      <c r="D1741" s="194" t="str">
        <f t="shared" si="1065"/>
        <v>VI</v>
      </c>
      <c r="E1741" s="143"/>
      <c r="F1741" s="144"/>
      <c r="G1741" s="144"/>
      <c r="H1741" s="145"/>
      <c r="I1741" s="145"/>
      <c r="J1741" s="436" t="s">
        <v>181</v>
      </c>
      <c r="K1741" s="437"/>
      <c r="L1741" s="438"/>
      <c r="M1741" s="145"/>
      <c r="N1741" s="146">
        <v>10</v>
      </c>
      <c r="O1741" s="147">
        <v>10</v>
      </c>
      <c r="P1741" s="148"/>
      <c r="Q1741" s="149">
        <v>10</v>
      </c>
      <c r="R1741" s="150" t="s">
        <v>4</v>
      </c>
      <c r="S1741" s="151">
        <v>43620</v>
      </c>
      <c r="T1741" s="213">
        <f t="shared" ref="T1741:T1804" si="1074">$F$4</f>
        <v>43647</v>
      </c>
      <c r="U1741" s="214">
        <f t="shared" ref="U1741:U1804" si="1075">$G$4</f>
        <v>43677</v>
      </c>
      <c r="V1741" s="210">
        <f t="shared" si="1073"/>
        <v>0</v>
      </c>
      <c r="W1741" s="211"/>
      <c r="X1741" s="211">
        <f>IF(AND($V1741&gt;0,$I1741=1),IF($E1741=10,P1741/10,P1741/$V1741),0)</f>
        <v>0</v>
      </c>
      <c r="Y1741" s="212">
        <f>IF(AND($V1735&gt;0,$I1741&lt;&gt;1),Q1741/E1735*V1735,0)</f>
        <v>0</v>
      </c>
    </row>
    <row r="1742" spans="2:25" ht="16.5" hidden="1" thickTop="1" thickBot="1" x14ac:dyDescent="0.3">
      <c r="B1742" s="129">
        <f>B1740+1</f>
        <v>13</v>
      </c>
      <c r="C1742" s="130">
        <v>85</v>
      </c>
      <c r="D1742" s="196" t="str">
        <f t="shared" si="1065"/>
        <v>VI</v>
      </c>
      <c r="E1742" s="152"/>
      <c r="F1742" s="153"/>
      <c r="G1742" s="153"/>
      <c r="H1742" s="154"/>
      <c r="I1742" s="154"/>
      <c r="J1742" s="152"/>
      <c r="K1742" s="155"/>
      <c r="L1742" s="154"/>
      <c r="M1742" s="154"/>
      <c r="N1742" s="156"/>
      <c r="O1742" s="157"/>
      <c r="P1742" s="158"/>
      <c r="Q1742" s="159"/>
      <c r="R1742" s="160"/>
      <c r="S1742" s="161"/>
      <c r="T1742" s="203">
        <f t="shared" si="1074"/>
        <v>43647</v>
      </c>
      <c r="U1742" s="204">
        <f t="shared" si="1075"/>
        <v>43677</v>
      </c>
      <c r="V1742" s="207">
        <f>IF(G1742-F1742+1-IF(G1742-U1742&gt;0,G1742-U1742,0)-IF(T1742-F1742&gt;0,T1742-F1742,0)&gt;0,G1742-F1742+1-IF(G1742-U1742&gt;0,G1742-U1742,0)-IF(T1742-F1742&gt;0,T1742-F1742,0),0)</f>
        <v>0</v>
      </c>
      <c r="W1742" s="206" t="str">
        <f t="shared" ref="W1742:W1747" si="1076">IF(V1742&gt;0,H1742,"")</f>
        <v/>
      </c>
      <c r="X1742" s="206">
        <f t="shared" ref="X1742:X1747" si="1077">IF(AND($V1742&gt;0,$I1742=1),P1742/$E1742*$V1742,0)</f>
        <v>0</v>
      </c>
      <c r="Y1742" s="209">
        <f t="shared" ref="Y1742:Y1747" si="1078">IF(AND($V1742&gt;0,$I1742&lt;&gt;1),Q1742/$E1742*$V1742,0)</f>
        <v>0</v>
      </c>
    </row>
    <row r="1743" spans="2:25" ht="16.5" hidden="1" thickTop="1" thickBot="1" x14ac:dyDescent="0.3">
      <c r="B1743" s="60">
        <f>B1742</f>
        <v>13</v>
      </c>
      <c r="C1743" s="102">
        <v>86</v>
      </c>
      <c r="D1743" s="192" t="str">
        <f t="shared" si="1065"/>
        <v>VI</v>
      </c>
      <c r="E1743" s="162"/>
      <c r="F1743" s="163"/>
      <c r="G1743" s="163"/>
      <c r="H1743" s="164"/>
      <c r="I1743" s="164"/>
      <c r="J1743" s="162"/>
      <c r="K1743" s="165"/>
      <c r="L1743" s="164"/>
      <c r="M1743" s="164"/>
      <c r="N1743" s="166"/>
      <c r="O1743" s="167"/>
      <c r="P1743" s="168"/>
      <c r="Q1743" s="169"/>
      <c r="R1743" s="170"/>
      <c r="S1743" s="171"/>
      <c r="T1743" s="203">
        <f t="shared" si="1074"/>
        <v>43647</v>
      </c>
      <c r="U1743" s="204">
        <f t="shared" si="1075"/>
        <v>43677</v>
      </c>
      <c r="V1743" s="207">
        <f t="shared" ref="V1743:V1748" si="1079">IF(G1743-F1743+1-IF(G1743-U1743&gt;0,G1743-U1743,0)-IF(T1743-F1743&gt;0,T1743-F1743,0)&gt;0,G1743-F1743+1-IF(G1743-U1743&gt;0,G1743-U1743,0)-IF(T1743-F1743&gt;0,T1743-F1743,0),0)</f>
        <v>0</v>
      </c>
      <c r="W1743" s="206" t="str">
        <f t="shared" si="1076"/>
        <v/>
      </c>
      <c r="X1743" s="206">
        <f t="shared" si="1077"/>
        <v>0</v>
      </c>
      <c r="Y1743" s="209">
        <f t="shared" si="1078"/>
        <v>0</v>
      </c>
    </row>
    <row r="1744" spans="2:25" ht="16.5" hidden="1" thickTop="1" thickBot="1" x14ac:dyDescent="0.3">
      <c r="B1744" s="60">
        <f>B1742</f>
        <v>13</v>
      </c>
      <c r="C1744" s="102">
        <v>87</v>
      </c>
      <c r="D1744" s="192" t="str">
        <f t="shared" si="1065"/>
        <v>VI</v>
      </c>
      <c r="E1744" s="162"/>
      <c r="F1744" s="163"/>
      <c r="G1744" s="163"/>
      <c r="H1744" s="164"/>
      <c r="I1744" s="164"/>
      <c r="J1744" s="162"/>
      <c r="K1744" s="165"/>
      <c r="L1744" s="164"/>
      <c r="M1744" s="164"/>
      <c r="N1744" s="166"/>
      <c r="O1744" s="167"/>
      <c r="P1744" s="168"/>
      <c r="Q1744" s="169"/>
      <c r="R1744" s="170"/>
      <c r="S1744" s="171"/>
      <c r="T1744" s="203">
        <f t="shared" si="1074"/>
        <v>43647</v>
      </c>
      <c r="U1744" s="204">
        <f t="shared" si="1075"/>
        <v>43677</v>
      </c>
      <c r="V1744" s="207">
        <f t="shared" si="1079"/>
        <v>0</v>
      </c>
      <c r="W1744" s="206" t="str">
        <f t="shared" si="1076"/>
        <v/>
      </c>
      <c r="X1744" s="206">
        <f t="shared" si="1077"/>
        <v>0</v>
      </c>
      <c r="Y1744" s="209">
        <f t="shared" si="1078"/>
        <v>0</v>
      </c>
    </row>
    <row r="1745" spans="2:25" ht="16.5" hidden="1" thickTop="1" thickBot="1" x14ac:dyDescent="0.3">
      <c r="B1745" s="60">
        <f>B1742</f>
        <v>13</v>
      </c>
      <c r="C1745" s="102">
        <v>88</v>
      </c>
      <c r="D1745" s="192" t="str">
        <f t="shared" si="1065"/>
        <v>VI</v>
      </c>
      <c r="E1745" s="162"/>
      <c r="F1745" s="163"/>
      <c r="G1745" s="163"/>
      <c r="H1745" s="164"/>
      <c r="I1745" s="164"/>
      <c r="J1745" s="162"/>
      <c r="K1745" s="165"/>
      <c r="L1745" s="164"/>
      <c r="M1745" s="164"/>
      <c r="N1745" s="166"/>
      <c r="O1745" s="167"/>
      <c r="P1745" s="168"/>
      <c r="Q1745" s="169"/>
      <c r="R1745" s="170"/>
      <c r="S1745" s="171"/>
      <c r="T1745" s="203">
        <f t="shared" si="1074"/>
        <v>43647</v>
      </c>
      <c r="U1745" s="204">
        <f t="shared" si="1075"/>
        <v>43677</v>
      </c>
      <c r="V1745" s="207">
        <f t="shared" si="1079"/>
        <v>0</v>
      </c>
      <c r="W1745" s="206" t="str">
        <f t="shared" si="1076"/>
        <v/>
      </c>
      <c r="X1745" s="206">
        <f t="shared" si="1077"/>
        <v>0</v>
      </c>
      <c r="Y1745" s="209">
        <f t="shared" si="1078"/>
        <v>0</v>
      </c>
    </row>
    <row r="1746" spans="2:25" ht="16.5" hidden="1" thickTop="1" thickBot="1" x14ac:dyDescent="0.3">
      <c r="B1746" s="60">
        <f>B1742</f>
        <v>13</v>
      </c>
      <c r="C1746" s="102">
        <v>89</v>
      </c>
      <c r="D1746" s="192" t="str">
        <f t="shared" si="1065"/>
        <v>VI</v>
      </c>
      <c r="E1746" s="162"/>
      <c r="F1746" s="163"/>
      <c r="G1746" s="163"/>
      <c r="H1746" s="164"/>
      <c r="I1746" s="164"/>
      <c r="J1746" s="162"/>
      <c r="K1746" s="165"/>
      <c r="L1746" s="164"/>
      <c r="M1746" s="164"/>
      <c r="N1746" s="166"/>
      <c r="O1746" s="167"/>
      <c r="P1746" s="168"/>
      <c r="Q1746" s="169"/>
      <c r="R1746" s="170"/>
      <c r="S1746" s="171"/>
      <c r="T1746" s="203">
        <f t="shared" si="1074"/>
        <v>43647</v>
      </c>
      <c r="U1746" s="204">
        <f t="shared" si="1075"/>
        <v>43677</v>
      </c>
      <c r="V1746" s="207">
        <f t="shared" si="1079"/>
        <v>0</v>
      </c>
      <c r="W1746" s="206" t="str">
        <f t="shared" si="1076"/>
        <v/>
      </c>
      <c r="X1746" s="206">
        <f t="shared" si="1077"/>
        <v>0</v>
      </c>
      <c r="Y1746" s="209">
        <f t="shared" si="1078"/>
        <v>0</v>
      </c>
    </row>
    <row r="1747" spans="2:25" ht="16.5" hidden="1" thickTop="1" thickBot="1" x14ac:dyDescent="0.3">
      <c r="B1747" s="60">
        <f>B1742</f>
        <v>13</v>
      </c>
      <c r="C1747" s="102">
        <v>90</v>
      </c>
      <c r="D1747" s="192" t="str">
        <f t="shared" si="1065"/>
        <v>VI</v>
      </c>
      <c r="E1747" s="172"/>
      <c r="F1747" s="173"/>
      <c r="G1747" s="173"/>
      <c r="H1747" s="174"/>
      <c r="I1747" s="174"/>
      <c r="J1747" s="172"/>
      <c r="K1747" s="175"/>
      <c r="L1747" s="174"/>
      <c r="M1747" s="174"/>
      <c r="N1747" s="176"/>
      <c r="O1747" s="177"/>
      <c r="P1747" s="178"/>
      <c r="Q1747" s="179"/>
      <c r="R1747" s="180"/>
      <c r="S1747" s="181"/>
      <c r="T1747" s="203">
        <f t="shared" si="1074"/>
        <v>43647</v>
      </c>
      <c r="U1747" s="204">
        <f t="shared" si="1075"/>
        <v>43677</v>
      </c>
      <c r="V1747" s="207">
        <f t="shared" si="1079"/>
        <v>0</v>
      </c>
      <c r="W1747" s="206" t="str">
        <f t="shared" si="1076"/>
        <v/>
      </c>
      <c r="X1747" s="206">
        <f t="shared" si="1077"/>
        <v>0</v>
      </c>
      <c r="Y1747" s="209">
        <f t="shared" si="1078"/>
        <v>0</v>
      </c>
    </row>
    <row r="1748" spans="2:25" ht="16.5" hidden="1" thickTop="1" thickBot="1" x14ac:dyDescent="0.3">
      <c r="B1748" s="141">
        <f>B1742</f>
        <v>13</v>
      </c>
      <c r="C1748" s="142">
        <v>91</v>
      </c>
      <c r="D1748" s="194" t="str">
        <f t="shared" si="1065"/>
        <v>VI</v>
      </c>
      <c r="E1748" s="189"/>
      <c r="F1748" s="190"/>
      <c r="G1748" s="190"/>
      <c r="H1748" s="182"/>
      <c r="I1748" s="182"/>
      <c r="J1748" s="436" t="s">
        <v>181</v>
      </c>
      <c r="K1748" s="437"/>
      <c r="L1748" s="438"/>
      <c r="M1748" s="182"/>
      <c r="N1748" s="183"/>
      <c r="O1748" s="184"/>
      <c r="P1748" s="185"/>
      <c r="Q1748" s="186"/>
      <c r="R1748" s="187"/>
      <c r="S1748" s="188"/>
      <c r="T1748" s="213">
        <f t="shared" si="1074"/>
        <v>43647</v>
      </c>
      <c r="U1748" s="214">
        <f t="shared" si="1075"/>
        <v>43677</v>
      </c>
      <c r="V1748" s="210">
        <f t="shared" si="1079"/>
        <v>0</v>
      </c>
      <c r="W1748" s="211"/>
      <c r="X1748" s="211">
        <f>IF(AND($V1748&gt;0,$I1748=1),IF($E1748=10,P1748/10,P1748/$V1748),0)</f>
        <v>0</v>
      </c>
      <c r="Y1748" s="212">
        <f>IF(AND($V1742&gt;0,$I1748&lt;&gt;1),Q1748/E1742*V1742,0)</f>
        <v>0</v>
      </c>
    </row>
    <row r="1749" spans="2:25" ht="16.5" hidden="1" thickTop="1" thickBot="1" x14ac:dyDescent="0.3">
      <c r="B1749" s="129">
        <f>B1747+1</f>
        <v>14</v>
      </c>
      <c r="C1749" s="130">
        <v>92</v>
      </c>
      <c r="D1749" s="196" t="str">
        <f t="shared" si="1065"/>
        <v>VI</v>
      </c>
      <c r="E1749" s="131"/>
      <c r="F1749" s="132"/>
      <c r="G1749" s="132"/>
      <c r="H1749" s="133"/>
      <c r="I1749" s="133"/>
      <c r="J1749" s="131"/>
      <c r="K1749" s="134"/>
      <c r="L1749" s="133"/>
      <c r="M1749" s="133"/>
      <c r="N1749" s="135"/>
      <c r="O1749" s="136"/>
      <c r="P1749" s="137"/>
      <c r="Q1749" s="138"/>
      <c r="R1749" s="139"/>
      <c r="S1749" s="140"/>
      <c r="T1749" s="203">
        <f t="shared" si="1074"/>
        <v>43647</v>
      </c>
      <c r="U1749" s="204">
        <f t="shared" si="1075"/>
        <v>43677</v>
      </c>
      <c r="V1749" s="207">
        <f>IF(G1749-F1749+1-IF(G1749-U1749&gt;0,G1749-U1749,0)-IF(T1749-F1749&gt;0,T1749-F1749,0)&gt;0,G1749-F1749+1-IF(G1749-U1749&gt;0,G1749-U1749,0)-IF(T1749-F1749&gt;0,T1749-F1749,0),0)</f>
        <v>0</v>
      </c>
      <c r="W1749" s="206" t="str">
        <f t="shared" ref="W1749:W1754" si="1080">IF(V1749&gt;0,H1749,"")</f>
        <v/>
      </c>
      <c r="X1749" s="206">
        <f t="shared" ref="X1749:X1754" si="1081">IF(AND($V1749&gt;0,$I1749=1),P1749/$E1749*$V1749,0)</f>
        <v>0</v>
      </c>
      <c r="Y1749" s="209">
        <f t="shared" ref="Y1749:Y1754" si="1082">IF(AND($V1749&gt;0,$I1749&lt;&gt;1),Q1749/$E1749*$V1749,0)</f>
        <v>0</v>
      </c>
    </row>
    <row r="1750" spans="2:25" ht="16.5" hidden="1" thickTop="1" thickBot="1" x14ac:dyDescent="0.3">
      <c r="B1750" s="60">
        <f>B1749</f>
        <v>14</v>
      </c>
      <c r="C1750" s="102">
        <v>93</v>
      </c>
      <c r="D1750" s="192" t="str">
        <f t="shared" si="1065"/>
        <v>VI</v>
      </c>
      <c r="E1750" s="62"/>
      <c r="F1750" s="105"/>
      <c r="G1750" s="105"/>
      <c r="H1750" s="61"/>
      <c r="I1750" s="61"/>
      <c r="J1750" s="62"/>
      <c r="K1750" s="63"/>
      <c r="L1750" s="61"/>
      <c r="M1750" s="61"/>
      <c r="N1750" s="111"/>
      <c r="O1750" s="112"/>
      <c r="P1750" s="113"/>
      <c r="Q1750" s="114"/>
      <c r="R1750" s="64"/>
      <c r="S1750" s="108"/>
      <c r="T1750" s="203">
        <f t="shared" si="1074"/>
        <v>43647</v>
      </c>
      <c r="U1750" s="204">
        <f t="shared" si="1075"/>
        <v>43677</v>
      </c>
      <c r="V1750" s="207">
        <f t="shared" ref="V1750:V1755" si="1083">IF(G1750-F1750+1-IF(G1750-U1750&gt;0,G1750-U1750,0)-IF(T1750-F1750&gt;0,T1750-F1750,0)&gt;0,G1750-F1750+1-IF(G1750-U1750&gt;0,G1750-U1750,0)-IF(T1750-F1750&gt;0,T1750-F1750,0),0)</f>
        <v>0</v>
      </c>
      <c r="W1750" s="206" t="str">
        <f t="shared" si="1080"/>
        <v/>
      </c>
      <c r="X1750" s="206">
        <f t="shared" si="1081"/>
        <v>0</v>
      </c>
      <c r="Y1750" s="209">
        <f t="shared" si="1082"/>
        <v>0</v>
      </c>
    </row>
    <row r="1751" spans="2:25" ht="16.5" hidden="1" thickTop="1" thickBot="1" x14ac:dyDescent="0.3">
      <c r="B1751" s="60">
        <f>B1749</f>
        <v>14</v>
      </c>
      <c r="C1751" s="102">
        <v>94</v>
      </c>
      <c r="D1751" s="192" t="str">
        <f t="shared" si="1065"/>
        <v>VI</v>
      </c>
      <c r="E1751" s="62"/>
      <c r="F1751" s="105"/>
      <c r="G1751" s="105"/>
      <c r="H1751" s="61"/>
      <c r="I1751" s="61"/>
      <c r="J1751" s="62"/>
      <c r="K1751" s="63"/>
      <c r="L1751" s="61"/>
      <c r="M1751" s="61"/>
      <c r="N1751" s="111"/>
      <c r="O1751" s="112"/>
      <c r="P1751" s="113"/>
      <c r="Q1751" s="114"/>
      <c r="R1751" s="64"/>
      <c r="S1751" s="108"/>
      <c r="T1751" s="203">
        <f t="shared" si="1074"/>
        <v>43647</v>
      </c>
      <c r="U1751" s="204">
        <f t="shared" si="1075"/>
        <v>43677</v>
      </c>
      <c r="V1751" s="207">
        <f t="shared" si="1083"/>
        <v>0</v>
      </c>
      <c r="W1751" s="206" t="str">
        <f t="shared" si="1080"/>
        <v/>
      </c>
      <c r="X1751" s="206">
        <f t="shared" si="1081"/>
        <v>0</v>
      </c>
      <c r="Y1751" s="209">
        <f t="shared" si="1082"/>
        <v>0</v>
      </c>
    </row>
    <row r="1752" spans="2:25" ht="16.5" hidden="1" thickTop="1" thickBot="1" x14ac:dyDescent="0.3">
      <c r="B1752" s="60">
        <f>B1749</f>
        <v>14</v>
      </c>
      <c r="C1752" s="102">
        <v>95</v>
      </c>
      <c r="D1752" s="192" t="str">
        <f t="shared" si="1065"/>
        <v>VI</v>
      </c>
      <c r="E1752" s="62"/>
      <c r="F1752" s="105"/>
      <c r="G1752" s="105"/>
      <c r="H1752" s="61"/>
      <c r="I1752" s="61"/>
      <c r="J1752" s="62"/>
      <c r="K1752" s="63"/>
      <c r="L1752" s="61"/>
      <c r="M1752" s="61"/>
      <c r="N1752" s="111"/>
      <c r="O1752" s="112"/>
      <c r="P1752" s="113"/>
      <c r="Q1752" s="114"/>
      <c r="R1752" s="64"/>
      <c r="S1752" s="108"/>
      <c r="T1752" s="203">
        <f t="shared" si="1074"/>
        <v>43647</v>
      </c>
      <c r="U1752" s="204">
        <f t="shared" si="1075"/>
        <v>43677</v>
      </c>
      <c r="V1752" s="207">
        <f t="shared" si="1083"/>
        <v>0</v>
      </c>
      <c r="W1752" s="206" t="str">
        <f t="shared" si="1080"/>
        <v/>
      </c>
      <c r="X1752" s="206">
        <f t="shared" si="1081"/>
        <v>0</v>
      </c>
      <c r="Y1752" s="209">
        <f t="shared" si="1082"/>
        <v>0</v>
      </c>
    </row>
    <row r="1753" spans="2:25" ht="16.5" hidden="1" thickTop="1" thickBot="1" x14ac:dyDescent="0.3">
      <c r="B1753" s="60">
        <f>B1749</f>
        <v>14</v>
      </c>
      <c r="C1753" s="102">
        <v>96</v>
      </c>
      <c r="D1753" s="192" t="str">
        <f t="shared" si="1065"/>
        <v>VI</v>
      </c>
      <c r="E1753" s="62"/>
      <c r="F1753" s="105"/>
      <c r="G1753" s="105"/>
      <c r="H1753" s="61"/>
      <c r="I1753" s="61"/>
      <c r="J1753" s="62"/>
      <c r="K1753" s="63"/>
      <c r="L1753" s="61"/>
      <c r="M1753" s="61"/>
      <c r="N1753" s="111"/>
      <c r="O1753" s="112"/>
      <c r="P1753" s="113"/>
      <c r="Q1753" s="114"/>
      <c r="R1753" s="64"/>
      <c r="S1753" s="108"/>
      <c r="T1753" s="203">
        <f t="shared" si="1074"/>
        <v>43647</v>
      </c>
      <c r="U1753" s="204">
        <f t="shared" si="1075"/>
        <v>43677</v>
      </c>
      <c r="V1753" s="207">
        <f t="shared" si="1083"/>
        <v>0</v>
      </c>
      <c r="W1753" s="206" t="str">
        <f t="shared" si="1080"/>
        <v/>
      </c>
      <c r="X1753" s="206">
        <f t="shared" si="1081"/>
        <v>0</v>
      </c>
      <c r="Y1753" s="209">
        <f t="shared" si="1082"/>
        <v>0</v>
      </c>
    </row>
    <row r="1754" spans="2:25" ht="16.5" hidden="1" thickTop="1" thickBot="1" x14ac:dyDescent="0.3">
      <c r="B1754" s="60">
        <f>B1749</f>
        <v>14</v>
      </c>
      <c r="C1754" s="102">
        <v>97</v>
      </c>
      <c r="D1754" s="192" t="str">
        <f t="shared" si="1065"/>
        <v>VI</v>
      </c>
      <c r="E1754" s="62"/>
      <c r="F1754" s="105"/>
      <c r="G1754" s="105"/>
      <c r="H1754" s="61"/>
      <c r="I1754" s="61"/>
      <c r="J1754" s="62"/>
      <c r="K1754" s="63"/>
      <c r="L1754" s="61"/>
      <c r="M1754" s="61"/>
      <c r="N1754" s="111"/>
      <c r="O1754" s="112"/>
      <c r="P1754" s="113"/>
      <c r="Q1754" s="114"/>
      <c r="R1754" s="64"/>
      <c r="S1754" s="108"/>
      <c r="T1754" s="203">
        <f t="shared" si="1074"/>
        <v>43647</v>
      </c>
      <c r="U1754" s="204">
        <f t="shared" si="1075"/>
        <v>43677</v>
      </c>
      <c r="V1754" s="207">
        <f t="shared" si="1083"/>
        <v>0</v>
      </c>
      <c r="W1754" s="206" t="str">
        <f t="shared" si="1080"/>
        <v/>
      </c>
      <c r="X1754" s="206">
        <f t="shared" si="1081"/>
        <v>0</v>
      </c>
      <c r="Y1754" s="209">
        <f t="shared" si="1082"/>
        <v>0</v>
      </c>
    </row>
    <row r="1755" spans="2:25" ht="16.5" hidden="1" thickTop="1" thickBot="1" x14ac:dyDescent="0.3">
      <c r="B1755" s="141">
        <f>B1749</f>
        <v>14</v>
      </c>
      <c r="C1755" s="142">
        <v>98</v>
      </c>
      <c r="D1755" s="194" t="str">
        <f t="shared" si="1065"/>
        <v>VI</v>
      </c>
      <c r="E1755" s="143"/>
      <c r="F1755" s="144"/>
      <c r="G1755" s="144"/>
      <c r="H1755" s="145"/>
      <c r="I1755" s="145"/>
      <c r="J1755" s="436" t="s">
        <v>181</v>
      </c>
      <c r="K1755" s="437"/>
      <c r="L1755" s="438"/>
      <c r="M1755" s="145"/>
      <c r="N1755" s="146"/>
      <c r="O1755" s="147"/>
      <c r="P1755" s="148"/>
      <c r="Q1755" s="149"/>
      <c r="R1755" s="150"/>
      <c r="S1755" s="151"/>
      <c r="T1755" s="213">
        <f t="shared" si="1074"/>
        <v>43647</v>
      </c>
      <c r="U1755" s="214">
        <f t="shared" si="1075"/>
        <v>43677</v>
      </c>
      <c r="V1755" s="210">
        <f t="shared" si="1083"/>
        <v>0</v>
      </c>
      <c r="W1755" s="211"/>
      <c r="X1755" s="211">
        <f>IF(AND($V1755&gt;0,$I1755=1),IF($E1755=10,P1755/10,P1755/$V1755),0)</f>
        <v>0</v>
      </c>
      <c r="Y1755" s="212">
        <f>IF(AND($V1749&gt;0,$I1755&lt;&gt;1),Q1755/E1749*V1749,0)</f>
        <v>0</v>
      </c>
    </row>
    <row r="1756" spans="2:25" ht="16.5" hidden="1" thickTop="1" thickBot="1" x14ac:dyDescent="0.3">
      <c r="B1756" s="129">
        <f>B1754+1</f>
        <v>15</v>
      </c>
      <c r="C1756" s="130">
        <v>99</v>
      </c>
      <c r="D1756" s="196" t="str">
        <f t="shared" si="1065"/>
        <v>VI</v>
      </c>
      <c r="E1756" s="152"/>
      <c r="F1756" s="153"/>
      <c r="G1756" s="153"/>
      <c r="H1756" s="154"/>
      <c r="I1756" s="154"/>
      <c r="J1756" s="152"/>
      <c r="K1756" s="155"/>
      <c r="L1756" s="154"/>
      <c r="M1756" s="154"/>
      <c r="N1756" s="156"/>
      <c r="O1756" s="157"/>
      <c r="P1756" s="158"/>
      <c r="Q1756" s="159"/>
      <c r="R1756" s="160"/>
      <c r="S1756" s="161"/>
      <c r="T1756" s="203">
        <f t="shared" si="1074"/>
        <v>43647</v>
      </c>
      <c r="U1756" s="204">
        <f t="shared" si="1075"/>
        <v>43677</v>
      </c>
      <c r="V1756" s="207">
        <f>IF(G1756-F1756+1-IF(G1756-U1756&gt;0,G1756-U1756,0)-IF(T1756-F1756&gt;0,T1756-F1756,0)&gt;0,G1756-F1756+1-IF(G1756-U1756&gt;0,G1756-U1756,0)-IF(T1756-F1756&gt;0,T1756-F1756,0),0)</f>
        <v>0</v>
      </c>
      <c r="W1756" s="206" t="str">
        <f t="shared" ref="W1756:W1761" si="1084">IF(V1756&gt;0,H1756,"")</f>
        <v/>
      </c>
      <c r="X1756" s="206">
        <f t="shared" ref="X1756:X1761" si="1085">IF(AND($V1756&gt;0,$I1756=1),P1756/$E1756*$V1756,0)</f>
        <v>0</v>
      </c>
      <c r="Y1756" s="209">
        <f t="shared" ref="Y1756:Y1761" si="1086">IF(AND($V1756&gt;0,$I1756&lt;&gt;1),Q1756/$E1756*$V1756,0)</f>
        <v>0</v>
      </c>
    </row>
    <row r="1757" spans="2:25" ht="16.5" hidden="1" thickTop="1" thickBot="1" x14ac:dyDescent="0.3">
      <c r="B1757" s="60">
        <f>B1756</f>
        <v>15</v>
      </c>
      <c r="C1757" s="102">
        <v>100</v>
      </c>
      <c r="D1757" s="192" t="str">
        <f t="shared" si="1065"/>
        <v>VI</v>
      </c>
      <c r="E1757" s="162"/>
      <c r="F1757" s="163"/>
      <c r="G1757" s="163"/>
      <c r="H1757" s="164"/>
      <c r="I1757" s="164"/>
      <c r="J1757" s="162"/>
      <c r="K1757" s="165"/>
      <c r="L1757" s="164"/>
      <c r="M1757" s="164"/>
      <c r="N1757" s="166"/>
      <c r="O1757" s="167"/>
      <c r="P1757" s="168"/>
      <c r="Q1757" s="169"/>
      <c r="R1757" s="170"/>
      <c r="S1757" s="171"/>
      <c r="T1757" s="203">
        <f t="shared" si="1074"/>
        <v>43647</v>
      </c>
      <c r="U1757" s="204">
        <f t="shared" si="1075"/>
        <v>43677</v>
      </c>
      <c r="V1757" s="207">
        <f t="shared" ref="V1757:V1762" si="1087">IF(G1757-F1757+1-IF(G1757-U1757&gt;0,G1757-U1757,0)-IF(T1757-F1757&gt;0,T1757-F1757,0)&gt;0,G1757-F1757+1-IF(G1757-U1757&gt;0,G1757-U1757,0)-IF(T1757-F1757&gt;0,T1757-F1757,0),0)</f>
        <v>0</v>
      </c>
      <c r="W1757" s="206" t="str">
        <f t="shared" si="1084"/>
        <v/>
      </c>
      <c r="X1757" s="206">
        <f t="shared" si="1085"/>
        <v>0</v>
      </c>
      <c r="Y1757" s="209">
        <f t="shared" si="1086"/>
        <v>0</v>
      </c>
    </row>
    <row r="1758" spans="2:25" ht="16.5" hidden="1" thickTop="1" thickBot="1" x14ac:dyDescent="0.3">
      <c r="B1758" s="60">
        <f>B1756</f>
        <v>15</v>
      </c>
      <c r="C1758" s="102">
        <v>101</v>
      </c>
      <c r="D1758" s="192" t="str">
        <f t="shared" si="1065"/>
        <v>VI</v>
      </c>
      <c r="E1758" s="162"/>
      <c r="F1758" s="163"/>
      <c r="G1758" s="163"/>
      <c r="H1758" s="164"/>
      <c r="I1758" s="164"/>
      <c r="J1758" s="162"/>
      <c r="K1758" s="165"/>
      <c r="L1758" s="164"/>
      <c r="M1758" s="164"/>
      <c r="N1758" s="166"/>
      <c r="O1758" s="167"/>
      <c r="P1758" s="168"/>
      <c r="Q1758" s="169"/>
      <c r="R1758" s="170"/>
      <c r="S1758" s="171"/>
      <c r="T1758" s="203">
        <f t="shared" si="1074"/>
        <v>43647</v>
      </c>
      <c r="U1758" s="204">
        <f t="shared" si="1075"/>
        <v>43677</v>
      </c>
      <c r="V1758" s="207">
        <f t="shared" si="1087"/>
        <v>0</v>
      </c>
      <c r="W1758" s="206" t="str">
        <f t="shared" si="1084"/>
        <v/>
      </c>
      <c r="X1758" s="206">
        <f t="shared" si="1085"/>
        <v>0</v>
      </c>
      <c r="Y1758" s="209">
        <f t="shared" si="1086"/>
        <v>0</v>
      </c>
    </row>
    <row r="1759" spans="2:25" ht="16.5" hidden="1" thickTop="1" thickBot="1" x14ac:dyDescent="0.3">
      <c r="B1759" s="60">
        <f>B1756</f>
        <v>15</v>
      </c>
      <c r="C1759" s="102">
        <v>102</v>
      </c>
      <c r="D1759" s="192" t="str">
        <f t="shared" si="1065"/>
        <v>VI</v>
      </c>
      <c r="E1759" s="162"/>
      <c r="F1759" s="163"/>
      <c r="G1759" s="163"/>
      <c r="H1759" s="164"/>
      <c r="I1759" s="164"/>
      <c r="J1759" s="162"/>
      <c r="K1759" s="165"/>
      <c r="L1759" s="164"/>
      <c r="M1759" s="164"/>
      <c r="N1759" s="166"/>
      <c r="O1759" s="167"/>
      <c r="P1759" s="168"/>
      <c r="Q1759" s="169"/>
      <c r="R1759" s="170"/>
      <c r="S1759" s="171"/>
      <c r="T1759" s="203">
        <f t="shared" si="1074"/>
        <v>43647</v>
      </c>
      <c r="U1759" s="204">
        <f t="shared" si="1075"/>
        <v>43677</v>
      </c>
      <c r="V1759" s="207">
        <f t="shared" si="1087"/>
        <v>0</v>
      </c>
      <c r="W1759" s="206" t="str">
        <f t="shared" si="1084"/>
        <v/>
      </c>
      <c r="X1759" s="206">
        <f t="shared" si="1085"/>
        <v>0</v>
      </c>
      <c r="Y1759" s="209">
        <f t="shared" si="1086"/>
        <v>0</v>
      </c>
    </row>
    <row r="1760" spans="2:25" ht="16.5" hidden="1" thickTop="1" thickBot="1" x14ac:dyDescent="0.3">
      <c r="B1760" s="60">
        <f>B1756</f>
        <v>15</v>
      </c>
      <c r="C1760" s="102">
        <v>103</v>
      </c>
      <c r="D1760" s="192" t="str">
        <f t="shared" si="1065"/>
        <v>VI</v>
      </c>
      <c r="E1760" s="162"/>
      <c r="F1760" s="163"/>
      <c r="G1760" s="163"/>
      <c r="H1760" s="164"/>
      <c r="I1760" s="164"/>
      <c r="J1760" s="162"/>
      <c r="K1760" s="165"/>
      <c r="L1760" s="164"/>
      <c r="M1760" s="164"/>
      <c r="N1760" s="166"/>
      <c r="O1760" s="167"/>
      <c r="P1760" s="168"/>
      <c r="Q1760" s="169"/>
      <c r="R1760" s="170"/>
      <c r="S1760" s="171"/>
      <c r="T1760" s="203">
        <f t="shared" si="1074"/>
        <v>43647</v>
      </c>
      <c r="U1760" s="204">
        <f t="shared" si="1075"/>
        <v>43677</v>
      </c>
      <c r="V1760" s="207">
        <f t="shared" si="1087"/>
        <v>0</v>
      </c>
      <c r="W1760" s="206" t="str">
        <f t="shared" si="1084"/>
        <v/>
      </c>
      <c r="X1760" s="206">
        <f t="shared" si="1085"/>
        <v>0</v>
      </c>
      <c r="Y1760" s="209">
        <f t="shared" si="1086"/>
        <v>0</v>
      </c>
    </row>
    <row r="1761" spans="2:25" ht="16.5" hidden="1" thickTop="1" thickBot="1" x14ac:dyDescent="0.3">
      <c r="B1761" s="60">
        <f>B1756</f>
        <v>15</v>
      </c>
      <c r="C1761" s="102">
        <v>104</v>
      </c>
      <c r="D1761" s="192" t="str">
        <f t="shared" si="1065"/>
        <v>VI</v>
      </c>
      <c r="E1761" s="172"/>
      <c r="F1761" s="173"/>
      <c r="G1761" s="173"/>
      <c r="H1761" s="174"/>
      <c r="I1761" s="174"/>
      <c r="J1761" s="172"/>
      <c r="K1761" s="175"/>
      <c r="L1761" s="174"/>
      <c r="M1761" s="174"/>
      <c r="N1761" s="176"/>
      <c r="O1761" s="177"/>
      <c r="P1761" s="178"/>
      <c r="Q1761" s="179"/>
      <c r="R1761" s="180"/>
      <c r="S1761" s="181"/>
      <c r="T1761" s="203">
        <f t="shared" si="1074"/>
        <v>43647</v>
      </c>
      <c r="U1761" s="204">
        <f t="shared" si="1075"/>
        <v>43677</v>
      </c>
      <c r="V1761" s="207">
        <f t="shared" si="1087"/>
        <v>0</v>
      </c>
      <c r="W1761" s="206" t="str">
        <f t="shared" si="1084"/>
        <v/>
      </c>
      <c r="X1761" s="206">
        <f t="shared" si="1085"/>
        <v>0</v>
      </c>
      <c r="Y1761" s="209">
        <f t="shared" si="1086"/>
        <v>0</v>
      </c>
    </row>
    <row r="1762" spans="2:25" ht="16.5" hidden="1" thickTop="1" thickBot="1" x14ac:dyDescent="0.3">
      <c r="B1762" s="141">
        <f>B1756</f>
        <v>15</v>
      </c>
      <c r="C1762" s="142">
        <v>105</v>
      </c>
      <c r="D1762" s="194" t="str">
        <f t="shared" si="1065"/>
        <v>VI</v>
      </c>
      <c r="E1762" s="189"/>
      <c r="F1762" s="190"/>
      <c r="G1762" s="190"/>
      <c r="H1762" s="182"/>
      <c r="I1762" s="182"/>
      <c r="J1762" s="436" t="s">
        <v>181</v>
      </c>
      <c r="K1762" s="437"/>
      <c r="L1762" s="438"/>
      <c r="M1762" s="182"/>
      <c r="N1762" s="183"/>
      <c r="O1762" s="184"/>
      <c r="P1762" s="185"/>
      <c r="Q1762" s="186"/>
      <c r="R1762" s="187"/>
      <c r="S1762" s="188"/>
      <c r="T1762" s="213">
        <f t="shared" si="1074"/>
        <v>43647</v>
      </c>
      <c r="U1762" s="214">
        <f t="shared" si="1075"/>
        <v>43677</v>
      </c>
      <c r="V1762" s="210">
        <f t="shared" si="1087"/>
        <v>0</v>
      </c>
      <c r="W1762" s="211"/>
      <c r="X1762" s="211">
        <f>IF(AND($V1762&gt;0,$I1762=1),IF($E1762=10,P1762/10,P1762/$V1762),0)</f>
        <v>0</v>
      </c>
      <c r="Y1762" s="212">
        <f>IF(AND($V1756&gt;0,$I1762&lt;&gt;1),Q1762/E1756*V1756,0)</f>
        <v>0</v>
      </c>
    </row>
    <row r="1763" spans="2:25" ht="30.75" thickTop="1" x14ac:dyDescent="0.25">
      <c r="B1763" s="129">
        <f>B1761+1</f>
        <v>16</v>
      </c>
      <c r="C1763" s="130">
        <v>106</v>
      </c>
      <c r="D1763" s="196" t="str">
        <f t="shared" si="1065"/>
        <v>VI</v>
      </c>
      <c r="E1763" s="131">
        <v>10</v>
      </c>
      <c r="F1763" s="132">
        <v>43686</v>
      </c>
      <c r="G1763" s="132">
        <v>43695</v>
      </c>
      <c r="H1763" s="133" t="s">
        <v>239</v>
      </c>
      <c r="I1763" s="133">
        <v>1</v>
      </c>
      <c r="J1763" s="131" t="s">
        <v>168</v>
      </c>
      <c r="K1763" s="134" t="s">
        <v>16</v>
      </c>
      <c r="L1763" s="133">
        <v>1</v>
      </c>
      <c r="M1763" s="133">
        <v>7</v>
      </c>
      <c r="N1763" s="135">
        <v>44</v>
      </c>
      <c r="O1763" s="136">
        <v>44</v>
      </c>
      <c r="P1763" s="137">
        <v>44</v>
      </c>
      <c r="Q1763" s="138"/>
      <c r="R1763" s="139" t="s">
        <v>4</v>
      </c>
      <c r="S1763" s="140">
        <v>43620</v>
      </c>
      <c r="T1763" s="203">
        <f t="shared" si="1074"/>
        <v>43647</v>
      </c>
      <c r="U1763" s="204">
        <f t="shared" si="1075"/>
        <v>43677</v>
      </c>
      <c r="V1763" s="207">
        <f>IF(G1763-F1763+1-IF(G1763-U1763&gt;0,G1763-U1763,0)-IF(T1763-F1763&gt;0,T1763-F1763,0)&gt;0,G1763-F1763+1-IF(G1763-U1763&gt;0,G1763-U1763,0)-IF(T1763-F1763&gt;0,T1763-F1763,0),0)</f>
        <v>0</v>
      </c>
      <c r="W1763" s="206" t="str">
        <f t="shared" ref="W1763:W1768" si="1088">IF(V1763&gt;0,H1763,"")</f>
        <v/>
      </c>
      <c r="X1763" s="206">
        <f t="shared" ref="X1763:X1768" si="1089">IF(AND($V1763&gt;0,$I1763=1),P1763/$E1763*$V1763,0)</f>
        <v>0</v>
      </c>
      <c r="Y1763" s="209">
        <f t="shared" ref="Y1763:Y1768" si="1090">IF(AND($V1763&gt;0,$I1763&lt;&gt;1),Q1763/$E1763*$V1763,0)</f>
        <v>0</v>
      </c>
    </row>
    <row r="1764" spans="2:25" hidden="1" x14ac:dyDescent="0.25">
      <c r="B1764" s="60">
        <f>B1763</f>
        <v>16</v>
      </c>
      <c r="C1764" s="102">
        <v>107</v>
      </c>
      <c r="D1764" s="192" t="str">
        <f t="shared" si="1065"/>
        <v>VI</v>
      </c>
      <c r="E1764" s="62"/>
      <c r="F1764" s="105"/>
      <c r="G1764" s="105"/>
      <c r="H1764" s="61"/>
      <c r="I1764" s="61"/>
      <c r="J1764" s="62"/>
      <c r="K1764" s="63"/>
      <c r="L1764" s="61"/>
      <c r="M1764" s="61"/>
      <c r="N1764" s="111"/>
      <c r="O1764" s="112"/>
      <c r="P1764" s="113"/>
      <c r="Q1764" s="114"/>
      <c r="R1764" s="64"/>
      <c r="S1764" s="108"/>
      <c r="T1764" s="203">
        <f t="shared" si="1074"/>
        <v>43647</v>
      </c>
      <c r="U1764" s="204">
        <f t="shared" si="1075"/>
        <v>43677</v>
      </c>
      <c r="V1764" s="207">
        <f t="shared" ref="V1764:V1769" si="1091">IF(G1764-F1764+1-IF(G1764-U1764&gt;0,G1764-U1764,0)-IF(T1764-F1764&gt;0,T1764-F1764,0)&gt;0,G1764-F1764+1-IF(G1764-U1764&gt;0,G1764-U1764,0)-IF(T1764-F1764&gt;0,T1764-F1764,0),0)</f>
        <v>0</v>
      </c>
      <c r="W1764" s="206" t="str">
        <f t="shared" si="1088"/>
        <v/>
      </c>
      <c r="X1764" s="206">
        <f t="shared" si="1089"/>
        <v>0</v>
      </c>
      <c r="Y1764" s="209">
        <f t="shared" si="1090"/>
        <v>0</v>
      </c>
    </row>
    <row r="1765" spans="2:25" hidden="1" x14ac:dyDescent="0.25">
      <c r="B1765" s="60">
        <f>B1763</f>
        <v>16</v>
      </c>
      <c r="C1765" s="102">
        <v>108</v>
      </c>
      <c r="D1765" s="192" t="str">
        <f t="shared" si="1065"/>
        <v>VI</v>
      </c>
      <c r="E1765" s="62"/>
      <c r="F1765" s="105"/>
      <c r="G1765" s="105"/>
      <c r="H1765" s="61"/>
      <c r="I1765" s="61"/>
      <c r="J1765" s="62"/>
      <c r="K1765" s="63"/>
      <c r="L1765" s="61"/>
      <c r="M1765" s="61"/>
      <c r="N1765" s="111"/>
      <c r="O1765" s="112"/>
      <c r="P1765" s="113"/>
      <c r="Q1765" s="114"/>
      <c r="R1765" s="64"/>
      <c r="S1765" s="108"/>
      <c r="T1765" s="203">
        <f t="shared" si="1074"/>
        <v>43647</v>
      </c>
      <c r="U1765" s="204">
        <f t="shared" si="1075"/>
        <v>43677</v>
      </c>
      <c r="V1765" s="207">
        <f t="shared" si="1091"/>
        <v>0</v>
      </c>
      <c r="W1765" s="206" t="str">
        <f t="shared" si="1088"/>
        <v/>
      </c>
      <c r="X1765" s="206">
        <f t="shared" si="1089"/>
        <v>0</v>
      </c>
      <c r="Y1765" s="209">
        <f t="shared" si="1090"/>
        <v>0</v>
      </c>
    </row>
    <row r="1766" spans="2:25" hidden="1" x14ac:dyDescent="0.25">
      <c r="B1766" s="60">
        <f>B1763</f>
        <v>16</v>
      </c>
      <c r="C1766" s="102">
        <v>109</v>
      </c>
      <c r="D1766" s="192" t="str">
        <f t="shared" si="1065"/>
        <v>VI</v>
      </c>
      <c r="E1766" s="62"/>
      <c r="F1766" s="105"/>
      <c r="G1766" s="105"/>
      <c r="H1766" s="61"/>
      <c r="I1766" s="61"/>
      <c r="J1766" s="62"/>
      <c r="K1766" s="63"/>
      <c r="L1766" s="61"/>
      <c r="M1766" s="61"/>
      <c r="N1766" s="111"/>
      <c r="O1766" s="112"/>
      <c r="P1766" s="113"/>
      <c r="Q1766" s="114"/>
      <c r="R1766" s="64"/>
      <c r="S1766" s="108"/>
      <c r="T1766" s="203">
        <f t="shared" si="1074"/>
        <v>43647</v>
      </c>
      <c r="U1766" s="204">
        <f t="shared" si="1075"/>
        <v>43677</v>
      </c>
      <c r="V1766" s="207">
        <f t="shared" si="1091"/>
        <v>0</v>
      </c>
      <c r="W1766" s="206" t="str">
        <f t="shared" si="1088"/>
        <v/>
      </c>
      <c r="X1766" s="206">
        <f t="shared" si="1089"/>
        <v>0</v>
      </c>
      <c r="Y1766" s="209">
        <f t="shared" si="1090"/>
        <v>0</v>
      </c>
    </row>
    <row r="1767" spans="2:25" hidden="1" x14ac:dyDescent="0.25">
      <c r="B1767" s="60">
        <f>B1763</f>
        <v>16</v>
      </c>
      <c r="C1767" s="102">
        <v>110</v>
      </c>
      <c r="D1767" s="192" t="str">
        <f t="shared" si="1065"/>
        <v>VI</v>
      </c>
      <c r="E1767" s="62"/>
      <c r="F1767" s="105"/>
      <c r="G1767" s="105"/>
      <c r="H1767" s="61"/>
      <c r="I1767" s="61"/>
      <c r="J1767" s="62"/>
      <c r="K1767" s="63"/>
      <c r="L1767" s="61"/>
      <c r="M1767" s="61"/>
      <c r="N1767" s="111"/>
      <c r="O1767" s="112"/>
      <c r="P1767" s="113"/>
      <c r="Q1767" s="114"/>
      <c r="R1767" s="64"/>
      <c r="S1767" s="108"/>
      <c r="T1767" s="203">
        <f t="shared" si="1074"/>
        <v>43647</v>
      </c>
      <c r="U1767" s="204">
        <f t="shared" si="1075"/>
        <v>43677</v>
      </c>
      <c r="V1767" s="207">
        <f t="shared" si="1091"/>
        <v>0</v>
      </c>
      <c r="W1767" s="206" t="str">
        <f t="shared" si="1088"/>
        <v/>
      </c>
      <c r="X1767" s="206">
        <f t="shared" si="1089"/>
        <v>0</v>
      </c>
      <c r="Y1767" s="209">
        <f t="shared" si="1090"/>
        <v>0</v>
      </c>
    </row>
    <row r="1768" spans="2:25" hidden="1" x14ac:dyDescent="0.25">
      <c r="B1768" s="60">
        <f>B1763</f>
        <v>16</v>
      </c>
      <c r="C1768" s="102">
        <v>111</v>
      </c>
      <c r="D1768" s="192" t="str">
        <f t="shared" si="1065"/>
        <v>VI</v>
      </c>
      <c r="E1768" s="62"/>
      <c r="F1768" s="105"/>
      <c r="G1768" s="105"/>
      <c r="H1768" s="61"/>
      <c r="I1768" s="61"/>
      <c r="J1768" s="62"/>
      <c r="K1768" s="63"/>
      <c r="L1768" s="61"/>
      <c r="M1768" s="61"/>
      <c r="N1768" s="111"/>
      <c r="O1768" s="112"/>
      <c r="P1768" s="113"/>
      <c r="Q1768" s="114"/>
      <c r="R1768" s="64"/>
      <c r="S1768" s="108"/>
      <c r="T1768" s="203">
        <f t="shared" si="1074"/>
        <v>43647</v>
      </c>
      <c r="U1768" s="204">
        <f t="shared" si="1075"/>
        <v>43677</v>
      </c>
      <c r="V1768" s="207">
        <f t="shared" si="1091"/>
        <v>0</v>
      </c>
      <c r="W1768" s="206" t="str">
        <f t="shared" si="1088"/>
        <v/>
      </c>
      <c r="X1768" s="206">
        <f t="shared" si="1089"/>
        <v>0</v>
      </c>
      <c r="Y1768" s="209">
        <f t="shared" si="1090"/>
        <v>0</v>
      </c>
    </row>
    <row r="1769" spans="2:25" ht="15.75" thickBot="1" x14ac:dyDescent="0.3">
      <c r="B1769" s="141">
        <f>B1763</f>
        <v>16</v>
      </c>
      <c r="C1769" s="142">
        <v>112</v>
      </c>
      <c r="D1769" s="194" t="str">
        <f t="shared" si="1065"/>
        <v>VI</v>
      </c>
      <c r="E1769" s="143"/>
      <c r="F1769" s="144"/>
      <c r="G1769" s="144"/>
      <c r="H1769" s="145"/>
      <c r="I1769" s="145"/>
      <c r="J1769" s="436" t="s">
        <v>181</v>
      </c>
      <c r="K1769" s="437"/>
      <c r="L1769" s="438"/>
      <c r="M1769" s="145"/>
      <c r="N1769" s="146">
        <v>10</v>
      </c>
      <c r="O1769" s="147">
        <v>10</v>
      </c>
      <c r="P1769" s="148"/>
      <c r="Q1769" s="149">
        <v>10</v>
      </c>
      <c r="R1769" s="150" t="s">
        <v>4</v>
      </c>
      <c r="S1769" s="151">
        <v>43620</v>
      </c>
      <c r="T1769" s="213">
        <f t="shared" si="1074"/>
        <v>43647</v>
      </c>
      <c r="U1769" s="214">
        <f t="shared" si="1075"/>
        <v>43677</v>
      </c>
      <c r="V1769" s="210">
        <f t="shared" si="1091"/>
        <v>0</v>
      </c>
      <c r="W1769" s="211"/>
      <c r="X1769" s="211">
        <f>IF(AND($V1769&gt;0,$I1769=1),IF($E1769=10,P1769/10,P1769/$V1769),0)</f>
        <v>0</v>
      </c>
      <c r="Y1769" s="212">
        <f>IF(AND($V1763&gt;0,$I1769&lt;&gt;1),Q1769/E1763*V1763,0)</f>
        <v>0</v>
      </c>
    </row>
    <row r="1770" spans="2:25" ht="16.5" hidden="1" thickTop="1" thickBot="1" x14ac:dyDescent="0.3">
      <c r="B1770" s="129">
        <f>B1768+1</f>
        <v>17</v>
      </c>
      <c r="C1770" s="130">
        <v>113</v>
      </c>
      <c r="D1770" s="196" t="str">
        <f t="shared" si="1065"/>
        <v>VI</v>
      </c>
      <c r="E1770" s="152"/>
      <c r="F1770" s="153"/>
      <c r="G1770" s="153"/>
      <c r="H1770" s="154"/>
      <c r="I1770" s="154"/>
      <c r="J1770" s="152"/>
      <c r="K1770" s="155"/>
      <c r="L1770" s="154"/>
      <c r="M1770" s="154"/>
      <c r="N1770" s="156"/>
      <c r="O1770" s="157"/>
      <c r="P1770" s="158"/>
      <c r="Q1770" s="159"/>
      <c r="R1770" s="160"/>
      <c r="S1770" s="161"/>
      <c r="T1770" s="203">
        <f t="shared" si="1074"/>
        <v>43647</v>
      </c>
      <c r="U1770" s="204">
        <f t="shared" si="1075"/>
        <v>43677</v>
      </c>
      <c r="V1770" s="207">
        <f>IF(G1770-F1770+1-IF(G1770-U1770&gt;0,G1770-U1770,0)-IF(T1770-F1770&gt;0,T1770-F1770,0)&gt;0,G1770-F1770+1-IF(G1770-U1770&gt;0,G1770-U1770,0)-IF(T1770-F1770&gt;0,T1770-F1770,0),0)</f>
        <v>0</v>
      </c>
      <c r="W1770" s="206" t="str">
        <f t="shared" ref="W1770:W1775" si="1092">IF(V1770&gt;0,H1770,"")</f>
        <v/>
      </c>
      <c r="X1770" s="206">
        <f t="shared" ref="X1770:X1775" si="1093">IF(AND($V1770&gt;0,$I1770=1),P1770/$E1770*$V1770,0)</f>
        <v>0</v>
      </c>
      <c r="Y1770" s="209">
        <f t="shared" ref="Y1770:Y1775" si="1094">IF(AND($V1770&gt;0,$I1770&lt;&gt;1),Q1770/$E1770*$V1770,0)</f>
        <v>0</v>
      </c>
    </row>
    <row r="1771" spans="2:25" ht="16.5" hidden="1" thickTop="1" thickBot="1" x14ac:dyDescent="0.3">
      <c r="B1771" s="60">
        <f>B1770</f>
        <v>17</v>
      </c>
      <c r="C1771" s="102">
        <v>114</v>
      </c>
      <c r="D1771" s="192" t="str">
        <f t="shared" si="1065"/>
        <v>VI</v>
      </c>
      <c r="E1771" s="162"/>
      <c r="F1771" s="163"/>
      <c r="G1771" s="163"/>
      <c r="H1771" s="164"/>
      <c r="I1771" s="164"/>
      <c r="J1771" s="162"/>
      <c r="K1771" s="165"/>
      <c r="L1771" s="164"/>
      <c r="M1771" s="164"/>
      <c r="N1771" s="166"/>
      <c r="O1771" s="167"/>
      <c r="P1771" s="168"/>
      <c r="Q1771" s="169"/>
      <c r="R1771" s="170"/>
      <c r="S1771" s="171"/>
      <c r="T1771" s="203">
        <f t="shared" si="1074"/>
        <v>43647</v>
      </c>
      <c r="U1771" s="204">
        <f t="shared" si="1075"/>
        <v>43677</v>
      </c>
      <c r="V1771" s="207">
        <f t="shared" ref="V1771:V1776" si="1095">IF(G1771-F1771+1-IF(G1771-U1771&gt;0,G1771-U1771,0)-IF(T1771-F1771&gt;0,T1771-F1771,0)&gt;0,G1771-F1771+1-IF(G1771-U1771&gt;0,G1771-U1771,0)-IF(T1771-F1771&gt;0,T1771-F1771,0),0)</f>
        <v>0</v>
      </c>
      <c r="W1771" s="206" t="str">
        <f t="shared" si="1092"/>
        <v/>
      </c>
      <c r="X1771" s="206">
        <f t="shared" si="1093"/>
        <v>0</v>
      </c>
      <c r="Y1771" s="209">
        <f t="shared" si="1094"/>
        <v>0</v>
      </c>
    </row>
    <row r="1772" spans="2:25" ht="16.5" hidden="1" thickTop="1" thickBot="1" x14ac:dyDescent="0.3">
      <c r="B1772" s="60">
        <f>B1770</f>
        <v>17</v>
      </c>
      <c r="C1772" s="102">
        <v>115</v>
      </c>
      <c r="D1772" s="192" t="str">
        <f t="shared" si="1065"/>
        <v>VI</v>
      </c>
      <c r="E1772" s="162"/>
      <c r="F1772" s="163"/>
      <c r="G1772" s="163"/>
      <c r="H1772" s="164"/>
      <c r="I1772" s="164"/>
      <c r="J1772" s="162"/>
      <c r="K1772" s="165"/>
      <c r="L1772" s="164"/>
      <c r="M1772" s="164"/>
      <c r="N1772" s="166"/>
      <c r="O1772" s="167"/>
      <c r="P1772" s="168"/>
      <c r="Q1772" s="169"/>
      <c r="R1772" s="170"/>
      <c r="S1772" s="171"/>
      <c r="T1772" s="203">
        <f t="shared" si="1074"/>
        <v>43647</v>
      </c>
      <c r="U1772" s="204">
        <f t="shared" si="1075"/>
        <v>43677</v>
      </c>
      <c r="V1772" s="207">
        <f t="shared" si="1095"/>
        <v>0</v>
      </c>
      <c r="W1772" s="206" t="str">
        <f t="shared" si="1092"/>
        <v/>
      </c>
      <c r="X1772" s="206">
        <f t="shared" si="1093"/>
        <v>0</v>
      </c>
      <c r="Y1772" s="209">
        <f t="shared" si="1094"/>
        <v>0</v>
      </c>
    </row>
    <row r="1773" spans="2:25" ht="16.5" hidden="1" thickTop="1" thickBot="1" x14ac:dyDescent="0.3">
      <c r="B1773" s="60">
        <f>B1770</f>
        <v>17</v>
      </c>
      <c r="C1773" s="102">
        <v>116</v>
      </c>
      <c r="D1773" s="192" t="str">
        <f t="shared" si="1065"/>
        <v>VI</v>
      </c>
      <c r="E1773" s="162"/>
      <c r="F1773" s="163"/>
      <c r="G1773" s="163"/>
      <c r="H1773" s="164"/>
      <c r="I1773" s="164"/>
      <c r="J1773" s="162"/>
      <c r="K1773" s="165"/>
      <c r="L1773" s="164"/>
      <c r="M1773" s="164"/>
      <c r="N1773" s="166"/>
      <c r="O1773" s="167"/>
      <c r="P1773" s="168"/>
      <c r="Q1773" s="169"/>
      <c r="R1773" s="170"/>
      <c r="S1773" s="171"/>
      <c r="T1773" s="203">
        <f t="shared" si="1074"/>
        <v>43647</v>
      </c>
      <c r="U1773" s="204">
        <f t="shared" si="1075"/>
        <v>43677</v>
      </c>
      <c r="V1773" s="207">
        <f t="shared" si="1095"/>
        <v>0</v>
      </c>
      <c r="W1773" s="206" t="str">
        <f t="shared" si="1092"/>
        <v/>
      </c>
      <c r="X1773" s="206">
        <f t="shared" si="1093"/>
        <v>0</v>
      </c>
      <c r="Y1773" s="209">
        <f t="shared" si="1094"/>
        <v>0</v>
      </c>
    </row>
    <row r="1774" spans="2:25" ht="16.5" hidden="1" thickTop="1" thickBot="1" x14ac:dyDescent="0.3">
      <c r="B1774" s="60">
        <f>B1770</f>
        <v>17</v>
      </c>
      <c r="C1774" s="102">
        <v>117</v>
      </c>
      <c r="D1774" s="192" t="str">
        <f t="shared" si="1065"/>
        <v>VI</v>
      </c>
      <c r="E1774" s="162"/>
      <c r="F1774" s="163"/>
      <c r="G1774" s="163"/>
      <c r="H1774" s="164"/>
      <c r="I1774" s="164"/>
      <c r="J1774" s="162"/>
      <c r="K1774" s="165"/>
      <c r="L1774" s="164"/>
      <c r="M1774" s="164"/>
      <c r="N1774" s="166"/>
      <c r="O1774" s="167"/>
      <c r="P1774" s="168"/>
      <c r="Q1774" s="169"/>
      <c r="R1774" s="170"/>
      <c r="S1774" s="171"/>
      <c r="T1774" s="203">
        <f t="shared" si="1074"/>
        <v>43647</v>
      </c>
      <c r="U1774" s="204">
        <f t="shared" si="1075"/>
        <v>43677</v>
      </c>
      <c r="V1774" s="207">
        <f t="shared" si="1095"/>
        <v>0</v>
      </c>
      <c r="W1774" s="206" t="str">
        <f t="shared" si="1092"/>
        <v/>
      </c>
      <c r="X1774" s="206">
        <f t="shared" si="1093"/>
        <v>0</v>
      </c>
      <c r="Y1774" s="209">
        <f t="shared" si="1094"/>
        <v>0</v>
      </c>
    </row>
    <row r="1775" spans="2:25" ht="16.5" hidden="1" thickTop="1" thickBot="1" x14ac:dyDescent="0.3">
      <c r="B1775" s="60">
        <f>B1770</f>
        <v>17</v>
      </c>
      <c r="C1775" s="102">
        <v>118</v>
      </c>
      <c r="D1775" s="192" t="str">
        <f t="shared" si="1065"/>
        <v>VI</v>
      </c>
      <c r="E1775" s="172"/>
      <c r="F1775" s="173"/>
      <c r="G1775" s="173"/>
      <c r="H1775" s="174"/>
      <c r="I1775" s="174"/>
      <c r="J1775" s="172"/>
      <c r="K1775" s="175"/>
      <c r="L1775" s="174"/>
      <c r="M1775" s="174"/>
      <c r="N1775" s="176"/>
      <c r="O1775" s="177"/>
      <c r="P1775" s="178"/>
      <c r="Q1775" s="179"/>
      <c r="R1775" s="180"/>
      <c r="S1775" s="181"/>
      <c r="T1775" s="203">
        <f t="shared" si="1074"/>
        <v>43647</v>
      </c>
      <c r="U1775" s="204">
        <f t="shared" si="1075"/>
        <v>43677</v>
      </c>
      <c r="V1775" s="207">
        <f t="shared" si="1095"/>
        <v>0</v>
      </c>
      <c r="W1775" s="206" t="str">
        <f t="shared" si="1092"/>
        <v/>
      </c>
      <c r="X1775" s="206">
        <f t="shared" si="1093"/>
        <v>0</v>
      </c>
      <c r="Y1775" s="209">
        <f t="shared" si="1094"/>
        <v>0</v>
      </c>
    </row>
    <row r="1776" spans="2:25" ht="16.5" hidden="1" thickTop="1" thickBot="1" x14ac:dyDescent="0.3">
      <c r="B1776" s="141">
        <f>B1770</f>
        <v>17</v>
      </c>
      <c r="C1776" s="142">
        <v>119</v>
      </c>
      <c r="D1776" s="194" t="str">
        <f t="shared" si="1065"/>
        <v>VI</v>
      </c>
      <c r="E1776" s="189"/>
      <c r="F1776" s="190"/>
      <c r="G1776" s="190"/>
      <c r="H1776" s="182"/>
      <c r="I1776" s="182"/>
      <c r="J1776" s="436" t="s">
        <v>181</v>
      </c>
      <c r="K1776" s="437"/>
      <c r="L1776" s="438"/>
      <c r="M1776" s="182"/>
      <c r="N1776" s="183"/>
      <c r="O1776" s="184"/>
      <c r="P1776" s="185"/>
      <c r="Q1776" s="186"/>
      <c r="R1776" s="187"/>
      <c r="S1776" s="188"/>
      <c r="T1776" s="213">
        <f t="shared" si="1074"/>
        <v>43647</v>
      </c>
      <c r="U1776" s="214">
        <f t="shared" si="1075"/>
        <v>43677</v>
      </c>
      <c r="V1776" s="210">
        <f t="shared" si="1095"/>
        <v>0</v>
      </c>
      <c r="W1776" s="211"/>
      <c r="X1776" s="211">
        <f>IF(AND($V1776&gt;0,$I1776=1),IF($E1776=10,P1776/10,P1776/$V1776),0)</f>
        <v>0</v>
      </c>
      <c r="Y1776" s="212">
        <f>IF(AND($V1770&gt;0,$I1776&lt;&gt;1),Q1776/E1770*V1770,0)</f>
        <v>0</v>
      </c>
    </row>
    <row r="1777" spans="2:25" ht="16.5" hidden="1" thickTop="1" thickBot="1" x14ac:dyDescent="0.3">
      <c r="B1777" s="129">
        <f>B1775+1</f>
        <v>18</v>
      </c>
      <c r="C1777" s="130">
        <v>120</v>
      </c>
      <c r="D1777" s="196" t="str">
        <f t="shared" si="1065"/>
        <v>VI</v>
      </c>
      <c r="E1777" s="131"/>
      <c r="F1777" s="132"/>
      <c r="G1777" s="132"/>
      <c r="H1777" s="133"/>
      <c r="I1777" s="133"/>
      <c r="J1777" s="131"/>
      <c r="K1777" s="134"/>
      <c r="L1777" s="133"/>
      <c r="M1777" s="133"/>
      <c r="N1777" s="135"/>
      <c r="O1777" s="136"/>
      <c r="P1777" s="137"/>
      <c r="Q1777" s="138"/>
      <c r="R1777" s="139"/>
      <c r="S1777" s="140"/>
      <c r="T1777" s="203">
        <f t="shared" si="1074"/>
        <v>43647</v>
      </c>
      <c r="U1777" s="204">
        <f t="shared" si="1075"/>
        <v>43677</v>
      </c>
      <c r="V1777" s="207">
        <f>IF(G1777-F1777+1-IF(G1777-U1777&gt;0,G1777-U1777,0)-IF(T1777-F1777&gt;0,T1777-F1777,0)&gt;0,G1777-F1777+1-IF(G1777-U1777&gt;0,G1777-U1777,0)-IF(T1777-F1777&gt;0,T1777-F1777,0),0)</f>
        <v>0</v>
      </c>
      <c r="W1777" s="206" t="str">
        <f t="shared" ref="W1777:W1782" si="1096">IF(V1777&gt;0,H1777,"")</f>
        <v/>
      </c>
      <c r="X1777" s="206">
        <f t="shared" ref="X1777:X1782" si="1097">IF(AND($V1777&gt;0,$I1777=1),P1777/$E1777*$V1777,0)</f>
        <v>0</v>
      </c>
      <c r="Y1777" s="209">
        <f t="shared" ref="Y1777:Y1782" si="1098">IF(AND($V1777&gt;0,$I1777&lt;&gt;1),Q1777/$E1777*$V1777,0)</f>
        <v>0</v>
      </c>
    </row>
    <row r="1778" spans="2:25" ht="16.5" hidden="1" thickTop="1" thickBot="1" x14ac:dyDescent="0.3">
      <c r="B1778" s="60">
        <f>B1777</f>
        <v>18</v>
      </c>
      <c r="C1778" s="102">
        <v>121</v>
      </c>
      <c r="D1778" s="192" t="str">
        <f t="shared" si="1065"/>
        <v>VI</v>
      </c>
      <c r="E1778" s="62"/>
      <c r="F1778" s="105"/>
      <c r="G1778" s="105"/>
      <c r="H1778" s="61"/>
      <c r="I1778" s="61"/>
      <c r="J1778" s="62"/>
      <c r="K1778" s="63"/>
      <c r="L1778" s="61"/>
      <c r="M1778" s="61"/>
      <c r="N1778" s="111"/>
      <c r="O1778" s="112"/>
      <c r="P1778" s="113"/>
      <c r="Q1778" s="114"/>
      <c r="R1778" s="64"/>
      <c r="S1778" s="108"/>
      <c r="T1778" s="203">
        <f t="shared" si="1074"/>
        <v>43647</v>
      </c>
      <c r="U1778" s="204">
        <f t="shared" si="1075"/>
        <v>43677</v>
      </c>
      <c r="V1778" s="207">
        <f t="shared" ref="V1778:V1783" si="1099">IF(G1778-F1778+1-IF(G1778-U1778&gt;0,G1778-U1778,0)-IF(T1778-F1778&gt;0,T1778-F1778,0)&gt;0,G1778-F1778+1-IF(G1778-U1778&gt;0,G1778-U1778,0)-IF(T1778-F1778&gt;0,T1778-F1778,0),0)</f>
        <v>0</v>
      </c>
      <c r="W1778" s="206" t="str">
        <f t="shared" si="1096"/>
        <v/>
      </c>
      <c r="X1778" s="206">
        <f t="shared" si="1097"/>
        <v>0</v>
      </c>
      <c r="Y1778" s="209">
        <f t="shared" si="1098"/>
        <v>0</v>
      </c>
    </row>
    <row r="1779" spans="2:25" ht="16.5" hidden="1" thickTop="1" thickBot="1" x14ac:dyDescent="0.3">
      <c r="B1779" s="60">
        <f>B1777</f>
        <v>18</v>
      </c>
      <c r="C1779" s="102">
        <v>122</v>
      </c>
      <c r="D1779" s="192" t="str">
        <f t="shared" si="1065"/>
        <v>VI</v>
      </c>
      <c r="E1779" s="62"/>
      <c r="F1779" s="105"/>
      <c r="G1779" s="105"/>
      <c r="H1779" s="61"/>
      <c r="I1779" s="61"/>
      <c r="J1779" s="62"/>
      <c r="K1779" s="63"/>
      <c r="L1779" s="61"/>
      <c r="M1779" s="61"/>
      <c r="N1779" s="111"/>
      <c r="O1779" s="112"/>
      <c r="P1779" s="113"/>
      <c r="Q1779" s="114"/>
      <c r="R1779" s="64"/>
      <c r="S1779" s="108"/>
      <c r="T1779" s="203">
        <f t="shared" si="1074"/>
        <v>43647</v>
      </c>
      <c r="U1779" s="204">
        <f t="shared" si="1075"/>
        <v>43677</v>
      </c>
      <c r="V1779" s="207">
        <f t="shared" si="1099"/>
        <v>0</v>
      </c>
      <c r="W1779" s="206" t="str">
        <f t="shared" si="1096"/>
        <v/>
      </c>
      <c r="X1779" s="206">
        <f t="shared" si="1097"/>
        <v>0</v>
      </c>
      <c r="Y1779" s="209">
        <f t="shared" si="1098"/>
        <v>0</v>
      </c>
    </row>
    <row r="1780" spans="2:25" ht="16.5" hidden="1" thickTop="1" thickBot="1" x14ac:dyDescent="0.3">
      <c r="B1780" s="60">
        <f>B1777</f>
        <v>18</v>
      </c>
      <c r="C1780" s="102">
        <v>123</v>
      </c>
      <c r="D1780" s="192" t="str">
        <f t="shared" si="1065"/>
        <v>VI</v>
      </c>
      <c r="E1780" s="62"/>
      <c r="F1780" s="105"/>
      <c r="G1780" s="105"/>
      <c r="H1780" s="61"/>
      <c r="I1780" s="61"/>
      <c r="J1780" s="62"/>
      <c r="K1780" s="63"/>
      <c r="L1780" s="61"/>
      <c r="M1780" s="61"/>
      <c r="N1780" s="111"/>
      <c r="O1780" s="112"/>
      <c r="P1780" s="113"/>
      <c r="Q1780" s="114"/>
      <c r="R1780" s="64"/>
      <c r="S1780" s="108"/>
      <c r="T1780" s="203">
        <f t="shared" si="1074"/>
        <v>43647</v>
      </c>
      <c r="U1780" s="204">
        <f t="shared" si="1075"/>
        <v>43677</v>
      </c>
      <c r="V1780" s="207">
        <f t="shared" si="1099"/>
        <v>0</v>
      </c>
      <c r="W1780" s="206" t="str">
        <f t="shared" si="1096"/>
        <v/>
      </c>
      <c r="X1780" s="206">
        <f t="shared" si="1097"/>
        <v>0</v>
      </c>
      <c r="Y1780" s="209">
        <f t="shared" si="1098"/>
        <v>0</v>
      </c>
    </row>
    <row r="1781" spans="2:25" ht="16.5" hidden="1" thickTop="1" thickBot="1" x14ac:dyDescent="0.3">
      <c r="B1781" s="60">
        <f>B1777</f>
        <v>18</v>
      </c>
      <c r="C1781" s="102">
        <v>124</v>
      </c>
      <c r="D1781" s="192" t="str">
        <f t="shared" si="1065"/>
        <v>VI</v>
      </c>
      <c r="E1781" s="62"/>
      <c r="F1781" s="105"/>
      <c r="G1781" s="105"/>
      <c r="H1781" s="61"/>
      <c r="I1781" s="61"/>
      <c r="J1781" s="62"/>
      <c r="K1781" s="63"/>
      <c r="L1781" s="61"/>
      <c r="M1781" s="61"/>
      <c r="N1781" s="111"/>
      <c r="O1781" s="112"/>
      <c r="P1781" s="113"/>
      <c r="Q1781" s="114"/>
      <c r="R1781" s="64"/>
      <c r="S1781" s="108"/>
      <c r="T1781" s="203">
        <f t="shared" si="1074"/>
        <v>43647</v>
      </c>
      <c r="U1781" s="204">
        <f t="shared" si="1075"/>
        <v>43677</v>
      </c>
      <c r="V1781" s="207">
        <f t="shared" si="1099"/>
        <v>0</v>
      </c>
      <c r="W1781" s="206" t="str">
        <f t="shared" si="1096"/>
        <v/>
      </c>
      <c r="X1781" s="206">
        <f t="shared" si="1097"/>
        <v>0</v>
      </c>
      <c r="Y1781" s="209">
        <f t="shared" si="1098"/>
        <v>0</v>
      </c>
    </row>
    <row r="1782" spans="2:25" ht="16.5" hidden="1" thickTop="1" thickBot="1" x14ac:dyDescent="0.3">
      <c r="B1782" s="60">
        <f>B1777</f>
        <v>18</v>
      </c>
      <c r="C1782" s="102">
        <v>125</v>
      </c>
      <c r="D1782" s="192" t="str">
        <f t="shared" si="1065"/>
        <v>VI</v>
      </c>
      <c r="E1782" s="62"/>
      <c r="F1782" s="105"/>
      <c r="G1782" s="105"/>
      <c r="H1782" s="61"/>
      <c r="I1782" s="61"/>
      <c r="J1782" s="62"/>
      <c r="K1782" s="63"/>
      <c r="L1782" s="61"/>
      <c r="M1782" s="61"/>
      <c r="N1782" s="111"/>
      <c r="O1782" s="112"/>
      <c r="P1782" s="113"/>
      <c r="Q1782" s="114"/>
      <c r="R1782" s="64"/>
      <c r="S1782" s="108"/>
      <c r="T1782" s="203">
        <f t="shared" si="1074"/>
        <v>43647</v>
      </c>
      <c r="U1782" s="204">
        <f t="shared" si="1075"/>
        <v>43677</v>
      </c>
      <c r="V1782" s="207">
        <f t="shared" si="1099"/>
        <v>0</v>
      </c>
      <c r="W1782" s="206" t="str">
        <f t="shared" si="1096"/>
        <v/>
      </c>
      <c r="X1782" s="206">
        <f t="shared" si="1097"/>
        <v>0</v>
      </c>
      <c r="Y1782" s="209">
        <f t="shared" si="1098"/>
        <v>0</v>
      </c>
    </row>
    <row r="1783" spans="2:25" ht="16.5" hidden="1" thickTop="1" thickBot="1" x14ac:dyDescent="0.3">
      <c r="B1783" s="141">
        <f>B1777</f>
        <v>18</v>
      </c>
      <c r="C1783" s="142">
        <v>126</v>
      </c>
      <c r="D1783" s="194" t="str">
        <f t="shared" si="1065"/>
        <v>VI</v>
      </c>
      <c r="E1783" s="143"/>
      <c r="F1783" s="144"/>
      <c r="G1783" s="144"/>
      <c r="H1783" s="145"/>
      <c r="I1783" s="145"/>
      <c r="J1783" s="436" t="s">
        <v>181</v>
      </c>
      <c r="K1783" s="437"/>
      <c r="L1783" s="438"/>
      <c r="M1783" s="145"/>
      <c r="N1783" s="146"/>
      <c r="O1783" s="147"/>
      <c r="P1783" s="148"/>
      <c r="Q1783" s="149"/>
      <c r="R1783" s="150"/>
      <c r="S1783" s="151"/>
      <c r="T1783" s="213">
        <f t="shared" si="1074"/>
        <v>43647</v>
      </c>
      <c r="U1783" s="214">
        <f t="shared" si="1075"/>
        <v>43677</v>
      </c>
      <c r="V1783" s="210">
        <f t="shared" si="1099"/>
        <v>0</v>
      </c>
      <c r="W1783" s="211"/>
      <c r="X1783" s="211">
        <f>IF(AND($V1783&gt;0,$I1783=1),IF($E1783=10,P1783/10,P1783/$V1783),0)</f>
        <v>0</v>
      </c>
      <c r="Y1783" s="212">
        <f>IF(AND($V1777&gt;0,$I1783&lt;&gt;1),Q1783/E1777*V1777,0)</f>
        <v>0</v>
      </c>
    </row>
    <row r="1784" spans="2:25" ht="16.5" hidden="1" thickTop="1" thickBot="1" x14ac:dyDescent="0.3">
      <c r="B1784" s="129">
        <f>B1782+1</f>
        <v>19</v>
      </c>
      <c r="C1784" s="130">
        <v>127</v>
      </c>
      <c r="D1784" s="196" t="str">
        <f t="shared" si="1065"/>
        <v>VI</v>
      </c>
      <c r="E1784" s="152"/>
      <c r="F1784" s="153"/>
      <c r="G1784" s="153"/>
      <c r="H1784" s="154"/>
      <c r="I1784" s="154"/>
      <c r="J1784" s="152"/>
      <c r="K1784" s="155"/>
      <c r="L1784" s="154"/>
      <c r="M1784" s="154"/>
      <c r="N1784" s="156"/>
      <c r="O1784" s="157"/>
      <c r="P1784" s="158"/>
      <c r="Q1784" s="159"/>
      <c r="R1784" s="160"/>
      <c r="S1784" s="161"/>
      <c r="T1784" s="203">
        <f t="shared" si="1074"/>
        <v>43647</v>
      </c>
      <c r="U1784" s="204">
        <f t="shared" si="1075"/>
        <v>43677</v>
      </c>
      <c r="V1784" s="207">
        <f>IF(G1784-F1784+1-IF(G1784-U1784&gt;0,G1784-U1784,0)-IF(T1784-F1784&gt;0,T1784-F1784,0)&gt;0,G1784-F1784+1-IF(G1784-U1784&gt;0,G1784-U1784,0)-IF(T1784-F1784&gt;0,T1784-F1784,0),0)</f>
        <v>0</v>
      </c>
      <c r="W1784" s="206" t="str">
        <f t="shared" ref="W1784:W1789" si="1100">IF(V1784&gt;0,H1784,"")</f>
        <v/>
      </c>
      <c r="X1784" s="206">
        <f t="shared" ref="X1784:X1789" si="1101">IF(AND($V1784&gt;0,$I1784=1),P1784/$E1784*$V1784,0)</f>
        <v>0</v>
      </c>
      <c r="Y1784" s="209">
        <f t="shared" ref="Y1784:Y1789" si="1102">IF(AND($V1784&gt;0,$I1784&lt;&gt;1),Q1784/$E1784*$V1784,0)</f>
        <v>0</v>
      </c>
    </row>
    <row r="1785" spans="2:25" ht="16.5" hidden="1" thickTop="1" thickBot="1" x14ac:dyDescent="0.3">
      <c r="B1785" s="60">
        <f>B1784</f>
        <v>19</v>
      </c>
      <c r="C1785" s="102">
        <v>128</v>
      </c>
      <c r="D1785" s="192" t="str">
        <f t="shared" si="1065"/>
        <v>VI</v>
      </c>
      <c r="E1785" s="162"/>
      <c r="F1785" s="163"/>
      <c r="G1785" s="163"/>
      <c r="H1785" s="164"/>
      <c r="I1785" s="164"/>
      <c r="J1785" s="162"/>
      <c r="K1785" s="165"/>
      <c r="L1785" s="164"/>
      <c r="M1785" s="164"/>
      <c r="N1785" s="166"/>
      <c r="O1785" s="167"/>
      <c r="P1785" s="168"/>
      <c r="Q1785" s="169"/>
      <c r="R1785" s="170"/>
      <c r="S1785" s="171"/>
      <c r="T1785" s="203">
        <f t="shared" si="1074"/>
        <v>43647</v>
      </c>
      <c r="U1785" s="204">
        <f t="shared" si="1075"/>
        <v>43677</v>
      </c>
      <c r="V1785" s="207">
        <f t="shared" ref="V1785:V1790" si="1103">IF(G1785-F1785+1-IF(G1785-U1785&gt;0,G1785-U1785,0)-IF(T1785-F1785&gt;0,T1785-F1785,0)&gt;0,G1785-F1785+1-IF(G1785-U1785&gt;0,G1785-U1785,0)-IF(T1785-F1785&gt;0,T1785-F1785,0),0)</f>
        <v>0</v>
      </c>
      <c r="W1785" s="206" t="str">
        <f t="shared" si="1100"/>
        <v/>
      </c>
      <c r="X1785" s="206">
        <f t="shared" si="1101"/>
        <v>0</v>
      </c>
      <c r="Y1785" s="209">
        <f t="shared" si="1102"/>
        <v>0</v>
      </c>
    </row>
    <row r="1786" spans="2:25" ht="16.5" hidden="1" thickTop="1" thickBot="1" x14ac:dyDescent="0.3">
      <c r="B1786" s="60">
        <f>B1784</f>
        <v>19</v>
      </c>
      <c r="C1786" s="102">
        <v>129</v>
      </c>
      <c r="D1786" s="192" t="str">
        <f t="shared" si="1065"/>
        <v>VI</v>
      </c>
      <c r="E1786" s="162"/>
      <c r="F1786" s="163"/>
      <c r="G1786" s="163"/>
      <c r="H1786" s="164"/>
      <c r="I1786" s="164"/>
      <c r="J1786" s="162"/>
      <c r="K1786" s="165"/>
      <c r="L1786" s="164"/>
      <c r="M1786" s="164"/>
      <c r="N1786" s="166"/>
      <c r="O1786" s="167"/>
      <c r="P1786" s="168"/>
      <c r="Q1786" s="169"/>
      <c r="R1786" s="170"/>
      <c r="S1786" s="171"/>
      <c r="T1786" s="203">
        <f t="shared" si="1074"/>
        <v>43647</v>
      </c>
      <c r="U1786" s="204">
        <f t="shared" si="1075"/>
        <v>43677</v>
      </c>
      <c r="V1786" s="207">
        <f t="shared" si="1103"/>
        <v>0</v>
      </c>
      <c r="W1786" s="206" t="str">
        <f t="shared" si="1100"/>
        <v/>
      </c>
      <c r="X1786" s="206">
        <f t="shared" si="1101"/>
        <v>0</v>
      </c>
      <c r="Y1786" s="209">
        <f t="shared" si="1102"/>
        <v>0</v>
      </c>
    </row>
    <row r="1787" spans="2:25" ht="16.5" hidden="1" thickTop="1" thickBot="1" x14ac:dyDescent="0.3">
      <c r="B1787" s="60">
        <f>B1784</f>
        <v>19</v>
      </c>
      <c r="C1787" s="102">
        <v>130</v>
      </c>
      <c r="D1787" s="192" t="str">
        <f t="shared" si="1065"/>
        <v>VI</v>
      </c>
      <c r="E1787" s="162"/>
      <c r="F1787" s="163"/>
      <c r="G1787" s="163"/>
      <c r="H1787" s="164"/>
      <c r="I1787" s="164"/>
      <c r="J1787" s="162"/>
      <c r="K1787" s="165"/>
      <c r="L1787" s="164"/>
      <c r="M1787" s="164"/>
      <c r="N1787" s="166"/>
      <c r="O1787" s="167"/>
      <c r="P1787" s="168"/>
      <c r="Q1787" s="169"/>
      <c r="R1787" s="170"/>
      <c r="S1787" s="171"/>
      <c r="T1787" s="203">
        <f t="shared" si="1074"/>
        <v>43647</v>
      </c>
      <c r="U1787" s="204">
        <f t="shared" si="1075"/>
        <v>43677</v>
      </c>
      <c r="V1787" s="207">
        <f t="shared" si="1103"/>
        <v>0</v>
      </c>
      <c r="W1787" s="206" t="str">
        <f t="shared" si="1100"/>
        <v/>
      </c>
      <c r="X1787" s="206">
        <f t="shared" si="1101"/>
        <v>0</v>
      </c>
      <c r="Y1787" s="209">
        <f t="shared" si="1102"/>
        <v>0</v>
      </c>
    </row>
    <row r="1788" spans="2:25" ht="16.5" hidden="1" thickTop="1" thickBot="1" x14ac:dyDescent="0.3">
      <c r="B1788" s="60">
        <f>B1784</f>
        <v>19</v>
      </c>
      <c r="C1788" s="102">
        <v>131</v>
      </c>
      <c r="D1788" s="192" t="str">
        <f t="shared" ref="D1788:D1851" si="1104">D1787</f>
        <v>VI</v>
      </c>
      <c r="E1788" s="162"/>
      <c r="F1788" s="163"/>
      <c r="G1788" s="163"/>
      <c r="H1788" s="164"/>
      <c r="I1788" s="164"/>
      <c r="J1788" s="162"/>
      <c r="K1788" s="165"/>
      <c r="L1788" s="164"/>
      <c r="M1788" s="164"/>
      <c r="N1788" s="166"/>
      <c r="O1788" s="167"/>
      <c r="P1788" s="168"/>
      <c r="Q1788" s="169"/>
      <c r="R1788" s="170"/>
      <c r="S1788" s="171"/>
      <c r="T1788" s="203">
        <f t="shared" si="1074"/>
        <v>43647</v>
      </c>
      <c r="U1788" s="204">
        <f t="shared" si="1075"/>
        <v>43677</v>
      </c>
      <c r="V1788" s="207">
        <f t="shared" si="1103"/>
        <v>0</v>
      </c>
      <c r="W1788" s="206" t="str">
        <f t="shared" si="1100"/>
        <v/>
      </c>
      <c r="X1788" s="206">
        <f t="shared" si="1101"/>
        <v>0</v>
      </c>
      <c r="Y1788" s="209">
        <f t="shared" si="1102"/>
        <v>0</v>
      </c>
    </row>
    <row r="1789" spans="2:25" ht="16.5" hidden="1" thickTop="1" thickBot="1" x14ac:dyDescent="0.3">
      <c r="B1789" s="60">
        <f>B1784</f>
        <v>19</v>
      </c>
      <c r="C1789" s="102">
        <v>132</v>
      </c>
      <c r="D1789" s="192" t="str">
        <f t="shared" si="1104"/>
        <v>VI</v>
      </c>
      <c r="E1789" s="172"/>
      <c r="F1789" s="173"/>
      <c r="G1789" s="173"/>
      <c r="H1789" s="174"/>
      <c r="I1789" s="174"/>
      <c r="J1789" s="172"/>
      <c r="K1789" s="175"/>
      <c r="L1789" s="174"/>
      <c r="M1789" s="174"/>
      <c r="N1789" s="176"/>
      <c r="O1789" s="177"/>
      <c r="P1789" s="178"/>
      <c r="Q1789" s="179"/>
      <c r="R1789" s="180"/>
      <c r="S1789" s="181"/>
      <c r="T1789" s="203">
        <f t="shared" si="1074"/>
        <v>43647</v>
      </c>
      <c r="U1789" s="204">
        <f t="shared" si="1075"/>
        <v>43677</v>
      </c>
      <c r="V1789" s="207">
        <f t="shared" si="1103"/>
        <v>0</v>
      </c>
      <c r="W1789" s="206" t="str">
        <f t="shared" si="1100"/>
        <v/>
      </c>
      <c r="X1789" s="206">
        <f t="shared" si="1101"/>
        <v>0</v>
      </c>
      <c r="Y1789" s="209">
        <f t="shared" si="1102"/>
        <v>0</v>
      </c>
    </row>
    <row r="1790" spans="2:25" ht="16.5" hidden="1" thickTop="1" thickBot="1" x14ac:dyDescent="0.3">
      <c r="B1790" s="141">
        <f>B1784</f>
        <v>19</v>
      </c>
      <c r="C1790" s="142">
        <v>133</v>
      </c>
      <c r="D1790" s="194" t="str">
        <f t="shared" si="1104"/>
        <v>VI</v>
      </c>
      <c r="E1790" s="189"/>
      <c r="F1790" s="190"/>
      <c r="G1790" s="190"/>
      <c r="H1790" s="182"/>
      <c r="I1790" s="182"/>
      <c r="J1790" s="436" t="s">
        <v>181</v>
      </c>
      <c r="K1790" s="437"/>
      <c r="L1790" s="438"/>
      <c r="M1790" s="182"/>
      <c r="N1790" s="183"/>
      <c r="O1790" s="184"/>
      <c r="P1790" s="185"/>
      <c r="Q1790" s="186"/>
      <c r="R1790" s="187"/>
      <c r="S1790" s="188"/>
      <c r="T1790" s="213">
        <f t="shared" si="1074"/>
        <v>43647</v>
      </c>
      <c r="U1790" s="214">
        <f t="shared" si="1075"/>
        <v>43677</v>
      </c>
      <c r="V1790" s="210">
        <f t="shared" si="1103"/>
        <v>0</v>
      </c>
      <c r="W1790" s="211"/>
      <c r="X1790" s="211">
        <f>IF(AND($V1790&gt;0,$I1790=1),IF($E1790=10,P1790/10,P1790/$V1790),0)</f>
        <v>0</v>
      </c>
      <c r="Y1790" s="212">
        <f>IF(AND($V1784&gt;0,$I1790&lt;&gt;1),Q1790/E1784*V1784,0)</f>
        <v>0</v>
      </c>
    </row>
    <row r="1791" spans="2:25" ht="16.5" hidden="1" thickTop="1" thickBot="1" x14ac:dyDescent="0.3">
      <c r="B1791" s="129">
        <f>B1789+1</f>
        <v>20</v>
      </c>
      <c r="C1791" s="130">
        <v>134</v>
      </c>
      <c r="D1791" s="196" t="str">
        <f t="shared" si="1104"/>
        <v>VI</v>
      </c>
      <c r="E1791" s="131"/>
      <c r="F1791" s="132"/>
      <c r="G1791" s="132"/>
      <c r="H1791" s="133"/>
      <c r="I1791" s="133"/>
      <c r="J1791" s="131"/>
      <c r="K1791" s="134"/>
      <c r="L1791" s="133"/>
      <c r="M1791" s="133"/>
      <c r="N1791" s="135"/>
      <c r="O1791" s="136"/>
      <c r="P1791" s="137"/>
      <c r="Q1791" s="138"/>
      <c r="R1791" s="139"/>
      <c r="S1791" s="140"/>
      <c r="T1791" s="203">
        <f t="shared" si="1074"/>
        <v>43647</v>
      </c>
      <c r="U1791" s="204">
        <f t="shared" si="1075"/>
        <v>43677</v>
      </c>
      <c r="V1791" s="207">
        <f>IF(G1791-F1791+1-IF(G1791-U1791&gt;0,G1791-U1791,0)-IF(T1791-F1791&gt;0,T1791-F1791,0)&gt;0,G1791-F1791+1-IF(G1791-U1791&gt;0,G1791-U1791,0)-IF(T1791-F1791&gt;0,T1791-F1791,0),0)</f>
        <v>0</v>
      </c>
      <c r="W1791" s="206" t="str">
        <f t="shared" ref="W1791:W1796" si="1105">IF(V1791&gt;0,H1791,"")</f>
        <v/>
      </c>
      <c r="X1791" s="206">
        <f t="shared" ref="X1791:X1796" si="1106">IF(AND($V1791&gt;0,$I1791=1),P1791/$E1791*$V1791,0)</f>
        <v>0</v>
      </c>
      <c r="Y1791" s="209">
        <f t="shared" ref="Y1791:Y1796" si="1107">IF(AND($V1791&gt;0,$I1791&lt;&gt;1),Q1791/$E1791*$V1791,0)</f>
        <v>0</v>
      </c>
    </row>
    <row r="1792" spans="2:25" ht="16.5" hidden="1" thickTop="1" thickBot="1" x14ac:dyDescent="0.3">
      <c r="B1792" s="60">
        <f>B1791</f>
        <v>20</v>
      </c>
      <c r="C1792" s="102">
        <v>135</v>
      </c>
      <c r="D1792" s="192" t="str">
        <f t="shared" si="1104"/>
        <v>VI</v>
      </c>
      <c r="E1792" s="62"/>
      <c r="F1792" s="105"/>
      <c r="G1792" s="105"/>
      <c r="H1792" s="61"/>
      <c r="I1792" s="61"/>
      <c r="J1792" s="62"/>
      <c r="K1792" s="63"/>
      <c r="L1792" s="61"/>
      <c r="M1792" s="61"/>
      <c r="N1792" s="111"/>
      <c r="O1792" s="112"/>
      <c r="P1792" s="113"/>
      <c r="Q1792" s="114"/>
      <c r="R1792" s="64"/>
      <c r="S1792" s="108"/>
      <c r="T1792" s="203">
        <f t="shared" si="1074"/>
        <v>43647</v>
      </c>
      <c r="U1792" s="204">
        <f t="shared" si="1075"/>
        <v>43677</v>
      </c>
      <c r="V1792" s="207">
        <f t="shared" ref="V1792:V1797" si="1108">IF(G1792-F1792+1-IF(G1792-U1792&gt;0,G1792-U1792,0)-IF(T1792-F1792&gt;0,T1792-F1792,0)&gt;0,G1792-F1792+1-IF(G1792-U1792&gt;0,G1792-U1792,0)-IF(T1792-F1792&gt;0,T1792-F1792,0),0)</f>
        <v>0</v>
      </c>
      <c r="W1792" s="206" t="str">
        <f t="shared" si="1105"/>
        <v/>
      </c>
      <c r="X1792" s="206">
        <f t="shared" si="1106"/>
        <v>0</v>
      </c>
      <c r="Y1792" s="209">
        <f t="shared" si="1107"/>
        <v>0</v>
      </c>
    </row>
    <row r="1793" spans="2:25" ht="16.5" hidden="1" thickTop="1" thickBot="1" x14ac:dyDescent="0.3">
      <c r="B1793" s="60">
        <f>B1791</f>
        <v>20</v>
      </c>
      <c r="C1793" s="102">
        <v>136</v>
      </c>
      <c r="D1793" s="192" t="str">
        <f t="shared" si="1104"/>
        <v>VI</v>
      </c>
      <c r="E1793" s="62"/>
      <c r="F1793" s="105"/>
      <c r="G1793" s="105"/>
      <c r="H1793" s="61"/>
      <c r="I1793" s="61"/>
      <c r="J1793" s="62"/>
      <c r="K1793" s="63"/>
      <c r="L1793" s="61"/>
      <c r="M1793" s="61"/>
      <c r="N1793" s="111"/>
      <c r="O1793" s="112"/>
      <c r="P1793" s="113"/>
      <c r="Q1793" s="114"/>
      <c r="R1793" s="64"/>
      <c r="S1793" s="108"/>
      <c r="T1793" s="203">
        <f t="shared" si="1074"/>
        <v>43647</v>
      </c>
      <c r="U1793" s="204">
        <f t="shared" si="1075"/>
        <v>43677</v>
      </c>
      <c r="V1793" s="207">
        <f t="shared" si="1108"/>
        <v>0</v>
      </c>
      <c r="W1793" s="206" t="str">
        <f t="shared" si="1105"/>
        <v/>
      </c>
      <c r="X1793" s="206">
        <f t="shared" si="1106"/>
        <v>0</v>
      </c>
      <c r="Y1793" s="209">
        <f t="shared" si="1107"/>
        <v>0</v>
      </c>
    </row>
    <row r="1794" spans="2:25" ht="16.5" hidden="1" thickTop="1" thickBot="1" x14ac:dyDescent="0.3">
      <c r="B1794" s="60">
        <f>B1791</f>
        <v>20</v>
      </c>
      <c r="C1794" s="102">
        <v>137</v>
      </c>
      <c r="D1794" s="192" t="str">
        <f t="shared" si="1104"/>
        <v>VI</v>
      </c>
      <c r="E1794" s="62"/>
      <c r="F1794" s="105"/>
      <c r="G1794" s="105"/>
      <c r="H1794" s="61"/>
      <c r="I1794" s="61"/>
      <c r="J1794" s="62"/>
      <c r="K1794" s="63"/>
      <c r="L1794" s="61"/>
      <c r="M1794" s="61"/>
      <c r="N1794" s="111"/>
      <c r="O1794" s="112"/>
      <c r="P1794" s="113"/>
      <c r="Q1794" s="114"/>
      <c r="R1794" s="64"/>
      <c r="S1794" s="108"/>
      <c r="T1794" s="203">
        <f t="shared" si="1074"/>
        <v>43647</v>
      </c>
      <c r="U1794" s="204">
        <f t="shared" si="1075"/>
        <v>43677</v>
      </c>
      <c r="V1794" s="207">
        <f t="shared" si="1108"/>
        <v>0</v>
      </c>
      <c r="W1794" s="206" t="str">
        <f t="shared" si="1105"/>
        <v/>
      </c>
      <c r="X1794" s="206">
        <f t="shared" si="1106"/>
        <v>0</v>
      </c>
      <c r="Y1794" s="209">
        <f t="shared" si="1107"/>
        <v>0</v>
      </c>
    </row>
    <row r="1795" spans="2:25" ht="16.5" hidden="1" thickTop="1" thickBot="1" x14ac:dyDescent="0.3">
      <c r="B1795" s="60">
        <f>B1791</f>
        <v>20</v>
      </c>
      <c r="C1795" s="102">
        <v>138</v>
      </c>
      <c r="D1795" s="192" t="str">
        <f t="shared" si="1104"/>
        <v>VI</v>
      </c>
      <c r="E1795" s="62"/>
      <c r="F1795" s="105"/>
      <c r="G1795" s="105"/>
      <c r="H1795" s="61"/>
      <c r="I1795" s="61"/>
      <c r="J1795" s="62"/>
      <c r="K1795" s="63"/>
      <c r="L1795" s="61"/>
      <c r="M1795" s="61"/>
      <c r="N1795" s="111"/>
      <c r="O1795" s="112"/>
      <c r="P1795" s="113"/>
      <c r="Q1795" s="114"/>
      <c r="R1795" s="64"/>
      <c r="S1795" s="108"/>
      <c r="T1795" s="203">
        <f t="shared" si="1074"/>
        <v>43647</v>
      </c>
      <c r="U1795" s="204">
        <f t="shared" si="1075"/>
        <v>43677</v>
      </c>
      <c r="V1795" s="207">
        <f t="shared" si="1108"/>
        <v>0</v>
      </c>
      <c r="W1795" s="206" t="str">
        <f t="shared" si="1105"/>
        <v/>
      </c>
      <c r="X1795" s="206">
        <f t="shared" si="1106"/>
        <v>0</v>
      </c>
      <c r="Y1795" s="209">
        <f t="shared" si="1107"/>
        <v>0</v>
      </c>
    </row>
    <row r="1796" spans="2:25" ht="16.5" hidden="1" thickTop="1" thickBot="1" x14ac:dyDescent="0.3">
      <c r="B1796" s="60">
        <f>B1791</f>
        <v>20</v>
      </c>
      <c r="C1796" s="102">
        <v>139</v>
      </c>
      <c r="D1796" s="192" t="str">
        <f t="shared" si="1104"/>
        <v>VI</v>
      </c>
      <c r="E1796" s="62"/>
      <c r="F1796" s="105"/>
      <c r="G1796" s="105"/>
      <c r="H1796" s="61"/>
      <c r="I1796" s="61"/>
      <c r="J1796" s="62"/>
      <c r="K1796" s="63"/>
      <c r="L1796" s="61"/>
      <c r="M1796" s="61"/>
      <c r="N1796" s="111"/>
      <c r="O1796" s="112"/>
      <c r="P1796" s="113"/>
      <c r="Q1796" s="114"/>
      <c r="R1796" s="64"/>
      <c r="S1796" s="108"/>
      <c r="T1796" s="203">
        <f t="shared" si="1074"/>
        <v>43647</v>
      </c>
      <c r="U1796" s="204">
        <f t="shared" si="1075"/>
        <v>43677</v>
      </c>
      <c r="V1796" s="207">
        <f t="shared" si="1108"/>
        <v>0</v>
      </c>
      <c r="W1796" s="206" t="str">
        <f t="shared" si="1105"/>
        <v/>
      </c>
      <c r="X1796" s="206">
        <f t="shared" si="1106"/>
        <v>0</v>
      </c>
      <c r="Y1796" s="209">
        <f t="shared" si="1107"/>
        <v>0</v>
      </c>
    </row>
    <row r="1797" spans="2:25" ht="16.5" hidden="1" thickTop="1" thickBot="1" x14ac:dyDescent="0.3">
      <c r="B1797" s="141">
        <f>B1791</f>
        <v>20</v>
      </c>
      <c r="C1797" s="142">
        <v>140</v>
      </c>
      <c r="D1797" s="194" t="str">
        <f t="shared" si="1104"/>
        <v>VI</v>
      </c>
      <c r="E1797" s="143"/>
      <c r="F1797" s="144"/>
      <c r="G1797" s="144"/>
      <c r="H1797" s="145"/>
      <c r="I1797" s="145"/>
      <c r="J1797" s="436" t="s">
        <v>181</v>
      </c>
      <c r="K1797" s="437"/>
      <c r="L1797" s="438"/>
      <c r="M1797" s="145"/>
      <c r="N1797" s="146"/>
      <c r="O1797" s="147"/>
      <c r="P1797" s="148"/>
      <c r="Q1797" s="149"/>
      <c r="R1797" s="150"/>
      <c r="S1797" s="151"/>
      <c r="T1797" s="213">
        <f t="shared" si="1074"/>
        <v>43647</v>
      </c>
      <c r="U1797" s="214">
        <f t="shared" si="1075"/>
        <v>43677</v>
      </c>
      <c r="V1797" s="210">
        <f t="shared" si="1108"/>
        <v>0</v>
      </c>
      <c r="W1797" s="211"/>
      <c r="X1797" s="211">
        <f>IF(AND($V1797&gt;0,$I1797=1),IF($E1797=10,P1797/10,P1797/$V1797),0)</f>
        <v>0</v>
      </c>
      <c r="Y1797" s="212">
        <f>IF(AND($V1791&gt;0,$I1797&lt;&gt;1),Q1797/E1791*V1791,0)</f>
        <v>0</v>
      </c>
    </row>
    <row r="1798" spans="2:25" ht="16.5" hidden="1" thickTop="1" thickBot="1" x14ac:dyDescent="0.3">
      <c r="B1798" s="129">
        <f>B1796+1</f>
        <v>21</v>
      </c>
      <c r="C1798" s="130">
        <v>141</v>
      </c>
      <c r="D1798" s="196" t="str">
        <f t="shared" si="1104"/>
        <v>VI</v>
      </c>
      <c r="E1798" s="152"/>
      <c r="F1798" s="153"/>
      <c r="G1798" s="153"/>
      <c r="H1798" s="154"/>
      <c r="I1798" s="154"/>
      <c r="J1798" s="152"/>
      <c r="K1798" s="155"/>
      <c r="L1798" s="154"/>
      <c r="M1798" s="154"/>
      <c r="N1798" s="156"/>
      <c r="O1798" s="157"/>
      <c r="P1798" s="158"/>
      <c r="Q1798" s="159"/>
      <c r="R1798" s="160"/>
      <c r="S1798" s="161"/>
      <c r="T1798" s="203">
        <f t="shared" si="1074"/>
        <v>43647</v>
      </c>
      <c r="U1798" s="204">
        <f t="shared" si="1075"/>
        <v>43677</v>
      </c>
      <c r="V1798" s="207">
        <f>IF(G1798-F1798+1-IF(G1798-U1798&gt;0,G1798-U1798,0)-IF(T1798-F1798&gt;0,T1798-F1798,0)&gt;0,G1798-F1798+1-IF(G1798-U1798&gt;0,G1798-U1798,0)-IF(T1798-F1798&gt;0,T1798-F1798,0),0)</f>
        <v>0</v>
      </c>
      <c r="W1798" s="206" t="str">
        <f t="shared" ref="W1798:W1803" si="1109">IF(V1798&gt;0,H1798,"")</f>
        <v/>
      </c>
      <c r="X1798" s="206">
        <f t="shared" ref="X1798:X1803" si="1110">IF(AND($V1798&gt;0,$I1798=1),P1798/$E1798*$V1798,0)</f>
        <v>0</v>
      </c>
      <c r="Y1798" s="209">
        <f t="shared" ref="Y1798:Y1803" si="1111">IF(AND($V1798&gt;0,$I1798&lt;&gt;1),Q1798/$E1798*$V1798,0)</f>
        <v>0</v>
      </c>
    </row>
    <row r="1799" spans="2:25" ht="16.5" hidden="1" thickTop="1" thickBot="1" x14ac:dyDescent="0.3">
      <c r="B1799" s="60">
        <f>B1798</f>
        <v>21</v>
      </c>
      <c r="C1799" s="102">
        <v>142</v>
      </c>
      <c r="D1799" s="192" t="str">
        <f t="shared" si="1104"/>
        <v>VI</v>
      </c>
      <c r="E1799" s="162"/>
      <c r="F1799" s="163"/>
      <c r="G1799" s="163"/>
      <c r="H1799" s="164"/>
      <c r="I1799" s="164"/>
      <c r="J1799" s="162"/>
      <c r="K1799" s="165"/>
      <c r="L1799" s="164"/>
      <c r="M1799" s="164"/>
      <c r="N1799" s="166"/>
      <c r="O1799" s="167"/>
      <c r="P1799" s="168"/>
      <c r="Q1799" s="169"/>
      <c r="R1799" s="170"/>
      <c r="S1799" s="171"/>
      <c r="T1799" s="203">
        <f t="shared" si="1074"/>
        <v>43647</v>
      </c>
      <c r="U1799" s="204">
        <f t="shared" si="1075"/>
        <v>43677</v>
      </c>
      <c r="V1799" s="207">
        <f t="shared" ref="V1799:V1804" si="1112">IF(G1799-F1799+1-IF(G1799-U1799&gt;0,G1799-U1799,0)-IF(T1799-F1799&gt;0,T1799-F1799,0)&gt;0,G1799-F1799+1-IF(G1799-U1799&gt;0,G1799-U1799,0)-IF(T1799-F1799&gt;0,T1799-F1799,0),0)</f>
        <v>0</v>
      </c>
      <c r="W1799" s="206" t="str">
        <f t="shared" si="1109"/>
        <v/>
      </c>
      <c r="X1799" s="206">
        <f t="shared" si="1110"/>
        <v>0</v>
      </c>
      <c r="Y1799" s="209">
        <f t="shared" si="1111"/>
        <v>0</v>
      </c>
    </row>
    <row r="1800" spans="2:25" ht="16.5" hidden="1" thickTop="1" thickBot="1" x14ac:dyDescent="0.3">
      <c r="B1800" s="60">
        <f>B1798</f>
        <v>21</v>
      </c>
      <c r="C1800" s="102">
        <v>143</v>
      </c>
      <c r="D1800" s="192" t="str">
        <f t="shared" si="1104"/>
        <v>VI</v>
      </c>
      <c r="E1800" s="162"/>
      <c r="F1800" s="163"/>
      <c r="G1800" s="163"/>
      <c r="H1800" s="164"/>
      <c r="I1800" s="164"/>
      <c r="J1800" s="162"/>
      <c r="K1800" s="165"/>
      <c r="L1800" s="164"/>
      <c r="M1800" s="164"/>
      <c r="N1800" s="166"/>
      <c r="O1800" s="167"/>
      <c r="P1800" s="168"/>
      <c r="Q1800" s="169"/>
      <c r="R1800" s="170"/>
      <c r="S1800" s="171"/>
      <c r="T1800" s="203">
        <f t="shared" si="1074"/>
        <v>43647</v>
      </c>
      <c r="U1800" s="204">
        <f t="shared" si="1075"/>
        <v>43677</v>
      </c>
      <c r="V1800" s="207">
        <f t="shared" si="1112"/>
        <v>0</v>
      </c>
      <c r="W1800" s="206" t="str">
        <f t="shared" si="1109"/>
        <v/>
      </c>
      <c r="X1800" s="206">
        <f t="shared" si="1110"/>
        <v>0</v>
      </c>
      <c r="Y1800" s="209">
        <f t="shared" si="1111"/>
        <v>0</v>
      </c>
    </row>
    <row r="1801" spans="2:25" ht="16.5" hidden="1" thickTop="1" thickBot="1" x14ac:dyDescent="0.3">
      <c r="B1801" s="60">
        <f>B1798</f>
        <v>21</v>
      </c>
      <c r="C1801" s="102">
        <v>144</v>
      </c>
      <c r="D1801" s="192" t="str">
        <f t="shared" si="1104"/>
        <v>VI</v>
      </c>
      <c r="E1801" s="162"/>
      <c r="F1801" s="163"/>
      <c r="G1801" s="163"/>
      <c r="H1801" s="164"/>
      <c r="I1801" s="164"/>
      <c r="J1801" s="162"/>
      <c r="K1801" s="165"/>
      <c r="L1801" s="164"/>
      <c r="M1801" s="164"/>
      <c r="N1801" s="166"/>
      <c r="O1801" s="167"/>
      <c r="P1801" s="168"/>
      <c r="Q1801" s="169"/>
      <c r="R1801" s="170"/>
      <c r="S1801" s="171"/>
      <c r="T1801" s="203">
        <f t="shared" si="1074"/>
        <v>43647</v>
      </c>
      <c r="U1801" s="204">
        <f t="shared" si="1075"/>
        <v>43677</v>
      </c>
      <c r="V1801" s="207">
        <f t="shared" si="1112"/>
        <v>0</v>
      </c>
      <c r="W1801" s="206" t="str">
        <f t="shared" si="1109"/>
        <v/>
      </c>
      <c r="X1801" s="206">
        <f t="shared" si="1110"/>
        <v>0</v>
      </c>
      <c r="Y1801" s="209">
        <f t="shared" si="1111"/>
        <v>0</v>
      </c>
    </row>
    <row r="1802" spans="2:25" ht="16.5" hidden="1" thickTop="1" thickBot="1" x14ac:dyDescent="0.3">
      <c r="B1802" s="60">
        <f>B1798</f>
        <v>21</v>
      </c>
      <c r="C1802" s="102">
        <v>145</v>
      </c>
      <c r="D1802" s="192" t="str">
        <f t="shared" si="1104"/>
        <v>VI</v>
      </c>
      <c r="E1802" s="162"/>
      <c r="F1802" s="163"/>
      <c r="G1802" s="163"/>
      <c r="H1802" s="164"/>
      <c r="I1802" s="164"/>
      <c r="J1802" s="162"/>
      <c r="K1802" s="165"/>
      <c r="L1802" s="164"/>
      <c r="M1802" s="164"/>
      <c r="N1802" s="166"/>
      <c r="O1802" s="167"/>
      <c r="P1802" s="168"/>
      <c r="Q1802" s="169"/>
      <c r="R1802" s="170"/>
      <c r="S1802" s="171"/>
      <c r="T1802" s="203">
        <f t="shared" si="1074"/>
        <v>43647</v>
      </c>
      <c r="U1802" s="204">
        <f t="shared" si="1075"/>
        <v>43677</v>
      </c>
      <c r="V1802" s="207">
        <f t="shared" si="1112"/>
        <v>0</v>
      </c>
      <c r="W1802" s="206" t="str">
        <f t="shared" si="1109"/>
        <v/>
      </c>
      <c r="X1802" s="206">
        <f t="shared" si="1110"/>
        <v>0</v>
      </c>
      <c r="Y1802" s="209">
        <f t="shared" si="1111"/>
        <v>0</v>
      </c>
    </row>
    <row r="1803" spans="2:25" ht="16.5" hidden="1" thickTop="1" thickBot="1" x14ac:dyDescent="0.3">
      <c r="B1803" s="60">
        <f>B1798</f>
        <v>21</v>
      </c>
      <c r="C1803" s="102">
        <v>146</v>
      </c>
      <c r="D1803" s="192" t="str">
        <f t="shared" si="1104"/>
        <v>VI</v>
      </c>
      <c r="E1803" s="172"/>
      <c r="F1803" s="173"/>
      <c r="G1803" s="173"/>
      <c r="H1803" s="174"/>
      <c r="I1803" s="174"/>
      <c r="J1803" s="172"/>
      <c r="K1803" s="175"/>
      <c r="L1803" s="174"/>
      <c r="M1803" s="174"/>
      <c r="N1803" s="176"/>
      <c r="O1803" s="177"/>
      <c r="P1803" s="178"/>
      <c r="Q1803" s="179"/>
      <c r="R1803" s="180"/>
      <c r="S1803" s="181"/>
      <c r="T1803" s="203">
        <f t="shared" si="1074"/>
        <v>43647</v>
      </c>
      <c r="U1803" s="204">
        <f t="shared" si="1075"/>
        <v>43677</v>
      </c>
      <c r="V1803" s="207">
        <f t="shared" si="1112"/>
        <v>0</v>
      </c>
      <c r="W1803" s="206" t="str">
        <f t="shared" si="1109"/>
        <v/>
      </c>
      <c r="X1803" s="206">
        <f t="shared" si="1110"/>
        <v>0</v>
      </c>
      <c r="Y1803" s="209">
        <f t="shared" si="1111"/>
        <v>0</v>
      </c>
    </row>
    <row r="1804" spans="2:25" ht="16.5" hidden="1" thickTop="1" thickBot="1" x14ac:dyDescent="0.3">
      <c r="B1804" s="141">
        <f>B1798</f>
        <v>21</v>
      </c>
      <c r="C1804" s="142">
        <v>147</v>
      </c>
      <c r="D1804" s="194" t="str">
        <f t="shared" si="1104"/>
        <v>VI</v>
      </c>
      <c r="E1804" s="189"/>
      <c r="F1804" s="190"/>
      <c r="G1804" s="190"/>
      <c r="H1804" s="182"/>
      <c r="I1804" s="182"/>
      <c r="J1804" s="436" t="s">
        <v>181</v>
      </c>
      <c r="K1804" s="437"/>
      <c r="L1804" s="438"/>
      <c r="M1804" s="182"/>
      <c r="N1804" s="183"/>
      <c r="O1804" s="184"/>
      <c r="P1804" s="185"/>
      <c r="Q1804" s="186"/>
      <c r="R1804" s="187"/>
      <c r="S1804" s="188"/>
      <c r="T1804" s="213">
        <f t="shared" si="1074"/>
        <v>43647</v>
      </c>
      <c r="U1804" s="214">
        <f t="shared" si="1075"/>
        <v>43677</v>
      </c>
      <c r="V1804" s="210">
        <f t="shared" si="1112"/>
        <v>0</v>
      </c>
      <c r="W1804" s="211"/>
      <c r="X1804" s="211">
        <f>IF(AND($V1804&gt;0,$I1804=1),IF($E1804=10,P1804/10,P1804/$V1804),0)</f>
        <v>0</v>
      </c>
      <c r="Y1804" s="212">
        <f>IF(AND($V1798&gt;0,$I1804&lt;&gt;1),Q1804/E1798*V1798,0)</f>
        <v>0</v>
      </c>
    </row>
    <row r="1805" spans="2:25" ht="16.5" hidden="1" thickTop="1" thickBot="1" x14ac:dyDescent="0.3">
      <c r="B1805" s="129">
        <f>B1803+1</f>
        <v>22</v>
      </c>
      <c r="C1805" s="130">
        <v>148</v>
      </c>
      <c r="D1805" s="196" t="str">
        <f t="shared" si="1104"/>
        <v>VI</v>
      </c>
      <c r="E1805" s="131"/>
      <c r="F1805" s="132"/>
      <c r="G1805" s="132"/>
      <c r="H1805" s="133"/>
      <c r="I1805" s="133"/>
      <c r="J1805" s="131"/>
      <c r="K1805" s="134"/>
      <c r="L1805" s="133"/>
      <c r="M1805" s="133"/>
      <c r="N1805" s="135"/>
      <c r="O1805" s="136"/>
      <c r="P1805" s="137"/>
      <c r="Q1805" s="138"/>
      <c r="R1805" s="139"/>
      <c r="S1805" s="140"/>
      <c r="T1805" s="203">
        <f t="shared" ref="T1805:T1868" si="1113">$F$4</f>
        <v>43647</v>
      </c>
      <c r="U1805" s="204">
        <f t="shared" ref="U1805:U1868" si="1114">$G$4</f>
        <v>43677</v>
      </c>
      <c r="V1805" s="207">
        <f>IF(G1805-F1805+1-IF(G1805-U1805&gt;0,G1805-U1805,0)-IF(T1805-F1805&gt;0,T1805-F1805,0)&gt;0,G1805-F1805+1-IF(G1805-U1805&gt;0,G1805-U1805,0)-IF(T1805-F1805&gt;0,T1805-F1805,0),0)</f>
        <v>0</v>
      </c>
      <c r="W1805" s="206" t="str">
        <f t="shared" ref="W1805:W1810" si="1115">IF(V1805&gt;0,H1805,"")</f>
        <v/>
      </c>
      <c r="X1805" s="206">
        <f t="shared" ref="X1805:X1810" si="1116">IF(AND($V1805&gt;0,$I1805=1),P1805/$E1805*$V1805,0)</f>
        <v>0</v>
      </c>
      <c r="Y1805" s="209">
        <f t="shared" ref="Y1805:Y1810" si="1117">IF(AND($V1805&gt;0,$I1805&lt;&gt;1),Q1805/$E1805*$V1805,0)</f>
        <v>0</v>
      </c>
    </row>
    <row r="1806" spans="2:25" ht="16.5" hidden="1" thickTop="1" thickBot="1" x14ac:dyDescent="0.3">
      <c r="B1806" s="60">
        <f>B1805</f>
        <v>22</v>
      </c>
      <c r="C1806" s="102">
        <v>149</v>
      </c>
      <c r="D1806" s="192" t="str">
        <f t="shared" si="1104"/>
        <v>VI</v>
      </c>
      <c r="E1806" s="62"/>
      <c r="F1806" s="105"/>
      <c r="G1806" s="105"/>
      <c r="H1806" s="61"/>
      <c r="I1806" s="61"/>
      <c r="J1806" s="62"/>
      <c r="K1806" s="63"/>
      <c r="L1806" s="61"/>
      <c r="M1806" s="61"/>
      <c r="N1806" s="111"/>
      <c r="O1806" s="112"/>
      <c r="P1806" s="113"/>
      <c r="Q1806" s="114"/>
      <c r="R1806" s="64"/>
      <c r="S1806" s="108"/>
      <c r="T1806" s="203">
        <f t="shared" si="1113"/>
        <v>43647</v>
      </c>
      <c r="U1806" s="204">
        <f t="shared" si="1114"/>
        <v>43677</v>
      </c>
      <c r="V1806" s="207">
        <f t="shared" ref="V1806:V1811" si="1118">IF(G1806-F1806+1-IF(G1806-U1806&gt;0,G1806-U1806,0)-IF(T1806-F1806&gt;0,T1806-F1806,0)&gt;0,G1806-F1806+1-IF(G1806-U1806&gt;0,G1806-U1806,0)-IF(T1806-F1806&gt;0,T1806-F1806,0),0)</f>
        <v>0</v>
      </c>
      <c r="W1806" s="206" t="str">
        <f t="shared" si="1115"/>
        <v/>
      </c>
      <c r="X1806" s="206">
        <f t="shared" si="1116"/>
        <v>0</v>
      </c>
      <c r="Y1806" s="209">
        <f t="shared" si="1117"/>
        <v>0</v>
      </c>
    </row>
    <row r="1807" spans="2:25" ht="16.5" hidden="1" thickTop="1" thickBot="1" x14ac:dyDescent="0.3">
      <c r="B1807" s="60">
        <f>B1805</f>
        <v>22</v>
      </c>
      <c r="C1807" s="102">
        <v>150</v>
      </c>
      <c r="D1807" s="192" t="str">
        <f t="shared" si="1104"/>
        <v>VI</v>
      </c>
      <c r="E1807" s="62"/>
      <c r="F1807" s="105"/>
      <c r="G1807" s="105"/>
      <c r="H1807" s="61"/>
      <c r="I1807" s="61"/>
      <c r="J1807" s="62"/>
      <c r="K1807" s="63"/>
      <c r="L1807" s="61"/>
      <c r="M1807" s="61"/>
      <c r="N1807" s="111"/>
      <c r="O1807" s="112"/>
      <c r="P1807" s="113"/>
      <c r="Q1807" s="114"/>
      <c r="R1807" s="64"/>
      <c r="S1807" s="108"/>
      <c r="T1807" s="203">
        <f t="shared" si="1113"/>
        <v>43647</v>
      </c>
      <c r="U1807" s="204">
        <f t="shared" si="1114"/>
        <v>43677</v>
      </c>
      <c r="V1807" s="207">
        <f t="shared" si="1118"/>
        <v>0</v>
      </c>
      <c r="W1807" s="206" t="str">
        <f t="shared" si="1115"/>
        <v/>
      </c>
      <c r="X1807" s="206">
        <f t="shared" si="1116"/>
        <v>0</v>
      </c>
      <c r="Y1807" s="209">
        <f t="shared" si="1117"/>
        <v>0</v>
      </c>
    </row>
    <row r="1808" spans="2:25" ht="16.5" hidden="1" thickTop="1" thickBot="1" x14ac:dyDescent="0.3">
      <c r="B1808" s="60">
        <f>B1805</f>
        <v>22</v>
      </c>
      <c r="C1808" s="102">
        <v>151</v>
      </c>
      <c r="D1808" s="192" t="str">
        <f t="shared" si="1104"/>
        <v>VI</v>
      </c>
      <c r="E1808" s="62"/>
      <c r="F1808" s="105"/>
      <c r="G1808" s="105"/>
      <c r="H1808" s="61"/>
      <c r="I1808" s="61"/>
      <c r="J1808" s="62"/>
      <c r="K1808" s="63"/>
      <c r="L1808" s="61"/>
      <c r="M1808" s="61"/>
      <c r="N1808" s="111"/>
      <c r="O1808" s="112"/>
      <c r="P1808" s="113"/>
      <c r="Q1808" s="114"/>
      <c r="R1808" s="64"/>
      <c r="S1808" s="108"/>
      <c r="T1808" s="203">
        <f t="shared" si="1113"/>
        <v>43647</v>
      </c>
      <c r="U1808" s="204">
        <f t="shared" si="1114"/>
        <v>43677</v>
      </c>
      <c r="V1808" s="207">
        <f t="shared" si="1118"/>
        <v>0</v>
      </c>
      <c r="W1808" s="206" t="str">
        <f t="shared" si="1115"/>
        <v/>
      </c>
      <c r="X1808" s="206">
        <f t="shared" si="1116"/>
        <v>0</v>
      </c>
      <c r="Y1808" s="209">
        <f t="shared" si="1117"/>
        <v>0</v>
      </c>
    </row>
    <row r="1809" spans="2:25" ht="16.5" hidden="1" thickTop="1" thickBot="1" x14ac:dyDescent="0.3">
      <c r="B1809" s="60">
        <f>B1805</f>
        <v>22</v>
      </c>
      <c r="C1809" s="102">
        <v>152</v>
      </c>
      <c r="D1809" s="192" t="str">
        <f t="shared" si="1104"/>
        <v>VI</v>
      </c>
      <c r="E1809" s="62"/>
      <c r="F1809" s="105"/>
      <c r="G1809" s="105"/>
      <c r="H1809" s="61"/>
      <c r="I1809" s="61"/>
      <c r="J1809" s="62"/>
      <c r="K1809" s="63"/>
      <c r="L1809" s="61"/>
      <c r="M1809" s="61"/>
      <c r="N1809" s="111"/>
      <c r="O1809" s="112"/>
      <c r="P1809" s="113"/>
      <c r="Q1809" s="114"/>
      <c r="R1809" s="64"/>
      <c r="S1809" s="108"/>
      <c r="T1809" s="203">
        <f t="shared" si="1113"/>
        <v>43647</v>
      </c>
      <c r="U1809" s="204">
        <f t="shared" si="1114"/>
        <v>43677</v>
      </c>
      <c r="V1809" s="207">
        <f t="shared" si="1118"/>
        <v>0</v>
      </c>
      <c r="W1809" s="206" t="str">
        <f t="shared" si="1115"/>
        <v/>
      </c>
      <c r="X1809" s="206">
        <f t="shared" si="1116"/>
        <v>0</v>
      </c>
      <c r="Y1809" s="209">
        <f t="shared" si="1117"/>
        <v>0</v>
      </c>
    </row>
    <row r="1810" spans="2:25" ht="16.5" hidden="1" thickTop="1" thickBot="1" x14ac:dyDescent="0.3">
      <c r="B1810" s="60">
        <f>B1805</f>
        <v>22</v>
      </c>
      <c r="C1810" s="102">
        <v>153</v>
      </c>
      <c r="D1810" s="192" t="str">
        <f t="shared" si="1104"/>
        <v>VI</v>
      </c>
      <c r="E1810" s="62"/>
      <c r="F1810" s="105"/>
      <c r="G1810" s="105"/>
      <c r="H1810" s="61"/>
      <c r="I1810" s="61"/>
      <c r="J1810" s="62"/>
      <c r="K1810" s="63"/>
      <c r="L1810" s="61"/>
      <c r="M1810" s="61"/>
      <c r="N1810" s="111"/>
      <c r="O1810" s="112"/>
      <c r="P1810" s="113"/>
      <c r="Q1810" s="114"/>
      <c r="R1810" s="64"/>
      <c r="S1810" s="108"/>
      <c r="T1810" s="203">
        <f t="shared" si="1113"/>
        <v>43647</v>
      </c>
      <c r="U1810" s="204">
        <f t="shared" si="1114"/>
        <v>43677</v>
      </c>
      <c r="V1810" s="207">
        <f t="shared" si="1118"/>
        <v>0</v>
      </c>
      <c r="W1810" s="206" t="str">
        <f t="shared" si="1115"/>
        <v/>
      </c>
      <c r="X1810" s="206">
        <f t="shared" si="1116"/>
        <v>0</v>
      </c>
      <c r="Y1810" s="209">
        <f t="shared" si="1117"/>
        <v>0</v>
      </c>
    </row>
    <row r="1811" spans="2:25" ht="16.5" hidden="1" thickTop="1" thickBot="1" x14ac:dyDescent="0.3">
      <c r="B1811" s="141">
        <f>B1805</f>
        <v>22</v>
      </c>
      <c r="C1811" s="142">
        <v>154</v>
      </c>
      <c r="D1811" s="194" t="str">
        <f t="shared" si="1104"/>
        <v>VI</v>
      </c>
      <c r="E1811" s="143"/>
      <c r="F1811" s="144"/>
      <c r="G1811" s="144"/>
      <c r="H1811" s="145"/>
      <c r="I1811" s="145"/>
      <c r="J1811" s="436" t="s">
        <v>181</v>
      </c>
      <c r="K1811" s="437"/>
      <c r="L1811" s="438"/>
      <c r="M1811" s="145"/>
      <c r="N1811" s="146"/>
      <c r="O1811" s="147"/>
      <c r="P1811" s="148"/>
      <c r="Q1811" s="149"/>
      <c r="R1811" s="150"/>
      <c r="S1811" s="151"/>
      <c r="T1811" s="213">
        <f t="shared" si="1113"/>
        <v>43647</v>
      </c>
      <c r="U1811" s="214">
        <f t="shared" si="1114"/>
        <v>43677</v>
      </c>
      <c r="V1811" s="210">
        <f t="shared" si="1118"/>
        <v>0</v>
      </c>
      <c r="W1811" s="211"/>
      <c r="X1811" s="211">
        <f>IF(AND($V1811&gt;0,$I1811=1),IF($E1811=10,P1811/10,P1811/$V1811),0)</f>
        <v>0</v>
      </c>
      <c r="Y1811" s="212">
        <f>IF(AND($V1805&gt;0,$I1811&lt;&gt;1),Q1811/E1805*V1805,0)</f>
        <v>0</v>
      </c>
    </row>
    <row r="1812" spans="2:25" ht="16.5" hidden="1" thickTop="1" thickBot="1" x14ac:dyDescent="0.3">
      <c r="B1812" s="129">
        <f>B1810+1</f>
        <v>23</v>
      </c>
      <c r="C1812" s="130">
        <v>155</v>
      </c>
      <c r="D1812" s="196" t="str">
        <f t="shared" si="1104"/>
        <v>VI</v>
      </c>
      <c r="E1812" s="152"/>
      <c r="F1812" s="153"/>
      <c r="G1812" s="153"/>
      <c r="H1812" s="154"/>
      <c r="I1812" s="154"/>
      <c r="J1812" s="152"/>
      <c r="K1812" s="155"/>
      <c r="L1812" s="154"/>
      <c r="M1812" s="154"/>
      <c r="N1812" s="156"/>
      <c r="O1812" s="157"/>
      <c r="P1812" s="158"/>
      <c r="Q1812" s="159"/>
      <c r="R1812" s="160"/>
      <c r="S1812" s="161"/>
      <c r="T1812" s="203">
        <f t="shared" si="1113"/>
        <v>43647</v>
      </c>
      <c r="U1812" s="204">
        <f t="shared" si="1114"/>
        <v>43677</v>
      </c>
      <c r="V1812" s="207">
        <f>IF(G1812-F1812+1-IF(G1812-U1812&gt;0,G1812-U1812,0)-IF(T1812-F1812&gt;0,T1812-F1812,0)&gt;0,G1812-F1812+1-IF(G1812-U1812&gt;0,G1812-U1812,0)-IF(T1812-F1812&gt;0,T1812-F1812,0),0)</f>
        <v>0</v>
      </c>
      <c r="W1812" s="206" t="str">
        <f t="shared" ref="W1812:W1817" si="1119">IF(V1812&gt;0,H1812,"")</f>
        <v/>
      </c>
      <c r="X1812" s="206">
        <f t="shared" ref="X1812:X1817" si="1120">IF(AND($V1812&gt;0,$I1812=1),P1812/$E1812*$V1812,0)</f>
        <v>0</v>
      </c>
      <c r="Y1812" s="209">
        <f t="shared" ref="Y1812:Y1817" si="1121">IF(AND($V1812&gt;0,$I1812&lt;&gt;1),Q1812/$E1812*$V1812,0)</f>
        <v>0</v>
      </c>
    </row>
    <row r="1813" spans="2:25" ht="16.5" hidden="1" thickTop="1" thickBot="1" x14ac:dyDescent="0.3">
      <c r="B1813" s="60">
        <f>B1812</f>
        <v>23</v>
      </c>
      <c r="C1813" s="102">
        <v>156</v>
      </c>
      <c r="D1813" s="192" t="str">
        <f t="shared" si="1104"/>
        <v>VI</v>
      </c>
      <c r="E1813" s="162"/>
      <c r="F1813" s="163"/>
      <c r="G1813" s="163"/>
      <c r="H1813" s="164"/>
      <c r="I1813" s="164"/>
      <c r="J1813" s="162"/>
      <c r="K1813" s="165"/>
      <c r="L1813" s="164"/>
      <c r="M1813" s="164"/>
      <c r="N1813" s="166"/>
      <c r="O1813" s="167"/>
      <c r="P1813" s="168"/>
      <c r="Q1813" s="169"/>
      <c r="R1813" s="170"/>
      <c r="S1813" s="171"/>
      <c r="T1813" s="203">
        <f t="shared" si="1113"/>
        <v>43647</v>
      </c>
      <c r="U1813" s="204">
        <f t="shared" si="1114"/>
        <v>43677</v>
      </c>
      <c r="V1813" s="207">
        <f t="shared" ref="V1813:V1818" si="1122">IF(G1813-F1813+1-IF(G1813-U1813&gt;0,G1813-U1813,0)-IF(T1813-F1813&gt;0,T1813-F1813,0)&gt;0,G1813-F1813+1-IF(G1813-U1813&gt;0,G1813-U1813,0)-IF(T1813-F1813&gt;0,T1813-F1813,0),0)</f>
        <v>0</v>
      </c>
      <c r="W1813" s="206" t="str">
        <f t="shared" si="1119"/>
        <v/>
      </c>
      <c r="X1813" s="206">
        <f t="shared" si="1120"/>
        <v>0</v>
      </c>
      <c r="Y1813" s="209">
        <f t="shared" si="1121"/>
        <v>0</v>
      </c>
    </row>
    <row r="1814" spans="2:25" ht="16.5" hidden="1" thickTop="1" thickBot="1" x14ac:dyDescent="0.3">
      <c r="B1814" s="60">
        <f>B1812</f>
        <v>23</v>
      </c>
      <c r="C1814" s="102">
        <v>157</v>
      </c>
      <c r="D1814" s="192" t="str">
        <f t="shared" si="1104"/>
        <v>VI</v>
      </c>
      <c r="E1814" s="162"/>
      <c r="F1814" s="163"/>
      <c r="G1814" s="163"/>
      <c r="H1814" s="164"/>
      <c r="I1814" s="164"/>
      <c r="J1814" s="162"/>
      <c r="K1814" s="165"/>
      <c r="L1814" s="164"/>
      <c r="M1814" s="164"/>
      <c r="N1814" s="166"/>
      <c r="O1814" s="167"/>
      <c r="P1814" s="168"/>
      <c r="Q1814" s="169"/>
      <c r="R1814" s="170"/>
      <c r="S1814" s="171"/>
      <c r="T1814" s="203">
        <f t="shared" si="1113"/>
        <v>43647</v>
      </c>
      <c r="U1814" s="204">
        <f t="shared" si="1114"/>
        <v>43677</v>
      </c>
      <c r="V1814" s="207">
        <f t="shared" si="1122"/>
        <v>0</v>
      </c>
      <c r="W1814" s="206" t="str">
        <f t="shared" si="1119"/>
        <v/>
      </c>
      <c r="X1814" s="206">
        <f t="shared" si="1120"/>
        <v>0</v>
      </c>
      <c r="Y1814" s="209">
        <f t="shared" si="1121"/>
        <v>0</v>
      </c>
    </row>
    <row r="1815" spans="2:25" ht="16.5" hidden="1" thickTop="1" thickBot="1" x14ac:dyDescent="0.3">
      <c r="B1815" s="60">
        <f>B1812</f>
        <v>23</v>
      </c>
      <c r="C1815" s="102">
        <v>158</v>
      </c>
      <c r="D1815" s="192" t="str">
        <f t="shared" si="1104"/>
        <v>VI</v>
      </c>
      <c r="E1815" s="162"/>
      <c r="F1815" s="163"/>
      <c r="G1815" s="163"/>
      <c r="H1815" s="164"/>
      <c r="I1815" s="164"/>
      <c r="J1815" s="162"/>
      <c r="K1815" s="165"/>
      <c r="L1815" s="164"/>
      <c r="M1815" s="164"/>
      <c r="N1815" s="166"/>
      <c r="O1815" s="167"/>
      <c r="P1815" s="168"/>
      <c r="Q1815" s="169"/>
      <c r="R1815" s="170"/>
      <c r="S1815" s="171"/>
      <c r="T1815" s="203">
        <f t="shared" si="1113"/>
        <v>43647</v>
      </c>
      <c r="U1815" s="204">
        <f t="shared" si="1114"/>
        <v>43677</v>
      </c>
      <c r="V1815" s="207">
        <f t="shared" si="1122"/>
        <v>0</v>
      </c>
      <c r="W1815" s="206" t="str">
        <f t="shared" si="1119"/>
        <v/>
      </c>
      <c r="X1815" s="206">
        <f t="shared" si="1120"/>
        <v>0</v>
      </c>
      <c r="Y1815" s="209">
        <f t="shared" si="1121"/>
        <v>0</v>
      </c>
    </row>
    <row r="1816" spans="2:25" ht="16.5" hidden="1" thickTop="1" thickBot="1" x14ac:dyDescent="0.3">
      <c r="B1816" s="60">
        <f>B1812</f>
        <v>23</v>
      </c>
      <c r="C1816" s="102">
        <v>159</v>
      </c>
      <c r="D1816" s="192" t="str">
        <f t="shared" si="1104"/>
        <v>VI</v>
      </c>
      <c r="E1816" s="162"/>
      <c r="F1816" s="163"/>
      <c r="G1816" s="163"/>
      <c r="H1816" s="164"/>
      <c r="I1816" s="164"/>
      <c r="J1816" s="162"/>
      <c r="K1816" s="165"/>
      <c r="L1816" s="164"/>
      <c r="M1816" s="164"/>
      <c r="N1816" s="166"/>
      <c r="O1816" s="167"/>
      <c r="P1816" s="168"/>
      <c r="Q1816" s="169"/>
      <c r="R1816" s="170"/>
      <c r="S1816" s="171"/>
      <c r="T1816" s="203">
        <f t="shared" si="1113"/>
        <v>43647</v>
      </c>
      <c r="U1816" s="204">
        <f t="shared" si="1114"/>
        <v>43677</v>
      </c>
      <c r="V1816" s="207">
        <f t="shared" si="1122"/>
        <v>0</v>
      </c>
      <c r="W1816" s="206" t="str">
        <f t="shared" si="1119"/>
        <v/>
      </c>
      <c r="X1816" s="206">
        <f t="shared" si="1120"/>
        <v>0</v>
      </c>
      <c r="Y1816" s="209">
        <f t="shared" si="1121"/>
        <v>0</v>
      </c>
    </row>
    <row r="1817" spans="2:25" ht="16.5" hidden="1" thickTop="1" thickBot="1" x14ac:dyDescent="0.3">
      <c r="B1817" s="60">
        <f>B1812</f>
        <v>23</v>
      </c>
      <c r="C1817" s="102">
        <v>160</v>
      </c>
      <c r="D1817" s="192" t="str">
        <f t="shared" si="1104"/>
        <v>VI</v>
      </c>
      <c r="E1817" s="172"/>
      <c r="F1817" s="173"/>
      <c r="G1817" s="173"/>
      <c r="H1817" s="174"/>
      <c r="I1817" s="174"/>
      <c r="J1817" s="172"/>
      <c r="K1817" s="175"/>
      <c r="L1817" s="174"/>
      <c r="M1817" s="174"/>
      <c r="N1817" s="176"/>
      <c r="O1817" s="177"/>
      <c r="P1817" s="178"/>
      <c r="Q1817" s="179"/>
      <c r="R1817" s="180"/>
      <c r="S1817" s="181"/>
      <c r="T1817" s="203">
        <f t="shared" si="1113"/>
        <v>43647</v>
      </c>
      <c r="U1817" s="204">
        <f t="shared" si="1114"/>
        <v>43677</v>
      </c>
      <c r="V1817" s="207">
        <f t="shared" si="1122"/>
        <v>0</v>
      </c>
      <c r="W1817" s="206" t="str">
        <f t="shared" si="1119"/>
        <v/>
      </c>
      <c r="X1817" s="206">
        <f t="shared" si="1120"/>
        <v>0</v>
      </c>
      <c r="Y1817" s="209">
        <f t="shared" si="1121"/>
        <v>0</v>
      </c>
    </row>
    <row r="1818" spans="2:25" ht="16.5" hidden="1" thickTop="1" thickBot="1" x14ac:dyDescent="0.3">
      <c r="B1818" s="141">
        <f>B1812</f>
        <v>23</v>
      </c>
      <c r="C1818" s="142">
        <v>161</v>
      </c>
      <c r="D1818" s="194" t="str">
        <f t="shared" si="1104"/>
        <v>VI</v>
      </c>
      <c r="E1818" s="189"/>
      <c r="F1818" s="190"/>
      <c r="G1818" s="190"/>
      <c r="H1818" s="182"/>
      <c r="I1818" s="182"/>
      <c r="J1818" s="436" t="s">
        <v>181</v>
      </c>
      <c r="K1818" s="437"/>
      <c r="L1818" s="438"/>
      <c r="M1818" s="182"/>
      <c r="N1818" s="183"/>
      <c r="O1818" s="184"/>
      <c r="P1818" s="185"/>
      <c r="Q1818" s="186"/>
      <c r="R1818" s="187"/>
      <c r="S1818" s="188"/>
      <c r="T1818" s="213">
        <f t="shared" si="1113"/>
        <v>43647</v>
      </c>
      <c r="U1818" s="214">
        <f t="shared" si="1114"/>
        <v>43677</v>
      </c>
      <c r="V1818" s="210">
        <f t="shared" si="1122"/>
        <v>0</v>
      </c>
      <c r="W1818" s="211"/>
      <c r="X1818" s="211">
        <f>IF(AND($V1818&gt;0,$I1818=1),IF($E1818=10,P1818/10,P1818/$V1818),0)</f>
        <v>0</v>
      </c>
      <c r="Y1818" s="212">
        <f>IF(AND($V1812&gt;0,$I1818&lt;&gt;1),Q1818/E1812*V1812,0)</f>
        <v>0</v>
      </c>
    </row>
    <row r="1819" spans="2:25" ht="16.5" hidden="1" thickTop="1" thickBot="1" x14ac:dyDescent="0.3">
      <c r="B1819" s="129">
        <v>48</v>
      </c>
      <c r="C1819" s="130">
        <v>162</v>
      </c>
      <c r="D1819" s="196" t="str">
        <f t="shared" si="1104"/>
        <v>VI</v>
      </c>
      <c r="E1819" s="131"/>
      <c r="F1819" s="132"/>
      <c r="G1819" s="132"/>
      <c r="H1819" s="133"/>
      <c r="I1819" s="133"/>
      <c r="J1819" s="131"/>
      <c r="K1819" s="134"/>
      <c r="L1819" s="133"/>
      <c r="M1819" s="133"/>
      <c r="N1819" s="135"/>
      <c r="O1819" s="136"/>
      <c r="P1819" s="137"/>
      <c r="Q1819" s="138"/>
      <c r="R1819" s="139"/>
      <c r="S1819" s="140"/>
      <c r="T1819" s="203">
        <f t="shared" si="1113"/>
        <v>43647</v>
      </c>
      <c r="U1819" s="204">
        <f t="shared" si="1114"/>
        <v>43677</v>
      </c>
      <c r="V1819" s="207">
        <f>IF(G1819-F1819+1-IF(G1819-U1819&gt;0,G1819-U1819,0)-IF(T1819-F1819&gt;0,T1819-F1819,0)&gt;0,G1819-F1819+1-IF(G1819-U1819&gt;0,G1819-U1819,0)-IF(T1819-F1819&gt;0,T1819-F1819,0),0)</f>
        <v>0</v>
      </c>
      <c r="W1819" s="206" t="str">
        <f t="shared" ref="W1819:W1824" si="1123">IF(V1819&gt;0,H1819,"")</f>
        <v/>
      </c>
      <c r="X1819" s="206">
        <f t="shared" ref="X1819:X1824" si="1124">IF(AND($V1819&gt;0,$I1819=1),P1819/$E1819*$V1819,0)</f>
        <v>0</v>
      </c>
      <c r="Y1819" s="209">
        <f t="shared" ref="Y1819:Y1824" si="1125">IF(AND($V1819&gt;0,$I1819&lt;&gt;1),Q1819/$E1819*$V1819,0)</f>
        <v>0</v>
      </c>
    </row>
    <row r="1820" spans="2:25" ht="16.5" hidden="1" thickTop="1" thickBot="1" x14ac:dyDescent="0.3">
      <c r="B1820" s="60">
        <f>B1819</f>
        <v>48</v>
      </c>
      <c r="C1820" s="102">
        <v>163</v>
      </c>
      <c r="D1820" s="192" t="str">
        <f t="shared" si="1104"/>
        <v>VI</v>
      </c>
      <c r="E1820" s="62"/>
      <c r="F1820" s="105"/>
      <c r="G1820" s="105"/>
      <c r="H1820" s="61"/>
      <c r="I1820" s="61"/>
      <c r="J1820" s="62"/>
      <c r="K1820" s="63"/>
      <c r="L1820" s="61"/>
      <c r="M1820" s="61"/>
      <c r="N1820" s="111"/>
      <c r="O1820" s="112"/>
      <c r="P1820" s="113"/>
      <c r="Q1820" s="114"/>
      <c r="R1820" s="64"/>
      <c r="S1820" s="108"/>
      <c r="T1820" s="203">
        <f t="shared" si="1113"/>
        <v>43647</v>
      </c>
      <c r="U1820" s="204">
        <f t="shared" si="1114"/>
        <v>43677</v>
      </c>
      <c r="V1820" s="207">
        <f t="shared" ref="V1820:V1825" si="1126">IF(G1820-F1820+1-IF(G1820-U1820&gt;0,G1820-U1820,0)-IF(T1820-F1820&gt;0,T1820-F1820,0)&gt;0,G1820-F1820+1-IF(G1820-U1820&gt;0,G1820-U1820,0)-IF(T1820-F1820&gt;0,T1820-F1820,0),0)</f>
        <v>0</v>
      </c>
      <c r="W1820" s="206" t="str">
        <f t="shared" si="1123"/>
        <v/>
      </c>
      <c r="X1820" s="206">
        <f t="shared" si="1124"/>
        <v>0</v>
      </c>
      <c r="Y1820" s="209">
        <f t="shared" si="1125"/>
        <v>0</v>
      </c>
    </row>
    <row r="1821" spans="2:25" ht="16.5" hidden="1" thickTop="1" thickBot="1" x14ac:dyDescent="0.3">
      <c r="B1821" s="60">
        <f>B1819</f>
        <v>48</v>
      </c>
      <c r="C1821" s="102">
        <v>164</v>
      </c>
      <c r="D1821" s="192" t="str">
        <f t="shared" si="1104"/>
        <v>VI</v>
      </c>
      <c r="E1821" s="62"/>
      <c r="F1821" s="105"/>
      <c r="G1821" s="105"/>
      <c r="H1821" s="61"/>
      <c r="I1821" s="61"/>
      <c r="J1821" s="62"/>
      <c r="K1821" s="63"/>
      <c r="L1821" s="61"/>
      <c r="M1821" s="61"/>
      <c r="N1821" s="111"/>
      <c r="O1821" s="112"/>
      <c r="P1821" s="113"/>
      <c r="Q1821" s="114"/>
      <c r="R1821" s="64"/>
      <c r="S1821" s="108"/>
      <c r="T1821" s="203">
        <f t="shared" si="1113"/>
        <v>43647</v>
      </c>
      <c r="U1821" s="204">
        <f t="shared" si="1114"/>
        <v>43677</v>
      </c>
      <c r="V1821" s="207">
        <f t="shared" si="1126"/>
        <v>0</v>
      </c>
      <c r="W1821" s="206" t="str">
        <f t="shared" si="1123"/>
        <v/>
      </c>
      <c r="X1821" s="206">
        <f t="shared" si="1124"/>
        <v>0</v>
      </c>
      <c r="Y1821" s="209">
        <f t="shared" si="1125"/>
        <v>0</v>
      </c>
    </row>
    <row r="1822" spans="2:25" ht="16.5" hidden="1" thickTop="1" thickBot="1" x14ac:dyDescent="0.3">
      <c r="B1822" s="60">
        <f>B1819</f>
        <v>48</v>
      </c>
      <c r="C1822" s="102">
        <v>165</v>
      </c>
      <c r="D1822" s="192" t="str">
        <f t="shared" si="1104"/>
        <v>VI</v>
      </c>
      <c r="E1822" s="62"/>
      <c r="F1822" s="105"/>
      <c r="G1822" s="105"/>
      <c r="H1822" s="61"/>
      <c r="I1822" s="61"/>
      <c r="J1822" s="62"/>
      <c r="K1822" s="63"/>
      <c r="L1822" s="61"/>
      <c r="M1822" s="61"/>
      <c r="N1822" s="111"/>
      <c r="O1822" s="112"/>
      <c r="P1822" s="113"/>
      <c r="Q1822" s="114"/>
      <c r="R1822" s="64"/>
      <c r="S1822" s="108"/>
      <c r="T1822" s="203">
        <f t="shared" si="1113"/>
        <v>43647</v>
      </c>
      <c r="U1822" s="204">
        <f t="shared" si="1114"/>
        <v>43677</v>
      </c>
      <c r="V1822" s="207">
        <f t="shared" si="1126"/>
        <v>0</v>
      </c>
      <c r="W1822" s="206" t="str">
        <f t="shared" si="1123"/>
        <v/>
      </c>
      <c r="X1822" s="206">
        <f t="shared" si="1124"/>
        <v>0</v>
      </c>
      <c r="Y1822" s="209">
        <f t="shared" si="1125"/>
        <v>0</v>
      </c>
    </row>
    <row r="1823" spans="2:25" ht="16.5" hidden="1" thickTop="1" thickBot="1" x14ac:dyDescent="0.3">
      <c r="B1823" s="60">
        <f>B1819</f>
        <v>48</v>
      </c>
      <c r="C1823" s="102">
        <v>166</v>
      </c>
      <c r="D1823" s="192" t="str">
        <f t="shared" si="1104"/>
        <v>VI</v>
      </c>
      <c r="E1823" s="62"/>
      <c r="F1823" s="105"/>
      <c r="G1823" s="105"/>
      <c r="H1823" s="61"/>
      <c r="I1823" s="61"/>
      <c r="J1823" s="62"/>
      <c r="K1823" s="63"/>
      <c r="L1823" s="61"/>
      <c r="M1823" s="61"/>
      <c r="N1823" s="111"/>
      <c r="O1823" s="112"/>
      <c r="P1823" s="113"/>
      <c r="Q1823" s="114"/>
      <c r="R1823" s="64"/>
      <c r="S1823" s="108"/>
      <c r="T1823" s="203">
        <f t="shared" si="1113"/>
        <v>43647</v>
      </c>
      <c r="U1823" s="204">
        <f t="shared" si="1114"/>
        <v>43677</v>
      </c>
      <c r="V1823" s="207">
        <f t="shared" si="1126"/>
        <v>0</v>
      </c>
      <c r="W1823" s="206" t="str">
        <f t="shared" si="1123"/>
        <v/>
      </c>
      <c r="X1823" s="206">
        <f t="shared" si="1124"/>
        <v>0</v>
      </c>
      <c r="Y1823" s="209">
        <f t="shared" si="1125"/>
        <v>0</v>
      </c>
    </row>
    <row r="1824" spans="2:25" ht="16.5" hidden="1" thickTop="1" thickBot="1" x14ac:dyDescent="0.3">
      <c r="B1824" s="60">
        <f>B1819</f>
        <v>48</v>
      </c>
      <c r="C1824" s="102">
        <v>167</v>
      </c>
      <c r="D1824" s="192" t="str">
        <f t="shared" si="1104"/>
        <v>VI</v>
      </c>
      <c r="E1824" s="62"/>
      <c r="F1824" s="105"/>
      <c r="G1824" s="105"/>
      <c r="H1824" s="61"/>
      <c r="I1824" s="61"/>
      <c r="J1824" s="62"/>
      <c r="K1824" s="63"/>
      <c r="L1824" s="61"/>
      <c r="M1824" s="61"/>
      <c r="N1824" s="111"/>
      <c r="O1824" s="112"/>
      <c r="P1824" s="113"/>
      <c r="Q1824" s="114"/>
      <c r="R1824" s="64"/>
      <c r="S1824" s="108"/>
      <c r="T1824" s="203">
        <f t="shared" si="1113"/>
        <v>43647</v>
      </c>
      <c r="U1824" s="204">
        <f t="shared" si="1114"/>
        <v>43677</v>
      </c>
      <c r="V1824" s="207">
        <f t="shared" si="1126"/>
        <v>0</v>
      </c>
      <c r="W1824" s="206" t="str">
        <f t="shared" si="1123"/>
        <v/>
      </c>
      <c r="X1824" s="206">
        <f t="shared" si="1124"/>
        <v>0</v>
      </c>
      <c r="Y1824" s="209">
        <f t="shared" si="1125"/>
        <v>0</v>
      </c>
    </row>
    <row r="1825" spans="2:25" ht="16.5" hidden="1" thickTop="1" thickBot="1" x14ac:dyDescent="0.3">
      <c r="B1825" s="141">
        <f>B1819</f>
        <v>48</v>
      </c>
      <c r="C1825" s="142">
        <v>168</v>
      </c>
      <c r="D1825" s="194" t="str">
        <f t="shared" si="1104"/>
        <v>VI</v>
      </c>
      <c r="E1825" s="143"/>
      <c r="F1825" s="144"/>
      <c r="G1825" s="144"/>
      <c r="H1825" s="145"/>
      <c r="I1825" s="145"/>
      <c r="J1825" s="436" t="s">
        <v>181</v>
      </c>
      <c r="K1825" s="437"/>
      <c r="L1825" s="438"/>
      <c r="M1825" s="145"/>
      <c r="N1825" s="146"/>
      <c r="O1825" s="147"/>
      <c r="P1825" s="148"/>
      <c r="Q1825" s="149"/>
      <c r="R1825" s="150"/>
      <c r="S1825" s="151"/>
      <c r="T1825" s="213">
        <f t="shared" si="1113"/>
        <v>43647</v>
      </c>
      <c r="U1825" s="214">
        <f t="shared" si="1114"/>
        <v>43677</v>
      </c>
      <c r="V1825" s="210">
        <f t="shared" si="1126"/>
        <v>0</v>
      </c>
      <c r="W1825" s="211"/>
      <c r="X1825" s="211">
        <f>IF(AND($V1825&gt;0,$I1825=1),IF($E1825=10,P1825/10,P1825/$V1825),0)</f>
        <v>0</v>
      </c>
      <c r="Y1825" s="212">
        <f>IF(AND($V1819&gt;0,$I1825&lt;&gt;1),Q1825/E1819*V1819,0)</f>
        <v>0</v>
      </c>
    </row>
    <row r="1826" spans="2:25" ht="16.5" hidden="1" thickTop="1" thickBot="1" x14ac:dyDescent="0.3">
      <c r="B1826" s="129">
        <v>25</v>
      </c>
      <c r="C1826" s="130">
        <v>169</v>
      </c>
      <c r="D1826" s="196" t="str">
        <f t="shared" si="1104"/>
        <v>VI</v>
      </c>
      <c r="E1826" s="152"/>
      <c r="F1826" s="153"/>
      <c r="G1826" s="153"/>
      <c r="H1826" s="154"/>
      <c r="I1826" s="154"/>
      <c r="J1826" s="152"/>
      <c r="K1826" s="155"/>
      <c r="L1826" s="154"/>
      <c r="M1826" s="154"/>
      <c r="N1826" s="156"/>
      <c r="O1826" s="157"/>
      <c r="P1826" s="158"/>
      <c r="Q1826" s="159"/>
      <c r="R1826" s="160"/>
      <c r="S1826" s="161"/>
      <c r="T1826" s="203">
        <f t="shared" si="1113"/>
        <v>43647</v>
      </c>
      <c r="U1826" s="204">
        <f t="shared" si="1114"/>
        <v>43677</v>
      </c>
      <c r="V1826" s="207">
        <f>IF(G1826-F1826+1-IF(G1826-U1826&gt;0,G1826-U1826,0)-IF(T1826-F1826&gt;0,T1826-F1826,0)&gt;0,G1826-F1826+1-IF(G1826-U1826&gt;0,G1826-U1826,0)-IF(T1826-F1826&gt;0,T1826-F1826,0),0)</f>
        <v>0</v>
      </c>
      <c r="W1826" s="206" t="str">
        <f t="shared" ref="W1826:W1831" si="1127">IF(V1826&gt;0,H1826,"")</f>
        <v/>
      </c>
      <c r="X1826" s="206">
        <f t="shared" ref="X1826:X1831" si="1128">IF(AND($V1826&gt;0,$I1826=1),P1826/$E1826*$V1826,0)</f>
        <v>0</v>
      </c>
      <c r="Y1826" s="209">
        <f t="shared" ref="Y1826:Y1831" si="1129">IF(AND($V1826&gt;0,$I1826&lt;&gt;1),Q1826/$E1826*$V1826,0)</f>
        <v>0</v>
      </c>
    </row>
    <row r="1827" spans="2:25" ht="16.5" hidden="1" thickTop="1" thickBot="1" x14ac:dyDescent="0.3">
      <c r="B1827" s="60">
        <f>B1826</f>
        <v>25</v>
      </c>
      <c r="C1827" s="102">
        <v>170</v>
      </c>
      <c r="D1827" s="192" t="str">
        <f t="shared" si="1104"/>
        <v>VI</v>
      </c>
      <c r="E1827" s="162"/>
      <c r="F1827" s="163"/>
      <c r="G1827" s="163"/>
      <c r="H1827" s="164"/>
      <c r="I1827" s="164"/>
      <c r="J1827" s="162"/>
      <c r="K1827" s="165"/>
      <c r="L1827" s="164"/>
      <c r="M1827" s="164"/>
      <c r="N1827" s="166"/>
      <c r="O1827" s="167"/>
      <c r="P1827" s="168"/>
      <c r="Q1827" s="169"/>
      <c r="R1827" s="170"/>
      <c r="S1827" s="171"/>
      <c r="T1827" s="203">
        <f t="shared" si="1113"/>
        <v>43647</v>
      </c>
      <c r="U1827" s="204">
        <f t="shared" si="1114"/>
        <v>43677</v>
      </c>
      <c r="V1827" s="207">
        <f t="shared" ref="V1827:V1832" si="1130">IF(G1827-F1827+1-IF(G1827-U1827&gt;0,G1827-U1827,0)-IF(T1827-F1827&gt;0,T1827-F1827,0)&gt;0,G1827-F1827+1-IF(G1827-U1827&gt;0,G1827-U1827,0)-IF(T1827-F1827&gt;0,T1827-F1827,0),0)</f>
        <v>0</v>
      </c>
      <c r="W1827" s="206" t="str">
        <f t="shared" si="1127"/>
        <v/>
      </c>
      <c r="X1827" s="206">
        <f t="shared" si="1128"/>
        <v>0</v>
      </c>
      <c r="Y1827" s="209">
        <f t="shared" si="1129"/>
        <v>0</v>
      </c>
    </row>
    <row r="1828" spans="2:25" ht="16.5" hidden="1" thickTop="1" thickBot="1" x14ac:dyDescent="0.3">
      <c r="B1828" s="60">
        <f>B1826</f>
        <v>25</v>
      </c>
      <c r="C1828" s="102">
        <v>171</v>
      </c>
      <c r="D1828" s="192" t="str">
        <f t="shared" si="1104"/>
        <v>VI</v>
      </c>
      <c r="E1828" s="162"/>
      <c r="F1828" s="163"/>
      <c r="G1828" s="163"/>
      <c r="H1828" s="164"/>
      <c r="I1828" s="164"/>
      <c r="J1828" s="162"/>
      <c r="K1828" s="165"/>
      <c r="L1828" s="164"/>
      <c r="M1828" s="164"/>
      <c r="N1828" s="166"/>
      <c r="O1828" s="167"/>
      <c r="P1828" s="168"/>
      <c r="Q1828" s="169"/>
      <c r="R1828" s="170"/>
      <c r="S1828" s="171"/>
      <c r="T1828" s="203">
        <f t="shared" si="1113"/>
        <v>43647</v>
      </c>
      <c r="U1828" s="204">
        <f t="shared" si="1114"/>
        <v>43677</v>
      </c>
      <c r="V1828" s="207">
        <f t="shared" si="1130"/>
        <v>0</v>
      </c>
      <c r="W1828" s="206" t="str">
        <f t="shared" si="1127"/>
        <v/>
      </c>
      <c r="X1828" s="206">
        <f t="shared" si="1128"/>
        <v>0</v>
      </c>
      <c r="Y1828" s="209">
        <f t="shared" si="1129"/>
        <v>0</v>
      </c>
    </row>
    <row r="1829" spans="2:25" ht="16.5" hidden="1" thickTop="1" thickBot="1" x14ac:dyDescent="0.3">
      <c r="B1829" s="60">
        <f>B1826</f>
        <v>25</v>
      </c>
      <c r="C1829" s="102">
        <v>172</v>
      </c>
      <c r="D1829" s="192" t="str">
        <f t="shared" si="1104"/>
        <v>VI</v>
      </c>
      <c r="E1829" s="162"/>
      <c r="F1829" s="163"/>
      <c r="G1829" s="163"/>
      <c r="H1829" s="164"/>
      <c r="I1829" s="164"/>
      <c r="J1829" s="162"/>
      <c r="K1829" s="165"/>
      <c r="L1829" s="164"/>
      <c r="M1829" s="164"/>
      <c r="N1829" s="166"/>
      <c r="O1829" s="167"/>
      <c r="P1829" s="168"/>
      <c r="Q1829" s="169"/>
      <c r="R1829" s="170"/>
      <c r="S1829" s="171"/>
      <c r="T1829" s="203">
        <f t="shared" si="1113"/>
        <v>43647</v>
      </c>
      <c r="U1829" s="204">
        <f t="shared" si="1114"/>
        <v>43677</v>
      </c>
      <c r="V1829" s="207">
        <f t="shared" si="1130"/>
        <v>0</v>
      </c>
      <c r="W1829" s="206" t="str">
        <f t="shared" si="1127"/>
        <v/>
      </c>
      <c r="X1829" s="206">
        <f t="shared" si="1128"/>
        <v>0</v>
      </c>
      <c r="Y1829" s="209">
        <f t="shared" si="1129"/>
        <v>0</v>
      </c>
    </row>
    <row r="1830" spans="2:25" ht="16.5" hidden="1" thickTop="1" thickBot="1" x14ac:dyDescent="0.3">
      <c r="B1830" s="60">
        <f>B1826</f>
        <v>25</v>
      </c>
      <c r="C1830" s="102">
        <v>173</v>
      </c>
      <c r="D1830" s="192" t="str">
        <f t="shared" si="1104"/>
        <v>VI</v>
      </c>
      <c r="E1830" s="162"/>
      <c r="F1830" s="163"/>
      <c r="G1830" s="163"/>
      <c r="H1830" s="164"/>
      <c r="I1830" s="164"/>
      <c r="J1830" s="162"/>
      <c r="K1830" s="165"/>
      <c r="L1830" s="164"/>
      <c r="M1830" s="164"/>
      <c r="N1830" s="166"/>
      <c r="O1830" s="167"/>
      <c r="P1830" s="168"/>
      <c r="Q1830" s="169"/>
      <c r="R1830" s="170"/>
      <c r="S1830" s="171"/>
      <c r="T1830" s="203">
        <f t="shared" si="1113"/>
        <v>43647</v>
      </c>
      <c r="U1830" s="204">
        <f t="shared" si="1114"/>
        <v>43677</v>
      </c>
      <c r="V1830" s="207">
        <f t="shared" si="1130"/>
        <v>0</v>
      </c>
      <c r="W1830" s="206" t="str">
        <f t="shared" si="1127"/>
        <v/>
      </c>
      <c r="X1830" s="206">
        <f t="shared" si="1128"/>
        <v>0</v>
      </c>
      <c r="Y1830" s="209">
        <f t="shared" si="1129"/>
        <v>0</v>
      </c>
    </row>
    <row r="1831" spans="2:25" ht="16.5" hidden="1" thickTop="1" thickBot="1" x14ac:dyDescent="0.3">
      <c r="B1831" s="60">
        <f>B1826</f>
        <v>25</v>
      </c>
      <c r="C1831" s="102">
        <v>174</v>
      </c>
      <c r="D1831" s="192" t="str">
        <f t="shared" si="1104"/>
        <v>VI</v>
      </c>
      <c r="E1831" s="172"/>
      <c r="F1831" s="173"/>
      <c r="G1831" s="173"/>
      <c r="H1831" s="174"/>
      <c r="I1831" s="174"/>
      <c r="J1831" s="172"/>
      <c r="K1831" s="175"/>
      <c r="L1831" s="174"/>
      <c r="M1831" s="174"/>
      <c r="N1831" s="176"/>
      <c r="O1831" s="177"/>
      <c r="P1831" s="178"/>
      <c r="Q1831" s="179"/>
      <c r="R1831" s="180"/>
      <c r="S1831" s="181"/>
      <c r="T1831" s="203">
        <f t="shared" si="1113"/>
        <v>43647</v>
      </c>
      <c r="U1831" s="204">
        <f t="shared" si="1114"/>
        <v>43677</v>
      </c>
      <c r="V1831" s="207">
        <f t="shared" si="1130"/>
        <v>0</v>
      </c>
      <c r="W1831" s="206" t="str">
        <f t="shared" si="1127"/>
        <v/>
      </c>
      <c r="X1831" s="206">
        <f t="shared" si="1128"/>
        <v>0</v>
      </c>
      <c r="Y1831" s="209">
        <f t="shared" si="1129"/>
        <v>0</v>
      </c>
    </row>
    <row r="1832" spans="2:25" ht="16.5" hidden="1" thickTop="1" thickBot="1" x14ac:dyDescent="0.3">
      <c r="B1832" s="141">
        <f>B1826</f>
        <v>25</v>
      </c>
      <c r="C1832" s="142">
        <v>175</v>
      </c>
      <c r="D1832" s="194" t="str">
        <f t="shared" si="1104"/>
        <v>VI</v>
      </c>
      <c r="E1832" s="189"/>
      <c r="F1832" s="190"/>
      <c r="G1832" s="190"/>
      <c r="H1832" s="182"/>
      <c r="I1832" s="182"/>
      <c r="J1832" s="436" t="s">
        <v>181</v>
      </c>
      <c r="K1832" s="437"/>
      <c r="L1832" s="438"/>
      <c r="M1832" s="182"/>
      <c r="N1832" s="183"/>
      <c r="O1832" s="184"/>
      <c r="P1832" s="185"/>
      <c r="Q1832" s="186"/>
      <c r="R1832" s="187"/>
      <c r="S1832" s="188"/>
      <c r="T1832" s="213">
        <f t="shared" si="1113"/>
        <v>43647</v>
      </c>
      <c r="U1832" s="214">
        <f t="shared" si="1114"/>
        <v>43677</v>
      </c>
      <c r="V1832" s="210">
        <f t="shared" si="1130"/>
        <v>0</v>
      </c>
      <c r="W1832" s="211"/>
      <c r="X1832" s="211">
        <f>IF(AND($V1832&gt;0,$I1832=1),IF($E1832=10,P1832/10,P1832/$V1832),0)</f>
        <v>0</v>
      </c>
      <c r="Y1832" s="212">
        <f>IF(AND($V1826&gt;0,$I1832&lt;&gt;1),Q1832/E1826*V1826,0)</f>
        <v>0</v>
      </c>
    </row>
    <row r="1833" spans="2:25" ht="30.75" thickTop="1" x14ac:dyDescent="0.25">
      <c r="B1833" s="129">
        <f>B1831+1</f>
        <v>26</v>
      </c>
      <c r="C1833" s="130">
        <v>176</v>
      </c>
      <c r="D1833" s="196" t="str">
        <f t="shared" si="1104"/>
        <v>VI</v>
      </c>
      <c r="E1833" s="131">
        <v>10</v>
      </c>
      <c r="F1833" s="132">
        <v>43686</v>
      </c>
      <c r="G1833" s="132">
        <v>43695</v>
      </c>
      <c r="H1833" s="133" t="s">
        <v>240</v>
      </c>
      <c r="I1833" s="133">
        <v>1</v>
      </c>
      <c r="J1833" s="131" t="s">
        <v>168</v>
      </c>
      <c r="K1833" s="134" t="s">
        <v>16</v>
      </c>
      <c r="L1833" s="133">
        <v>1</v>
      </c>
      <c r="M1833" s="133">
        <v>7</v>
      </c>
      <c r="N1833" s="135">
        <v>44</v>
      </c>
      <c r="O1833" s="136">
        <v>44</v>
      </c>
      <c r="P1833" s="137">
        <v>44</v>
      </c>
      <c r="Q1833" s="138"/>
      <c r="R1833" s="139" t="s">
        <v>4</v>
      </c>
      <c r="S1833" s="140">
        <v>43620</v>
      </c>
      <c r="T1833" s="203">
        <f t="shared" si="1113"/>
        <v>43647</v>
      </c>
      <c r="U1833" s="204">
        <f t="shared" si="1114"/>
        <v>43677</v>
      </c>
      <c r="V1833" s="207">
        <f>IF(G1833-F1833+1-IF(G1833-U1833&gt;0,G1833-U1833,0)-IF(T1833-F1833&gt;0,T1833-F1833,0)&gt;0,G1833-F1833+1-IF(G1833-U1833&gt;0,G1833-U1833,0)-IF(T1833-F1833&gt;0,T1833-F1833,0),0)</f>
        <v>0</v>
      </c>
      <c r="W1833" s="206" t="str">
        <f t="shared" ref="W1833:W1838" si="1131">IF(V1833&gt;0,H1833,"")</f>
        <v/>
      </c>
      <c r="X1833" s="206">
        <f t="shared" ref="X1833:X1838" si="1132">IF(AND($V1833&gt;0,$I1833=1),P1833/$E1833*$V1833,0)</f>
        <v>0</v>
      </c>
      <c r="Y1833" s="209">
        <f t="shared" ref="Y1833:Y1838" si="1133">IF(AND($V1833&gt;0,$I1833&lt;&gt;1),Q1833/$E1833*$V1833,0)</f>
        <v>0</v>
      </c>
    </row>
    <row r="1834" spans="2:25" hidden="1" x14ac:dyDescent="0.25">
      <c r="B1834" s="60">
        <f>B1833</f>
        <v>26</v>
      </c>
      <c r="C1834" s="102">
        <v>177</v>
      </c>
      <c r="D1834" s="192" t="str">
        <f t="shared" si="1104"/>
        <v>VI</v>
      </c>
      <c r="E1834" s="62"/>
      <c r="F1834" s="105"/>
      <c r="G1834" s="105"/>
      <c r="H1834" s="61"/>
      <c r="I1834" s="61"/>
      <c r="J1834" s="62"/>
      <c r="K1834" s="63"/>
      <c r="L1834" s="61"/>
      <c r="M1834" s="61"/>
      <c r="N1834" s="111"/>
      <c r="O1834" s="112"/>
      <c r="P1834" s="113"/>
      <c r="Q1834" s="114"/>
      <c r="R1834" s="64"/>
      <c r="S1834" s="108"/>
      <c r="T1834" s="203">
        <f t="shared" si="1113"/>
        <v>43647</v>
      </c>
      <c r="U1834" s="204">
        <f t="shared" si="1114"/>
        <v>43677</v>
      </c>
      <c r="V1834" s="207">
        <f t="shared" ref="V1834:V1839" si="1134">IF(G1834-F1834+1-IF(G1834-U1834&gt;0,G1834-U1834,0)-IF(T1834-F1834&gt;0,T1834-F1834,0)&gt;0,G1834-F1834+1-IF(G1834-U1834&gt;0,G1834-U1834,0)-IF(T1834-F1834&gt;0,T1834-F1834,0),0)</f>
        <v>0</v>
      </c>
      <c r="W1834" s="206" t="str">
        <f t="shared" si="1131"/>
        <v/>
      </c>
      <c r="X1834" s="206">
        <f t="shared" si="1132"/>
        <v>0</v>
      </c>
      <c r="Y1834" s="209">
        <f t="shared" si="1133"/>
        <v>0</v>
      </c>
    </row>
    <row r="1835" spans="2:25" hidden="1" x14ac:dyDescent="0.25">
      <c r="B1835" s="60">
        <f>B1833</f>
        <v>26</v>
      </c>
      <c r="C1835" s="102">
        <v>178</v>
      </c>
      <c r="D1835" s="192" t="str">
        <f t="shared" si="1104"/>
        <v>VI</v>
      </c>
      <c r="E1835" s="62"/>
      <c r="F1835" s="105"/>
      <c r="G1835" s="105"/>
      <c r="H1835" s="61"/>
      <c r="I1835" s="61"/>
      <c r="J1835" s="62"/>
      <c r="K1835" s="63"/>
      <c r="L1835" s="61"/>
      <c r="M1835" s="61"/>
      <c r="N1835" s="111"/>
      <c r="O1835" s="112"/>
      <c r="P1835" s="113"/>
      <c r="Q1835" s="114"/>
      <c r="R1835" s="64"/>
      <c r="S1835" s="108"/>
      <c r="T1835" s="203">
        <f t="shared" si="1113"/>
        <v>43647</v>
      </c>
      <c r="U1835" s="204">
        <f t="shared" si="1114"/>
        <v>43677</v>
      </c>
      <c r="V1835" s="207">
        <f t="shared" si="1134"/>
        <v>0</v>
      </c>
      <c r="W1835" s="206" t="str">
        <f t="shared" si="1131"/>
        <v/>
      </c>
      <c r="X1835" s="206">
        <f t="shared" si="1132"/>
        <v>0</v>
      </c>
      <c r="Y1835" s="209">
        <f t="shared" si="1133"/>
        <v>0</v>
      </c>
    </row>
    <row r="1836" spans="2:25" hidden="1" x14ac:dyDescent="0.25">
      <c r="B1836" s="60">
        <f>B1833</f>
        <v>26</v>
      </c>
      <c r="C1836" s="102">
        <v>179</v>
      </c>
      <c r="D1836" s="192" t="str">
        <f t="shared" si="1104"/>
        <v>VI</v>
      </c>
      <c r="E1836" s="62"/>
      <c r="F1836" s="105"/>
      <c r="G1836" s="105"/>
      <c r="H1836" s="61"/>
      <c r="I1836" s="61"/>
      <c r="J1836" s="62"/>
      <c r="K1836" s="63"/>
      <c r="L1836" s="61"/>
      <c r="M1836" s="61"/>
      <c r="N1836" s="111"/>
      <c r="O1836" s="112"/>
      <c r="P1836" s="113"/>
      <c r="Q1836" s="114"/>
      <c r="R1836" s="64"/>
      <c r="S1836" s="108"/>
      <c r="T1836" s="203">
        <f t="shared" si="1113"/>
        <v>43647</v>
      </c>
      <c r="U1836" s="204">
        <f t="shared" si="1114"/>
        <v>43677</v>
      </c>
      <c r="V1836" s="207">
        <f t="shared" si="1134"/>
        <v>0</v>
      </c>
      <c r="W1836" s="206" t="str">
        <f t="shared" si="1131"/>
        <v/>
      </c>
      <c r="X1836" s="206">
        <f t="shared" si="1132"/>
        <v>0</v>
      </c>
      <c r="Y1836" s="209">
        <f t="shared" si="1133"/>
        <v>0</v>
      </c>
    </row>
    <row r="1837" spans="2:25" hidden="1" x14ac:dyDescent="0.25">
      <c r="B1837" s="60">
        <f>B1833</f>
        <v>26</v>
      </c>
      <c r="C1837" s="102">
        <v>180</v>
      </c>
      <c r="D1837" s="192" t="str">
        <f t="shared" si="1104"/>
        <v>VI</v>
      </c>
      <c r="E1837" s="62"/>
      <c r="F1837" s="105"/>
      <c r="G1837" s="105"/>
      <c r="H1837" s="61"/>
      <c r="I1837" s="61"/>
      <c r="J1837" s="62"/>
      <c r="K1837" s="63"/>
      <c r="L1837" s="61"/>
      <c r="M1837" s="61"/>
      <c r="N1837" s="111"/>
      <c r="O1837" s="112"/>
      <c r="P1837" s="113"/>
      <c r="Q1837" s="114"/>
      <c r="R1837" s="64"/>
      <c r="S1837" s="108"/>
      <c r="T1837" s="203">
        <f t="shared" si="1113"/>
        <v>43647</v>
      </c>
      <c r="U1837" s="204">
        <f t="shared" si="1114"/>
        <v>43677</v>
      </c>
      <c r="V1837" s="207">
        <f t="shared" si="1134"/>
        <v>0</v>
      </c>
      <c r="W1837" s="206" t="str">
        <f t="shared" si="1131"/>
        <v/>
      </c>
      <c r="X1837" s="206">
        <f t="shared" si="1132"/>
        <v>0</v>
      </c>
      <c r="Y1837" s="209">
        <f t="shared" si="1133"/>
        <v>0</v>
      </c>
    </row>
    <row r="1838" spans="2:25" hidden="1" x14ac:dyDescent="0.25">
      <c r="B1838" s="60">
        <f>B1833</f>
        <v>26</v>
      </c>
      <c r="C1838" s="102">
        <v>181</v>
      </c>
      <c r="D1838" s="192" t="str">
        <f t="shared" si="1104"/>
        <v>VI</v>
      </c>
      <c r="E1838" s="62"/>
      <c r="F1838" s="105"/>
      <c r="G1838" s="105"/>
      <c r="H1838" s="61"/>
      <c r="I1838" s="61"/>
      <c r="J1838" s="62"/>
      <c r="K1838" s="63"/>
      <c r="L1838" s="61"/>
      <c r="M1838" s="61"/>
      <c r="N1838" s="111"/>
      <c r="O1838" s="112"/>
      <c r="P1838" s="113"/>
      <c r="Q1838" s="114"/>
      <c r="R1838" s="64"/>
      <c r="S1838" s="108"/>
      <c r="T1838" s="203">
        <f t="shared" si="1113"/>
        <v>43647</v>
      </c>
      <c r="U1838" s="204">
        <f t="shared" si="1114"/>
        <v>43677</v>
      </c>
      <c r="V1838" s="207">
        <f t="shared" si="1134"/>
        <v>0</v>
      </c>
      <c r="W1838" s="206" t="str">
        <f t="shared" si="1131"/>
        <v/>
      </c>
      <c r="X1838" s="206">
        <f t="shared" si="1132"/>
        <v>0</v>
      </c>
      <c r="Y1838" s="209">
        <f t="shared" si="1133"/>
        <v>0</v>
      </c>
    </row>
    <row r="1839" spans="2:25" ht="15.75" thickBot="1" x14ac:dyDescent="0.3">
      <c r="B1839" s="141">
        <f>B1833</f>
        <v>26</v>
      </c>
      <c r="C1839" s="142">
        <v>182</v>
      </c>
      <c r="D1839" s="194" t="str">
        <f t="shared" si="1104"/>
        <v>VI</v>
      </c>
      <c r="E1839" s="143"/>
      <c r="F1839" s="144"/>
      <c r="G1839" s="144"/>
      <c r="H1839" s="145"/>
      <c r="I1839" s="145"/>
      <c r="J1839" s="436" t="s">
        <v>181</v>
      </c>
      <c r="K1839" s="437"/>
      <c r="L1839" s="438"/>
      <c r="M1839" s="145"/>
      <c r="N1839" s="146">
        <v>10</v>
      </c>
      <c r="O1839" s="147">
        <v>10</v>
      </c>
      <c r="P1839" s="148"/>
      <c r="Q1839" s="149">
        <v>10</v>
      </c>
      <c r="R1839" s="150" t="s">
        <v>4</v>
      </c>
      <c r="S1839" s="151">
        <v>43620</v>
      </c>
      <c r="T1839" s="213">
        <f t="shared" si="1113"/>
        <v>43647</v>
      </c>
      <c r="U1839" s="214">
        <f t="shared" si="1114"/>
        <v>43677</v>
      </c>
      <c r="V1839" s="210">
        <f t="shared" si="1134"/>
        <v>0</v>
      </c>
      <c r="W1839" s="211"/>
      <c r="X1839" s="211">
        <f>IF(AND($V1839&gt;0,$I1839=1),IF($E1839=10,P1839/10,P1839/$V1839),0)</f>
        <v>0</v>
      </c>
      <c r="Y1839" s="212">
        <f>IF(AND($V1833&gt;0,$I1839&lt;&gt;1),Q1839/E1833*V1833,0)</f>
        <v>0</v>
      </c>
    </row>
    <row r="1840" spans="2:25" ht="30.75" thickTop="1" x14ac:dyDescent="0.25">
      <c r="B1840" s="129">
        <f>B1838+1</f>
        <v>27</v>
      </c>
      <c r="C1840" s="130">
        <v>183</v>
      </c>
      <c r="D1840" s="196" t="str">
        <f t="shared" si="1104"/>
        <v>VI</v>
      </c>
      <c r="E1840" s="152">
        <v>10</v>
      </c>
      <c r="F1840" s="153">
        <v>43686</v>
      </c>
      <c r="G1840" s="153">
        <v>43695</v>
      </c>
      <c r="H1840" s="154" t="s">
        <v>305</v>
      </c>
      <c r="I1840" s="154">
        <v>1</v>
      </c>
      <c r="J1840" s="152" t="s">
        <v>168</v>
      </c>
      <c r="K1840" s="155" t="s">
        <v>16</v>
      </c>
      <c r="L1840" s="154">
        <v>1</v>
      </c>
      <c r="M1840" s="154">
        <v>8</v>
      </c>
      <c r="N1840" s="156">
        <v>75</v>
      </c>
      <c r="O1840" s="157">
        <v>75</v>
      </c>
      <c r="P1840" s="158">
        <v>75</v>
      </c>
      <c r="Q1840" s="159"/>
      <c r="R1840" s="160" t="s">
        <v>4</v>
      </c>
      <c r="S1840" s="161">
        <v>43620</v>
      </c>
      <c r="T1840" s="203">
        <f t="shared" si="1113"/>
        <v>43647</v>
      </c>
      <c r="U1840" s="204">
        <f t="shared" si="1114"/>
        <v>43677</v>
      </c>
      <c r="V1840" s="207">
        <f>IF(G1840-F1840+1-IF(G1840-U1840&gt;0,G1840-U1840,0)-IF(T1840-F1840&gt;0,T1840-F1840,0)&gt;0,G1840-F1840+1-IF(G1840-U1840&gt;0,G1840-U1840,0)-IF(T1840-F1840&gt;0,T1840-F1840,0),0)</f>
        <v>0</v>
      </c>
      <c r="W1840" s="206" t="str">
        <f t="shared" ref="W1840:W1845" si="1135">IF(V1840&gt;0,H1840,"")</f>
        <v/>
      </c>
      <c r="X1840" s="206">
        <f t="shared" ref="X1840:X1845" si="1136">IF(AND($V1840&gt;0,$I1840=1),P1840/$E1840*$V1840,0)</f>
        <v>0</v>
      </c>
      <c r="Y1840" s="209">
        <f t="shared" ref="Y1840:Y1845" si="1137">IF(AND($V1840&gt;0,$I1840&lt;&gt;1),Q1840/$E1840*$V1840,0)</f>
        <v>0</v>
      </c>
    </row>
    <row r="1841" spans="2:25" ht="45" x14ac:dyDescent="0.25">
      <c r="B1841" s="60">
        <f>B1840</f>
        <v>27</v>
      </c>
      <c r="C1841" s="102">
        <v>184</v>
      </c>
      <c r="D1841" s="192" t="str">
        <f t="shared" si="1104"/>
        <v>VI</v>
      </c>
      <c r="E1841" s="162">
        <v>10</v>
      </c>
      <c r="F1841" s="163">
        <v>43686</v>
      </c>
      <c r="G1841" s="163">
        <v>43695</v>
      </c>
      <c r="H1841" s="164" t="s">
        <v>306</v>
      </c>
      <c r="I1841" s="164">
        <v>2</v>
      </c>
      <c r="J1841" s="162" t="s">
        <v>167</v>
      </c>
      <c r="K1841" s="165" t="s">
        <v>16</v>
      </c>
      <c r="L1841" s="164">
        <v>1</v>
      </c>
      <c r="M1841" s="164">
        <v>8</v>
      </c>
      <c r="N1841" s="166">
        <v>90</v>
      </c>
      <c r="O1841" s="167">
        <v>90</v>
      </c>
      <c r="P1841" s="168"/>
      <c r="Q1841" s="169">
        <v>90</v>
      </c>
      <c r="R1841" s="170" t="s">
        <v>4</v>
      </c>
      <c r="S1841" s="171">
        <v>43620</v>
      </c>
      <c r="T1841" s="203">
        <f t="shared" si="1113"/>
        <v>43647</v>
      </c>
      <c r="U1841" s="204">
        <f t="shared" si="1114"/>
        <v>43677</v>
      </c>
      <c r="V1841" s="207">
        <f t="shared" ref="V1841:V1846" si="1138">IF(G1841-F1841+1-IF(G1841-U1841&gt;0,G1841-U1841,0)-IF(T1841-F1841&gt;0,T1841-F1841,0)&gt;0,G1841-F1841+1-IF(G1841-U1841&gt;0,G1841-U1841,0)-IF(T1841-F1841&gt;0,T1841-F1841,0),0)</f>
        <v>0</v>
      </c>
      <c r="W1841" s="206" t="str">
        <f t="shared" si="1135"/>
        <v/>
      </c>
      <c r="X1841" s="206">
        <f t="shared" si="1136"/>
        <v>0</v>
      </c>
      <c r="Y1841" s="209">
        <f t="shared" si="1137"/>
        <v>0</v>
      </c>
    </row>
    <row r="1842" spans="2:25" hidden="1" x14ac:dyDescent="0.25">
      <c r="B1842" s="60">
        <f>B1840</f>
        <v>27</v>
      </c>
      <c r="C1842" s="102">
        <v>185</v>
      </c>
      <c r="D1842" s="192" t="str">
        <f t="shared" si="1104"/>
        <v>VI</v>
      </c>
      <c r="E1842" s="162"/>
      <c r="F1842" s="163"/>
      <c r="G1842" s="163"/>
      <c r="H1842" s="164"/>
      <c r="I1842" s="164"/>
      <c r="J1842" s="162"/>
      <c r="K1842" s="165"/>
      <c r="L1842" s="164"/>
      <c r="M1842" s="164"/>
      <c r="N1842" s="166"/>
      <c r="O1842" s="167"/>
      <c r="P1842" s="168"/>
      <c r="Q1842" s="169"/>
      <c r="R1842" s="170"/>
      <c r="S1842" s="171"/>
      <c r="T1842" s="203">
        <f t="shared" si="1113"/>
        <v>43647</v>
      </c>
      <c r="U1842" s="204">
        <f t="shared" si="1114"/>
        <v>43677</v>
      </c>
      <c r="V1842" s="207">
        <f t="shared" si="1138"/>
        <v>0</v>
      </c>
      <c r="W1842" s="206" t="str">
        <f t="shared" si="1135"/>
        <v/>
      </c>
      <c r="X1842" s="206">
        <f t="shared" si="1136"/>
        <v>0</v>
      </c>
      <c r="Y1842" s="209">
        <f t="shared" si="1137"/>
        <v>0</v>
      </c>
    </row>
    <row r="1843" spans="2:25" hidden="1" x14ac:dyDescent="0.25">
      <c r="B1843" s="60">
        <f>B1840</f>
        <v>27</v>
      </c>
      <c r="C1843" s="102">
        <v>186</v>
      </c>
      <c r="D1843" s="192" t="str">
        <f t="shared" si="1104"/>
        <v>VI</v>
      </c>
      <c r="E1843" s="162"/>
      <c r="F1843" s="163"/>
      <c r="G1843" s="163"/>
      <c r="H1843" s="164"/>
      <c r="I1843" s="164"/>
      <c r="J1843" s="162"/>
      <c r="K1843" s="165"/>
      <c r="L1843" s="164"/>
      <c r="M1843" s="164"/>
      <c r="N1843" s="166"/>
      <c r="O1843" s="167"/>
      <c r="P1843" s="168"/>
      <c r="Q1843" s="169"/>
      <c r="R1843" s="170"/>
      <c r="S1843" s="171"/>
      <c r="T1843" s="203">
        <f t="shared" si="1113"/>
        <v>43647</v>
      </c>
      <c r="U1843" s="204">
        <f t="shared" si="1114"/>
        <v>43677</v>
      </c>
      <c r="V1843" s="207">
        <f t="shared" si="1138"/>
        <v>0</v>
      </c>
      <c r="W1843" s="206" t="str">
        <f t="shared" si="1135"/>
        <v/>
      </c>
      <c r="X1843" s="206">
        <f t="shared" si="1136"/>
        <v>0</v>
      </c>
      <c r="Y1843" s="209">
        <f t="shared" si="1137"/>
        <v>0</v>
      </c>
    </row>
    <row r="1844" spans="2:25" hidden="1" x14ac:dyDescent="0.25">
      <c r="B1844" s="60">
        <f>B1840</f>
        <v>27</v>
      </c>
      <c r="C1844" s="102">
        <v>187</v>
      </c>
      <c r="D1844" s="192" t="str">
        <f t="shared" si="1104"/>
        <v>VI</v>
      </c>
      <c r="E1844" s="162"/>
      <c r="F1844" s="163"/>
      <c r="G1844" s="163"/>
      <c r="H1844" s="164"/>
      <c r="I1844" s="164"/>
      <c r="J1844" s="162"/>
      <c r="K1844" s="165"/>
      <c r="L1844" s="164"/>
      <c r="M1844" s="164"/>
      <c r="N1844" s="166"/>
      <c r="O1844" s="167"/>
      <c r="P1844" s="168"/>
      <c r="Q1844" s="169"/>
      <c r="R1844" s="170"/>
      <c r="S1844" s="171"/>
      <c r="T1844" s="203">
        <f t="shared" si="1113"/>
        <v>43647</v>
      </c>
      <c r="U1844" s="204">
        <f t="shared" si="1114"/>
        <v>43677</v>
      </c>
      <c r="V1844" s="207">
        <f t="shared" si="1138"/>
        <v>0</v>
      </c>
      <c r="W1844" s="206" t="str">
        <f t="shared" si="1135"/>
        <v/>
      </c>
      <c r="X1844" s="206">
        <f t="shared" si="1136"/>
        <v>0</v>
      </c>
      <c r="Y1844" s="209">
        <f t="shared" si="1137"/>
        <v>0</v>
      </c>
    </row>
    <row r="1845" spans="2:25" hidden="1" x14ac:dyDescent="0.25">
      <c r="B1845" s="60">
        <f>B1840</f>
        <v>27</v>
      </c>
      <c r="C1845" s="102">
        <v>188</v>
      </c>
      <c r="D1845" s="192" t="str">
        <f t="shared" si="1104"/>
        <v>VI</v>
      </c>
      <c r="E1845" s="172"/>
      <c r="F1845" s="173"/>
      <c r="G1845" s="173"/>
      <c r="H1845" s="174"/>
      <c r="I1845" s="174"/>
      <c r="J1845" s="172"/>
      <c r="K1845" s="175"/>
      <c r="L1845" s="174"/>
      <c r="M1845" s="174"/>
      <c r="N1845" s="176"/>
      <c r="O1845" s="177"/>
      <c r="P1845" s="178"/>
      <c r="Q1845" s="179"/>
      <c r="R1845" s="180"/>
      <c r="S1845" s="181"/>
      <c r="T1845" s="203">
        <f t="shared" si="1113"/>
        <v>43647</v>
      </c>
      <c r="U1845" s="204">
        <f t="shared" si="1114"/>
        <v>43677</v>
      </c>
      <c r="V1845" s="207">
        <f t="shared" si="1138"/>
        <v>0</v>
      </c>
      <c r="W1845" s="206" t="str">
        <f t="shared" si="1135"/>
        <v/>
      </c>
      <c r="X1845" s="206">
        <f t="shared" si="1136"/>
        <v>0</v>
      </c>
      <c r="Y1845" s="209">
        <f t="shared" si="1137"/>
        <v>0</v>
      </c>
    </row>
    <row r="1846" spans="2:25" ht="15.75" thickBot="1" x14ac:dyDescent="0.3">
      <c r="B1846" s="141">
        <f>B1840</f>
        <v>27</v>
      </c>
      <c r="C1846" s="142">
        <v>189</v>
      </c>
      <c r="D1846" s="194" t="str">
        <f t="shared" si="1104"/>
        <v>VI</v>
      </c>
      <c r="E1846" s="189"/>
      <c r="F1846" s="190"/>
      <c r="G1846" s="190"/>
      <c r="H1846" s="182"/>
      <c r="I1846" s="182"/>
      <c r="J1846" s="436" t="s">
        <v>181</v>
      </c>
      <c r="K1846" s="437"/>
      <c r="L1846" s="438"/>
      <c r="M1846" s="182"/>
      <c r="N1846" s="183">
        <v>10</v>
      </c>
      <c r="O1846" s="184">
        <v>10</v>
      </c>
      <c r="P1846" s="185"/>
      <c r="Q1846" s="186">
        <v>10</v>
      </c>
      <c r="R1846" s="187" t="s">
        <v>4</v>
      </c>
      <c r="S1846" s="188">
        <v>43620</v>
      </c>
      <c r="T1846" s="213">
        <f t="shared" si="1113"/>
        <v>43647</v>
      </c>
      <c r="U1846" s="214">
        <f t="shared" si="1114"/>
        <v>43677</v>
      </c>
      <c r="V1846" s="210">
        <f t="shared" si="1138"/>
        <v>0</v>
      </c>
      <c r="W1846" s="211"/>
      <c r="X1846" s="211">
        <f>IF(AND($V1846&gt;0,$I1846=1),IF($E1846=10,P1846/10,P1846/$V1846),0)</f>
        <v>0</v>
      </c>
      <c r="Y1846" s="212">
        <f>IF(AND($V1840&gt;0,$I1846&lt;&gt;1),Q1846/E1840*V1840,0)</f>
        <v>0</v>
      </c>
    </row>
    <row r="1847" spans="2:25" ht="16.5" hidden="1" thickTop="1" thickBot="1" x14ac:dyDescent="0.3">
      <c r="B1847" s="129">
        <f>B1845+1</f>
        <v>28</v>
      </c>
      <c r="C1847" s="130">
        <v>190</v>
      </c>
      <c r="D1847" s="196" t="str">
        <f t="shared" si="1104"/>
        <v>VI</v>
      </c>
      <c r="E1847" s="131"/>
      <c r="F1847" s="132"/>
      <c r="G1847" s="132"/>
      <c r="H1847" s="133"/>
      <c r="I1847" s="133"/>
      <c r="J1847" s="131"/>
      <c r="K1847" s="134"/>
      <c r="L1847" s="133"/>
      <c r="M1847" s="133"/>
      <c r="N1847" s="135"/>
      <c r="O1847" s="136"/>
      <c r="P1847" s="137"/>
      <c r="Q1847" s="138"/>
      <c r="R1847" s="139"/>
      <c r="S1847" s="140"/>
      <c r="T1847" s="203">
        <f t="shared" si="1113"/>
        <v>43647</v>
      </c>
      <c r="U1847" s="204">
        <f t="shared" si="1114"/>
        <v>43677</v>
      </c>
      <c r="V1847" s="207">
        <f>IF(G1847-F1847+1-IF(G1847-U1847&gt;0,G1847-U1847,0)-IF(T1847-F1847&gt;0,T1847-F1847,0)&gt;0,G1847-F1847+1-IF(G1847-U1847&gt;0,G1847-U1847,0)-IF(T1847-F1847&gt;0,T1847-F1847,0),0)</f>
        <v>0</v>
      </c>
      <c r="W1847" s="206" t="str">
        <f t="shared" ref="W1847:W1852" si="1139">IF(V1847&gt;0,H1847,"")</f>
        <v/>
      </c>
      <c r="X1847" s="206">
        <f t="shared" ref="X1847:X1852" si="1140">IF(AND($V1847&gt;0,$I1847=1),P1847/$E1847*$V1847,0)</f>
        <v>0</v>
      </c>
      <c r="Y1847" s="209">
        <f t="shared" ref="Y1847:Y1852" si="1141">IF(AND($V1847&gt;0,$I1847&lt;&gt;1),Q1847/$E1847*$V1847,0)</f>
        <v>0</v>
      </c>
    </row>
    <row r="1848" spans="2:25" ht="16.5" hidden="1" thickTop="1" thickBot="1" x14ac:dyDescent="0.3">
      <c r="B1848" s="60">
        <f>B1847</f>
        <v>28</v>
      </c>
      <c r="C1848" s="102">
        <v>191</v>
      </c>
      <c r="D1848" s="192" t="str">
        <f t="shared" si="1104"/>
        <v>VI</v>
      </c>
      <c r="E1848" s="62"/>
      <c r="F1848" s="105"/>
      <c r="G1848" s="105"/>
      <c r="H1848" s="61"/>
      <c r="I1848" s="61"/>
      <c r="J1848" s="62"/>
      <c r="K1848" s="63"/>
      <c r="L1848" s="61"/>
      <c r="M1848" s="61"/>
      <c r="N1848" s="111"/>
      <c r="O1848" s="112"/>
      <c r="P1848" s="113"/>
      <c r="Q1848" s="114"/>
      <c r="R1848" s="64"/>
      <c r="S1848" s="108"/>
      <c r="T1848" s="203">
        <f t="shared" si="1113"/>
        <v>43647</v>
      </c>
      <c r="U1848" s="204">
        <f t="shared" si="1114"/>
        <v>43677</v>
      </c>
      <c r="V1848" s="207">
        <f t="shared" ref="V1848:V1853" si="1142">IF(G1848-F1848+1-IF(G1848-U1848&gt;0,G1848-U1848,0)-IF(T1848-F1848&gt;0,T1848-F1848,0)&gt;0,G1848-F1848+1-IF(G1848-U1848&gt;0,G1848-U1848,0)-IF(T1848-F1848&gt;0,T1848-F1848,0),0)</f>
        <v>0</v>
      </c>
      <c r="W1848" s="206" t="str">
        <f t="shared" si="1139"/>
        <v/>
      </c>
      <c r="X1848" s="206">
        <f t="shared" si="1140"/>
        <v>0</v>
      </c>
      <c r="Y1848" s="209">
        <f t="shared" si="1141"/>
        <v>0</v>
      </c>
    </row>
    <row r="1849" spans="2:25" ht="16.5" hidden="1" thickTop="1" thickBot="1" x14ac:dyDescent="0.3">
      <c r="B1849" s="60">
        <f>B1847</f>
        <v>28</v>
      </c>
      <c r="C1849" s="102">
        <v>192</v>
      </c>
      <c r="D1849" s="192" t="str">
        <f t="shared" si="1104"/>
        <v>VI</v>
      </c>
      <c r="E1849" s="62"/>
      <c r="F1849" s="105"/>
      <c r="G1849" s="105"/>
      <c r="H1849" s="61"/>
      <c r="I1849" s="61"/>
      <c r="J1849" s="62"/>
      <c r="K1849" s="63"/>
      <c r="L1849" s="61"/>
      <c r="M1849" s="61"/>
      <c r="N1849" s="111"/>
      <c r="O1849" s="112"/>
      <c r="P1849" s="113"/>
      <c r="Q1849" s="114"/>
      <c r="R1849" s="64"/>
      <c r="S1849" s="108"/>
      <c r="T1849" s="203">
        <f t="shared" si="1113"/>
        <v>43647</v>
      </c>
      <c r="U1849" s="204">
        <f t="shared" si="1114"/>
        <v>43677</v>
      </c>
      <c r="V1849" s="207">
        <f t="shared" si="1142"/>
        <v>0</v>
      </c>
      <c r="W1849" s="206" t="str">
        <f t="shared" si="1139"/>
        <v/>
      </c>
      <c r="X1849" s="206">
        <f t="shared" si="1140"/>
        <v>0</v>
      </c>
      <c r="Y1849" s="209">
        <f t="shared" si="1141"/>
        <v>0</v>
      </c>
    </row>
    <row r="1850" spans="2:25" ht="16.5" hidden="1" thickTop="1" thickBot="1" x14ac:dyDescent="0.3">
      <c r="B1850" s="60">
        <f>B1847</f>
        <v>28</v>
      </c>
      <c r="C1850" s="102">
        <v>193</v>
      </c>
      <c r="D1850" s="192" t="str">
        <f t="shared" si="1104"/>
        <v>VI</v>
      </c>
      <c r="E1850" s="62"/>
      <c r="F1850" s="105"/>
      <c r="G1850" s="105"/>
      <c r="H1850" s="61"/>
      <c r="I1850" s="61"/>
      <c r="J1850" s="62"/>
      <c r="K1850" s="63"/>
      <c r="L1850" s="61"/>
      <c r="M1850" s="61"/>
      <c r="N1850" s="111"/>
      <c r="O1850" s="112"/>
      <c r="P1850" s="113"/>
      <c r="Q1850" s="114"/>
      <c r="R1850" s="64"/>
      <c r="S1850" s="108"/>
      <c r="T1850" s="203">
        <f t="shared" si="1113"/>
        <v>43647</v>
      </c>
      <c r="U1850" s="204">
        <f t="shared" si="1114"/>
        <v>43677</v>
      </c>
      <c r="V1850" s="207">
        <f t="shared" si="1142"/>
        <v>0</v>
      </c>
      <c r="W1850" s="206" t="str">
        <f t="shared" si="1139"/>
        <v/>
      </c>
      <c r="X1850" s="206">
        <f t="shared" si="1140"/>
        <v>0</v>
      </c>
      <c r="Y1850" s="209">
        <f t="shared" si="1141"/>
        <v>0</v>
      </c>
    </row>
    <row r="1851" spans="2:25" ht="16.5" hidden="1" thickTop="1" thickBot="1" x14ac:dyDescent="0.3">
      <c r="B1851" s="60">
        <f>B1847</f>
        <v>28</v>
      </c>
      <c r="C1851" s="102">
        <v>194</v>
      </c>
      <c r="D1851" s="192" t="str">
        <f t="shared" si="1104"/>
        <v>VI</v>
      </c>
      <c r="E1851" s="62"/>
      <c r="F1851" s="105"/>
      <c r="G1851" s="105"/>
      <c r="H1851" s="61"/>
      <c r="I1851" s="61"/>
      <c r="J1851" s="62"/>
      <c r="K1851" s="63"/>
      <c r="L1851" s="61"/>
      <c r="M1851" s="61"/>
      <c r="N1851" s="111"/>
      <c r="O1851" s="112"/>
      <c r="P1851" s="113"/>
      <c r="Q1851" s="114"/>
      <c r="R1851" s="64"/>
      <c r="S1851" s="108"/>
      <c r="T1851" s="203">
        <f t="shared" si="1113"/>
        <v>43647</v>
      </c>
      <c r="U1851" s="204">
        <f t="shared" si="1114"/>
        <v>43677</v>
      </c>
      <c r="V1851" s="207">
        <f t="shared" si="1142"/>
        <v>0</v>
      </c>
      <c r="W1851" s="206" t="str">
        <f t="shared" si="1139"/>
        <v/>
      </c>
      <c r="X1851" s="206">
        <f t="shared" si="1140"/>
        <v>0</v>
      </c>
      <c r="Y1851" s="209">
        <f t="shared" si="1141"/>
        <v>0</v>
      </c>
    </row>
    <row r="1852" spans="2:25" ht="16.5" hidden="1" thickTop="1" thickBot="1" x14ac:dyDescent="0.3">
      <c r="B1852" s="60">
        <f>B1847</f>
        <v>28</v>
      </c>
      <c r="C1852" s="102">
        <v>195</v>
      </c>
      <c r="D1852" s="192" t="str">
        <f t="shared" ref="D1852:D1915" si="1143">D1851</f>
        <v>VI</v>
      </c>
      <c r="E1852" s="62"/>
      <c r="F1852" s="105"/>
      <c r="G1852" s="105"/>
      <c r="H1852" s="61"/>
      <c r="I1852" s="61"/>
      <c r="J1852" s="62"/>
      <c r="K1852" s="63"/>
      <c r="L1852" s="61"/>
      <c r="M1852" s="61"/>
      <c r="N1852" s="111"/>
      <c r="O1852" s="112"/>
      <c r="P1852" s="113"/>
      <c r="Q1852" s="114"/>
      <c r="R1852" s="64"/>
      <c r="S1852" s="108"/>
      <c r="T1852" s="203">
        <f t="shared" si="1113"/>
        <v>43647</v>
      </c>
      <c r="U1852" s="204">
        <f t="shared" si="1114"/>
        <v>43677</v>
      </c>
      <c r="V1852" s="207">
        <f t="shared" si="1142"/>
        <v>0</v>
      </c>
      <c r="W1852" s="206" t="str">
        <f t="shared" si="1139"/>
        <v/>
      </c>
      <c r="X1852" s="206">
        <f t="shared" si="1140"/>
        <v>0</v>
      </c>
      <c r="Y1852" s="209">
        <f t="shared" si="1141"/>
        <v>0</v>
      </c>
    </row>
    <row r="1853" spans="2:25" ht="16.5" hidden="1" thickTop="1" thickBot="1" x14ac:dyDescent="0.3">
      <c r="B1853" s="141">
        <f>B1847</f>
        <v>28</v>
      </c>
      <c r="C1853" s="142">
        <v>196</v>
      </c>
      <c r="D1853" s="194" t="str">
        <f t="shared" si="1143"/>
        <v>VI</v>
      </c>
      <c r="E1853" s="143"/>
      <c r="F1853" s="144"/>
      <c r="G1853" s="144"/>
      <c r="H1853" s="145"/>
      <c r="I1853" s="145"/>
      <c r="J1853" s="436" t="s">
        <v>181</v>
      </c>
      <c r="K1853" s="437"/>
      <c r="L1853" s="438"/>
      <c r="M1853" s="145"/>
      <c r="N1853" s="146"/>
      <c r="O1853" s="147"/>
      <c r="P1853" s="148"/>
      <c r="Q1853" s="149"/>
      <c r="R1853" s="150"/>
      <c r="S1853" s="151"/>
      <c r="T1853" s="213">
        <f t="shared" si="1113"/>
        <v>43647</v>
      </c>
      <c r="U1853" s="214">
        <f t="shared" si="1114"/>
        <v>43677</v>
      </c>
      <c r="V1853" s="210">
        <f t="shared" si="1142"/>
        <v>0</v>
      </c>
      <c r="W1853" s="211"/>
      <c r="X1853" s="211">
        <f>IF(AND($V1853&gt;0,$I1853=1),IF($E1853=10,P1853/10,P1853/$V1853),0)</f>
        <v>0</v>
      </c>
      <c r="Y1853" s="212">
        <f>IF(AND($V1847&gt;0,$I1853&lt;&gt;1),Q1853/E1847*V1847,0)</f>
        <v>0</v>
      </c>
    </row>
    <row r="1854" spans="2:25" ht="30.75" thickTop="1" x14ac:dyDescent="0.25">
      <c r="B1854" s="129">
        <f>B1852+1</f>
        <v>29</v>
      </c>
      <c r="C1854" s="130">
        <v>197</v>
      </c>
      <c r="D1854" s="196" t="str">
        <f t="shared" si="1143"/>
        <v>VI</v>
      </c>
      <c r="E1854" s="152">
        <v>10</v>
      </c>
      <c r="F1854" s="153">
        <v>43686</v>
      </c>
      <c r="G1854" s="153">
        <v>43695</v>
      </c>
      <c r="H1854" s="154" t="s">
        <v>394</v>
      </c>
      <c r="I1854" s="154">
        <v>1</v>
      </c>
      <c r="J1854" s="152" t="s">
        <v>168</v>
      </c>
      <c r="K1854" s="155" t="s">
        <v>16</v>
      </c>
      <c r="L1854" s="154">
        <v>1</v>
      </c>
      <c r="M1854" s="154">
        <v>8</v>
      </c>
      <c r="N1854" s="156">
        <v>75</v>
      </c>
      <c r="O1854" s="157">
        <v>75</v>
      </c>
      <c r="P1854" s="158">
        <v>75</v>
      </c>
      <c r="Q1854" s="159"/>
      <c r="R1854" s="160" t="s">
        <v>4</v>
      </c>
      <c r="S1854" s="161">
        <v>43661</v>
      </c>
      <c r="T1854" s="203">
        <f t="shared" si="1113"/>
        <v>43647</v>
      </c>
      <c r="U1854" s="204">
        <f t="shared" si="1114"/>
        <v>43677</v>
      </c>
      <c r="V1854" s="207">
        <f>IF(G1854-F1854+1-IF(G1854-U1854&gt;0,G1854-U1854,0)-IF(T1854-F1854&gt;0,T1854-F1854,0)&gt;0,G1854-F1854+1-IF(G1854-U1854&gt;0,G1854-U1854,0)-IF(T1854-F1854&gt;0,T1854-F1854,0),0)</f>
        <v>0</v>
      </c>
      <c r="W1854" s="206" t="str">
        <f t="shared" ref="W1854:W1859" si="1144">IF(V1854&gt;0,H1854,"")</f>
        <v/>
      </c>
      <c r="X1854" s="206">
        <f t="shared" ref="X1854:X1859" si="1145">IF(AND($V1854&gt;0,$I1854=1),P1854/$E1854*$V1854,0)</f>
        <v>0</v>
      </c>
      <c r="Y1854" s="209">
        <f t="shared" ref="Y1854:Y1859" si="1146">IF(AND($V1854&gt;0,$I1854&lt;&gt;1),Q1854/$E1854*$V1854,0)</f>
        <v>0</v>
      </c>
    </row>
    <row r="1855" spans="2:25" ht="45" x14ac:dyDescent="0.25">
      <c r="B1855" s="60">
        <f>B1854</f>
        <v>29</v>
      </c>
      <c r="C1855" s="102">
        <v>198</v>
      </c>
      <c r="D1855" s="192" t="str">
        <f t="shared" si="1143"/>
        <v>VI</v>
      </c>
      <c r="E1855" s="162">
        <v>10</v>
      </c>
      <c r="F1855" s="163">
        <v>43686</v>
      </c>
      <c r="G1855" s="163">
        <v>43695</v>
      </c>
      <c r="H1855" s="164" t="s">
        <v>395</v>
      </c>
      <c r="I1855" s="164">
        <v>2</v>
      </c>
      <c r="J1855" s="162" t="s">
        <v>167</v>
      </c>
      <c r="K1855" s="165" t="s">
        <v>16</v>
      </c>
      <c r="L1855" s="164">
        <v>1</v>
      </c>
      <c r="M1855" s="164">
        <v>8</v>
      </c>
      <c r="N1855" s="166">
        <v>90</v>
      </c>
      <c r="O1855" s="167">
        <v>90</v>
      </c>
      <c r="P1855" s="168"/>
      <c r="Q1855" s="169">
        <v>90</v>
      </c>
      <c r="R1855" s="170" t="s">
        <v>4</v>
      </c>
      <c r="S1855" s="171">
        <v>43661</v>
      </c>
      <c r="T1855" s="203">
        <f t="shared" si="1113"/>
        <v>43647</v>
      </c>
      <c r="U1855" s="204">
        <f t="shared" si="1114"/>
        <v>43677</v>
      </c>
      <c r="V1855" s="207">
        <f t="shared" ref="V1855:V1860" si="1147">IF(G1855-F1855+1-IF(G1855-U1855&gt;0,G1855-U1855,0)-IF(T1855-F1855&gt;0,T1855-F1855,0)&gt;0,G1855-F1855+1-IF(G1855-U1855&gt;0,G1855-U1855,0)-IF(T1855-F1855&gt;0,T1855-F1855,0),0)</f>
        <v>0</v>
      </c>
      <c r="W1855" s="206" t="str">
        <f t="shared" si="1144"/>
        <v/>
      </c>
      <c r="X1855" s="206">
        <f t="shared" si="1145"/>
        <v>0</v>
      </c>
      <c r="Y1855" s="209">
        <f t="shared" si="1146"/>
        <v>0</v>
      </c>
    </row>
    <row r="1856" spans="2:25" hidden="1" x14ac:dyDescent="0.25">
      <c r="B1856" s="60">
        <f>B1854</f>
        <v>29</v>
      </c>
      <c r="C1856" s="102">
        <v>199</v>
      </c>
      <c r="D1856" s="192" t="str">
        <f t="shared" si="1143"/>
        <v>VI</v>
      </c>
      <c r="E1856" s="162"/>
      <c r="F1856" s="163"/>
      <c r="G1856" s="163"/>
      <c r="H1856" s="164"/>
      <c r="I1856" s="164"/>
      <c r="J1856" s="162"/>
      <c r="K1856" s="165"/>
      <c r="L1856" s="164"/>
      <c r="M1856" s="164"/>
      <c r="N1856" s="166"/>
      <c r="O1856" s="167"/>
      <c r="P1856" s="168"/>
      <c r="Q1856" s="169"/>
      <c r="R1856" s="170"/>
      <c r="S1856" s="171"/>
      <c r="T1856" s="203">
        <f t="shared" si="1113"/>
        <v>43647</v>
      </c>
      <c r="U1856" s="204">
        <f t="shared" si="1114"/>
        <v>43677</v>
      </c>
      <c r="V1856" s="207">
        <f t="shared" si="1147"/>
        <v>0</v>
      </c>
      <c r="W1856" s="206" t="str">
        <f t="shared" si="1144"/>
        <v/>
      </c>
      <c r="X1856" s="206">
        <f t="shared" si="1145"/>
        <v>0</v>
      </c>
      <c r="Y1856" s="209">
        <f t="shared" si="1146"/>
        <v>0</v>
      </c>
    </row>
    <row r="1857" spans="2:25" hidden="1" x14ac:dyDescent="0.25">
      <c r="B1857" s="60">
        <f>B1854</f>
        <v>29</v>
      </c>
      <c r="C1857" s="102">
        <v>200</v>
      </c>
      <c r="D1857" s="192" t="str">
        <f t="shared" si="1143"/>
        <v>VI</v>
      </c>
      <c r="E1857" s="162"/>
      <c r="F1857" s="163"/>
      <c r="G1857" s="163"/>
      <c r="H1857" s="164"/>
      <c r="I1857" s="164"/>
      <c r="J1857" s="162"/>
      <c r="K1857" s="165"/>
      <c r="L1857" s="164"/>
      <c r="M1857" s="164"/>
      <c r="N1857" s="166"/>
      <c r="O1857" s="167"/>
      <c r="P1857" s="168"/>
      <c r="Q1857" s="169"/>
      <c r="R1857" s="170"/>
      <c r="S1857" s="171"/>
      <c r="T1857" s="203">
        <f t="shared" si="1113"/>
        <v>43647</v>
      </c>
      <c r="U1857" s="204">
        <f t="shared" si="1114"/>
        <v>43677</v>
      </c>
      <c r="V1857" s="207">
        <f t="shared" si="1147"/>
        <v>0</v>
      </c>
      <c r="W1857" s="206" t="str">
        <f t="shared" si="1144"/>
        <v/>
      </c>
      <c r="X1857" s="206">
        <f t="shared" si="1145"/>
        <v>0</v>
      </c>
      <c r="Y1857" s="209">
        <f t="shared" si="1146"/>
        <v>0</v>
      </c>
    </row>
    <row r="1858" spans="2:25" hidden="1" x14ac:dyDescent="0.25">
      <c r="B1858" s="60">
        <f>B1854</f>
        <v>29</v>
      </c>
      <c r="C1858" s="102">
        <v>201</v>
      </c>
      <c r="D1858" s="192" t="str">
        <f t="shared" si="1143"/>
        <v>VI</v>
      </c>
      <c r="E1858" s="162"/>
      <c r="F1858" s="163"/>
      <c r="G1858" s="163"/>
      <c r="H1858" s="164"/>
      <c r="I1858" s="164"/>
      <c r="J1858" s="162"/>
      <c r="K1858" s="165"/>
      <c r="L1858" s="164"/>
      <c r="M1858" s="164"/>
      <c r="N1858" s="166"/>
      <c r="O1858" s="167"/>
      <c r="P1858" s="168"/>
      <c r="Q1858" s="169"/>
      <c r="R1858" s="170"/>
      <c r="S1858" s="171"/>
      <c r="T1858" s="203">
        <f t="shared" si="1113"/>
        <v>43647</v>
      </c>
      <c r="U1858" s="204">
        <f t="shared" si="1114"/>
        <v>43677</v>
      </c>
      <c r="V1858" s="207">
        <f t="shared" si="1147"/>
        <v>0</v>
      </c>
      <c r="W1858" s="206" t="str">
        <f t="shared" si="1144"/>
        <v/>
      </c>
      <c r="X1858" s="206">
        <f t="shared" si="1145"/>
        <v>0</v>
      </c>
      <c r="Y1858" s="209">
        <f t="shared" si="1146"/>
        <v>0</v>
      </c>
    </row>
    <row r="1859" spans="2:25" hidden="1" x14ac:dyDescent="0.25">
      <c r="B1859" s="60">
        <f>B1854</f>
        <v>29</v>
      </c>
      <c r="C1859" s="102">
        <v>202</v>
      </c>
      <c r="D1859" s="192" t="str">
        <f t="shared" si="1143"/>
        <v>VI</v>
      </c>
      <c r="E1859" s="172"/>
      <c r="F1859" s="173"/>
      <c r="G1859" s="173"/>
      <c r="H1859" s="174"/>
      <c r="I1859" s="174"/>
      <c r="J1859" s="172"/>
      <c r="K1859" s="175"/>
      <c r="L1859" s="174"/>
      <c r="M1859" s="174"/>
      <c r="N1859" s="176"/>
      <c r="O1859" s="177"/>
      <c r="P1859" s="178"/>
      <c r="Q1859" s="179"/>
      <c r="R1859" s="180"/>
      <c r="S1859" s="181"/>
      <c r="T1859" s="203">
        <f t="shared" si="1113"/>
        <v>43647</v>
      </c>
      <c r="U1859" s="204">
        <f t="shared" si="1114"/>
        <v>43677</v>
      </c>
      <c r="V1859" s="207">
        <f t="shared" si="1147"/>
        <v>0</v>
      </c>
      <c r="W1859" s="206" t="str">
        <f t="shared" si="1144"/>
        <v/>
      </c>
      <c r="X1859" s="206">
        <f t="shared" si="1145"/>
        <v>0</v>
      </c>
      <c r="Y1859" s="209">
        <f t="shared" si="1146"/>
        <v>0</v>
      </c>
    </row>
    <row r="1860" spans="2:25" ht="15.75" thickBot="1" x14ac:dyDescent="0.3">
      <c r="B1860" s="141">
        <f>B1854</f>
        <v>29</v>
      </c>
      <c r="C1860" s="142">
        <v>203</v>
      </c>
      <c r="D1860" s="194" t="str">
        <f t="shared" si="1143"/>
        <v>VI</v>
      </c>
      <c r="E1860" s="189"/>
      <c r="F1860" s="190"/>
      <c r="G1860" s="190"/>
      <c r="H1860" s="182"/>
      <c r="I1860" s="182"/>
      <c r="J1860" s="436" t="s">
        <v>181</v>
      </c>
      <c r="K1860" s="437"/>
      <c r="L1860" s="438"/>
      <c r="M1860" s="182"/>
      <c r="N1860" s="183">
        <v>10</v>
      </c>
      <c r="O1860" s="184">
        <v>10</v>
      </c>
      <c r="P1860" s="185"/>
      <c r="Q1860" s="186">
        <v>10</v>
      </c>
      <c r="R1860" s="187" t="s">
        <v>4</v>
      </c>
      <c r="S1860" s="188">
        <v>43661</v>
      </c>
      <c r="T1860" s="213">
        <f t="shared" si="1113"/>
        <v>43647</v>
      </c>
      <c r="U1860" s="214">
        <f t="shared" si="1114"/>
        <v>43677</v>
      </c>
      <c r="V1860" s="210">
        <f t="shared" si="1147"/>
        <v>0</v>
      </c>
      <c r="W1860" s="211"/>
      <c r="X1860" s="211">
        <f>IF(AND($V1860&gt;0,$I1860=1),IF($E1860=10,P1860/10,P1860/$V1860),0)</f>
        <v>0</v>
      </c>
      <c r="Y1860" s="212">
        <f>IF(AND($V1854&gt;0,$I1860&lt;&gt;1),Q1860/E1854*V1854,0)</f>
        <v>0</v>
      </c>
    </row>
    <row r="1861" spans="2:25" ht="30.75" thickTop="1" x14ac:dyDescent="0.25">
      <c r="B1861" s="129">
        <f>B1859+1</f>
        <v>30</v>
      </c>
      <c r="C1861" s="130">
        <v>204</v>
      </c>
      <c r="D1861" s="196" t="str">
        <f t="shared" si="1143"/>
        <v>VI</v>
      </c>
      <c r="E1861" s="131">
        <v>10</v>
      </c>
      <c r="F1861" s="132">
        <v>43686</v>
      </c>
      <c r="G1861" s="132">
        <v>43695</v>
      </c>
      <c r="H1861" s="133" t="s">
        <v>332</v>
      </c>
      <c r="I1861" s="133">
        <v>1</v>
      </c>
      <c r="J1861" s="131" t="s">
        <v>168</v>
      </c>
      <c r="K1861" s="134" t="s">
        <v>16</v>
      </c>
      <c r="L1861" s="133">
        <v>1</v>
      </c>
      <c r="M1861" s="133">
        <v>8</v>
      </c>
      <c r="N1861" s="135">
        <v>75</v>
      </c>
      <c r="O1861" s="136">
        <v>75</v>
      </c>
      <c r="P1861" s="137">
        <v>75</v>
      </c>
      <c r="Q1861" s="138"/>
      <c r="R1861" s="139" t="s">
        <v>4</v>
      </c>
      <c r="S1861" s="140">
        <v>43620</v>
      </c>
      <c r="T1861" s="203">
        <f t="shared" si="1113"/>
        <v>43647</v>
      </c>
      <c r="U1861" s="204">
        <f t="shared" si="1114"/>
        <v>43677</v>
      </c>
      <c r="V1861" s="207">
        <f>IF(G1861-F1861+1-IF(G1861-U1861&gt;0,G1861-U1861,0)-IF(T1861-F1861&gt;0,T1861-F1861,0)&gt;0,G1861-F1861+1-IF(G1861-U1861&gt;0,G1861-U1861,0)-IF(T1861-F1861&gt;0,T1861-F1861,0),0)</f>
        <v>0</v>
      </c>
      <c r="W1861" s="206" t="str">
        <f t="shared" ref="W1861:W1866" si="1148">IF(V1861&gt;0,H1861,"")</f>
        <v/>
      </c>
      <c r="X1861" s="206">
        <f t="shared" ref="X1861:X1866" si="1149">IF(AND($V1861&gt;0,$I1861=1),P1861/$E1861*$V1861,0)</f>
        <v>0</v>
      </c>
      <c r="Y1861" s="209">
        <f t="shared" ref="Y1861:Y1866" si="1150">IF(AND($V1861&gt;0,$I1861&lt;&gt;1),Q1861/$E1861*$V1861,0)</f>
        <v>0</v>
      </c>
    </row>
    <row r="1862" spans="2:25" ht="45" x14ac:dyDescent="0.25">
      <c r="B1862" s="60">
        <f>B1861</f>
        <v>30</v>
      </c>
      <c r="C1862" s="102">
        <v>205</v>
      </c>
      <c r="D1862" s="192" t="str">
        <f t="shared" si="1143"/>
        <v>VI</v>
      </c>
      <c r="E1862" s="62">
        <v>10</v>
      </c>
      <c r="F1862" s="105">
        <v>43686</v>
      </c>
      <c r="G1862" s="105">
        <v>43695</v>
      </c>
      <c r="H1862" s="61" t="s">
        <v>359</v>
      </c>
      <c r="I1862" s="61">
        <v>2</v>
      </c>
      <c r="J1862" s="62" t="s">
        <v>167</v>
      </c>
      <c r="K1862" s="63" t="s">
        <v>16</v>
      </c>
      <c r="L1862" s="61">
        <v>1</v>
      </c>
      <c r="M1862" s="61">
        <v>8</v>
      </c>
      <c r="N1862" s="111">
        <v>90</v>
      </c>
      <c r="O1862" s="112">
        <v>90</v>
      </c>
      <c r="P1862" s="113"/>
      <c r="Q1862" s="114">
        <v>90</v>
      </c>
      <c r="R1862" s="64" t="s">
        <v>4</v>
      </c>
      <c r="S1862" s="108">
        <v>43620</v>
      </c>
      <c r="T1862" s="203">
        <f t="shared" si="1113"/>
        <v>43647</v>
      </c>
      <c r="U1862" s="204">
        <f t="shared" si="1114"/>
        <v>43677</v>
      </c>
      <c r="V1862" s="207">
        <f t="shared" ref="V1862:V1867" si="1151">IF(G1862-F1862+1-IF(G1862-U1862&gt;0,G1862-U1862,0)-IF(T1862-F1862&gt;0,T1862-F1862,0)&gt;0,G1862-F1862+1-IF(G1862-U1862&gt;0,G1862-U1862,0)-IF(T1862-F1862&gt;0,T1862-F1862,0),0)</f>
        <v>0</v>
      </c>
      <c r="W1862" s="206" t="str">
        <f t="shared" si="1148"/>
        <v/>
      </c>
      <c r="X1862" s="206">
        <f t="shared" si="1149"/>
        <v>0</v>
      </c>
      <c r="Y1862" s="209">
        <f t="shared" si="1150"/>
        <v>0</v>
      </c>
    </row>
    <row r="1863" spans="2:25" hidden="1" x14ac:dyDescent="0.25">
      <c r="B1863" s="60">
        <f>B1861</f>
        <v>30</v>
      </c>
      <c r="C1863" s="102">
        <v>206</v>
      </c>
      <c r="D1863" s="192" t="str">
        <f t="shared" si="1143"/>
        <v>VI</v>
      </c>
      <c r="E1863" s="62"/>
      <c r="F1863" s="105"/>
      <c r="G1863" s="105"/>
      <c r="H1863" s="61"/>
      <c r="I1863" s="61"/>
      <c r="J1863" s="62"/>
      <c r="K1863" s="63"/>
      <c r="L1863" s="61"/>
      <c r="M1863" s="61"/>
      <c r="N1863" s="111"/>
      <c r="O1863" s="112"/>
      <c r="P1863" s="113"/>
      <c r="Q1863" s="114"/>
      <c r="R1863" s="64"/>
      <c r="S1863" s="108"/>
      <c r="T1863" s="203">
        <f t="shared" si="1113"/>
        <v>43647</v>
      </c>
      <c r="U1863" s="204">
        <f t="shared" si="1114"/>
        <v>43677</v>
      </c>
      <c r="V1863" s="207">
        <f t="shared" si="1151"/>
        <v>0</v>
      </c>
      <c r="W1863" s="206" t="str">
        <f t="shared" si="1148"/>
        <v/>
      </c>
      <c r="X1863" s="206">
        <f t="shared" si="1149"/>
        <v>0</v>
      </c>
      <c r="Y1863" s="209">
        <f t="shared" si="1150"/>
        <v>0</v>
      </c>
    </row>
    <row r="1864" spans="2:25" hidden="1" x14ac:dyDescent="0.25">
      <c r="B1864" s="60">
        <f>B1861</f>
        <v>30</v>
      </c>
      <c r="C1864" s="102">
        <v>207</v>
      </c>
      <c r="D1864" s="192" t="str">
        <f t="shared" si="1143"/>
        <v>VI</v>
      </c>
      <c r="E1864" s="62"/>
      <c r="F1864" s="105"/>
      <c r="G1864" s="105"/>
      <c r="H1864" s="61"/>
      <c r="I1864" s="61"/>
      <c r="J1864" s="62"/>
      <c r="K1864" s="63"/>
      <c r="L1864" s="61"/>
      <c r="M1864" s="61"/>
      <c r="N1864" s="111"/>
      <c r="O1864" s="112"/>
      <c r="P1864" s="113"/>
      <c r="Q1864" s="114"/>
      <c r="R1864" s="64"/>
      <c r="S1864" s="108"/>
      <c r="T1864" s="203">
        <f t="shared" si="1113"/>
        <v>43647</v>
      </c>
      <c r="U1864" s="204">
        <f t="shared" si="1114"/>
        <v>43677</v>
      </c>
      <c r="V1864" s="207">
        <f t="shared" si="1151"/>
        <v>0</v>
      </c>
      <c r="W1864" s="206" t="str">
        <f t="shared" si="1148"/>
        <v/>
      </c>
      <c r="X1864" s="206">
        <f t="shared" si="1149"/>
        <v>0</v>
      </c>
      <c r="Y1864" s="209">
        <f t="shared" si="1150"/>
        <v>0</v>
      </c>
    </row>
    <row r="1865" spans="2:25" hidden="1" x14ac:dyDescent="0.25">
      <c r="B1865" s="60">
        <f>B1861</f>
        <v>30</v>
      </c>
      <c r="C1865" s="102">
        <v>208</v>
      </c>
      <c r="D1865" s="192" t="str">
        <f t="shared" si="1143"/>
        <v>VI</v>
      </c>
      <c r="E1865" s="62"/>
      <c r="F1865" s="105"/>
      <c r="G1865" s="105"/>
      <c r="H1865" s="61"/>
      <c r="I1865" s="61"/>
      <c r="J1865" s="62"/>
      <c r="K1865" s="63"/>
      <c r="L1865" s="61"/>
      <c r="M1865" s="61"/>
      <c r="N1865" s="111"/>
      <c r="O1865" s="112"/>
      <c r="P1865" s="113"/>
      <c r="Q1865" s="114"/>
      <c r="R1865" s="64"/>
      <c r="S1865" s="108"/>
      <c r="T1865" s="203">
        <f t="shared" si="1113"/>
        <v>43647</v>
      </c>
      <c r="U1865" s="204">
        <f t="shared" si="1114"/>
        <v>43677</v>
      </c>
      <c r="V1865" s="207">
        <f t="shared" si="1151"/>
        <v>0</v>
      </c>
      <c r="W1865" s="206" t="str">
        <f t="shared" si="1148"/>
        <v/>
      </c>
      <c r="X1865" s="206">
        <f t="shared" si="1149"/>
        <v>0</v>
      </c>
      <c r="Y1865" s="209">
        <f t="shared" si="1150"/>
        <v>0</v>
      </c>
    </row>
    <row r="1866" spans="2:25" hidden="1" x14ac:dyDescent="0.25">
      <c r="B1866" s="60">
        <f>B1861</f>
        <v>30</v>
      </c>
      <c r="C1866" s="102">
        <v>209</v>
      </c>
      <c r="D1866" s="192" t="str">
        <f t="shared" si="1143"/>
        <v>VI</v>
      </c>
      <c r="E1866" s="62"/>
      <c r="F1866" s="105"/>
      <c r="G1866" s="105"/>
      <c r="H1866" s="61"/>
      <c r="I1866" s="61"/>
      <c r="J1866" s="62"/>
      <c r="K1866" s="63"/>
      <c r="L1866" s="61"/>
      <c r="M1866" s="61"/>
      <c r="N1866" s="111"/>
      <c r="O1866" s="112"/>
      <c r="P1866" s="113"/>
      <c r="Q1866" s="114"/>
      <c r="R1866" s="64"/>
      <c r="S1866" s="108"/>
      <c r="T1866" s="203">
        <f t="shared" si="1113"/>
        <v>43647</v>
      </c>
      <c r="U1866" s="204">
        <f t="shared" si="1114"/>
        <v>43677</v>
      </c>
      <c r="V1866" s="207">
        <f t="shared" si="1151"/>
        <v>0</v>
      </c>
      <c r="W1866" s="206" t="str">
        <f t="shared" si="1148"/>
        <v/>
      </c>
      <c r="X1866" s="206">
        <f t="shared" si="1149"/>
        <v>0</v>
      </c>
      <c r="Y1866" s="209">
        <f t="shared" si="1150"/>
        <v>0</v>
      </c>
    </row>
    <row r="1867" spans="2:25" ht="15.75" thickBot="1" x14ac:dyDescent="0.3">
      <c r="B1867" s="141">
        <f>B1861</f>
        <v>30</v>
      </c>
      <c r="C1867" s="142">
        <v>210</v>
      </c>
      <c r="D1867" s="194" t="str">
        <f t="shared" si="1143"/>
        <v>VI</v>
      </c>
      <c r="E1867" s="143"/>
      <c r="F1867" s="144"/>
      <c r="G1867" s="144"/>
      <c r="H1867" s="145"/>
      <c r="I1867" s="145"/>
      <c r="J1867" s="436" t="s">
        <v>181</v>
      </c>
      <c r="K1867" s="437"/>
      <c r="L1867" s="438"/>
      <c r="M1867" s="145"/>
      <c r="N1867" s="146">
        <v>10</v>
      </c>
      <c r="O1867" s="147">
        <v>10</v>
      </c>
      <c r="P1867" s="148"/>
      <c r="Q1867" s="149">
        <v>10</v>
      </c>
      <c r="R1867" s="150" t="s">
        <v>4</v>
      </c>
      <c r="S1867" s="151">
        <v>43620</v>
      </c>
      <c r="T1867" s="213">
        <f t="shared" si="1113"/>
        <v>43647</v>
      </c>
      <c r="U1867" s="214">
        <f t="shared" si="1114"/>
        <v>43677</v>
      </c>
      <c r="V1867" s="210">
        <f t="shared" si="1151"/>
        <v>0</v>
      </c>
      <c r="W1867" s="211"/>
      <c r="X1867" s="211">
        <f>IF(AND($V1867&gt;0,$I1867=1),IF($E1867=10,P1867/10,P1867/$V1867),0)</f>
        <v>0</v>
      </c>
      <c r="Y1867" s="212">
        <f>IF(AND($V1861&gt;0,$I1867&lt;&gt;1),Q1867/E1861*V1861,0)</f>
        <v>0</v>
      </c>
    </row>
    <row r="1868" spans="2:25" ht="30.75" thickTop="1" x14ac:dyDescent="0.25">
      <c r="B1868" s="129">
        <f>B1866+1</f>
        <v>31</v>
      </c>
      <c r="C1868" s="130">
        <v>211</v>
      </c>
      <c r="D1868" s="196" t="str">
        <f t="shared" si="1143"/>
        <v>VI</v>
      </c>
      <c r="E1868" s="152">
        <v>10</v>
      </c>
      <c r="F1868" s="153">
        <v>43686</v>
      </c>
      <c r="G1868" s="153">
        <v>43695</v>
      </c>
      <c r="H1868" s="154" t="s">
        <v>360</v>
      </c>
      <c r="I1868" s="154">
        <v>1</v>
      </c>
      <c r="J1868" s="152" t="s">
        <v>168</v>
      </c>
      <c r="K1868" s="155" t="s">
        <v>16</v>
      </c>
      <c r="L1868" s="154">
        <v>1</v>
      </c>
      <c r="M1868" s="154">
        <v>8</v>
      </c>
      <c r="N1868" s="156">
        <v>75</v>
      </c>
      <c r="O1868" s="157">
        <v>75</v>
      </c>
      <c r="P1868" s="158">
        <v>75</v>
      </c>
      <c r="Q1868" s="159"/>
      <c r="R1868" s="160" t="s">
        <v>4</v>
      </c>
      <c r="S1868" s="161">
        <v>43622</v>
      </c>
      <c r="T1868" s="203">
        <f t="shared" si="1113"/>
        <v>43647</v>
      </c>
      <c r="U1868" s="204">
        <f t="shared" si="1114"/>
        <v>43677</v>
      </c>
      <c r="V1868" s="207">
        <f>IF(G1868-F1868+1-IF(G1868-U1868&gt;0,G1868-U1868,0)-IF(T1868-F1868&gt;0,T1868-F1868,0)&gt;0,G1868-F1868+1-IF(G1868-U1868&gt;0,G1868-U1868,0)-IF(T1868-F1868&gt;0,T1868-F1868,0),0)</f>
        <v>0</v>
      </c>
      <c r="W1868" s="206" t="str">
        <f t="shared" ref="W1868:W1873" si="1152">IF(V1868&gt;0,H1868,"")</f>
        <v/>
      </c>
      <c r="X1868" s="206">
        <f t="shared" ref="X1868:X1873" si="1153">IF(AND($V1868&gt;0,$I1868=1),P1868/$E1868*$V1868,0)</f>
        <v>0</v>
      </c>
      <c r="Y1868" s="209">
        <f t="shared" ref="Y1868:Y1873" si="1154">IF(AND($V1868&gt;0,$I1868&lt;&gt;1),Q1868/$E1868*$V1868,0)</f>
        <v>0</v>
      </c>
    </row>
    <row r="1869" spans="2:25" ht="45" x14ac:dyDescent="0.25">
      <c r="B1869" s="60">
        <f>B1868</f>
        <v>31</v>
      </c>
      <c r="C1869" s="102">
        <v>212</v>
      </c>
      <c r="D1869" s="192" t="str">
        <f t="shared" si="1143"/>
        <v>VI</v>
      </c>
      <c r="E1869" s="162">
        <v>10</v>
      </c>
      <c r="F1869" s="163">
        <v>43686</v>
      </c>
      <c r="G1869" s="163">
        <v>43695</v>
      </c>
      <c r="H1869" s="164" t="s">
        <v>361</v>
      </c>
      <c r="I1869" s="164">
        <v>2</v>
      </c>
      <c r="J1869" s="162" t="s">
        <v>167</v>
      </c>
      <c r="K1869" s="165" t="s">
        <v>16</v>
      </c>
      <c r="L1869" s="164">
        <v>1</v>
      </c>
      <c r="M1869" s="164">
        <v>8</v>
      </c>
      <c r="N1869" s="166">
        <v>90</v>
      </c>
      <c r="O1869" s="167">
        <v>90</v>
      </c>
      <c r="P1869" s="168"/>
      <c r="Q1869" s="169">
        <v>90</v>
      </c>
      <c r="R1869" s="170" t="s">
        <v>4</v>
      </c>
      <c r="S1869" s="171">
        <v>43622</v>
      </c>
      <c r="T1869" s="203">
        <f t="shared" ref="T1869:T1932" si="1155">$F$4</f>
        <v>43647</v>
      </c>
      <c r="U1869" s="204">
        <f t="shared" ref="U1869:U1932" si="1156">$G$4</f>
        <v>43677</v>
      </c>
      <c r="V1869" s="207">
        <f t="shared" ref="V1869:V1874" si="1157">IF(G1869-F1869+1-IF(G1869-U1869&gt;0,G1869-U1869,0)-IF(T1869-F1869&gt;0,T1869-F1869,0)&gt;0,G1869-F1869+1-IF(G1869-U1869&gt;0,G1869-U1869,0)-IF(T1869-F1869&gt;0,T1869-F1869,0),0)</f>
        <v>0</v>
      </c>
      <c r="W1869" s="206" t="str">
        <f t="shared" si="1152"/>
        <v/>
      </c>
      <c r="X1869" s="206">
        <f t="shared" si="1153"/>
        <v>0</v>
      </c>
      <c r="Y1869" s="209">
        <f t="shared" si="1154"/>
        <v>0</v>
      </c>
    </row>
    <row r="1870" spans="2:25" hidden="1" x14ac:dyDescent="0.25">
      <c r="B1870" s="60">
        <f>B1868</f>
        <v>31</v>
      </c>
      <c r="C1870" s="102">
        <v>213</v>
      </c>
      <c r="D1870" s="192" t="str">
        <f t="shared" si="1143"/>
        <v>VI</v>
      </c>
      <c r="E1870" s="162"/>
      <c r="F1870" s="163"/>
      <c r="G1870" s="163"/>
      <c r="H1870" s="164"/>
      <c r="I1870" s="164"/>
      <c r="J1870" s="162"/>
      <c r="K1870" s="165"/>
      <c r="L1870" s="164"/>
      <c r="M1870" s="164"/>
      <c r="N1870" s="166"/>
      <c r="O1870" s="167"/>
      <c r="P1870" s="168"/>
      <c r="Q1870" s="169"/>
      <c r="R1870" s="170"/>
      <c r="S1870" s="171"/>
      <c r="T1870" s="203">
        <f t="shared" si="1155"/>
        <v>43647</v>
      </c>
      <c r="U1870" s="204">
        <f t="shared" si="1156"/>
        <v>43677</v>
      </c>
      <c r="V1870" s="207">
        <f t="shared" si="1157"/>
        <v>0</v>
      </c>
      <c r="W1870" s="206" t="str">
        <f t="shared" si="1152"/>
        <v/>
      </c>
      <c r="X1870" s="206">
        <f t="shared" si="1153"/>
        <v>0</v>
      </c>
      <c r="Y1870" s="209">
        <f t="shared" si="1154"/>
        <v>0</v>
      </c>
    </row>
    <row r="1871" spans="2:25" hidden="1" x14ac:dyDescent="0.25">
      <c r="B1871" s="60">
        <f>B1868</f>
        <v>31</v>
      </c>
      <c r="C1871" s="102">
        <v>214</v>
      </c>
      <c r="D1871" s="192" t="str">
        <f t="shared" si="1143"/>
        <v>VI</v>
      </c>
      <c r="E1871" s="162"/>
      <c r="F1871" s="163"/>
      <c r="G1871" s="163"/>
      <c r="H1871" s="164"/>
      <c r="I1871" s="164"/>
      <c r="J1871" s="162"/>
      <c r="K1871" s="165"/>
      <c r="L1871" s="164"/>
      <c r="M1871" s="164"/>
      <c r="N1871" s="166"/>
      <c r="O1871" s="167"/>
      <c r="P1871" s="168"/>
      <c r="Q1871" s="169"/>
      <c r="R1871" s="170"/>
      <c r="S1871" s="171"/>
      <c r="T1871" s="203">
        <f t="shared" si="1155"/>
        <v>43647</v>
      </c>
      <c r="U1871" s="204">
        <f t="shared" si="1156"/>
        <v>43677</v>
      </c>
      <c r="V1871" s="207">
        <f t="shared" si="1157"/>
        <v>0</v>
      </c>
      <c r="W1871" s="206" t="str">
        <f t="shared" si="1152"/>
        <v/>
      </c>
      <c r="X1871" s="206">
        <f t="shared" si="1153"/>
        <v>0</v>
      </c>
      <c r="Y1871" s="209">
        <f t="shared" si="1154"/>
        <v>0</v>
      </c>
    </row>
    <row r="1872" spans="2:25" hidden="1" x14ac:dyDescent="0.25">
      <c r="B1872" s="60">
        <f>B1868</f>
        <v>31</v>
      </c>
      <c r="C1872" s="102">
        <v>215</v>
      </c>
      <c r="D1872" s="192" t="str">
        <f t="shared" si="1143"/>
        <v>VI</v>
      </c>
      <c r="E1872" s="162"/>
      <c r="F1872" s="163"/>
      <c r="G1872" s="163"/>
      <c r="H1872" s="164"/>
      <c r="I1872" s="164"/>
      <c r="J1872" s="162"/>
      <c r="K1872" s="165"/>
      <c r="L1872" s="164"/>
      <c r="M1872" s="164"/>
      <c r="N1872" s="166"/>
      <c r="O1872" s="167"/>
      <c r="P1872" s="168"/>
      <c r="Q1872" s="169"/>
      <c r="R1872" s="170"/>
      <c r="S1872" s="171"/>
      <c r="T1872" s="203">
        <f t="shared" si="1155"/>
        <v>43647</v>
      </c>
      <c r="U1872" s="204">
        <f t="shared" si="1156"/>
        <v>43677</v>
      </c>
      <c r="V1872" s="207">
        <f t="shared" si="1157"/>
        <v>0</v>
      </c>
      <c r="W1872" s="206" t="str">
        <f t="shared" si="1152"/>
        <v/>
      </c>
      <c r="X1872" s="206">
        <f t="shared" si="1153"/>
        <v>0</v>
      </c>
      <c r="Y1872" s="209">
        <f t="shared" si="1154"/>
        <v>0</v>
      </c>
    </row>
    <row r="1873" spans="2:25" hidden="1" x14ac:dyDescent="0.25">
      <c r="B1873" s="60">
        <f>B1868</f>
        <v>31</v>
      </c>
      <c r="C1873" s="102">
        <v>216</v>
      </c>
      <c r="D1873" s="192" t="str">
        <f t="shared" si="1143"/>
        <v>VI</v>
      </c>
      <c r="E1873" s="172"/>
      <c r="F1873" s="173"/>
      <c r="G1873" s="173"/>
      <c r="H1873" s="174"/>
      <c r="I1873" s="174"/>
      <c r="J1873" s="172"/>
      <c r="K1873" s="175"/>
      <c r="L1873" s="174"/>
      <c r="M1873" s="174"/>
      <c r="N1873" s="176"/>
      <c r="O1873" s="177"/>
      <c r="P1873" s="178"/>
      <c r="Q1873" s="179"/>
      <c r="R1873" s="180"/>
      <c r="S1873" s="181"/>
      <c r="T1873" s="203">
        <f t="shared" si="1155"/>
        <v>43647</v>
      </c>
      <c r="U1873" s="204">
        <f t="shared" si="1156"/>
        <v>43677</v>
      </c>
      <c r="V1873" s="207">
        <f t="shared" si="1157"/>
        <v>0</v>
      </c>
      <c r="W1873" s="206" t="str">
        <f t="shared" si="1152"/>
        <v/>
      </c>
      <c r="X1873" s="206">
        <f t="shared" si="1153"/>
        <v>0</v>
      </c>
      <c r="Y1873" s="209">
        <f t="shared" si="1154"/>
        <v>0</v>
      </c>
    </row>
    <row r="1874" spans="2:25" ht="15.75" thickBot="1" x14ac:dyDescent="0.3">
      <c r="B1874" s="141">
        <f>B1868</f>
        <v>31</v>
      </c>
      <c r="C1874" s="142">
        <v>217</v>
      </c>
      <c r="D1874" s="194" t="str">
        <f t="shared" si="1143"/>
        <v>VI</v>
      </c>
      <c r="E1874" s="189"/>
      <c r="F1874" s="190"/>
      <c r="G1874" s="190"/>
      <c r="H1874" s="182"/>
      <c r="I1874" s="182"/>
      <c r="J1874" s="436" t="s">
        <v>181</v>
      </c>
      <c r="K1874" s="437"/>
      <c r="L1874" s="438"/>
      <c r="M1874" s="182"/>
      <c r="N1874" s="183">
        <v>10</v>
      </c>
      <c r="O1874" s="184">
        <v>10</v>
      </c>
      <c r="P1874" s="185"/>
      <c r="Q1874" s="186">
        <v>10</v>
      </c>
      <c r="R1874" s="187" t="s">
        <v>4</v>
      </c>
      <c r="S1874" s="188">
        <v>43622</v>
      </c>
      <c r="T1874" s="213">
        <f t="shared" si="1155"/>
        <v>43647</v>
      </c>
      <c r="U1874" s="214">
        <f t="shared" si="1156"/>
        <v>43677</v>
      </c>
      <c r="V1874" s="210">
        <f t="shared" si="1157"/>
        <v>0</v>
      </c>
      <c r="W1874" s="211"/>
      <c r="X1874" s="211">
        <f>IF(AND($V1874&gt;0,$I1874=1),IF($E1874=10,P1874/10,P1874/$V1874),0)</f>
        <v>0</v>
      </c>
      <c r="Y1874" s="212">
        <f>IF(AND($V1868&gt;0,$I1874&lt;&gt;1),Q1874/E1868*V1868,0)</f>
        <v>0</v>
      </c>
    </row>
    <row r="1875" spans="2:25" ht="45.75" thickTop="1" x14ac:dyDescent="0.25">
      <c r="B1875" s="129">
        <f>B1873+1</f>
        <v>32</v>
      </c>
      <c r="C1875" s="130">
        <v>218</v>
      </c>
      <c r="D1875" s="196" t="str">
        <f t="shared" si="1143"/>
        <v>VI</v>
      </c>
      <c r="E1875" s="131">
        <v>10</v>
      </c>
      <c r="F1875" s="132">
        <v>43686</v>
      </c>
      <c r="G1875" s="132">
        <v>43695</v>
      </c>
      <c r="H1875" s="133" t="s">
        <v>362</v>
      </c>
      <c r="I1875" s="133">
        <v>2</v>
      </c>
      <c r="J1875" s="131" t="s">
        <v>167</v>
      </c>
      <c r="K1875" s="134" t="s">
        <v>16</v>
      </c>
      <c r="L1875" s="133">
        <v>1</v>
      </c>
      <c r="M1875" s="133">
        <v>8</v>
      </c>
      <c r="N1875" s="135">
        <v>90</v>
      </c>
      <c r="O1875" s="136">
        <v>90</v>
      </c>
      <c r="P1875" s="137"/>
      <c r="Q1875" s="138">
        <v>90</v>
      </c>
      <c r="R1875" s="139" t="s">
        <v>4</v>
      </c>
      <c r="S1875" s="140">
        <v>43629</v>
      </c>
      <c r="T1875" s="203">
        <f t="shared" si="1155"/>
        <v>43647</v>
      </c>
      <c r="U1875" s="204">
        <f t="shared" si="1156"/>
        <v>43677</v>
      </c>
      <c r="V1875" s="207">
        <f>IF(G1875-F1875+1-IF(G1875-U1875&gt;0,G1875-U1875,0)-IF(T1875-F1875&gt;0,T1875-F1875,0)&gt;0,G1875-F1875+1-IF(G1875-U1875&gt;0,G1875-U1875,0)-IF(T1875-F1875&gt;0,T1875-F1875,0),0)</f>
        <v>0</v>
      </c>
      <c r="W1875" s="206" t="str">
        <f t="shared" ref="W1875:W1880" si="1158">IF(V1875&gt;0,H1875,"")</f>
        <v/>
      </c>
      <c r="X1875" s="206">
        <f t="shared" ref="X1875:X1880" si="1159">IF(AND($V1875&gt;0,$I1875=1),P1875/$E1875*$V1875,0)</f>
        <v>0</v>
      </c>
      <c r="Y1875" s="209">
        <f t="shared" ref="Y1875:Y1880" si="1160">IF(AND($V1875&gt;0,$I1875&lt;&gt;1),Q1875/$E1875*$V1875,0)</f>
        <v>0</v>
      </c>
    </row>
    <row r="1876" spans="2:25" hidden="1" x14ac:dyDescent="0.25">
      <c r="B1876" s="60">
        <f>B1875</f>
        <v>32</v>
      </c>
      <c r="C1876" s="102">
        <v>219</v>
      </c>
      <c r="D1876" s="192" t="str">
        <f t="shared" si="1143"/>
        <v>VI</v>
      </c>
      <c r="E1876" s="62"/>
      <c r="F1876" s="105"/>
      <c r="G1876" s="105"/>
      <c r="H1876" s="61"/>
      <c r="I1876" s="61"/>
      <c r="J1876" s="62"/>
      <c r="K1876" s="63"/>
      <c r="L1876" s="61"/>
      <c r="M1876" s="61"/>
      <c r="N1876" s="111"/>
      <c r="O1876" s="112"/>
      <c r="P1876" s="113"/>
      <c r="Q1876" s="114"/>
      <c r="R1876" s="64"/>
      <c r="S1876" s="108"/>
      <c r="T1876" s="203">
        <f t="shared" si="1155"/>
        <v>43647</v>
      </c>
      <c r="U1876" s="204">
        <f t="shared" si="1156"/>
        <v>43677</v>
      </c>
      <c r="V1876" s="207">
        <f t="shared" ref="V1876:V1881" si="1161">IF(G1876-F1876+1-IF(G1876-U1876&gt;0,G1876-U1876,0)-IF(T1876-F1876&gt;0,T1876-F1876,0)&gt;0,G1876-F1876+1-IF(G1876-U1876&gt;0,G1876-U1876,0)-IF(T1876-F1876&gt;0,T1876-F1876,0),0)</f>
        <v>0</v>
      </c>
      <c r="W1876" s="206" t="str">
        <f t="shared" si="1158"/>
        <v/>
      </c>
      <c r="X1876" s="206">
        <f t="shared" si="1159"/>
        <v>0</v>
      </c>
      <c r="Y1876" s="209">
        <f t="shared" si="1160"/>
        <v>0</v>
      </c>
    </row>
    <row r="1877" spans="2:25" hidden="1" x14ac:dyDescent="0.25">
      <c r="B1877" s="60">
        <f>B1875</f>
        <v>32</v>
      </c>
      <c r="C1877" s="102">
        <v>220</v>
      </c>
      <c r="D1877" s="192" t="str">
        <f t="shared" si="1143"/>
        <v>VI</v>
      </c>
      <c r="E1877" s="62"/>
      <c r="F1877" s="105"/>
      <c r="G1877" s="105"/>
      <c r="H1877" s="61"/>
      <c r="I1877" s="61"/>
      <c r="J1877" s="62"/>
      <c r="K1877" s="63"/>
      <c r="L1877" s="61"/>
      <c r="M1877" s="61"/>
      <c r="N1877" s="111"/>
      <c r="O1877" s="112"/>
      <c r="P1877" s="113"/>
      <c r="Q1877" s="114"/>
      <c r="R1877" s="64"/>
      <c r="S1877" s="108"/>
      <c r="T1877" s="203">
        <f t="shared" si="1155"/>
        <v>43647</v>
      </c>
      <c r="U1877" s="204">
        <f t="shared" si="1156"/>
        <v>43677</v>
      </c>
      <c r="V1877" s="207">
        <f t="shared" si="1161"/>
        <v>0</v>
      </c>
      <c r="W1877" s="206" t="str">
        <f t="shared" si="1158"/>
        <v/>
      </c>
      <c r="X1877" s="206">
        <f t="shared" si="1159"/>
        <v>0</v>
      </c>
      <c r="Y1877" s="209">
        <f t="shared" si="1160"/>
        <v>0</v>
      </c>
    </row>
    <row r="1878" spans="2:25" hidden="1" x14ac:dyDescent="0.25">
      <c r="B1878" s="60">
        <f>B1875</f>
        <v>32</v>
      </c>
      <c r="C1878" s="102">
        <v>221</v>
      </c>
      <c r="D1878" s="192" t="str">
        <f t="shared" si="1143"/>
        <v>VI</v>
      </c>
      <c r="E1878" s="62"/>
      <c r="F1878" s="105"/>
      <c r="G1878" s="105"/>
      <c r="H1878" s="61"/>
      <c r="I1878" s="61"/>
      <c r="J1878" s="62"/>
      <c r="K1878" s="63"/>
      <c r="L1878" s="61"/>
      <c r="M1878" s="61"/>
      <c r="N1878" s="111"/>
      <c r="O1878" s="112"/>
      <c r="P1878" s="113"/>
      <c r="Q1878" s="114"/>
      <c r="R1878" s="64"/>
      <c r="S1878" s="108"/>
      <c r="T1878" s="203">
        <f t="shared" si="1155"/>
        <v>43647</v>
      </c>
      <c r="U1878" s="204">
        <f t="shared" si="1156"/>
        <v>43677</v>
      </c>
      <c r="V1878" s="207">
        <f t="shared" si="1161"/>
        <v>0</v>
      </c>
      <c r="W1878" s="206" t="str">
        <f t="shared" si="1158"/>
        <v/>
      </c>
      <c r="X1878" s="206">
        <f t="shared" si="1159"/>
        <v>0</v>
      </c>
      <c r="Y1878" s="209">
        <f t="shared" si="1160"/>
        <v>0</v>
      </c>
    </row>
    <row r="1879" spans="2:25" hidden="1" x14ac:dyDescent="0.25">
      <c r="B1879" s="60">
        <f>B1875</f>
        <v>32</v>
      </c>
      <c r="C1879" s="102">
        <v>222</v>
      </c>
      <c r="D1879" s="192" t="str">
        <f t="shared" si="1143"/>
        <v>VI</v>
      </c>
      <c r="E1879" s="62"/>
      <c r="F1879" s="105"/>
      <c r="G1879" s="105"/>
      <c r="H1879" s="61"/>
      <c r="I1879" s="61"/>
      <c r="J1879" s="62"/>
      <c r="K1879" s="63"/>
      <c r="L1879" s="61"/>
      <c r="M1879" s="61"/>
      <c r="N1879" s="111"/>
      <c r="O1879" s="112"/>
      <c r="P1879" s="113"/>
      <c r="Q1879" s="114"/>
      <c r="R1879" s="64"/>
      <c r="S1879" s="108"/>
      <c r="T1879" s="203">
        <f t="shared" si="1155"/>
        <v>43647</v>
      </c>
      <c r="U1879" s="204">
        <f t="shared" si="1156"/>
        <v>43677</v>
      </c>
      <c r="V1879" s="207">
        <f t="shared" si="1161"/>
        <v>0</v>
      </c>
      <c r="W1879" s="206" t="str">
        <f t="shared" si="1158"/>
        <v/>
      </c>
      <c r="X1879" s="206">
        <f t="shared" si="1159"/>
        <v>0</v>
      </c>
      <c r="Y1879" s="209">
        <f t="shared" si="1160"/>
        <v>0</v>
      </c>
    </row>
    <row r="1880" spans="2:25" hidden="1" x14ac:dyDescent="0.25">
      <c r="B1880" s="60">
        <f>B1875</f>
        <v>32</v>
      </c>
      <c r="C1880" s="102">
        <v>223</v>
      </c>
      <c r="D1880" s="192" t="str">
        <f t="shared" si="1143"/>
        <v>VI</v>
      </c>
      <c r="E1880" s="62"/>
      <c r="F1880" s="105"/>
      <c r="G1880" s="105"/>
      <c r="H1880" s="61"/>
      <c r="I1880" s="61"/>
      <c r="J1880" s="62"/>
      <c r="K1880" s="63"/>
      <c r="L1880" s="61"/>
      <c r="M1880" s="61"/>
      <c r="N1880" s="111"/>
      <c r="O1880" s="112"/>
      <c r="P1880" s="113"/>
      <c r="Q1880" s="114"/>
      <c r="R1880" s="64"/>
      <c r="S1880" s="108"/>
      <c r="T1880" s="203">
        <f t="shared" si="1155"/>
        <v>43647</v>
      </c>
      <c r="U1880" s="204">
        <f t="shared" si="1156"/>
        <v>43677</v>
      </c>
      <c r="V1880" s="207">
        <f t="shared" si="1161"/>
        <v>0</v>
      </c>
      <c r="W1880" s="206" t="str">
        <f t="shared" si="1158"/>
        <v/>
      </c>
      <c r="X1880" s="206">
        <f t="shared" si="1159"/>
        <v>0</v>
      </c>
      <c r="Y1880" s="209">
        <f t="shared" si="1160"/>
        <v>0</v>
      </c>
    </row>
    <row r="1881" spans="2:25" ht="15.75" thickBot="1" x14ac:dyDescent="0.3">
      <c r="B1881" s="141">
        <f>B1875</f>
        <v>32</v>
      </c>
      <c r="C1881" s="142">
        <v>224</v>
      </c>
      <c r="D1881" s="194" t="str">
        <f t="shared" si="1143"/>
        <v>VI</v>
      </c>
      <c r="E1881" s="143"/>
      <c r="F1881" s="144"/>
      <c r="G1881" s="144"/>
      <c r="H1881" s="145"/>
      <c r="I1881" s="145"/>
      <c r="J1881" s="436" t="s">
        <v>181</v>
      </c>
      <c r="K1881" s="437"/>
      <c r="L1881" s="438"/>
      <c r="M1881" s="145"/>
      <c r="N1881" s="146">
        <v>10</v>
      </c>
      <c r="O1881" s="147">
        <v>10</v>
      </c>
      <c r="P1881" s="148"/>
      <c r="Q1881" s="149">
        <v>10</v>
      </c>
      <c r="R1881" s="150" t="s">
        <v>4</v>
      </c>
      <c r="S1881" s="151">
        <v>43629</v>
      </c>
      <c r="T1881" s="213">
        <f t="shared" si="1155"/>
        <v>43647</v>
      </c>
      <c r="U1881" s="214">
        <f t="shared" si="1156"/>
        <v>43677</v>
      </c>
      <c r="V1881" s="210">
        <f t="shared" si="1161"/>
        <v>0</v>
      </c>
      <c r="W1881" s="211"/>
      <c r="X1881" s="211">
        <f>IF(AND($V1881&gt;0,$I1881=1),IF($E1881=10,P1881/10,P1881/$V1881),0)</f>
        <v>0</v>
      </c>
      <c r="Y1881" s="212">
        <f>IF(AND($V1875&gt;0,$I1881&lt;&gt;1),Q1881/E1875*V1875,0)</f>
        <v>0</v>
      </c>
    </row>
    <row r="1882" spans="2:25" ht="30.75" thickTop="1" x14ac:dyDescent="0.25">
      <c r="B1882" s="129">
        <f>B1880+1</f>
        <v>33</v>
      </c>
      <c r="C1882" s="130">
        <v>225</v>
      </c>
      <c r="D1882" s="196" t="str">
        <f t="shared" si="1143"/>
        <v>VI</v>
      </c>
      <c r="E1882" s="152">
        <v>10</v>
      </c>
      <c r="F1882" s="153">
        <v>43686</v>
      </c>
      <c r="G1882" s="153">
        <v>43695</v>
      </c>
      <c r="H1882" s="154" t="s">
        <v>241</v>
      </c>
      <c r="I1882" s="154">
        <v>1</v>
      </c>
      <c r="J1882" s="152" t="s">
        <v>168</v>
      </c>
      <c r="K1882" s="155" t="s">
        <v>16</v>
      </c>
      <c r="L1882" s="154">
        <v>1</v>
      </c>
      <c r="M1882" s="154">
        <v>8</v>
      </c>
      <c r="N1882" s="156">
        <v>75</v>
      </c>
      <c r="O1882" s="157">
        <v>75</v>
      </c>
      <c r="P1882" s="158">
        <v>75</v>
      </c>
      <c r="Q1882" s="159"/>
      <c r="R1882" s="160" t="s">
        <v>4</v>
      </c>
      <c r="S1882" s="161">
        <v>43620</v>
      </c>
      <c r="T1882" s="203">
        <f t="shared" si="1155"/>
        <v>43647</v>
      </c>
      <c r="U1882" s="204">
        <f t="shared" si="1156"/>
        <v>43677</v>
      </c>
      <c r="V1882" s="207">
        <f>IF(G1882-F1882+1-IF(G1882-U1882&gt;0,G1882-U1882,0)-IF(T1882-F1882&gt;0,T1882-F1882,0)&gt;0,G1882-F1882+1-IF(G1882-U1882&gt;0,G1882-U1882,0)-IF(T1882-F1882&gt;0,T1882-F1882,0),0)</f>
        <v>0</v>
      </c>
      <c r="W1882" s="206" t="str">
        <f t="shared" ref="W1882:W1887" si="1162">IF(V1882&gt;0,H1882,"")</f>
        <v/>
      </c>
      <c r="X1882" s="206">
        <f t="shared" ref="X1882:X1887" si="1163">IF(AND($V1882&gt;0,$I1882=1),P1882/$E1882*$V1882,0)</f>
        <v>0</v>
      </c>
      <c r="Y1882" s="209">
        <f t="shared" ref="Y1882:Y1887" si="1164">IF(AND($V1882&gt;0,$I1882&lt;&gt;1),Q1882/$E1882*$V1882,0)</f>
        <v>0</v>
      </c>
    </row>
    <row r="1883" spans="2:25" hidden="1" x14ac:dyDescent="0.25">
      <c r="B1883" s="60">
        <f>B1882</f>
        <v>33</v>
      </c>
      <c r="C1883" s="102">
        <v>226</v>
      </c>
      <c r="D1883" s="192" t="str">
        <f t="shared" si="1143"/>
        <v>VI</v>
      </c>
      <c r="E1883" s="162"/>
      <c r="F1883" s="163"/>
      <c r="G1883" s="163"/>
      <c r="H1883" s="164"/>
      <c r="I1883" s="164"/>
      <c r="J1883" s="162"/>
      <c r="K1883" s="165"/>
      <c r="L1883" s="164"/>
      <c r="M1883" s="164"/>
      <c r="N1883" s="166"/>
      <c r="O1883" s="167"/>
      <c r="P1883" s="168"/>
      <c r="Q1883" s="169"/>
      <c r="R1883" s="170"/>
      <c r="S1883" s="171"/>
      <c r="T1883" s="203">
        <f t="shared" si="1155"/>
        <v>43647</v>
      </c>
      <c r="U1883" s="204">
        <f t="shared" si="1156"/>
        <v>43677</v>
      </c>
      <c r="V1883" s="207">
        <f t="shared" ref="V1883:V1888" si="1165">IF(G1883-F1883+1-IF(G1883-U1883&gt;0,G1883-U1883,0)-IF(T1883-F1883&gt;0,T1883-F1883,0)&gt;0,G1883-F1883+1-IF(G1883-U1883&gt;0,G1883-U1883,0)-IF(T1883-F1883&gt;0,T1883-F1883,0),0)</f>
        <v>0</v>
      </c>
      <c r="W1883" s="206" t="str">
        <f t="shared" si="1162"/>
        <v/>
      </c>
      <c r="X1883" s="206">
        <f t="shared" si="1163"/>
        <v>0</v>
      </c>
      <c r="Y1883" s="209">
        <f t="shared" si="1164"/>
        <v>0</v>
      </c>
    </row>
    <row r="1884" spans="2:25" hidden="1" x14ac:dyDescent="0.25">
      <c r="B1884" s="60">
        <f>B1882</f>
        <v>33</v>
      </c>
      <c r="C1884" s="102">
        <v>227</v>
      </c>
      <c r="D1884" s="192" t="str">
        <f t="shared" si="1143"/>
        <v>VI</v>
      </c>
      <c r="E1884" s="162"/>
      <c r="F1884" s="163"/>
      <c r="G1884" s="163"/>
      <c r="H1884" s="164"/>
      <c r="I1884" s="164"/>
      <c r="J1884" s="162"/>
      <c r="K1884" s="165"/>
      <c r="L1884" s="164"/>
      <c r="M1884" s="164"/>
      <c r="N1884" s="166"/>
      <c r="O1884" s="167"/>
      <c r="P1884" s="168"/>
      <c r="Q1884" s="169"/>
      <c r="R1884" s="170"/>
      <c r="S1884" s="171"/>
      <c r="T1884" s="203">
        <f t="shared" si="1155"/>
        <v>43647</v>
      </c>
      <c r="U1884" s="204">
        <f t="shared" si="1156"/>
        <v>43677</v>
      </c>
      <c r="V1884" s="207">
        <f t="shared" si="1165"/>
        <v>0</v>
      </c>
      <c r="W1884" s="206" t="str">
        <f t="shared" si="1162"/>
        <v/>
      </c>
      <c r="X1884" s="206">
        <f t="shared" si="1163"/>
        <v>0</v>
      </c>
      <c r="Y1884" s="209">
        <f t="shared" si="1164"/>
        <v>0</v>
      </c>
    </row>
    <row r="1885" spans="2:25" hidden="1" x14ac:dyDescent="0.25">
      <c r="B1885" s="60">
        <f>B1882</f>
        <v>33</v>
      </c>
      <c r="C1885" s="102">
        <v>228</v>
      </c>
      <c r="D1885" s="192" t="str">
        <f t="shared" si="1143"/>
        <v>VI</v>
      </c>
      <c r="E1885" s="162"/>
      <c r="F1885" s="163"/>
      <c r="G1885" s="163"/>
      <c r="H1885" s="164"/>
      <c r="I1885" s="164"/>
      <c r="J1885" s="162"/>
      <c r="K1885" s="165"/>
      <c r="L1885" s="164"/>
      <c r="M1885" s="164"/>
      <c r="N1885" s="166"/>
      <c r="O1885" s="167"/>
      <c r="P1885" s="168"/>
      <c r="Q1885" s="169"/>
      <c r="R1885" s="170"/>
      <c r="S1885" s="171"/>
      <c r="T1885" s="203">
        <f t="shared" si="1155"/>
        <v>43647</v>
      </c>
      <c r="U1885" s="204">
        <f t="shared" si="1156"/>
        <v>43677</v>
      </c>
      <c r="V1885" s="207">
        <f t="shared" si="1165"/>
        <v>0</v>
      </c>
      <c r="W1885" s="206" t="str">
        <f t="shared" si="1162"/>
        <v/>
      </c>
      <c r="X1885" s="206">
        <f t="shared" si="1163"/>
        <v>0</v>
      </c>
      <c r="Y1885" s="209">
        <f t="shared" si="1164"/>
        <v>0</v>
      </c>
    </row>
    <row r="1886" spans="2:25" hidden="1" x14ac:dyDescent="0.25">
      <c r="B1886" s="60">
        <f>B1882</f>
        <v>33</v>
      </c>
      <c r="C1886" s="102">
        <v>229</v>
      </c>
      <c r="D1886" s="192" t="str">
        <f t="shared" si="1143"/>
        <v>VI</v>
      </c>
      <c r="E1886" s="162"/>
      <c r="F1886" s="163"/>
      <c r="G1886" s="163"/>
      <c r="H1886" s="164"/>
      <c r="I1886" s="164"/>
      <c r="J1886" s="162"/>
      <c r="K1886" s="165"/>
      <c r="L1886" s="164"/>
      <c r="M1886" s="164"/>
      <c r="N1886" s="166"/>
      <c r="O1886" s="167"/>
      <c r="P1886" s="168"/>
      <c r="Q1886" s="169"/>
      <c r="R1886" s="170"/>
      <c r="S1886" s="171"/>
      <c r="T1886" s="203">
        <f t="shared" si="1155"/>
        <v>43647</v>
      </c>
      <c r="U1886" s="204">
        <f t="shared" si="1156"/>
        <v>43677</v>
      </c>
      <c r="V1886" s="207">
        <f t="shared" si="1165"/>
        <v>0</v>
      </c>
      <c r="W1886" s="206" t="str">
        <f t="shared" si="1162"/>
        <v/>
      </c>
      <c r="X1886" s="206">
        <f t="shared" si="1163"/>
        <v>0</v>
      </c>
      <c r="Y1886" s="209">
        <f t="shared" si="1164"/>
        <v>0</v>
      </c>
    </row>
    <row r="1887" spans="2:25" hidden="1" x14ac:dyDescent="0.25">
      <c r="B1887" s="60">
        <f>B1882</f>
        <v>33</v>
      </c>
      <c r="C1887" s="102">
        <v>230</v>
      </c>
      <c r="D1887" s="192" t="str">
        <f t="shared" si="1143"/>
        <v>VI</v>
      </c>
      <c r="E1887" s="172"/>
      <c r="F1887" s="173"/>
      <c r="G1887" s="173"/>
      <c r="H1887" s="174"/>
      <c r="I1887" s="174"/>
      <c r="J1887" s="172"/>
      <c r="K1887" s="175"/>
      <c r="L1887" s="174"/>
      <c r="M1887" s="174"/>
      <c r="N1887" s="176"/>
      <c r="O1887" s="177"/>
      <c r="P1887" s="178"/>
      <c r="Q1887" s="179"/>
      <c r="R1887" s="180"/>
      <c r="S1887" s="181"/>
      <c r="T1887" s="203">
        <f t="shared" si="1155"/>
        <v>43647</v>
      </c>
      <c r="U1887" s="204">
        <f t="shared" si="1156"/>
        <v>43677</v>
      </c>
      <c r="V1887" s="207">
        <f t="shared" si="1165"/>
        <v>0</v>
      </c>
      <c r="W1887" s="206" t="str">
        <f t="shared" si="1162"/>
        <v/>
      </c>
      <c r="X1887" s="206">
        <f t="shared" si="1163"/>
        <v>0</v>
      </c>
      <c r="Y1887" s="209">
        <f t="shared" si="1164"/>
        <v>0</v>
      </c>
    </row>
    <row r="1888" spans="2:25" ht="15.75" thickBot="1" x14ac:dyDescent="0.3">
      <c r="B1888" s="141">
        <f>B1882</f>
        <v>33</v>
      </c>
      <c r="C1888" s="142">
        <v>231</v>
      </c>
      <c r="D1888" s="194" t="str">
        <f t="shared" si="1143"/>
        <v>VI</v>
      </c>
      <c r="E1888" s="189"/>
      <c r="F1888" s="190"/>
      <c r="G1888" s="190"/>
      <c r="H1888" s="182"/>
      <c r="I1888" s="182"/>
      <c r="J1888" s="436" t="s">
        <v>181</v>
      </c>
      <c r="K1888" s="437"/>
      <c r="L1888" s="438"/>
      <c r="M1888" s="182"/>
      <c r="N1888" s="183">
        <v>10</v>
      </c>
      <c r="O1888" s="184">
        <v>10</v>
      </c>
      <c r="P1888" s="185"/>
      <c r="Q1888" s="186">
        <v>10</v>
      </c>
      <c r="R1888" s="187" t="s">
        <v>4</v>
      </c>
      <c r="S1888" s="188">
        <v>43620</v>
      </c>
      <c r="T1888" s="213">
        <f t="shared" si="1155"/>
        <v>43647</v>
      </c>
      <c r="U1888" s="214">
        <f t="shared" si="1156"/>
        <v>43677</v>
      </c>
      <c r="V1888" s="210">
        <f t="shared" si="1165"/>
        <v>0</v>
      </c>
      <c r="W1888" s="211"/>
      <c r="X1888" s="211">
        <f>IF(AND($V1888&gt;0,$I1888=1),IF($E1888=10,P1888/10,P1888/$V1888),0)</f>
        <v>0</v>
      </c>
      <c r="Y1888" s="212">
        <f>IF(AND($V1882&gt;0,$I1888&lt;&gt;1),Q1888/E1882*V1882,0)</f>
        <v>0</v>
      </c>
    </row>
    <row r="1889" spans="2:25" ht="30.75" thickTop="1" x14ac:dyDescent="0.25">
      <c r="B1889" s="129">
        <f>B1887+1</f>
        <v>34</v>
      </c>
      <c r="C1889" s="130">
        <v>232</v>
      </c>
      <c r="D1889" s="196" t="str">
        <f t="shared" si="1143"/>
        <v>VI</v>
      </c>
      <c r="E1889" s="131">
        <v>10</v>
      </c>
      <c r="F1889" s="132">
        <v>43686</v>
      </c>
      <c r="G1889" s="132">
        <v>43695</v>
      </c>
      <c r="H1889" s="133" t="s">
        <v>242</v>
      </c>
      <c r="I1889" s="133">
        <v>1</v>
      </c>
      <c r="J1889" s="131" t="s">
        <v>168</v>
      </c>
      <c r="K1889" s="134" t="s">
        <v>61</v>
      </c>
      <c r="L1889" s="133">
        <v>1.5</v>
      </c>
      <c r="M1889" s="133">
        <v>8</v>
      </c>
      <c r="N1889" s="135">
        <v>112.5</v>
      </c>
      <c r="O1889" s="136">
        <v>112.5</v>
      </c>
      <c r="P1889" s="137">
        <v>112.5</v>
      </c>
      <c r="Q1889" s="138"/>
      <c r="R1889" s="139" t="s">
        <v>4</v>
      </c>
      <c r="S1889" s="140">
        <v>43620</v>
      </c>
      <c r="T1889" s="203">
        <f t="shared" si="1155"/>
        <v>43647</v>
      </c>
      <c r="U1889" s="204">
        <f t="shared" si="1156"/>
        <v>43677</v>
      </c>
      <c r="V1889" s="207">
        <f>IF(G1889-F1889+1-IF(G1889-U1889&gt;0,G1889-U1889,0)-IF(T1889-F1889&gt;0,T1889-F1889,0)&gt;0,G1889-F1889+1-IF(G1889-U1889&gt;0,G1889-U1889,0)-IF(T1889-F1889&gt;0,T1889-F1889,0),0)</f>
        <v>0</v>
      </c>
      <c r="W1889" s="206" t="str">
        <f t="shared" ref="W1889:W1894" si="1166">IF(V1889&gt;0,H1889,"")</f>
        <v/>
      </c>
      <c r="X1889" s="206">
        <f t="shared" ref="X1889:X1894" si="1167">IF(AND($V1889&gt;0,$I1889=1),P1889/$E1889*$V1889,0)</f>
        <v>0</v>
      </c>
      <c r="Y1889" s="209">
        <f t="shared" ref="Y1889:Y1894" si="1168">IF(AND($V1889&gt;0,$I1889&lt;&gt;1),Q1889/$E1889*$V1889,0)</f>
        <v>0</v>
      </c>
    </row>
    <row r="1890" spans="2:25" hidden="1" x14ac:dyDescent="0.25">
      <c r="B1890" s="60">
        <f>B1889</f>
        <v>34</v>
      </c>
      <c r="C1890" s="102">
        <v>233</v>
      </c>
      <c r="D1890" s="192" t="str">
        <f t="shared" si="1143"/>
        <v>VI</v>
      </c>
      <c r="E1890" s="62">
        <v>10</v>
      </c>
      <c r="F1890" s="105">
        <v>43686</v>
      </c>
      <c r="G1890" s="105">
        <v>43695</v>
      </c>
      <c r="H1890" s="61" t="s">
        <v>243</v>
      </c>
      <c r="I1890" s="61">
        <v>3</v>
      </c>
      <c r="J1890" s="62" t="s">
        <v>170</v>
      </c>
      <c r="K1890" s="63"/>
      <c r="L1890" s="61"/>
      <c r="M1890" s="61"/>
      <c r="N1890" s="111"/>
      <c r="O1890" s="112"/>
      <c r="P1890" s="113"/>
      <c r="Q1890" s="114"/>
      <c r="R1890" s="64" t="s">
        <v>4</v>
      </c>
      <c r="S1890" s="108">
        <v>43620</v>
      </c>
      <c r="T1890" s="203">
        <f t="shared" si="1155"/>
        <v>43647</v>
      </c>
      <c r="U1890" s="204">
        <f t="shared" si="1156"/>
        <v>43677</v>
      </c>
      <c r="V1890" s="207">
        <f t="shared" ref="V1890:V1895" si="1169">IF(G1890-F1890+1-IF(G1890-U1890&gt;0,G1890-U1890,0)-IF(T1890-F1890&gt;0,T1890-F1890,0)&gt;0,G1890-F1890+1-IF(G1890-U1890&gt;0,G1890-U1890,0)-IF(T1890-F1890&gt;0,T1890-F1890,0),0)</f>
        <v>0</v>
      </c>
      <c r="W1890" s="206" t="str">
        <f t="shared" si="1166"/>
        <v/>
      </c>
      <c r="X1890" s="206">
        <f t="shared" si="1167"/>
        <v>0</v>
      </c>
      <c r="Y1890" s="209">
        <f t="shared" si="1168"/>
        <v>0</v>
      </c>
    </row>
    <row r="1891" spans="2:25" hidden="1" x14ac:dyDescent="0.25">
      <c r="B1891" s="60">
        <f>B1889</f>
        <v>34</v>
      </c>
      <c r="C1891" s="102">
        <v>234</v>
      </c>
      <c r="D1891" s="192" t="str">
        <f t="shared" si="1143"/>
        <v>VI</v>
      </c>
      <c r="E1891" s="62"/>
      <c r="F1891" s="105"/>
      <c r="G1891" s="105"/>
      <c r="H1891" s="61"/>
      <c r="I1891" s="61"/>
      <c r="J1891" s="62"/>
      <c r="K1891" s="63"/>
      <c r="L1891" s="61"/>
      <c r="M1891" s="61"/>
      <c r="N1891" s="111"/>
      <c r="O1891" s="112"/>
      <c r="P1891" s="113"/>
      <c r="Q1891" s="114"/>
      <c r="R1891" s="64"/>
      <c r="S1891" s="108"/>
      <c r="T1891" s="203">
        <f t="shared" si="1155"/>
        <v>43647</v>
      </c>
      <c r="U1891" s="204">
        <f t="shared" si="1156"/>
        <v>43677</v>
      </c>
      <c r="V1891" s="207">
        <f t="shared" si="1169"/>
        <v>0</v>
      </c>
      <c r="W1891" s="206" t="str">
        <f t="shared" si="1166"/>
        <v/>
      </c>
      <c r="X1891" s="206">
        <f t="shared" si="1167"/>
        <v>0</v>
      </c>
      <c r="Y1891" s="209">
        <f t="shared" si="1168"/>
        <v>0</v>
      </c>
    </row>
    <row r="1892" spans="2:25" hidden="1" x14ac:dyDescent="0.25">
      <c r="B1892" s="60">
        <f>B1889</f>
        <v>34</v>
      </c>
      <c r="C1892" s="102">
        <v>235</v>
      </c>
      <c r="D1892" s="192" t="str">
        <f t="shared" si="1143"/>
        <v>VI</v>
      </c>
      <c r="E1892" s="62"/>
      <c r="F1892" s="105"/>
      <c r="G1892" s="105"/>
      <c r="H1892" s="61"/>
      <c r="I1892" s="61"/>
      <c r="J1892" s="62"/>
      <c r="K1892" s="63"/>
      <c r="L1892" s="61"/>
      <c r="M1892" s="61"/>
      <c r="N1892" s="111"/>
      <c r="O1892" s="112"/>
      <c r="P1892" s="113"/>
      <c r="Q1892" s="114"/>
      <c r="R1892" s="64"/>
      <c r="S1892" s="108"/>
      <c r="T1892" s="203">
        <f t="shared" si="1155"/>
        <v>43647</v>
      </c>
      <c r="U1892" s="204">
        <f t="shared" si="1156"/>
        <v>43677</v>
      </c>
      <c r="V1892" s="207">
        <f t="shared" si="1169"/>
        <v>0</v>
      </c>
      <c r="W1892" s="206" t="str">
        <f t="shared" si="1166"/>
        <v/>
      </c>
      <c r="X1892" s="206">
        <f t="shared" si="1167"/>
        <v>0</v>
      </c>
      <c r="Y1892" s="209">
        <f t="shared" si="1168"/>
        <v>0</v>
      </c>
    </row>
    <row r="1893" spans="2:25" hidden="1" x14ac:dyDescent="0.25">
      <c r="B1893" s="60">
        <f>B1889</f>
        <v>34</v>
      </c>
      <c r="C1893" s="102">
        <v>236</v>
      </c>
      <c r="D1893" s="192" t="str">
        <f t="shared" si="1143"/>
        <v>VI</v>
      </c>
      <c r="E1893" s="62"/>
      <c r="F1893" s="105"/>
      <c r="G1893" s="105"/>
      <c r="H1893" s="61"/>
      <c r="I1893" s="61"/>
      <c r="J1893" s="62"/>
      <c r="K1893" s="63"/>
      <c r="L1893" s="61"/>
      <c r="M1893" s="61"/>
      <c r="N1893" s="111"/>
      <c r="O1893" s="112"/>
      <c r="P1893" s="113"/>
      <c r="Q1893" s="114"/>
      <c r="R1893" s="64"/>
      <c r="S1893" s="108"/>
      <c r="T1893" s="203">
        <f t="shared" si="1155"/>
        <v>43647</v>
      </c>
      <c r="U1893" s="204">
        <f t="shared" si="1156"/>
        <v>43677</v>
      </c>
      <c r="V1893" s="207">
        <f t="shared" si="1169"/>
        <v>0</v>
      </c>
      <c r="W1893" s="206" t="str">
        <f t="shared" si="1166"/>
        <v/>
      </c>
      <c r="X1893" s="206">
        <f t="shared" si="1167"/>
        <v>0</v>
      </c>
      <c r="Y1893" s="209">
        <f t="shared" si="1168"/>
        <v>0</v>
      </c>
    </row>
    <row r="1894" spans="2:25" hidden="1" x14ac:dyDescent="0.25">
      <c r="B1894" s="60">
        <f>B1889</f>
        <v>34</v>
      </c>
      <c r="C1894" s="102">
        <v>237</v>
      </c>
      <c r="D1894" s="192" t="str">
        <f t="shared" si="1143"/>
        <v>VI</v>
      </c>
      <c r="E1894" s="62"/>
      <c r="F1894" s="105"/>
      <c r="G1894" s="105"/>
      <c r="H1894" s="61"/>
      <c r="I1894" s="61"/>
      <c r="J1894" s="62"/>
      <c r="K1894" s="63"/>
      <c r="L1894" s="61"/>
      <c r="M1894" s="61"/>
      <c r="N1894" s="111"/>
      <c r="O1894" s="112"/>
      <c r="P1894" s="113"/>
      <c r="Q1894" s="114"/>
      <c r="R1894" s="64"/>
      <c r="S1894" s="108"/>
      <c r="T1894" s="203">
        <f t="shared" si="1155"/>
        <v>43647</v>
      </c>
      <c r="U1894" s="204">
        <f t="shared" si="1156"/>
        <v>43677</v>
      </c>
      <c r="V1894" s="207">
        <f t="shared" si="1169"/>
        <v>0</v>
      </c>
      <c r="W1894" s="206" t="str">
        <f t="shared" si="1166"/>
        <v/>
      </c>
      <c r="X1894" s="206">
        <f t="shared" si="1167"/>
        <v>0</v>
      </c>
      <c r="Y1894" s="209">
        <f t="shared" si="1168"/>
        <v>0</v>
      </c>
    </row>
    <row r="1895" spans="2:25" ht="15.75" thickBot="1" x14ac:dyDescent="0.3">
      <c r="B1895" s="141">
        <f>B1889</f>
        <v>34</v>
      </c>
      <c r="C1895" s="142">
        <v>238</v>
      </c>
      <c r="D1895" s="194" t="str">
        <f t="shared" si="1143"/>
        <v>VI</v>
      </c>
      <c r="E1895" s="143"/>
      <c r="F1895" s="144"/>
      <c r="G1895" s="144"/>
      <c r="H1895" s="145"/>
      <c r="I1895" s="145"/>
      <c r="J1895" s="436" t="s">
        <v>181</v>
      </c>
      <c r="K1895" s="437"/>
      <c r="L1895" s="438"/>
      <c r="M1895" s="145"/>
      <c r="N1895" s="146">
        <v>10</v>
      </c>
      <c r="O1895" s="147">
        <v>10</v>
      </c>
      <c r="P1895" s="148"/>
      <c r="Q1895" s="149">
        <v>10</v>
      </c>
      <c r="R1895" s="150" t="s">
        <v>4</v>
      </c>
      <c r="S1895" s="151">
        <v>43620</v>
      </c>
      <c r="T1895" s="213">
        <f t="shared" si="1155"/>
        <v>43647</v>
      </c>
      <c r="U1895" s="214">
        <f t="shared" si="1156"/>
        <v>43677</v>
      </c>
      <c r="V1895" s="210">
        <f t="shared" si="1169"/>
        <v>0</v>
      </c>
      <c r="W1895" s="211"/>
      <c r="X1895" s="211">
        <f>IF(AND($V1895&gt;0,$I1895=1),IF($E1895=10,P1895/10,P1895/$V1895),0)</f>
        <v>0</v>
      </c>
      <c r="Y1895" s="212">
        <f>IF(AND($V1889&gt;0,$I1895&lt;&gt;1),Q1895/E1889*V1889,0)</f>
        <v>0</v>
      </c>
    </row>
    <row r="1896" spans="2:25" ht="30.75" thickTop="1" x14ac:dyDescent="0.25">
      <c r="B1896" s="129">
        <f>B1894+1</f>
        <v>35</v>
      </c>
      <c r="C1896" s="130">
        <v>239</v>
      </c>
      <c r="D1896" s="196" t="str">
        <f t="shared" si="1143"/>
        <v>VI</v>
      </c>
      <c r="E1896" s="152">
        <v>10</v>
      </c>
      <c r="F1896" s="153">
        <v>43686</v>
      </c>
      <c r="G1896" s="153">
        <v>43695</v>
      </c>
      <c r="H1896" s="154" t="s">
        <v>244</v>
      </c>
      <c r="I1896" s="154">
        <v>1</v>
      </c>
      <c r="J1896" s="152" t="s">
        <v>168</v>
      </c>
      <c r="K1896" s="155" t="s">
        <v>16</v>
      </c>
      <c r="L1896" s="154">
        <v>1</v>
      </c>
      <c r="M1896" s="154">
        <v>8</v>
      </c>
      <c r="N1896" s="156">
        <v>75</v>
      </c>
      <c r="O1896" s="157">
        <v>75</v>
      </c>
      <c r="P1896" s="158">
        <v>75</v>
      </c>
      <c r="Q1896" s="159"/>
      <c r="R1896" s="160" t="s">
        <v>4</v>
      </c>
      <c r="S1896" s="161">
        <v>43620</v>
      </c>
      <c r="T1896" s="203">
        <f t="shared" si="1155"/>
        <v>43647</v>
      </c>
      <c r="U1896" s="204">
        <f t="shared" si="1156"/>
        <v>43677</v>
      </c>
      <c r="V1896" s="207">
        <f>IF(G1896-F1896+1-IF(G1896-U1896&gt;0,G1896-U1896,0)-IF(T1896-F1896&gt;0,T1896-F1896,0)&gt;0,G1896-F1896+1-IF(G1896-U1896&gt;0,G1896-U1896,0)-IF(T1896-F1896&gt;0,T1896-F1896,0),0)</f>
        <v>0</v>
      </c>
      <c r="W1896" s="206" t="str">
        <f t="shared" ref="W1896:W1901" si="1170">IF(V1896&gt;0,H1896,"")</f>
        <v/>
      </c>
      <c r="X1896" s="206">
        <f t="shared" ref="X1896:X1901" si="1171">IF(AND($V1896&gt;0,$I1896=1),P1896/$E1896*$V1896,0)</f>
        <v>0</v>
      </c>
      <c r="Y1896" s="209">
        <f t="shared" ref="Y1896:Y1901" si="1172">IF(AND($V1896&gt;0,$I1896&lt;&gt;1),Q1896/$E1896*$V1896,0)</f>
        <v>0</v>
      </c>
    </row>
    <row r="1897" spans="2:25" x14ac:dyDescent="0.25">
      <c r="B1897" s="60">
        <f>B1896</f>
        <v>35</v>
      </c>
      <c r="C1897" s="102">
        <v>240</v>
      </c>
      <c r="D1897" s="192" t="str">
        <f t="shared" si="1143"/>
        <v>VI</v>
      </c>
      <c r="E1897" s="162">
        <v>10</v>
      </c>
      <c r="F1897" s="163">
        <v>43686</v>
      </c>
      <c r="G1897" s="163">
        <v>43695</v>
      </c>
      <c r="H1897" s="164" t="s">
        <v>245</v>
      </c>
      <c r="I1897" s="164">
        <v>3</v>
      </c>
      <c r="J1897" s="162" t="s">
        <v>170</v>
      </c>
      <c r="K1897" s="165" t="s">
        <v>16</v>
      </c>
      <c r="L1897" s="164">
        <v>1</v>
      </c>
      <c r="M1897" s="164">
        <v>8</v>
      </c>
      <c r="N1897" s="166">
        <v>0</v>
      </c>
      <c r="O1897" s="167">
        <v>0</v>
      </c>
      <c r="P1897" s="168"/>
      <c r="Q1897" s="169">
        <v>0</v>
      </c>
      <c r="R1897" s="170" t="s">
        <v>4</v>
      </c>
      <c r="S1897" s="171">
        <v>43620</v>
      </c>
      <c r="T1897" s="203">
        <f t="shared" si="1155"/>
        <v>43647</v>
      </c>
      <c r="U1897" s="204">
        <f t="shared" si="1156"/>
        <v>43677</v>
      </c>
      <c r="V1897" s="207">
        <f t="shared" ref="V1897:V1902" si="1173">IF(G1897-F1897+1-IF(G1897-U1897&gt;0,G1897-U1897,0)-IF(T1897-F1897&gt;0,T1897-F1897,0)&gt;0,G1897-F1897+1-IF(G1897-U1897&gt;0,G1897-U1897,0)-IF(T1897-F1897&gt;0,T1897-F1897,0),0)</f>
        <v>0</v>
      </c>
      <c r="W1897" s="206" t="str">
        <f t="shared" si="1170"/>
        <v/>
      </c>
      <c r="X1897" s="206">
        <f t="shared" si="1171"/>
        <v>0</v>
      </c>
      <c r="Y1897" s="209">
        <f t="shared" si="1172"/>
        <v>0</v>
      </c>
    </row>
    <row r="1898" spans="2:25" hidden="1" x14ac:dyDescent="0.25">
      <c r="B1898" s="60">
        <f>B1896</f>
        <v>35</v>
      </c>
      <c r="C1898" s="102">
        <v>241</v>
      </c>
      <c r="D1898" s="192" t="str">
        <f t="shared" si="1143"/>
        <v>VI</v>
      </c>
      <c r="E1898" s="162"/>
      <c r="F1898" s="163"/>
      <c r="G1898" s="163"/>
      <c r="H1898" s="164"/>
      <c r="I1898" s="164"/>
      <c r="J1898" s="162"/>
      <c r="K1898" s="165"/>
      <c r="L1898" s="164"/>
      <c r="M1898" s="164"/>
      <c r="N1898" s="166"/>
      <c r="O1898" s="167"/>
      <c r="P1898" s="168"/>
      <c r="Q1898" s="169"/>
      <c r="R1898" s="170"/>
      <c r="S1898" s="171"/>
      <c r="T1898" s="203">
        <f t="shared" si="1155"/>
        <v>43647</v>
      </c>
      <c r="U1898" s="204">
        <f t="shared" si="1156"/>
        <v>43677</v>
      </c>
      <c r="V1898" s="207">
        <f t="shared" si="1173"/>
        <v>0</v>
      </c>
      <c r="W1898" s="206" t="str">
        <f t="shared" si="1170"/>
        <v/>
      </c>
      <c r="X1898" s="206">
        <f t="shared" si="1171"/>
        <v>0</v>
      </c>
      <c r="Y1898" s="209">
        <f t="shared" si="1172"/>
        <v>0</v>
      </c>
    </row>
    <row r="1899" spans="2:25" hidden="1" x14ac:dyDescent="0.25">
      <c r="B1899" s="60">
        <f>B1896</f>
        <v>35</v>
      </c>
      <c r="C1899" s="102">
        <v>242</v>
      </c>
      <c r="D1899" s="192" t="str">
        <f t="shared" si="1143"/>
        <v>VI</v>
      </c>
      <c r="E1899" s="162"/>
      <c r="F1899" s="163"/>
      <c r="G1899" s="163"/>
      <c r="H1899" s="164"/>
      <c r="I1899" s="164"/>
      <c r="J1899" s="162"/>
      <c r="K1899" s="165"/>
      <c r="L1899" s="164"/>
      <c r="M1899" s="164"/>
      <c r="N1899" s="166"/>
      <c r="O1899" s="167"/>
      <c r="P1899" s="168"/>
      <c r="Q1899" s="169"/>
      <c r="R1899" s="170"/>
      <c r="S1899" s="171"/>
      <c r="T1899" s="203">
        <f t="shared" si="1155"/>
        <v>43647</v>
      </c>
      <c r="U1899" s="204">
        <f t="shared" si="1156"/>
        <v>43677</v>
      </c>
      <c r="V1899" s="207">
        <f t="shared" si="1173"/>
        <v>0</v>
      </c>
      <c r="W1899" s="206" t="str">
        <f t="shared" si="1170"/>
        <v/>
      </c>
      <c r="X1899" s="206">
        <f t="shared" si="1171"/>
        <v>0</v>
      </c>
      <c r="Y1899" s="209">
        <f t="shared" si="1172"/>
        <v>0</v>
      </c>
    </row>
    <row r="1900" spans="2:25" hidden="1" x14ac:dyDescent="0.25">
      <c r="B1900" s="60">
        <f>B1896</f>
        <v>35</v>
      </c>
      <c r="C1900" s="102">
        <v>243</v>
      </c>
      <c r="D1900" s="192" t="str">
        <f t="shared" si="1143"/>
        <v>VI</v>
      </c>
      <c r="E1900" s="162"/>
      <c r="F1900" s="163"/>
      <c r="G1900" s="163"/>
      <c r="H1900" s="164"/>
      <c r="I1900" s="164"/>
      <c r="J1900" s="162"/>
      <c r="K1900" s="165"/>
      <c r="L1900" s="164"/>
      <c r="M1900" s="164"/>
      <c r="N1900" s="166"/>
      <c r="O1900" s="167"/>
      <c r="P1900" s="168"/>
      <c r="Q1900" s="169"/>
      <c r="R1900" s="170"/>
      <c r="S1900" s="171"/>
      <c r="T1900" s="203">
        <f t="shared" si="1155"/>
        <v>43647</v>
      </c>
      <c r="U1900" s="204">
        <f t="shared" si="1156"/>
        <v>43677</v>
      </c>
      <c r="V1900" s="207">
        <f t="shared" si="1173"/>
        <v>0</v>
      </c>
      <c r="W1900" s="206" t="str">
        <f t="shared" si="1170"/>
        <v/>
      </c>
      <c r="X1900" s="206">
        <f t="shared" si="1171"/>
        <v>0</v>
      </c>
      <c r="Y1900" s="209">
        <f t="shared" si="1172"/>
        <v>0</v>
      </c>
    </row>
    <row r="1901" spans="2:25" hidden="1" x14ac:dyDescent="0.25">
      <c r="B1901" s="60">
        <f>B1896</f>
        <v>35</v>
      </c>
      <c r="C1901" s="102">
        <v>244</v>
      </c>
      <c r="D1901" s="192" t="str">
        <f t="shared" si="1143"/>
        <v>VI</v>
      </c>
      <c r="E1901" s="172"/>
      <c r="F1901" s="173"/>
      <c r="G1901" s="173"/>
      <c r="H1901" s="174"/>
      <c r="I1901" s="174"/>
      <c r="J1901" s="172"/>
      <c r="K1901" s="175"/>
      <c r="L1901" s="174"/>
      <c r="M1901" s="174"/>
      <c r="N1901" s="176"/>
      <c r="O1901" s="177"/>
      <c r="P1901" s="178"/>
      <c r="Q1901" s="179"/>
      <c r="R1901" s="180"/>
      <c r="S1901" s="181"/>
      <c r="T1901" s="203">
        <f t="shared" si="1155"/>
        <v>43647</v>
      </c>
      <c r="U1901" s="204">
        <f t="shared" si="1156"/>
        <v>43677</v>
      </c>
      <c r="V1901" s="207">
        <f t="shared" si="1173"/>
        <v>0</v>
      </c>
      <c r="W1901" s="206" t="str">
        <f t="shared" si="1170"/>
        <v/>
      </c>
      <c r="X1901" s="206">
        <f t="shared" si="1171"/>
        <v>0</v>
      </c>
      <c r="Y1901" s="209">
        <f t="shared" si="1172"/>
        <v>0</v>
      </c>
    </row>
    <row r="1902" spans="2:25" ht="15.75" thickBot="1" x14ac:dyDescent="0.3">
      <c r="B1902" s="141">
        <f>B1896</f>
        <v>35</v>
      </c>
      <c r="C1902" s="142">
        <v>245</v>
      </c>
      <c r="D1902" s="194" t="str">
        <f t="shared" si="1143"/>
        <v>VI</v>
      </c>
      <c r="E1902" s="189"/>
      <c r="F1902" s="190"/>
      <c r="G1902" s="190"/>
      <c r="H1902" s="182"/>
      <c r="I1902" s="182"/>
      <c r="J1902" s="436" t="s">
        <v>181</v>
      </c>
      <c r="K1902" s="437"/>
      <c r="L1902" s="438"/>
      <c r="M1902" s="182"/>
      <c r="N1902" s="183">
        <v>10</v>
      </c>
      <c r="O1902" s="184">
        <v>10</v>
      </c>
      <c r="P1902" s="185"/>
      <c r="Q1902" s="186">
        <v>10</v>
      </c>
      <c r="R1902" s="187" t="s">
        <v>4</v>
      </c>
      <c r="S1902" s="188">
        <v>43620</v>
      </c>
      <c r="T1902" s="213">
        <f t="shared" si="1155"/>
        <v>43647</v>
      </c>
      <c r="U1902" s="214">
        <f t="shared" si="1156"/>
        <v>43677</v>
      </c>
      <c r="V1902" s="210">
        <f t="shared" si="1173"/>
        <v>0</v>
      </c>
      <c r="W1902" s="211"/>
      <c r="X1902" s="211">
        <f>IF(AND($V1902&gt;0,$I1902=1),IF($E1902=10,P1902/10,P1902/$V1902),0)</f>
        <v>0</v>
      </c>
      <c r="Y1902" s="212">
        <f>IF(AND($V1896&gt;0,$I1902&lt;&gt;1),Q1902/E1896*V1896,0)</f>
        <v>0</v>
      </c>
    </row>
    <row r="1903" spans="2:25" ht="16.5" hidden="1" thickTop="1" thickBot="1" x14ac:dyDescent="0.3">
      <c r="B1903" s="129">
        <f>B1901+1</f>
        <v>36</v>
      </c>
      <c r="C1903" s="130">
        <v>246</v>
      </c>
      <c r="D1903" s="196" t="str">
        <f t="shared" si="1143"/>
        <v>VI</v>
      </c>
      <c r="E1903" s="131"/>
      <c r="F1903" s="132"/>
      <c r="G1903" s="132"/>
      <c r="H1903" s="133"/>
      <c r="I1903" s="133"/>
      <c r="J1903" s="131"/>
      <c r="K1903" s="134"/>
      <c r="L1903" s="133"/>
      <c r="M1903" s="133"/>
      <c r="N1903" s="135"/>
      <c r="O1903" s="136"/>
      <c r="P1903" s="137"/>
      <c r="Q1903" s="138"/>
      <c r="R1903" s="139"/>
      <c r="S1903" s="140"/>
      <c r="T1903" s="203">
        <f t="shared" si="1155"/>
        <v>43647</v>
      </c>
      <c r="U1903" s="204">
        <f t="shared" si="1156"/>
        <v>43677</v>
      </c>
      <c r="V1903" s="207">
        <f>IF(G1903-F1903+1-IF(G1903-U1903&gt;0,G1903-U1903,0)-IF(T1903-F1903&gt;0,T1903-F1903,0)&gt;0,G1903-F1903+1-IF(G1903-U1903&gt;0,G1903-U1903,0)-IF(T1903-F1903&gt;0,T1903-F1903,0),0)</f>
        <v>0</v>
      </c>
      <c r="W1903" s="206" t="str">
        <f t="shared" ref="W1903:W1908" si="1174">IF(V1903&gt;0,H1903,"")</f>
        <v/>
      </c>
      <c r="X1903" s="206">
        <f t="shared" ref="X1903:X1908" si="1175">IF(AND($V1903&gt;0,$I1903=1),P1903/$E1903*$V1903,0)</f>
        <v>0</v>
      </c>
      <c r="Y1903" s="209">
        <f t="shared" ref="Y1903:Y1908" si="1176">IF(AND($V1903&gt;0,$I1903&lt;&gt;1),Q1903/$E1903*$V1903,0)</f>
        <v>0</v>
      </c>
    </row>
    <row r="1904" spans="2:25" ht="16.5" hidden="1" thickTop="1" thickBot="1" x14ac:dyDescent="0.3">
      <c r="B1904" s="60">
        <f>B1903</f>
        <v>36</v>
      </c>
      <c r="C1904" s="102">
        <v>247</v>
      </c>
      <c r="D1904" s="192" t="str">
        <f t="shared" si="1143"/>
        <v>VI</v>
      </c>
      <c r="E1904" s="62"/>
      <c r="F1904" s="105"/>
      <c r="G1904" s="105"/>
      <c r="H1904" s="61"/>
      <c r="I1904" s="61"/>
      <c r="J1904" s="62"/>
      <c r="K1904" s="63"/>
      <c r="L1904" s="61"/>
      <c r="M1904" s="61"/>
      <c r="N1904" s="111"/>
      <c r="O1904" s="112"/>
      <c r="P1904" s="113"/>
      <c r="Q1904" s="114"/>
      <c r="R1904" s="64"/>
      <c r="S1904" s="108"/>
      <c r="T1904" s="203">
        <f t="shared" si="1155"/>
        <v>43647</v>
      </c>
      <c r="U1904" s="204">
        <f t="shared" si="1156"/>
        <v>43677</v>
      </c>
      <c r="V1904" s="207">
        <f t="shared" ref="V1904:V1909" si="1177">IF(G1904-F1904+1-IF(G1904-U1904&gt;0,G1904-U1904,0)-IF(T1904-F1904&gt;0,T1904-F1904,0)&gt;0,G1904-F1904+1-IF(G1904-U1904&gt;0,G1904-U1904,0)-IF(T1904-F1904&gt;0,T1904-F1904,0),0)</f>
        <v>0</v>
      </c>
      <c r="W1904" s="206" t="str">
        <f t="shared" si="1174"/>
        <v/>
      </c>
      <c r="X1904" s="206">
        <f t="shared" si="1175"/>
        <v>0</v>
      </c>
      <c r="Y1904" s="209">
        <f t="shared" si="1176"/>
        <v>0</v>
      </c>
    </row>
    <row r="1905" spans="2:25" ht="16.5" hidden="1" thickTop="1" thickBot="1" x14ac:dyDescent="0.3">
      <c r="B1905" s="60">
        <f>B1903</f>
        <v>36</v>
      </c>
      <c r="C1905" s="102">
        <v>248</v>
      </c>
      <c r="D1905" s="192" t="str">
        <f t="shared" si="1143"/>
        <v>VI</v>
      </c>
      <c r="E1905" s="62"/>
      <c r="F1905" s="105"/>
      <c r="G1905" s="105"/>
      <c r="H1905" s="61"/>
      <c r="I1905" s="61"/>
      <c r="J1905" s="62"/>
      <c r="K1905" s="63"/>
      <c r="L1905" s="61"/>
      <c r="M1905" s="61"/>
      <c r="N1905" s="111"/>
      <c r="O1905" s="112"/>
      <c r="P1905" s="113"/>
      <c r="Q1905" s="114"/>
      <c r="R1905" s="64"/>
      <c r="S1905" s="108"/>
      <c r="T1905" s="203">
        <f t="shared" si="1155"/>
        <v>43647</v>
      </c>
      <c r="U1905" s="204">
        <f t="shared" si="1156"/>
        <v>43677</v>
      </c>
      <c r="V1905" s="207">
        <f t="shared" si="1177"/>
        <v>0</v>
      </c>
      <c r="W1905" s="206" t="str">
        <f t="shared" si="1174"/>
        <v/>
      </c>
      <c r="X1905" s="206">
        <f t="shared" si="1175"/>
        <v>0</v>
      </c>
      <c r="Y1905" s="209">
        <f t="shared" si="1176"/>
        <v>0</v>
      </c>
    </row>
    <row r="1906" spans="2:25" ht="16.5" hidden="1" thickTop="1" thickBot="1" x14ac:dyDescent="0.3">
      <c r="B1906" s="60">
        <f>B1903</f>
        <v>36</v>
      </c>
      <c r="C1906" s="102">
        <v>249</v>
      </c>
      <c r="D1906" s="192" t="str">
        <f t="shared" si="1143"/>
        <v>VI</v>
      </c>
      <c r="E1906" s="62"/>
      <c r="F1906" s="105"/>
      <c r="G1906" s="105"/>
      <c r="H1906" s="61"/>
      <c r="I1906" s="61"/>
      <c r="J1906" s="62"/>
      <c r="K1906" s="63"/>
      <c r="L1906" s="61"/>
      <c r="M1906" s="61"/>
      <c r="N1906" s="111"/>
      <c r="O1906" s="112"/>
      <c r="P1906" s="113"/>
      <c r="Q1906" s="114"/>
      <c r="R1906" s="64"/>
      <c r="S1906" s="108"/>
      <c r="T1906" s="203">
        <f t="shared" si="1155"/>
        <v>43647</v>
      </c>
      <c r="U1906" s="204">
        <f t="shared" si="1156"/>
        <v>43677</v>
      </c>
      <c r="V1906" s="207">
        <f t="shared" si="1177"/>
        <v>0</v>
      </c>
      <c r="W1906" s="206" t="str">
        <f t="shared" si="1174"/>
        <v/>
      </c>
      <c r="X1906" s="206">
        <f t="shared" si="1175"/>
        <v>0</v>
      </c>
      <c r="Y1906" s="209">
        <f t="shared" si="1176"/>
        <v>0</v>
      </c>
    </row>
    <row r="1907" spans="2:25" ht="16.5" hidden="1" thickTop="1" thickBot="1" x14ac:dyDescent="0.3">
      <c r="B1907" s="60">
        <f>B1903</f>
        <v>36</v>
      </c>
      <c r="C1907" s="102">
        <v>250</v>
      </c>
      <c r="D1907" s="192" t="str">
        <f t="shared" si="1143"/>
        <v>VI</v>
      </c>
      <c r="E1907" s="62"/>
      <c r="F1907" s="105"/>
      <c r="G1907" s="105"/>
      <c r="H1907" s="61"/>
      <c r="I1907" s="61"/>
      <c r="J1907" s="62"/>
      <c r="K1907" s="63"/>
      <c r="L1907" s="61"/>
      <c r="M1907" s="61"/>
      <c r="N1907" s="111"/>
      <c r="O1907" s="112"/>
      <c r="P1907" s="113"/>
      <c r="Q1907" s="114"/>
      <c r="R1907" s="64"/>
      <c r="S1907" s="108"/>
      <c r="T1907" s="203">
        <f t="shared" si="1155"/>
        <v>43647</v>
      </c>
      <c r="U1907" s="204">
        <f t="shared" si="1156"/>
        <v>43677</v>
      </c>
      <c r="V1907" s="207">
        <f t="shared" si="1177"/>
        <v>0</v>
      </c>
      <c r="W1907" s="206" t="str">
        <f t="shared" si="1174"/>
        <v/>
      </c>
      <c r="X1907" s="206">
        <f t="shared" si="1175"/>
        <v>0</v>
      </c>
      <c r="Y1907" s="209">
        <f t="shared" si="1176"/>
        <v>0</v>
      </c>
    </row>
    <row r="1908" spans="2:25" ht="16.5" hidden="1" thickTop="1" thickBot="1" x14ac:dyDescent="0.3">
      <c r="B1908" s="60">
        <f>B1903</f>
        <v>36</v>
      </c>
      <c r="C1908" s="102">
        <v>251</v>
      </c>
      <c r="D1908" s="192" t="str">
        <f t="shared" si="1143"/>
        <v>VI</v>
      </c>
      <c r="E1908" s="62"/>
      <c r="F1908" s="105"/>
      <c r="G1908" s="105"/>
      <c r="H1908" s="61"/>
      <c r="I1908" s="61"/>
      <c r="J1908" s="62"/>
      <c r="K1908" s="63"/>
      <c r="L1908" s="61"/>
      <c r="M1908" s="61"/>
      <c r="N1908" s="111"/>
      <c r="O1908" s="112"/>
      <c r="P1908" s="113"/>
      <c r="Q1908" s="114"/>
      <c r="R1908" s="64"/>
      <c r="S1908" s="108"/>
      <c r="T1908" s="203">
        <f t="shared" si="1155"/>
        <v>43647</v>
      </c>
      <c r="U1908" s="204">
        <f t="shared" si="1156"/>
        <v>43677</v>
      </c>
      <c r="V1908" s="207">
        <f t="shared" si="1177"/>
        <v>0</v>
      </c>
      <c r="W1908" s="206" t="str">
        <f t="shared" si="1174"/>
        <v/>
      </c>
      <c r="X1908" s="206">
        <f t="shared" si="1175"/>
        <v>0</v>
      </c>
      <c r="Y1908" s="209">
        <f t="shared" si="1176"/>
        <v>0</v>
      </c>
    </row>
    <row r="1909" spans="2:25" ht="16.5" hidden="1" thickTop="1" thickBot="1" x14ac:dyDescent="0.3">
      <c r="B1909" s="141">
        <f>B1903</f>
        <v>36</v>
      </c>
      <c r="C1909" s="142">
        <v>252</v>
      </c>
      <c r="D1909" s="194" t="str">
        <f t="shared" si="1143"/>
        <v>VI</v>
      </c>
      <c r="E1909" s="143"/>
      <c r="F1909" s="144"/>
      <c r="G1909" s="144"/>
      <c r="H1909" s="145"/>
      <c r="I1909" s="145"/>
      <c r="J1909" s="436" t="s">
        <v>181</v>
      </c>
      <c r="K1909" s="437"/>
      <c r="L1909" s="438"/>
      <c r="M1909" s="145"/>
      <c r="N1909" s="146"/>
      <c r="O1909" s="147"/>
      <c r="P1909" s="148"/>
      <c r="Q1909" s="149"/>
      <c r="R1909" s="150"/>
      <c r="S1909" s="151"/>
      <c r="T1909" s="213">
        <f t="shared" si="1155"/>
        <v>43647</v>
      </c>
      <c r="U1909" s="214">
        <f t="shared" si="1156"/>
        <v>43677</v>
      </c>
      <c r="V1909" s="210">
        <f t="shared" si="1177"/>
        <v>0</v>
      </c>
      <c r="W1909" s="211"/>
      <c r="X1909" s="211">
        <f>IF(AND($V1909&gt;0,$I1909=1),IF($E1909=10,P1909/10,P1909/$V1909),0)</f>
        <v>0</v>
      </c>
      <c r="Y1909" s="212">
        <f>IF(AND($V1903&gt;0,$I1909&lt;&gt;1),Q1909/E1903*V1903,0)</f>
        <v>0</v>
      </c>
    </row>
    <row r="1910" spans="2:25" ht="30.75" thickTop="1" x14ac:dyDescent="0.25">
      <c r="B1910" s="129">
        <f>B1908+1</f>
        <v>37</v>
      </c>
      <c r="C1910" s="130">
        <v>253</v>
      </c>
      <c r="D1910" s="196" t="str">
        <f t="shared" si="1143"/>
        <v>VI</v>
      </c>
      <c r="E1910" s="152">
        <v>10</v>
      </c>
      <c r="F1910" s="153">
        <v>43686</v>
      </c>
      <c r="G1910" s="153">
        <v>43695</v>
      </c>
      <c r="H1910" s="154" t="s">
        <v>363</v>
      </c>
      <c r="I1910" s="154">
        <v>1</v>
      </c>
      <c r="J1910" s="152" t="s">
        <v>168</v>
      </c>
      <c r="K1910" s="155" t="s">
        <v>16</v>
      </c>
      <c r="L1910" s="154">
        <v>1</v>
      </c>
      <c r="M1910" s="154">
        <v>8</v>
      </c>
      <c r="N1910" s="156">
        <v>75</v>
      </c>
      <c r="O1910" s="157">
        <v>75</v>
      </c>
      <c r="P1910" s="158">
        <v>75</v>
      </c>
      <c r="Q1910" s="159"/>
      <c r="R1910" s="160" t="s">
        <v>4</v>
      </c>
      <c r="S1910" s="161">
        <v>43623</v>
      </c>
      <c r="T1910" s="203">
        <f t="shared" si="1155"/>
        <v>43647</v>
      </c>
      <c r="U1910" s="204">
        <f t="shared" si="1156"/>
        <v>43677</v>
      </c>
      <c r="V1910" s="207">
        <f>IF(G1910-F1910+1-IF(G1910-U1910&gt;0,G1910-U1910,0)-IF(T1910-F1910&gt;0,T1910-F1910,0)&gt;0,G1910-F1910+1-IF(G1910-U1910&gt;0,G1910-U1910,0)-IF(T1910-F1910&gt;0,T1910-F1910,0),0)</f>
        <v>0</v>
      </c>
      <c r="W1910" s="206" t="str">
        <f t="shared" ref="W1910:W1915" si="1178">IF(V1910&gt;0,H1910,"")</f>
        <v/>
      </c>
      <c r="X1910" s="206">
        <f t="shared" ref="X1910:X1915" si="1179">IF(AND($V1910&gt;0,$I1910=1),P1910/$E1910*$V1910,0)</f>
        <v>0</v>
      </c>
      <c r="Y1910" s="209">
        <f t="shared" ref="Y1910:Y1915" si="1180">IF(AND($V1910&gt;0,$I1910&lt;&gt;1),Q1910/$E1910*$V1910,0)</f>
        <v>0</v>
      </c>
    </row>
    <row r="1911" spans="2:25" hidden="1" x14ac:dyDescent="0.25">
      <c r="B1911" s="60">
        <f>B1910</f>
        <v>37</v>
      </c>
      <c r="C1911" s="102">
        <v>254</v>
      </c>
      <c r="D1911" s="192" t="str">
        <f t="shared" si="1143"/>
        <v>VI</v>
      </c>
      <c r="E1911" s="162">
        <v>10</v>
      </c>
      <c r="F1911" s="163">
        <v>43686</v>
      </c>
      <c r="G1911" s="163">
        <v>43695</v>
      </c>
      <c r="H1911" s="164" t="s">
        <v>338</v>
      </c>
      <c r="I1911" s="164">
        <v>3</v>
      </c>
      <c r="J1911" s="162" t="s">
        <v>170</v>
      </c>
      <c r="K1911" s="165"/>
      <c r="L1911" s="164"/>
      <c r="M1911" s="164"/>
      <c r="N1911" s="166"/>
      <c r="O1911" s="167"/>
      <c r="P1911" s="168"/>
      <c r="Q1911" s="169"/>
      <c r="R1911" s="170" t="s">
        <v>4</v>
      </c>
      <c r="S1911" s="171">
        <v>43623</v>
      </c>
      <c r="T1911" s="203">
        <f t="shared" si="1155"/>
        <v>43647</v>
      </c>
      <c r="U1911" s="204">
        <f t="shared" si="1156"/>
        <v>43677</v>
      </c>
      <c r="V1911" s="207">
        <f t="shared" ref="V1911:V1916" si="1181">IF(G1911-F1911+1-IF(G1911-U1911&gt;0,G1911-U1911,0)-IF(T1911-F1911&gt;0,T1911-F1911,0)&gt;0,G1911-F1911+1-IF(G1911-U1911&gt;0,G1911-U1911,0)-IF(T1911-F1911&gt;0,T1911-F1911,0),0)</f>
        <v>0</v>
      </c>
      <c r="W1911" s="206" t="str">
        <f t="shared" si="1178"/>
        <v/>
      </c>
      <c r="X1911" s="206">
        <f t="shared" si="1179"/>
        <v>0</v>
      </c>
      <c r="Y1911" s="209">
        <f t="shared" si="1180"/>
        <v>0</v>
      </c>
    </row>
    <row r="1912" spans="2:25" hidden="1" x14ac:dyDescent="0.25">
      <c r="B1912" s="60">
        <f>B1910</f>
        <v>37</v>
      </c>
      <c r="C1912" s="102">
        <v>255</v>
      </c>
      <c r="D1912" s="192" t="str">
        <f t="shared" si="1143"/>
        <v>VI</v>
      </c>
      <c r="E1912" s="162"/>
      <c r="F1912" s="163"/>
      <c r="G1912" s="163"/>
      <c r="H1912" s="164"/>
      <c r="I1912" s="164"/>
      <c r="J1912" s="162"/>
      <c r="K1912" s="165"/>
      <c r="L1912" s="164"/>
      <c r="M1912" s="164"/>
      <c r="N1912" s="166"/>
      <c r="O1912" s="167"/>
      <c r="P1912" s="168"/>
      <c r="Q1912" s="169"/>
      <c r="R1912" s="170"/>
      <c r="S1912" s="171"/>
      <c r="T1912" s="203">
        <f t="shared" si="1155"/>
        <v>43647</v>
      </c>
      <c r="U1912" s="204">
        <f t="shared" si="1156"/>
        <v>43677</v>
      </c>
      <c r="V1912" s="207">
        <f t="shared" si="1181"/>
        <v>0</v>
      </c>
      <c r="W1912" s="206" t="str">
        <f t="shared" si="1178"/>
        <v/>
      </c>
      <c r="X1912" s="206">
        <f t="shared" si="1179"/>
        <v>0</v>
      </c>
      <c r="Y1912" s="209">
        <f t="shared" si="1180"/>
        <v>0</v>
      </c>
    </row>
    <row r="1913" spans="2:25" hidden="1" x14ac:dyDescent="0.25">
      <c r="B1913" s="60">
        <f>B1910</f>
        <v>37</v>
      </c>
      <c r="C1913" s="102">
        <v>256</v>
      </c>
      <c r="D1913" s="192" t="str">
        <f t="shared" si="1143"/>
        <v>VI</v>
      </c>
      <c r="E1913" s="162"/>
      <c r="F1913" s="163"/>
      <c r="G1913" s="163"/>
      <c r="H1913" s="164"/>
      <c r="I1913" s="164"/>
      <c r="J1913" s="162"/>
      <c r="K1913" s="165"/>
      <c r="L1913" s="164"/>
      <c r="M1913" s="164"/>
      <c r="N1913" s="166"/>
      <c r="O1913" s="167"/>
      <c r="P1913" s="168"/>
      <c r="Q1913" s="169"/>
      <c r="R1913" s="170"/>
      <c r="S1913" s="171"/>
      <c r="T1913" s="203">
        <f t="shared" si="1155"/>
        <v>43647</v>
      </c>
      <c r="U1913" s="204">
        <f t="shared" si="1156"/>
        <v>43677</v>
      </c>
      <c r="V1913" s="207">
        <f t="shared" si="1181"/>
        <v>0</v>
      </c>
      <c r="W1913" s="206" t="str">
        <f t="shared" si="1178"/>
        <v/>
      </c>
      <c r="X1913" s="206">
        <f t="shared" si="1179"/>
        <v>0</v>
      </c>
      <c r="Y1913" s="209">
        <f t="shared" si="1180"/>
        <v>0</v>
      </c>
    </row>
    <row r="1914" spans="2:25" hidden="1" x14ac:dyDescent="0.25">
      <c r="B1914" s="60">
        <f>B1910</f>
        <v>37</v>
      </c>
      <c r="C1914" s="102">
        <v>257</v>
      </c>
      <c r="D1914" s="192" t="str">
        <f t="shared" si="1143"/>
        <v>VI</v>
      </c>
      <c r="E1914" s="162"/>
      <c r="F1914" s="163"/>
      <c r="G1914" s="163"/>
      <c r="H1914" s="164"/>
      <c r="I1914" s="164"/>
      <c r="J1914" s="162"/>
      <c r="K1914" s="165"/>
      <c r="L1914" s="164"/>
      <c r="M1914" s="164"/>
      <c r="N1914" s="166"/>
      <c r="O1914" s="167"/>
      <c r="P1914" s="168"/>
      <c r="Q1914" s="169"/>
      <c r="R1914" s="170"/>
      <c r="S1914" s="171"/>
      <c r="T1914" s="203">
        <f t="shared" si="1155"/>
        <v>43647</v>
      </c>
      <c r="U1914" s="204">
        <f t="shared" si="1156"/>
        <v>43677</v>
      </c>
      <c r="V1914" s="207">
        <f t="shared" si="1181"/>
        <v>0</v>
      </c>
      <c r="W1914" s="206" t="str">
        <f t="shared" si="1178"/>
        <v/>
      </c>
      <c r="X1914" s="206">
        <f t="shared" si="1179"/>
        <v>0</v>
      </c>
      <c r="Y1914" s="209">
        <f t="shared" si="1180"/>
        <v>0</v>
      </c>
    </row>
    <row r="1915" spans="2:25" hidden="1" x14ac:dyDescent="0.25">
      <c r="B1915" s="60">
        <f>B1910</f>
        <v>37</v>
      </c>
      <c r="C1915" s="102">
        <v>258</v>
      </c>
      <c r="D1915" s="192" t="str">
        <f t="shared" si="1143"/>
        <v>VI</v>
      </c>
      <c r="E1915" s="172"/>
      <c r="F1915" s="173"/>
      <c r="G1915" s="173"/>
      <c r="H1915" s="174"/>
      <c r="I1915" s="174"/>
      <c r="J1915" s="172"/>
      <c r="K1915" s="175"/>
      <c r="L1915" s="174"/>
      <c r="M1915" s="174"/>
      <c r="N1915" s="176"/>
      <c r="O1915" s="177"/>
      <c r="P1915" s="178"/>
      <c r="Q1915" s="179"/>
      <c r="R1915" s="180"/>
      <c r="S1915" s="181"/>
      <c r="T1915" s="203">
        <f t="shared" si="1155"/>
        <v>43647</v>
      </c>
      <c r="U1915" s="204">
        <f t="shared" si="1156"/>
        <v>43677</v>
      </c>
      <c r="V1915" s="207">
        <f t="shared" si="1181"/>
        <v>0</v>
      </c>
      <c r="W1915" s="206" t="str">
        <f t="shared" si="1178"/>
        <v/>
      </c>
      <c r="X1915" s="206">
        <f t="shared" si="1179"/>
        <v>0</v>
      </c>
      <c r="Y1915" s="209">
        <f t="shared" si="1180"/>
        <v>0</v>
      </c>
    </row>
    <row r="1916" spans="2:25" ht="15.75" thickBot="1" x14ac:dyDescent="0.3">
      <c r="B1916" s="141">
        <f>B1910</f>
        <v>37</v>
      </c>
      <c r="C1916" s="142">
        <v>259</v>
      </c>
      <c r="D1916" s="194" t="str">
        <f t="shared" ref="D1916:D1979" si="1182">D1915</f>
        <v>VI</v>
      </c>
      <c r="E1916" s="189"/>
      <c r="F1916" s="190"/>
      <c r="G1916" s="190"/>
      <c r="H1916" s="182"/>
      <c r="I1916" s="182"/>
      <c r="J1916" s="436" t="s">
        <v>181</v>
      </c>
      <c r="K1916" s="437"/>
      <c r="L1916" s="438"/>
      <c r="M1916" s="182"/>
      <c r="N1916" s="183">
        <v>10</v>
      </c>
      <c r="O1916" s="184">
        <v>10</v>
      </c>
      <c r="P1916" s="185"/>
      <c r="Q1916" s="186">
        <v>10</v>
      </c>
      <c r="R1916" s="187" t="s">
        <v>4</v>
      </c>
      <c r="S1916" s="188">
        <v>43623</v>
      </c>
      <c r="T1916" s="213">
        <f t="shared" si="1155"/>
        <v>43647</v>
      </c>
      <c r="U1916" s="214">
        <f t="shared" si="1156"/>
        <v>43677</v>
      </c>
      <c r="V1916" s="210">
        <f t="shared" si="1181"/>
        <v>0</v>
      </c>
      <c r="W1916" s="211"/>
      <c r="X1916" s="211">
        <f>IF(AND($V1916&gt;0,$I1916=1),IF($E1916=10,P1916/10,P1916/$V1916),0)</f>
        <v>0</v>
      </c>
      <c r="Y1916" s="212">
        <f>IF(AND($V1910&gt;0,$I1916&lt;&gt;1),Q1916/E1910*V1910,0)</f>
        <v>0</v>
      </c>
    </row>
    <row r="1917" spans="2:25" ht="16.5" hidden="1" thickTop="1" thickBot="1" x14ac:dyDescent="0.3">
      <c r="B1917" s="129">
        <f>B1915+1</f>
        <v>38</v>
      </c>
      <c r="C1917" s="130">
        <v>260</v>
      </c>
      <c r="D1917" s="196" t="str">
        <f t="shared" si="1182"/>
        <v>VI</v>
      </c>
      <c r="E1917" s="131"/>
      <c r="F1917" s="132"/>
      <c r="G1917" s="132"/>
      <c r="H1917" s="133"/>
      <c r="I1917" s="133"/>
      <c r="J1917" s="131"/>
      <c r="K1917" s="134"/>
      <c r="L1917" s="133"/>
      <c r="M1917" s="133"/>
      <c r="N1917" s="135"/>
      <c r="O1917" s="136"/>
      <c r="P1917" s="137"/>
      <c r="Q1917" s="138"/>
      <c r="R1917" s="139"/>
      <c r="S1917" s="140"/>
      <c r="T1917" s="203">
        <f t="shared" si="1155"/>
        <v>43647</v>
      </c>
      <c r="U1917" s="204">
        <f t="shared" si="1156"/>
        <v>43677</v>
      </c>
      <c r="V1917" s="207">
        <f>IF(G1917-F1917+1-IF(G1917-U1917&gt;0,G1917-U1917,0)-IF(T1917-F1917&gt;0,T1917-F1917,0)&gt;0,G1917-F1917+1-IF(G1917-U1917&gt;0,G1917-U1917,0)-IF(T1917-F1917&gt;0,T1917-F1917,0),0)</f>
        <v>0</v>
      </c>
      <c r="W1917" s="206" t="str">
        <f t="shared" ref="W1917:W1922" si="1183">IF(V1917&gt;0,H1917,"")</f>
        <v/>
      </c>
      <c r="X1917" s="206">
        <f t="shared" ref="X1917:X1922" si="1184">IF(AND($V1917&gt;0,$I1917=1),P1917/$E1917*$V1917,0)</f>
        <v>0</v>
      </c>
      <c r="Y1917" s="209">
        <f t="shared" ref="Y1917:Y1922" si="1185">IF(AND($V1917&gt;0,$I1917&lt;&gt;1),Q1917/$E1917*$V1917,0)</f>
        <v>0</v>
      </c>
    </row>
    <row r="1918" spans="2:25" ht="16.5" hidden="1" thickTop="1" thickBot="1" x14ac:dyDescent="0.3">
      <c r="B1918" s="60">
        <f>B1917</f>
        <v>38</v>
      </c>
      <c r="C1918" s="102">
        <v>261</v>
      </c>
      <c r="D1918" s="192" t="str">
        <f t="shared" si="1182"/>
        <v>VI</v>
      </c>
      <c r="E1918" s="62"/>
      <c r="F1918" s="105"/>
      <c r="G1918" s="105"/>
      <c r="H1918" s="61"/>
      <c r="I1918" s="61"/>
      <c r="J1918" s="62"/>
      <c r="K1918" s="63"/>
      <c r="L1918" s="61"/>
      <c r="M1918" s="61"/>
      <c r="N1918" s="111"/>
      <c r="O1918" s="112"/>
      <c r="P1918" s="113"/>
      <c r="Q1918" s="114"/>
      <c r="R1918" s="64"/>
      <c r="S1918" s="108"/>
      <c r="T1918" s="203">
        <f t="shared" si="1155"/>
        <v>43647</v>
      </c>
      <c r="U1918" s="204">
        <f t="shared" si="1156"/>
        <v>43677</v>
      </c>
      <c r="V1918" s="207">
        <f t="shared" ref="V1918:V1923" si="1186">IF(G1918-F1918+1-IF(G1918-U1918&gt;0,G1918-U1918,0)-IF(T1918-F1918&gt;0,T1918-F1918,0)&gt;0,G1918-F1918+1-IF(G1918-U1918&gt;0,G1918-U1918,0)-IF(T1918-F1918&gt;0,T1918-F1918,0),0)</f>
        <v>0</v>
      </c>
      <c r="W1918" s="206" t="str">
        <f t="shared" si="1183"/>
        <v/>
      </c>
      <c r="X1918" s="206">
        <f t="shared" si="1184"/>
        <v>0</v>
      </c>
      <c r="Y1918" s="209">
        <f t="shared" si="1185"/>
        <v>0</v>
      </c>
    </row>
    <row r="1919" spans="2:25" ht="16.5" hidden="1" thickTop="1" thickBot="1" x14ac:dyDescent="0.3">
      <c r="B1919" s="60">
        <f>B1917</f>
        <v>38</v>
      </c>
      <c r="C1919" s="102">
        <v>262</v>
      </c>
      <c r="D1919" s="192" t="str">
        <f t="shared" si="1182"/>
        <v>VI</v>
      </c>
      <c r="E1919" s="62"/>
      <c r="F1919" s="105"/>
      <c r="G1919" s="105"/>
      <c r="H1919" s="61"/>
      <c r="I1919" s="61"/>
      <c r="J1919" s="62"/>
      <c r="K1919" s="63"/>
      <c r="L1919" s="61"/>
      <c r="M1919" s="61"/>
      <c r="N1919" s="111"/>
      <c r="O1919" s="112"/>
      <c r="P1919" s="113"/>
      <c r="Q1919" s="114"/>
      <c r="R1919" s="64"/>
      <c r="S1919" s="108"/>
      <c r="T1919" s="203">
        <f t="shared" si="1155"/>
        <v>43647</v>
      </c>
      <c r="U1919" s="204">
        <f t="shared" si="1156"/>
        <v>43677</v>
      </c>
      <c r="V1919" s="207">
        <f t="shared" si="1186"/>
        <v>0</v>
      </c>
      <c r="W1919" s="206" t="str">
        <f t="shared" si="1183"/>
        <v/>
      </c>
      <c r="X1919" s="206">
        <f t="shared" si="1184"/>
        <v>0</v>
      </c>
      <c r="Y1919" s="209">
        <f t="shared" si="1185"/>
        <v>0</v>
      </c>
    </row>
    <row r="1920" spans="2:25" ht="16.5" hidden="1" thickTop="1" thickBot="1" x14ac:dyDescent="0.3">
      <c r="B1920" s="60">
        <f>B1917</f>
        <v>38</v>
      </c>
      <c r="C1920" s="102">
        <v>263</v>
      </c>
      <c r="D1920" s="192" t="str">
        <f t="shared" si="1182"/>
        <v>VI</v>
      </c>
      <c r="E1920" s="62"/>
      <c r="F1920" s="105"/>
      <c r="G1920" s="105"/>
      <c r="H1920" s="61"/>
      <c r="I1920" s="61"/>
      <c r="J1920" s="62"/>
      <c r="K1920" s="63"/>
      <c r="L1920" s="61"/>
      <c r="M1920" s="61"/>
      <c r="N1920" s="111"/>
      <c r="O1920" s="112"/>
      <c r="P1920" s="113"/>
      <c r="Q1920" s="114"/>
      <c r="R1920" s="64"/>
      <c r="S1920" s="108"/>
      <c r="T1920" s="203">
        <f t="shared" si="1155"/>
        <v>43647</v>
      </c>
      <c r="U1920" s="204">
        <f t="shared" si="1156"/>
        <v>43677</v>
      </c>
      <c r="V1920" s="207">
        <f t="shared" si="1186"/>
        <v>0</v>
      </c>
      <c r="W1920" s="206" t="str">
        <f t="shared" si="1183"/>
        <v/>
      </c>
      <c r="X1920" s="206">
        <f t="shared" si="1184"/>
        <v>0</v>
      </c>
      <c r="Y1920" s="209">
        <f t="shared" si="1185"/>
        <v>0</v>
      </c>
    </row>
    <row r="1921" spans="2:25" ht="16.5" hidden="1" thickTop="1" thickBot="1" x14ac:dyDescent="0.3">
      <c r="B1921" s="60">
        <f>B1917</f>
        <v>38</v>
      </c>
      <c r="C1921" s="102">
        <v>264</v>
      </c>
      <c r="D1921" s="192" t="str">
        <f t="shared" si="1182"/>
        <v>VI</v>
      </c>
      <c r="E1921" s="62"/>
      <c r="F1921" s="105"/>
      <c r="G1921" s="105"/>
      <c r="H1921" s="61"/>
      <c r="I1921" s="61"/>
      <c r="J1921" s="62"/>
      <c r="K1921" s="63"/>
      <c r="L1921" s="61"/>
      <c r="M1921" s="61"/>
      <c r="N1921" s="111"/>
      <c r="O1921" s="112"/>
      <c r="P1921" s="113"/>
      <c r="Q1921" s="114"/>
      <c r="R1921" s="64"/>
      <c r="S1921" s="108"/>
      <c r="T1921" s="203">
        <f t="shared" si="1155"/>
        <v>43647</v>
      </c>
      <c r="U1921" s="204">
        <f t="shared" si="1156"/>
        <v>43677</v>
      </c>
      <c r="V1921" s="207">
        <f t="shared" si="1186"/>
        <v>0</v>
      </c>
      <c r="W1921" s="206" t="str">
        <f t="shared" si="1183"/>
        <v/>
      </c>
      <c r="X1921" s="206">
        <f t="shared" si="1184"/>
        <v>0</v>
      </c>
      <c r="Y1921" s="209">
        <f t="shared" si="1185"/>
        <v>0</v>
      </c>
    </row>
    <row r="1922" spans="2:25" ht="16.5" hidden="1" thickTop="1" thickBot="1" x14ac:dyDescent="0.3">
      <c r="B1922" s="60">
        <f>B1917</f>
        <v>38</v>
      </c>
      <c r="C1922" s="102">
        <v>265</v>
      </c>
      <c r="D1922" s="192" t="str">
        <f t="shared" si="1182"/>
        <v>VI</v>
      </c>
      <c r="E1922" s="62"/>
      <c r="F1922" s="105"/>
      <c r="G1922" s="105"/>
      <c r="H1922" s="61"/>
      <c r="I1922" s="61"/>
      <c r="J1922" s="62"/>
      <c r="K1922" s="63"/>
      <c r="L1922" s="61"/>
      <c r="M1922" s="61"/>
      <c r="N1922" s="111"/>
      <c r="O1922" s="112"/>
      <c r="P1922" s="113"/>
      <c r="Q1922" s="114"/>
      <c r="R1922" s="64"/>
      <c r="S1922" s="108"/>
      <c r="T1922" s="203">
        <f t="shared" si="1155"/>
        <v>43647</v>
      </c>
      <c r="U1922" s="204">
        <f t="shared" si="1156"/>
        <v>43677</v>
      </c>
      <c r="V1922" s="207">
        <f t="shared" si="1186"/>
        <v>0</v>
      </c>
      <c r="W1922" s="206" t="str">
        <f t="shared" si="1183"/>
        <v/>
      </c>
      <c r="X1922" s="206">
        <f t="shared" si="1184"/>
        <v>0</v>
      </c>
      <c r="Y1922" s="209">
        <f t="shared" si="1185"/>
        <v>0</v>
      </c>
    </row>
    <row r="1923" spans="2:25" ht="16.5" hidden="1" thickTop="1" thickBot="1" x14ac:dyDescent="0.3">
      <c r="B1923" s="141">
        <f>B1917</f>
        <v>38</v>
      </c>
      <c r="C1923" s="142">
        <v>266</v>
      </c>
      <c r="D1923" s="194" t="str">
        <f t="shared" si="1182"/>
        <v>VI</v>
      </c>
      <c r="E1923" s="143"/>
      <c r="F1923" s="144"/>
      <c r="G1923" s="144"/>
      <c r="H1923" s="145"/>
      <c r="I1923" s="145"/>
      <c r="J1923" s="436" t="s">
        <v>181</v>
      </c>
      <c r="K1923" s="437"/>
      <c r="L1923" s="438"/>
      <c r="M1923" s="145"/>
      <c r="N1923" s="146"/>
      <c r="O1923" s="147"/>
      <c r="P1923" s="148"/>
      <c r="Q1923" s="149"/>
      <c r="R1923" s="150"/>
      <c r="S1923" s="151"/>
      <c r="T1923" s="213">
        <f t="shared" si="1155"/>
        <v>43647</v>
      </c>
      <c r="U1923" s="214">
        <f t="shared" si="1156"/>
        <v>43677</v>
      </c>
      <c r="V1923" s="210">
        <f t="shared" si="1186"/>
        <v>0</v>
      </c>
      <c r="W1923" s="211"/>
      <c r="X1923" s="211">
        <f>IF(AND($V1923&gt;0,$I1923=1),IF($E1923=10,P1923/10,P1923/$V1923),0)</f>
        <v>0</v>
      </c>
      <c r="Y1923" s="212">
        <f>IF(AND($V1917&gt;0,$I1923&lt;&gt;1),Q1923/E1917*V1917,0)</f>
        <v>0</v>
      </c>
    </row>
    <row r="1924" spans="2:25" ht="45.75" thickTop="1" x14ac:dyDescent="0.25">
      <c r="B1924" s="129">
        <f>B1922+1</f>
        <v>39</v>
      </c>
      <c r="C1924" s="130">
        <v>267</v>
      </c>
      <c r="D1924" s="196" t="str">
        <f t="shared" si="1182"/>
        <v>VI</v>
      </c>
      <c r="E1924" s="152">
        <v>10</v>
      </c>
      <c r="F1924" s="153">
        <v>43686</v>
      </c>
      <c r="G1924" s="153">
        <v>43695</v>
      </c>
      <c r="H1924" s="154" t="s">
        <v>364</v>
      </c>
      <c r="I1924" s="154">
        <v>2</v>
      </c>
      <c r="J1924" s="152" t="s">
        <v>167</v>
      </c>
      <c r="K1924" s="155" t="s">
        <v>16</v>
      </c>
      <c r="L1924" s="154">
        <v>1</v>
      </c>
      <c r="M1924" s="154">
        <v>8</v>
      </c>
      <c r="N1924" s="156">
        <v>90</v>
      </c>
      <c r="O1924" s="157">
        <v>90</v>
      </c>
      <c r="P1924" s="158"/>
      <c r="Q1924" s="159">
        <v>90</v>
      </c>
      <c r="R1924" s="160" t="s">
        <v>4</v>
      </c>
      <c r="S1924" s="161">
        <v>43620</v>
      </c>
      <c r="T1924" s="203">
        <f t="shared" si="1155"/>
        <v>43647</v>
      </c>
      <c r="U1924" s="204">
        <f t="shared" si="1156"/>
        <v>43677</v>
      </c>
      <c r="V1924" s="207">
        <f>IF(G1924-F1924+1-IF(G1924-U1924&gt;0,G1924-U1924,0)-IF(T1924-F1924&gt;0,T1924-F1924,0)&gt;0,G1924-F1924+1-IF(G1924-U1924&gt;0,G1924-U1924,0)-IF(T1924-F1924&gt;0,T1924-F1924,0),0)</f>
        <v>0</v>
      </c>
      <c r="W1924" s="206" t="str">
        <f t="shared" ref="W1924:W1929" si="1187">IF(V1924&gt;0,H1924,"")</f>
        <v/>
      </c>
      <c r="X1924" s="206">
        <f t="shared" ref="X1924:X1929" si="1188">IF(AND($V1924&gt;0,$I1924=1),P1924/$E1924*$V1924,0)</f>
        <v>0</v>
      </c>
      <c r="Y1924" s="209">
        <f t="shared" ref="Y1924:Y1929" si="1189">IF(AND($V1924&gt;0,$I1924&lt;&gt;1),Q1924/$E1924*$V1924,0)</f>
        <v>0</v>
      </c>
    </row>
    <row r="1925" spans="2:25" ht="45" x14ac:dyDescent="0.25">
      <c r="B1925" s="60">
        <f>B1924</f>
        <v>39</v>
      </c>
      <c r="C1925" s="102">
        <v>268</v>
      </c>
      <c r="D1925" s="192" t="str">
        <f t="shared" si="1182"/>
        <v>VI</v>
      </c>
      <c r="E1925" s="162">
        <v>10</v>
      </c>
      <c r="F1925" s="163">
        <v>43686</v>
      </c>
      <c r="G1925" s="163">
        <v>43695</v>
      </c>
      <c r="H1925" s="164" t="s">
        <v>365</v>
      </c>
      <c r="I1925" s="164">
        <v>2</v>
      </c>
      <c r="J1925" s="162" t="s">
        <v>167</v>
      </c>
      <c r="K1925" s="165" t="s">
        <v>16</v>
      </c>
      <c r="L1925" s="164">
        <v>1</v>
      </c>
      <c r="M1925" s="164">
        <v>8</v>
      </c>
      <c r="N1925" s="166">
        <v>90</v>
      </c>
      <c r="O1925" s="167">
        <v>90</v>
      </c>
      <c r="P1925" s="168"/>
      <c r="Q1925" s="169">
        <v>90</v>
      </c>
      <c r="R1925" s="170" t="s">
        <v>4</v>
      </c>
      <c r="S1925" s="171">
        <v>43620</v>
      </c>
      <c r="T1925" s="203">
        <f t="shared" si="1155"/>
        <v>43647</v>
      </c>
      <c r="U1925" s="204">
        <f t="shared" si="1156"/>
        <v>43677</v>
      </c>
      <c r="V1925" s="207">
        <f t="shared" ref="V1925:V1930" si="1190">IF(G1925-F1925+1-IF(G1925-U1925&gt;0,G1925-U1925,0)-IF(T1925-F1925&gt;0,T1925-F1925,0)&gt;0,G1925-F1925+1-IF(G1925-U1925&gt;0,G1925-U1925,0)-IF(T1925-F1925&gt;0,T1925-F1925,0),0)</f>
        <v>0</v>
      </c>
      <c r="W1925" s="206" t="str">
        <f t="shared" si="1187"/>
        <v/>
      </c>
      <c r="X1925" s="206">
        <f t="shared" si="1188"/>
        <v>0</v>
      </c>
      <c r="Y1925" s="209">
        <f t="shared" si="1189"/>
        <v>0</v>
      </c>
    </row>
    <row r="1926" spans="2:25" hidden="1" x14ac:dyDescent="0.25">
      <c r="B1926" s="60">
        <f>B1924</f>
        <v>39</v>
      </c>
      <c r="C1926" s="102">
        <v>269</v>
      </c>
      <c r="D1926" s="192" t="str">
        <f t="shared" si="1182"/>
        <v>VI</v>
      </c>
      <c r="E1926" s="162"/>
      <c r="F1926" s="163"/>
      <c r="G1926" s="163"/>
      <c r="H1926" s="164"/>
      <c r="I1926" s="164"/>
      <c r="J1926" s="162"/>
      <c r="K1926" s="165"/>
      <c r="L1926" s="164"/>
      <c r="M1926" s="164"/>
      <c r="N1926" s="166"/>
      <c r="O1926" s="167"/>
      <c r="P1926" s="168"/>
      <c r="Q1926" s="169"/>
      <c r="R1926" s="170"/>
      <c r="S1926" s="171"/>
      <c r="T1926" s="203">
        <f t="shared" si="1155"/>
        <v>43647</v>
      </c>
      <c r="U1926" s="204">
        <f t="shared" si="1156"/>
        <v>43677</v>
      </c>
      <c r="V1926" s="207">
        <f t="shared" si="1190"/>
        <v>0</v>
      </c>
      <c r="W1926" s="206" t="str">
        <f t="shared" si="1187"/>
        <v/>
      </c>
      <c r="X1926" s="206">
        <f t="shared" si="1188"/>
        <v>0</v>
      </c>
      <c r="Y1926" s="209">
        <f t="shared" si="1189"/>
        <v>0</v>
      </c>
    </row>
    <row r="1927" spans="2:25" hidden="1" x14ac:dyDescent="0.25">
      <c r="B1927" s="60">
        <f>B1924</f>
        <v>39</v>
      </c>
      <c r="C1927" s="102">
        <v>270</v>
      </c>
      <c r="D1927" s="192" t="str">
        <f t="shared" si="1182"/>
        <v>VI</v>
      </c>
      <c r="E1927" s="162"/>
      <c r="F1927" s="163"/>
      <c r="G1927" s="163"/>
      <c r="H1927" s="164"/>
      <c r="I1927" s="164"/>
      <c r="J1927" s="162"/>
      <c r="K1927" s="165"/>
      <c r="L1927" s="164"/>
      <c r="M1927" s="164"/>
      <c r="N1927" s="166"/>
      <c r="O1927" s="167"/>
      <c r="P1927" s="168"/>
      <c r="Q1927" s="169"/>
      <c r="R1927" s="170"/>
      <c r="S1927" s="171"/>
      <c r="T1927" s="203">
        <f t="shared" si="1155"/>
        <v>43647</v>
      </c>
      <c r="U1927" s="204">
        <f t="shared" si="1156"/>
        <v>43677</v>
      </c>
      <c r="V1927" s="207">
        <f t="shared" si="1190"/>
        <v>0</v>
      </c>
      <c r="W1927" s="206" t="str">
        <f t="shared" si="1187"/>
        <v/>
      </c>
      <c r="X1927" s="206">
        <f t="shared" si="1188"/>
        <v>0</v>
      </c>
      <c r="Y1927" s="209">
        <f t="shared" si="1189"/>
        <v>0</v>
      </c>
    </row>
    <row r="1928" spans="2:25" hidden="1" x14ac:dyDescent="0.25">
      <c r="B1928" s="60">
        <f>B1924</f>
        <v>39</v>
      </c>
      <c r="C1928" s="102">
        <v>271</v>
      </c>
      <c r="D1928" s="192" t="str">
        <f t="shared" si="1182"/>
        <v>VI</v>
      </c>
      <c r="E1928" s="162"/>
      <c r="F1928" s="163"/>
      <c r="G1928" s="163"/>
      <c r="H1928" s="164"/>
      <c r="I1928" s="164"/>
      <c r="J1928" s="162"/>
      <c r="K1928" s="165"/>
      <c r="L1928" s="164"/>
      <c r="M1928" s="164"/>
      <c r="N1928" s="166"/>
      <c r="O1928" s="167"/>
      <c r="P1928" s="168"/>
      <c r="Q1928" s="169"/>
      <c r="R1928" s="170"/>
      <c r="S1928" s="171"/>
      <c r="T1928" s="203">
        <f t="shared" si="1155"/>
        <v>43647</v>
      </c>
      <c r="U1928" s="204">
        <f t="shared" si="1156"/>
        <v>43677</v>
      </c>
      <c r="V1928" s="207">
        <f t="shared" si="1190"/>
        <v>0</v>
      </c>
      <c r="W1928" s="206" t="str">
        <f t="shared" si="1187"/>
        <v/>
      </c>
      <c r="X1928" s="206">
        <f t="shared" si="1188"/>
        <v>0</v>
      </c>
      <c r="Y1928" s="209">
        <f t="shared" si="1189"/>
        <v>0</v>
      </c>
    </row>
    <row r="1929" spans="2:25" hidden="1" x14ac:dyDescent="0.25">
      <c r="B1929" s="60">
        <f>B1924</f>
        <v>39</v>
      </c>
      <c r="C1929" s="102">
        <v>272</v>
      </c>
      <c r="D1929" s="192" t="str">
        <f t="shared" si="1182"/>
        <v>VI</v>
      </c>
      <c r="E1929" s="172"/>
      <c r="F1929" s="173"/>
      <c r="G1929" s="173"/>
      <c r="H1929" s="174"/>
      <c r="I1929" s="174"/>
      <c r="J1929" s="172"/>
      <c r="K1929" s="175"/>
      <c r="L1929" s="174"/>
      <c r="M1929" s="174"/>
      <c r="N1929" s="176"/>
      <c r="O1929" s="177"/>
      <c r="P1929" s="178"/>
      <c r="Q1929" s="179"/>
      <c r="R1929" s="180"/>
      <c r="S1929" s="181"/>
      <c r="T1929" s="203">
        <f t="shared" si="1155"/>
        <v>43647</v>
      </c>
      <c r="U1929" s="204">
        <f t="shared" si="1156"/>
        <v>43677</v>
      </c>
      <c r="V1929" s="207">
        <f t="shared" si="1190"/>
        <v>0</v>
      </c>
      <c r="W1929" s="206" t="str">
        <f t="shared" si="1187"/>
        <v/>
      </c>
      <c r="X1929" s="206">
        <f t="shared" si="1188"/>
        <v>0</v>
      </c>
      <c r="Y1929" s="209">
        <f t="shared" si="1189"/>
        <v>0</v>
      </c>
    </row>
    <row r="1930" spans="2:25" ht="15.75" thickBot="1" x14ac:dyDescent="0.3">
      <c r="B1930" s="141">
        <f>B1924</f>
        <v>39</v>
      </c>
      <c r="C1930" s="142">
        <v>273</v>
      </c>
      <c r="D1930" s="194" t="str">
        <f t="shared" si="1182"/>
        <v>VI</v>
      </c>
      <c r="E1930" s="189"/>
      <c r="F1930" s="190"/>
      <c r="G1930" s="190"/>
      <c r="H1930" s="182"/>
      <c r="I1930" s="182"/>
      <c r="J1930" s="436" t="s">
        <v>181</v>
      </c>
      <c r="K1930" s="437"/>
      <c r="L1930" s="438"/>
      <c r="M1930" s="182"/>
      <c r="N1930" s="183">
        <v>10</v>
      </c>
      <c r="O1930" s="184">
        <v>10</v>
      </c>
      <c r="P1930" s="185"/>
      <c r="Q1930" s="186">
        <v>10</v>
      </c>
      <c r="R1930" s="187" t="s">
        <v>4</v>
      </c>
      <c r="S1930" s="188">
        <v>43620</v>
      </c>
      <c r="T1930" s="213">
        <f t="shared" si="1155"/>
        <v>43647</v>
      </c>
      <c r="U1930" s="214">
        <f t="shared" si="1156"/>
        <v>43677</v>
      </c>
      <c r="V1930" s="210">
        <f t="shared" si="1190"/>
        <v>0</v>
      </c>
      <c r="W1930" s="211"/>
      <c r="X1930" s="211">
        <f>IF(AND($V1930&gt;0,$I1930=1),IF($E1930=10,P1930/10,P1930/$V1930),0)</f>
        <v>0</v>
      </c>
      <c r="Y1930" s="212">
        <f>IF(AND($V1924&gt;0,$I1930&lt;&gt;1),Q1930/E1924*V1924,0)</f>
        <v>0</v>
      </c>
    </row>
    <row r="1931" spans="2:25" ht="45.75" thickTop="1" x14ac:dyDescent="0.25">
      <c r="B1931" s="129">
        <f>B1929+1</f>
        <v>40</v>
      </c>
      <c r="C1931" s="130">
        <v>274</v>
      </c>
      <c r="D1931" s="196" t="str">
        <f t="shared" si="1182"/>
        <v>VI</v>
      </c>
      <c r="E1931" s="131">
        <v>10</v>
      </c>
      <c r="F1931" s="132">
        <v>43686</v>
      </c>
      <c r="G1931" s="132">
        <v>43695</v>
      </c>
      <c r="H1931" s="133" t="s">
        <v>366</v>
      </c>
      <c r="I1931" s="133">
        <v>2</v>
      </c>
      <c r="J1931" s="131" t="s">
        <v>167</v>
      </c>
      <c r="K1931" s="134" t="s">
        <v>16</v>
      </c>
      <c r="L1931" s="133">
        <v>1</v>
      </c>
      <c r="M1931" s="133">
        <v>7</v>
      </c>
      <c r="N1931" s="135">
        <v>53</v>
      </c>
      <c r="O1931" s="136">
        <v>53</v>
      </c>
      <c r="P1931" s="137"/>
      <c r="Q1931" s="138">
        <v>53</v>
      </c>
      <c r="R1931" s="139" t="s">
        <v>4</v>
      </c>
      <c r="S1931" s="140">
        <v>43630</v>
      </c>
      <c r="T1931" s="203">
        <f t="shared" si="1155"/>
        <v>43647</v>
      </c>
      <c r="U1931" s="204">
        <f t="shared" si="1156"/>
        <v>43677</v>
      </c>
      <c r="V1931" s="207">
        <f>IF(G1931-F1931+1-IF(G1931-U1931&gt;0,G1931-U1931,0)-IF(T1931-F1931&gt;0,T1931-F1931,0)&gt;0,G1931-F1931+1-IF(G1931-U1931&gt;0,G1931-U1931,0)-IF(T1931-F1931&gt;0,T1931-F1931,0),0)</f>
        <v>0</v>
      </c>
      <c r="W1931" s="206" t="str">
        <f t="shared" ref="W1931:W1936" si="1191">IF(V1931&gt;0,H1931,"")</f>
        <v/>
      </c>
      <c r="X1931" s="206">
        <f t="shared" ref="X1931:X1936" si="1192">IF(AND($V1931&gt;0,$I1931=1),P1931/$E1931*$V1931,0)</f>
        <v>0</v>
      </c>
      <c r="Y1931" s="209">
        <f t="shared" ref="Y1931:Y1936" si="1193">IF(AND($V1931&gt;0,$I1931&lt;&gt;1),Q1931/$E1931*$V1931,0)</f>
        <v>0</v>
      </c>
    </row>
    <row r="1932" spans="2:25" ht="45" x14ac:dyDescent="0.25">
      <c r="B1932" s="60">
        <f>B1931</f>
        <v>40</v>
      </c>
      <c r="C1932" s="102">
        <v>275</v>
      </c>
      <c r="D1932" s="192" t="str">
        <f t="shared" si="1182"/>
        <v>VI</v>
      </c>
      <c r="E1932" s="62">
        <v>10</v>
      </c>
      <c r="F1932" s="105">
        <v>43686</v>
      </c>
      <c r="G1932" s="105">
        <v>43695</v>
      </c>
      <c r="H1932" s="61" t="s">
        <v>367</v>
      </c>
      <c r="I1932" s="61">
        <v>2</v>
      </c>
      <c r="J1932" s="62" t="s">
        <v>167</v>
      </c>
      <c r="K1932" s="63" t="s">
        <v>16</v>
      </c>
      <c r="L1932" s="61">
        <v>1</v>
      </c>
      <c r="M1932" s="61">
        <v>7</v>
      </c>
      <c r="N1932" s="111">
        <v>53</v>
      </c>
      <c r="O1932" s="112">
        <v>53</v>
      </c>
      <c r="P1932" s="113"/>
      <c r="Q1932" s="114">
        <v>53</v>
      </c>
      <c r="R1932" s="64" t="s">
        <v>4</v>
      </c>
      <c r="S1932" s="108">
        <v>43630</v>
      </c>
      <c r="T1932" s="203">
        <f t="shared" si="1155"/>
        <v>43647</v>
      </c>
      <c r="U1932" s="204">
        <f t="shared" si="1156"/>
        <v>43677</v>
      </c>
      <c r="V1932" s="207">
        <f t="shared" ref="V1932:V1937" si="1194">IF(G1932-F1932+1-IF(G1932-U1932&gt;0,G1932-U1932,0)-IF(T1932-F1932&gt;0,T1932-F1932,0)&gt;0,G1932-F1932+1-IF(G1932-U1932&gt;0,G1932-U1932,0)-IF(T1932-F1932&gt;0,T1932-F1932,0),0)</f>
        <v>0</v>
      </c>
      <c r="W1932" s="206" t="str">
        <f t="shared" si="1191"/>
        <v/>
      </c>
      <c r="X1932" s="206">
        <f t="shared" si="1192"/>
        <v>0</v>
      </c>
      <c r="Y1932" s="209">
        <f t="shared" si="1193"/>
        <v>0</v>
      </c>
    </row>
    <row r="1933" spans="2:25" hidden="1" x14ac:dyDescent="0.25">
      <c r="B1933" s="60">
        <f>B1931</f>
        <v>40</v>
      </c>
      <c r="C1933" s="102">
        <v>276</v>
      </c>
      <c r="D1933" s="192" t="str">
        <f t="shared" si="1182"/>
        <v>VI</v>
      </c>
      <c r="E1933" s="62"/>
      <c r="F1933" s="105"/>
      <c r="G1933" s="105"/>
      <c r="H1933" s="61"/>
      <c r="I1933" s="61"/>
      <c r="J1933" s="62"/>
      <c r="K1933" s="63"/>
      <c r="L1933" s="61"/>
      <c r="M1933" s="61"/>
      <c r="N1933" s="111"/>
      <c r="O1933" s="112"/>
      <c r="P1933" s="113"/>
      <c r="Q1933" s="114"/>
      <c r="R1933" s="64"/>
      <c r="S1933" s="108"/>
      <c r="T1933" s="203">
        <f t="shared" ref="T1933:T1996" si="1195">$F$4</f>
        <v>43647</v>
      </c>
      <c r="U1933" s="204">
        <f t="shared" ref="U1933:U1996" si="1196">$G$4</f>
        <v>43677</v>
      </c>
      <c r="V1933" s="207">
        <f t="shared" si="1194"/>
        <v>0</v>
      </c>
      <c r="W1933" s="206" t="str">
        <f t="shared" si="1191"/>
        <v/>
      </c>
      <c r="X1933" s="206">
        <f t="shared" si="1192"/>
        <v>0</v>
      </c>
      <c r="Y1933" s="209">
        <f t="shared" si="1193"/>
        <v>0</v>
      </c>
    </row>
    <row r="1934" spans="2:25" hidden="1" x14ac:dyDescent="0.25">
      <c r="B1934" s="60">
        <f>B1931</f>
        <v>40</v>
      </c>
      <c r="C1934" s="102">
        <v>277</v>
      </c>
      <c r="D1934" s="192" t="str">
        <f t="shared" si="1182"/>
        <v>VI</v>
      </c>
      <c r="E1934" s="62"/>
      <c r="F1934" s="105"/>
      <c r="G1934" s="105"/>
      <c r="H1934" s="61"/>
      <c r="I1934" s="61"/>
      <c r="J1934" s="62"/>
      <c r="K1934" s="63"/>
      <c r="L1934" s="61"/>
      <c r="M1934" s="61"/>
      <c r="N1934" s="111"/>
      <c r="O1934" s="112"/>
      <c r="P1934" s="113"/>
      <c r="Q1934" s="114"/>
      <c r="R1934" s="64"/>
      <c r="S1934" s="108"/>
      <c r="T1934" s="203">
        <f t="shared" si="1195"/>
        <v>43647</v>
      </c>
      <c r="U1934" s="204">
        <f t="shared" si="1196"/>
        <v>43677</v>
      </c>
      <c r="V1934" s="207">
        <f t="shared" si="1194"/>
        <v>0</v>
      </c>
      <c r="W1934" s="206" t="str">
        <f t="shared" si="1191"/>
        <v/>
      </c>
      <c r="X1934" s="206">
        <f t="shared" si="1192"/>
        <v>0</v>
      </c>
      <c r="Y1934" s="209">
        <f t="shared" si="1193"/>
        <v>0</v>
      </c>
    </row>
    <row r="1935" spans="2:25" hidden="1" x14ac:dyDescent="0.25">
      <c r="B1935" s="60">
        <f>B1931</f>
        <v>40</v>
      </c>
      <c r="C1935" s="102">
        <v>278</v>
      </c>
      <c r="D1935" s="192" t="str">
        <f t="shared" si="1182"/>
        <v>VI</v>
      </c>
      <c r="E1935" s="62"/>
      <c r="F1935" s="105"/>
      <c r="G1935" s="105"/>
      <c r="H1935" s="61"/>
      <c r="I1935" s="61"/>
      <c r="J1935" s="62"/>
      <c r="K1935" s="63"/>
      <c r="L1935" s="61"/>
      <c r="M1935" s="61"/>
      <c r="N1935" s="111"/>
      <c r="O1935" s="112"/>
      <c r="P1935" s="113"/>
      <c r="Q1935" s="114"/>
      <c r="R1935" s="64"/>
      <c r="S1935" s="108"/>
      <c r="T1935" s="203">
        <f t="shared" si="1195"/>
        <v>43647</v>
      </c>
      <c r="U1935" s="204">
        <f t="shared" si="1196"/>
        <v>43677</v>
      </c>
      <c r="V1935" s="207">
        <f t="shared" si="1194"/>
        <v>0</v>
      </c>
      <c r="W1935" s="206" t="str">
        <f t="shared" si="1191"/>
        <v/>
      </c>
      <c r="X1935" s="206">
        <f t="shared" si="1192"/>
        <v>0</v>
      </c>
      <c r="Y1935" s="209">
        <f t="shared" si="1193"/>
        <v>0</v>
      </c>
    </row>
    <row r="1936" spans="2:25" hidden="1" x14ac:dyDescent="0.25">
      <c r="B1936" s="60">
        <f>B1931</f>
        <v>40</v>
      </c>
      <c r="C1936" s="102">
        <v>279</v>
      </c>
      <c r="D1936" s="192" t="str">
        <f t="shared" si="1182"/>
        <v>VI</v>
      </c>
      <c r="E1936" s="62"/>
      <c r="F1936" s="105"/>
      <c r="G1936" s="105"/>
      <c r="H1936" s="61"/>
      <c r="I1936" s="61"/>
      <c r="J1936" s="62"/>
      <c r="K1936" s="63"/>
      <c r="L1936" s="61"/>
      <c r="M1936" s="61"/>
      <c r="N1936" s="111"/>
      <c r="O1936" s="112"/>
      <c r="P1936" s="113"/>
      <c r="Q1936" s="114"/>
      <c r="R1936" s="64"/>
      <c r="S1936" s="108"/>
      <c r="T1936" s="203">
        <f t="shared" si="1195"/>
        <v>43647</v>
      </c>
      <c r="U1936" s="204">
        <f t="shared" si="1196"/>
        <v>43677</v>
      </c>
      <c r="V1936" s="207">
        <f t="shared" si="1194"/>
        <v>0</v>
      </c>
      <c r="W1936" s="206" t="str">
        <f t="shared" si="1191"/>
        <v/>
      </c>
      <c r="X1936" s="206">
        <f t="shared" si="1192"/>
        <v>0</v>
      </c>
      <c r="Y1936" s="209">
        <f t="shared" si="1193"/>
        <v>0</v>
      </c>
    </row>
    <row r="1937" spans="2:25" ht="15.75" thickBot="1" x14ac:dyDescent="0.3">
      <c r="B1937" s="141">
        <f>B1931</f>
        <v>40</v>
      </c>
      <c r="C1937" s="142">
        <v>280</v>
      </c>
      <c r="D1937" s="194" t="str">
        <f t="shared" si="1182"/>
        <v>VI</v>
      </c>
      <c r="E1937" s="143"/>
      <c r="F1937" s="144"/>
      <c r="G1937" s="144"/>
      <c r="H1937" s="145"/>
      <c r="I1937" s="145"/>
      <c r="J1937" s="436" t="s">
        <v>181</v>
      </c>
      <c r="K1937" s="437"/>
      <c r="L1937" s="438"/>
      <c r="M1937" s="145"/>
      <c r="N1937" s="146">
        <v>10</v>
      </c>
      <c r="O1937" s="147">
        <v>10</v>
      </c>
      <c r="P1937" s="148"/>
      <c r="Q1937" s="149">
        <v>10</v>
      </c>
      <c r="R1937" s="150" t="s">
        <v>4</v>
      </c>
      <c r="S1937" s="151">
        <v>43630</v>
      </c>
      <c r="T1937" s="213">
        <f t="shared" si="1195"/>
        <v>43647</v>
      </c>
      <c r="U1937" s="214">
        <f t="shared" si="1196"/>
        <v>43677</v>
      </c>
      <c r="V1937" s="210">
        <f t="shared" si="1194"/>
        <v>0</v>
      </c>
      <c r="W1937" s="211"/>
      <c r="X1937" s="211">
        <f>IF(AND($V1937&gt;0,$I1937=1),IF($E1937=10,P1937/10,P1937/$V1937),0)</f>
        <v>0</v>
      </c>
      <c r="Y1937" s="212">
        <f>IF(AND($V1931&gt;0,$I1937&lt;&gt;1),Q1937/E1931*V1931,0)</f>
        <v>0</v>
      </c>
    </row>
    <row r="1938" spans="2:25" ht="45.75" thickTop="1" x14ac:dyDescent="0.25">
      <c r="B1938" s="129">
        <f>B1936+1</f>
        <v>41</v>
      </c>
      <c r="C1938" s="130">
        <v>281</v>
      </c>
      <c r="D1938" s="196" t="str">
        <f t="shared" si="1182"/>
        <v>VI</v>
      </c>
      <c r="E1938" s="152">
        <v>10</v>
      </c>
      <c r="F1938" s="153">
        <v>43686</v>
      </c>
      <c r="G1938" s="153">
        <v>43695</v>
      </c>
      <c r="H1938" s="154" t="s">
        <v>368</v>
      </c>
      <c r="I1938" s="154">
        <v>2</v>
      </c>
      <c r="J1938" s="152" t="s">
        <v>167</v>
      </c>
      <c r="K1938" s="155" t="s">
        <v>16</v>
      </c>
      <c r="L1938" s="154">
        <v>1</v>
      </c>
      <c r="M1938" s="154">
        <v>8</v>
      </c>
      <c r="N1938" s="156">
        <v>90</v>
      </c>
      <c r="O1938" s="157">
        <v>90</v>
      </c>
      <c r="P1938" s="158"/>
      <c r="Q1938" s="159">
        <v>90</v>
      </c>
      <c r="R1938" s="160" t="s">
        <v>4</v>
      </c>
      <c r="S1938" s="161">
        <v>43620</v>
      </c>
      <c r="T1938" s="203">
        <f t="shared" si="1195"/>
        <v>43647</v>
      </c>
      <c r="U1938" s="204">
        <f t="shared" si="1196"/>
        <v>43677</v>
      </c>
      <c r="V1938" s="207">
        <f>IF(G1938-F1938+1-IF(G1938-U1938&gt;0,G1938-U1938,0)-IF(T1938-F1938&gt;0,T1938-F1938,0)&gt;0,G1938-F1938+1-IF(G1938-U1938&gt;0,G1938-U1938,0)-IF(T1938-F1938&gt;0,T1938-F1938,0),0)</f>
        <v>0</v>
      </c>
      <c r="W1938" s="206" t="str">
        <f t="shared" ref="W1938:W1943" si="1197">IF(V1938&gt;0,H1938,"")</f>
        <v/>
      </c>
      <c r="X1938" s="206">
        <f t="shared" ref="X1938:X1943" si="1198">IF(AND($V1938&gt;0,$I1938=1),P1938/$E1938*$V1938,0)</f>
        <v>0</v>
      </c>
      <c r="Y1938" s="209">
        <f t="shared" ref="Y1938:Y1943" si="1199">IF(AND($V1938&gt;0,$I1938&lt;&gt;1),Q1938/$E1938*$V1938,0)</f>
        <v>0</v>
      </c>
    </row>
    <row r="1939" spans="2:25" ht="45" x14ac:dyDescent="0.25">
      <c r="B1939" s="60">
        <f>B1938</f>
        <v>41</v>
      </c>
      <c r="C1939" s="102">
        <v>282</v>
      </c>
      <c r="D1939" s="192" t="str">
        <f t="shared" si="1182"/>
        <v>VI</v>
      </c>
      <c r="E1939" s="162">
        <v>10</v>
      </c>
      <c r="F1939" s="163">
        <v>43686</v>
      </c>
      <c r="G1939" s="163">
        <v>43695</v>
      </c>
      <c r="H1939" s="164" t="s">
        <v>369</v>
      </c>
      <c r="I1939" s="164">
        <v>2</v>
      </c>
      <c r="J1939" s="162" t="s">
        <v>167</v>
      </c>
      <c r="K1939" s="165" t="s">
        <v>16</v>
      </c>
      <c r="L1939" s="164">
        <v>1</v>
      </c>
      <c r="M1939" s="164">
        <v>8</v>
      </c>
      <c r="N1939" s="166">
        <v>90</v>
      </c>
      <c r="O1939" s="167">
        <v>90</v>
      </c>
      <c r="P1939" s="168"/>
      <c r="Q1939" s="169">
        <v>90</v>
      </c>
      <c r="R1939" s="170" t="s">
        <v>4</v>
      </c>
      <c r="S1939" s="171">
        <v>43620</v>
      </c>
      <c r="T1939" s="203">
        <f t="shared" si="1195"/>
        <v>43647</v>
      </c>
      <c r="U1939" s="204">
        <f t="shared" si="1196"/>
        <v>43677</v>
      </c>
      <c r="V1939" s="207">
        <f t="shared" ref="V1939:V1944" si="1200">IF(G1939-F1939+1-IF(G1939-U1939&gt;0,G1939-U1939,0)-IF(T1939-F1939&gt;0,T1939-F1939,0)&gt;0,G1939-F1939+1-IF(G1939-U1939&gt;0,G1939-U1939,0)-IF(T1939-F1939&gt;0,T1939-F1939,0),0)</f>
        <v>0</v>
      </c>
      <c r="W1939" s="206" t="str">
        <f t="shared" si="1197"/>
        <v/>
      </c>
      <c r="X1939" s="206">
        <f t="shared" si="1198"/>
        <v>0</v>
      </c>
      <c r="Y1939" s="209">
        <f t="shared" si="1199"/>
        <v>0</v>
      </c>
    </row>
    <row r="1940" spans="2:25" hidden="1" x14ac:dyDescent="0.25">
      <c r="B1940" s="60">
        <f>B1938</f>
        <v>41</v>
      </c>
      <c r="C1940" s="102">
        <v>283</v>
      </c>
      <c r="D1940" s="192" t="str">
        <f t="shared" si="1182"/>
        <v>VI</v>
      </c>
      <c r="E1940" s="162"/>
      <c r="F1940" s="163"/>
      <c r="G1940" s="163"/>
      <c r="H1940" s="164"/>
      <c r="I1940" s="164"/>
      <c r="J1940" s="162"/>
      <c r="K1940" s="165"/>
      <c r="L1940" s="164"/>
      <c r="M1940" s="164"/>
      <c r="N1940" s="166"/>
      <c r="O1940" s="167"/>
      <c r="P1940" s="168"/>
      <c r="Q1940" s="169"/>
      <c r="R1940" s="170"/>
      <c r="S1940" s="171"/>
      <c r="T1940" s="203">
        <f t="shared" si="1195"/>
        <v>43647</v>
      </c>
      <c r="U1940" s="204">
        <f t="shared" si="1196"/>
        <v>43677</v>
      </c>
      <c r="V1940" s="207">
        <f t="shared" si="1200"/>
        <v>0</v>
      </c>
      <c r="W1940" s="206" t="str">
        <f t="shared" si="1197"/>
        <v/>
      </c>
      <c r="X1940" s="206">
        <f t="shared" si="1198"/>
        <v>0</v>
      </c>
      <c r="Y1940" s="209">
        <f t="shared" si="1199"/>
        <v>0</v>
      </c>
    </row>
    <row r="1941" spans="2:25" hidden="1" x14ac:dyDescent="0.25">
      <c r="B1941" s="60">
        <f>B1938</f>
        <v>41</v>
      </c>
      <c r="C1941" s="102">
        <v>284</v>
      </c>
      <c r="D1941" s="192" t="str">
        <f t="shared" si="1182"/>
        <v>VI</v>
      </c>
      <c r="E1941" s="162"/>
      <c r="F1941" s="163"/>
      <c r="G1941" s="163"/>
      <c r="H1941" s="164"/>
      <c r="I1941" s="164"/>
      <c r="J1941" s="162"/>
      <c r="K1941" s="165"/>
      <c r="L1941" s="164"/>
      <c r="M1941" s="164"/>
      <c r="N1941" s="166"/>
      <c r="O1941" s="167"/>
      <c r="P1941" s="168"/>
      <c r="Q1941" s="169"/>
      <c r="R1941" s="170"/>
      <c r="S1941" s="171"/>
      <c r="T1941" s="203">
        <f t="shared" si="1195"/>
        <v>43647</v>
      </c>
      <c r="U1941" s="204">
        <f t="shared" si="1196"/>
        <v>43677</v>
      </c>
      <c r="V1941" s="207">
        <f t="shared" si="1200"/>
        <v>0</v>
      </c>
      <c r="W1941" s="206" t="str">
        <f t="shared" si="1197"/>
        <v/>
      </c>
      <c r="X1941" s="206">
        <f t="shared" si="1198"/>
        <v>0</v>
      </c>
      <c r="Y1941" s="209">
        <f t="shared" si="1199"/>
        <v>0</v>
      </c>
    </row>
    <row r="1942" spans="2:25" hidden="1" x14ac:dyDescent="0.25">
      <c r="B1942" s="60">
        <f>B1938</f>
        <v>41</v>
      </c>
      <c r="C1942" s="102">
        <v>285</v>
      </c>
      <c r="D1942" s="192" t="str">
        <f t="shared" si="1182"/>
        <v>VI</v>
      </c>
      <c r="E1942" s="162"/>
      <c r="F1942" s="163"/>
      <c r="G1942" s="163"/>
      <c r="H1942" s="164"/>
      <c r="I1942" s="164"/>
      <c r="J1942" s="162"/>
      <c r="K1942" s="165"/>
      <c r="L1942" s="164"/>
      <c r="M1942" s="164"/>
      <c r="N1942" s="166"/>
      <c r="O1942" s="167"/>
      <c r="P1942" s="168"/>
      <c r="Q1942" s="169"/>
      <c r="R1942" s="170"/>
      <c r="S1942" s="171"/>
      <c r="T1942" s="203">
        <f t="shared" si="1195"/>
        <v>43647</v>
      </c>
      <c r="U1942" s="204">
        <f t="shared" si="1196"/>
        <v>43677</v>
      </c>
      <c r="V1942" s="207">
        <f t="shared" si="1200"/>
        <v>0</v>
      </c>
      <c r="W1942" s="206" t="str">
        <f t="shared" si="1197"/>
        <v/>
      </c>
      <c r="X1942" s="206">
        <f t="shared" si="1198"/>
        <v>0</v>
      </c>
      <c r="Y1942" s="209">
        <f t="shared" si="1199"/>
        <v>0</v>
      </c>
    </row>
    <row r="1943" spans="2:25" hidden="1" x14ac:dyDescent="0.25">
      <c r="B1943" s="60">
        <f>B1938</f>
        <v>41</v>
      </c>
      <c r="C1943" s="102">
        <v>286</v>
      </c>
      <c r="D1943" s="192" t="str">
        <f t="shared" si="1182"/>
        <v>VI</v>
      </c>
      <c r="E1943" s="172"/>
      <c r="F1943" s="173"/>
      <c r="G1943" s="173"/>
      <c r="H1943" s="174"/>
      <c r="I1943" s="174"/>
      <c r="J1943" s="172"/>
      <c r="K1943" s="175"/>
      <c r="L1943" s="174"/>
      <c r="M1943" s="174"/>
      <c r="N1943" s="176"/>
      <c r="O1943" s="177"/>
      <c r="P1943" s="178"/>
      <c r="Q1943" s="179"/>
      <c r="R1943" s="180"/>
      <c r="S1943" s="181"/>
      <c r="T1943" s="203">
        <f t="shared" si="1195"/>
        <v>43647</v>
      </c>
      <c r="U1943" s="204">
        <f t="shared" si="1196"/>
        <v>43677</v>
      </c>
      <c r="V1943" s="207">
        <f t="shared" si="1200"/>
        <v>0</v>
      </c>
      <c r="W1943" s="206" t="str">
        <f t="shared" si="1197"/>
        <v/>
      </c>
      <c r="X1943" s="206">
        <f t="shared" si="1198"/>
        <v>0</v>
      </c>
      <c r="Y1943" s="209">
        <f t="shared" si="1199"/>
        <v>0</v>
      </c>
    </row>
    <row r="1944" spans="2:25" ht="15.75" thickBot="1" x14ac:dyDescent="0.3">
      <c r="B1944" s="141">
        <f>B1938</f>
        <v>41</v>
      </c>
      <c r="C1944" s="142">
        <v>287</v>
      </c>
      <c r="D1944" s="194" t="str">
        <f t="shared" si="1182"/>
        <v>VI</v>
      </c>
      <c r="E1944" s="189"/>
      <c r="F1944" s="190"/>
      <c r="G1944" s="190"/>
      <c r="H1944" s="182"/>
      <c r="I1944" s="182"/>
      <c r="J1944" s="436" t="s">
        <v>181</v>
      </c>
      <c r="K1944" s="437"/>
      <c r="L1944" s="438"/>
      <c r="M1944" s="182"/>
      <c r="N1944" s="183">
        <v>10</v>
      </c>
      <c r="O1944" s="184">
        <v>10</v>
      </c>
      <c r="P1944" s="185"/>
      <c r="Q1944" s="186">
        <v>10</v>
      </c>
      <c r="R1944" s="187" t="s">
        <v>4</v>
      </c>
      <c r="S1944" s="188">
        <v>43620</v>
      </c>
      <c r="T1944" s="213">
        <f t="shared" si="1195"/>
        <v>43647</v>
      </c>
      <c r="U1944" s="214">
        <f t="shared" si="1196"/>
        <v>43677</v>
      </c>
      <c r="V1944" s="210">
        <f t="shared" si="1200"/>
        <v>0</v>
      </c>
      <c r="W1944" s="211"/>
      <c r="X1944" s="211">
        <f>IF(AND($V1944&gt;0,$I1944=1),IF($E1944=10,P1944/10,P1944/$V1944),0)</f>
        <v>0</v>
      </c>
      <c r="Y1944" s="212">
        <f>IF(AND($V1938&gt;0,$I1944&lt;&gt;1),Q1944/E1938*V1938,0)</f>
        <v>0</v>
      </c>
    </row>
    <row r="1945" spans="2:25" ht="30.75" thickTop="1" x14ac:dyDescent="0.25">
      <c r="B1945" s="129">
        <f>B1943+1</f>
        <v>42</v>
      </c>
      <c r="C1945" s="130">
        <v>288</v>
      </c>
      <c r="D1945" s="196" t="str">
        <f t="shared" si="1182"/>
        <v>VI</v>
      </c>
      <c r="E1945" s="131">
        <v>10</v>
      </c>
      <c r="F1945" s="132">
        <v>43686</v>
      </c>
      <c r="G1945" s="132">
        <v>43695</v>
      </c>
      <c r="H1945" s="133" t="s">
        <v>370</v>
      </c>
      <c r="I1945" s="133">
        <v>1</v>
      </c>
      <c r="J1945" s="131" t="s">
        <v>168</v>
      </c>
      <c r="K1945" s="134" t="s">
        <v>61</v>
      </c>
      <c r="L1945" s="133">
        <v>1.5</v>
      </c>
      <c r="M1945" s="133">
        <v>8</v>
      </c>
      <c r="N1945" s="135">
        <v>112.5</v>
      </c>
      <c r="O1945" s="136">
        <v>112.5</v>
      </c>
      <c r="P1945" s="137">
        <v>112.5</v>
      </c>
      <c r="Q1945" s="138"/>
      <c r="R1945" s="139" t="s">
        <v>4</v>
      </c>
      <c r="S1945" s="140">
        <v>43620</v>
      </c>
      <c r="T1945" s="203">
        <f t="shared" si="1195"/>
        <v>43647</v>
      </c>
      <c r="U1945" s="204">
        <f t="shared" si="1196"/>
        <v>43677</v>
      </c>
      <c r="V1945" s="207">
        <f>IF(G1945-F1945+1-IF(G1945-U1945&gt;0,G1945-U1945,0)-IF(T1945-F1945&gt;0,T1945-F1945,0)&gt;0,G1945-F1945+1-IF(G1945-U1945&gt;0,G1945-U1945,0)-IF(T1945-F1945&gt;0,T1945-F1945,0),0)</f>
        <v>0</v>
      </c>
      <c r="W1945" s="206" t="str">
        <f t="shared" ref="W1945:W1950" si="1201">IF(V1945&gt;0,H1945,"")</f>
        <v/>
      </c>
      <c r="X1945" s="206">
        <f t="shared" ref="X1945:X1950" si="1202">IF(AND($V1945&gt;0,$I1945=1),P1945/$E1945*$V1945,0)</f>
        <v>0</v>
      </c>
      <c r="Y1945" s="209">
        <f t="shared" ref="Y1945:Y1950" si="1203">IF(AND($V1945&gt;0,$I1945&lt;&gt;1),Q1945/$E1945*$V1945,0)</f>
        <v>0</v>
      </c>
    </row>
    <row r="1946" spans="2:25" ht="45" x14ac:dyDescent="0.25">
      <c r="B1946" s="60">
        <f>B1945</f>
        <v>42</v>
      </c>
      <c r="C1946" s="102">
        <v>289</v>
      </c>
      <c r="D1946" s="192" t="str">
        <f t="shared" si="1182"/>
        <v>VI</v>
      </c>
      <c r="E1946" s="62">
        <v>10</v>
      </c>
      <c r="F1946" s="105">
        <v>43686</v>
      </c>
      <c r="G1946" s="105">
        <v>43695</v>
      </c>
      <c r="H1946" s="61" t="s">
        <v>371</v>
      </c>
      <c r="I1946" s="61">
        <v>2</v>
      </c>
      <c r="J1946" s="62" t="s">
        <v>167</v>
      </c>
      <c r="K1946" s="63" t="s">
        <v>61</v>
      </c>
      <c r="L1946" s="61">
        <v>1.5</v>
      </c>
      <c r="M1946" s="61">
        <v>8</v>
      </c>
      <c r="N1946" s="111">
        <v>135</v>
      </c>
      <c r="O1946" s="112">
        <v>135</v>
      </c>
      <c r="P1946" s="113"/>
      <c r="Q1946" s="114">
        <v>135</v>
      </c>
      <c r="R1946" s="64" t="s">
        <v>4</v>
      </c>
      <c r="S1946" s="108">
        <v>43620</v>
      </c>
      <c r="T1946" s="203">
        <f t="shared" si="1195"/>
        <v>43647</v>
      </c>
      <c r="U1946" s="204">
        <f t="shared" si="1196"/>
        <v>43677</v>
      </c>
      <c r="V1946" s="207">
        <f t="shared" ref="V1946:V1951" si="1204">IF(G1946-F1946+1-IF(G1946-U1946&gt;0,G1946-U1946,0)-IF(T1946-F1946&gt;0,T1946-F1946,0)&gt;0,G1946-F1946+1-IF(G1946-U1946&gt;0,G1946-U1946,0)-IF(T1946-F1946&gt;0,T1946-F1946,0),0)</f>
        <v>0</v>
      </c>
      <c r="W1946" s="206" t="str">
        <f t="shared" si="1201"/>
        <v/>
      </c>
      <c r="X1946" s="206">
        <f t="shared" si="1202"/>
        <v>0</v>
      </c>
      <c r="Y1946" s="209">
        <f t="shared" si="1203"/>
        <v>0</v>
      </c>
    </row>
    <row r="1947" spans="2:25" hidden="1" x14ac:dyDescent="0.25">
      <c r="B1947" s="60">
        <f>B1945</f>
        <v>42</v>
      </c>
      <c r="C1947" s="102">
        <v>290</v>
      </c>
      <c r="D1947" s="192" t="str">
        <f t="shared" si="1182"/>
        <v>VI</v>
      </c>
      <c r="E1947" s="62"/>
      <c r="F1947" s="105"/>
      <c r="G1947" s="105"/>
      <c r="H1947" s="61"/>
      <c r="I1947" s="61"/>
      <c r="J1947" s="62"/>
      <c r="K1947" s="63"/>
      <c r="L1947" s="61"/>
      <c r="M1947" s="61"/>
      <c r="N1947" s="111"/>
      <c r="O1947" s="112"/>
      <c r="P1947" s="113"/>
      <c r="Q1947" s="114"/>
      <c r="R1947" s="64"/>
      <c r="S1947" s="108"/>
      <c r="T1947" s="203">
        <f t="shared" si="1195"/>
        <v>43647</v>
      </c>
      <c r="U1947" s="204">
        <f t="shared" si="1196"/>
        <v>43677</v>
      </c>
      <c r="V1947" s="207">
        <f t="shared" si="1204"/>
        <v>0</v>
      </c>
      <c r="W1947" s="206" t="str">
        <f t="shared" si="1201"/>
        <v/>
      </c>
      <c r="X1947" s="206">
        <f t="shared" si="1202"/>
        <v>0</v>
      </c>
      <c r="Y1947" s="209">
        <f t="shared" si="1203"/>
        <v>0</v>
      </c>
    </row>
    <row r="1948" spans="2:25" hidden="1" x14ac:dyDescent="0.25">
      <c r="B1948" s="60">
        <f>B1945</f>
        <v>42</v>
      </c>
      <c r="C1948" s="102">
        <v>291</v>
      </c>
      <c r="D1948" s="192" t="str">
        <f t="shared" si="1182"/>
        <v>VI</v>
      </c>
      <c r="E1948" s="62"/>
      <c r="F1948" s="105"/>
      <c r="G1948" s="105"/>
      <c r="H1948" s="61"/>
      <c r="I1948" s="61"/>
      <c r="J1948" s="62"/>
      <c r="K1948" s="63"/>
      <c r="L1948" s="61"/>
      <c r="M1948" s="61"/>
      <c r="N1948" s="111"/>
      <c r="O1948" s="112"/>
      <c r="P1948" s="113"/>
      <c r="Q1948" s="114"/>
      <c r="R1948" s="64"/>
      <c r="S1948" s="108"/>
      <c r="T1948" s="203">
        <f t="shared" si="1195"/>
        <v>43647</v>
      </c>
      <c r="U1948" s="204">
        <f t="shared" si="1196"/>
        <v>43677</v>
      </c>
      <c r="V1948" s="207">
        <f t="shared" si="1204"/>
        <v>0</v>
      </c>
      <c r="W1948" s="206" t="str">
        <f t="shared" si="1201"/>
        <v/>
      </c>
      <c r="X1948" s="206">
        <f t="shared" si="1202"/>
        <v>0</v>
      </c>
      <c r="Y1948" s="209">
        <f t="shared" si="1203"/>
        <v>0</v>
      </c>
    </row>
    <row r="1949" spans="2:25" hidden="1" x14ac:dyDescent="0.25">
      <c r="B1949" s="60">
        <f>B1945</f>
        <v>42</v>
      </c>
      <c r="C1949" s="102">
        <v>292</v>
      </c>
      <c r="D1949" s="192" t="str">
        <f t="shared" si="1182"/>
        <v>VI</v>
      </c>
      <c r="E1949" s="62"/>
      <c r="F1949" s="105"/>
      <c r="G1949" s="105"/>
      <c r="H1949" s="61"/>
      <c r="I1949" s="61"/>
      <c r="J1949" s="62"/>
      <c r="K1949" s="63"/>
      <c r="L1949" s="61"/>
      <c r="M1949" s="61"/>
      <c r="N1949" s="111"/>
      <c r="O1949" s="112"/>
      <c r="P1949" s="113"/>
      <c r="Q1949" s="114"/>
      <c r="R1949" s="64"/>
      <c r="S1949" s="108"/>
      <c r="T1949" s="203">
        <f t="shared" si="1195"/>
        <v>43647</v>
      </c>
      <c r="U1949" s="204">
        <f t="shared" si="1196"/>
        <v>43677</v>
      </c>
      <c r="V1949" s="207">
        <f t="shared" si="1204"/>
        <v>0</v>
      </c>
      <c r="W1949" s="206" t="str">
        <f t="shared" si="1201"/>
        <v/>
      </c>
      <c r="X1949" s="206">
        <f t="shared" si="1202"/>
        <v>0</v>
      </c>
      <c r="Y1949" s="209">
        <f t="shared" si="1203"/>
        <v>0</v>
      </c>
    </row>
    <row r="1950" spans="2:25" hidden="1" x14ac:dyDescent="0.25">
      <c r="B1950" s="60">
        <f>B1945</f>
        <v>42</v>
      </c>
      <c r="C1950" s="102">
        <v>293</v>
      </c>
      <c r="D1950" s="192" t="str">
        <f t="shared" si="1182"/>
        <v>VI</v>
      </c>
      <c r="E1950" s="62"/>
      <c r="F1950" s="105"/>
      <c r="G1950" s="105"/>
      <c r="H1950" s="61"/>
      <c r="I1950" s="61"/>
      <c r="J1950" s="62"/>
      <c r="K1950" s="63"/>
      <c r="L1950" s="61"/>
      <c r="M1950" s="61"/>
      <c r="N1950" s="111"/>
      <c r="O1950" s="112"/>
      <c r="P1950" s="113"/>
      <c r="Q1950" s="114"/>
      <c r="R1950" s="64"/>
      <c r="S1950" s="108"/>
      <c r="T1950" s="203">
        <f t="shared" si="1195"/>
        <v>43647</v>
      </c>
      <c r="U1950" s="204">
        <f t="shared" si="1196"/>
        <v>43677</v>
      </c>
      <c r="V1950" s="207">
        <f t="shared" si="1204"/>
        <v>0</v>
      </c>
      <c r="W1950" s="206" t="str">
        <f t="shared" si="1201"/>
        <v/>
      </c>
      <c r="X1950" s="206">
        <f t="shared" si="1202"/>
        <v>0</v>
      </c>
      <c r="Y1950" s="209">
        <f t="shared" si="1203"/>
        <v>0</v>
      </c>
    </row>
    <row r="1951" spans="2:25" ht="15.75" thickBot="1" x14ac:dyDescent="0.3">
      <c r="B1951" s="141">
        <f>B1945</f>
        <v>42</v>
      </c>
      <c r="C1951" s="142">
        <v>294</v>
      </c>
      <c r="D1951" s="194" t="str">
        <f t="shared" si="1182"/>
        <v>VI</v>
      </c>
      <c r="E1951" s="143"/>
      <c r="F1951" s="144"/>
      <c r="G1951" s="144"/>
      <c r="H1951" s="145"/>
      <c r="I1951" s="145"/>
      <c r="J1951" s="436" t="s">
        <v>181</v>
      </c>
      <c r="K1951" s="437"/>
      <c r="L1951" s="438"/>
      <c r="M1951" s="145"/>
      <c r="N1951" s="146">
        <v>10</v>
      </c>
      <c r="O1951" s="147">
        <v>10</v>
      </c>
      <c r="P1951" s="148"/>
      <c r="Q1951" s="149">
        <v>10</v>
      </c>
      <c r="R1951" s="150" t="s">
        <v>4</v>
      </c>
      <c r="S1951" s="151">
        <v>43620</v>
      </c>
      <c r="T1951" s="213">
        <f t="shared" si="1195"/>
        <v>43647</v>
      </c>
      <c r="U1951" s="214">
        <f t="shared" si="1196"/>
        <v>43677</v>
      </c>
      <c r="V1951" s="210">
        <f t="shared" si="1204"/>
        <v>0</v>
      </c>
      <c r="W1951" s="211"/>
      <c r="X1951" s="211">
        <f>IF(AND($V1951&gt;0,$I1951=1),IF($E1951=10,P1951/10,P1951/$V1951),0)</f>
        <v>0</v>
      </c>
      <c r="Y1951" s="212">
        <f>IF(AND($V1945&gt;0,$I1951&lt;&gt;1),Q1951/E1945*V1945,0)</f>
        <v>0</v>
      </c>
    </row>
    <row r="1952" spans="2:25" ht="16.5" hidden="1" thickTop="1" thickBot="1" x14ac:dyDescent="0.3">
      <c r="B1952" s="129">
        <f>B1950+1</f>
        <v>43</v>
      </c>
      <c r="C1952" s="130">
        <v>295</v>
      </c>
      <c r="D1952" s="196" t="str">
        <f t="shared" si="1182"/>
        <v>VI</v>
      </c>
      <c r="E1952" s="152"/>
      <c r="F1952" s="153"/>
      <c r="G1952" s="153"/>
      <c r="H1952" s="154"/>
      <c r="I1952" s="154"/>
      <c r="J1952" s="152"/>
      <c r="K1952" s="155"/>
      <c r="L1952" s="154"/>
      <c r="M1952" s="154"/>
      <c r="N1952" s="156"/>
      <c r="O1952" s="157"/>
      <c r="P1952" s="158"/>
      <c r="Q1952" s="159"/>
      <c r="R1952" s="160"/>
      <c r="S1952" s="161"/>
      <c r="T1952" s="203">
        <f t="shared" si="1195"/>
        <v>43647</v>
      </c>
      <c r="U1952" s="204">
        <f t="shared" si="1196"/>
        <v>43677</v>
      </c>
      <c r="V1952" s="207">
        <f>IF(G1952-F1952+1-IF(G1952-U1952&gt;0,G1952-U1952,0)-IF(T1952-F1952&gt;0,T1952-F1952,0)&gt;0,G1952-F1952+1-IF(G1952-U1952&gt;0,G1952-U1952,0)-IF(T1952-F1952&gt;0,T1952-F1952,0),0)</f>
        <v>0</v>
      </c>
      <c r="W1952" s="206" t="str">
        <f t="shared" ref="W1952:W1957" si="1205">IF(V1952&gt;0,H1952,"")</f>
        <v/>
      </c>
      <c r="X1952" s="206">
        <f t="shared" ref="X1952:X1957" si="1206">IF(AND($V1952&gt;0,$I1952=1),P1952/$E1952*$V1952,0)</f>
        <v>0</v>
      </c>
      <c r="Y1952" s="209">
        <f t="shared" ref="Y1952:Y1957" si="1207">IF(AND($V1952&gt;0,$I1952&lt;&gt;1),Q1952/$E1952*$V1952,0)</f>
        <v>0</v>
      </c>
    </row>
    <row r="1953" spans="2:25" ht="16.5" hidden="1" thickTop="1" thickBot="1" x14ac:dyDescent="0.3">
      <c r="B1953" s="60">
        <f>B1952</f>
        <v>43</v>
      </c>
      <c r="C1953" s="102">
        <v>296</v>
      </c>
      <c r="D1953" s="192" t="str">
        <f t="shared" si="1182"/>
        <v>VI</v>
      </c>
      <c r="E1953" s="162"/>
      <c r="F1953" s="163"/>
      <c r="G1953" s="163"/>
      <c r="H1953" s="164"/>
      <c r="I1953" s="164"/>
      <c r="J1953" s="162"/>
      <c r="K1953" s="165"/>
      <c r="L1953" s="164"/>
      <c r="M1953" s="164"/>
      <c r="N1953" s="166"/>
      <c r="O1953" s="167"/>
      <c r="P1953" s="168"/>
      <c r="Q1953" s="169"/>
      <c r="R1953" s="170"/>
      <c r="S1953" s="171"/>
      <c r="T1953" s="203">
        <f t="shared" si="1195"/>
        <v>43647</v>
      </c>
      <c r="U1953" s="204">
        <f t="shared" si="1196"/>
        <v>43677</v>
      </c>
      <c r="V1953" s="207">
        <f t="shared" ref="V1953:V1958" si="1208">IF(G1953-F1953+1-IF(G1953-U1953&gt;0,G1953-U1953,0)-IF(T1953-F1953&gt;0,T1953-F1953,0)&gt;0,G1953-F1953+1-IF(G1953-U1953&gt;0,G1953-U1953,0)-IF(T1953-F1953&gt;0,T1953-F1953,0),0)</f>
        <v>0</v>
      </c>
      <c r="W1953" s="206" t="str">
        <f t="shared" si="1205"/>
        <v/>
      </c>
      <c r="X1953" s="206">
        <f t="shared" si="1206"/>
        <v>0</v>
      </c>
      <c r="Y1953" s="209">
        <f t="shared" si="1207"/>
        <v>0</v>
      </c>
    </row>
    <row r="1954" spans="2:25" ht="16.5" hidden="1" thickTop="1" thickBot="1" x14ac:dyDescent="0.3">
      <c r="B1954" s="60">
        <f>B1952</f>
        <v>43</v>
      </c>
      <c r="C1954" s="102">
        <v>297</v>
      </c>
      <c r="D1954" s="192" t="str">
        <f t="shared" si="1182"/>
        <v>VI</v>
      </c>
      <c r="E1954" s="162"/>
      <c r="F1954" s="163"/>
      <c r="G1954" s="163"/>
      <c r="H1954" s="164"/>
      <c r="I1954" s="164"/>
      <c r="J1954" s="162"/>
      <c r="K1954" s="165"/>
      <c r="L1954" s="164"/>
      <c r="M1954" s="164"/>
      <c r="N1954" s="166"/>
      <c r="O1954" s="167"/>
      <c r="P1954" s="168"/>
      <c r="Q1954" s="169"/>
      <c r="R1954" s="170"/>
      <c r="S1954" s="171"/>
      <c r="T1954" s="203">
        <f t="shared" si="1195"/>
        <v>43647</v>
      </c>
      <c r="U1954" s="204">
        <f t="shared" si="1196"/>
        <v>43677</v>
      </c>
      <c r="V1954" s="207">
        <f t="shared" si="1208"/>
        <v>0</v>
      </c>
      <c r="W1954" s="206" t="str">
        <f t="shared" si="1205"/>
        <v/>
      </c>
      <c r="X1954" s="206">
        <f t="shared" si="1206"/>
        <v>0</v>
      </c>
      <c r="Y1954" s="209">
        <f t="shared" si="1207"/>
        <v>0</v>
      </c>
    </row>
    <row r="1955" spans="2:25" ht="16.5" hidden="1" thickTop="1" thickBot="1" x14ac:dyDescent="0.3">
      <c r="B1955" s="60">
        <f>B1952</f>
        <v>43</v>
      </c>
      <c r="C1955" s="102">
        <v>298</v>
      </c>
      <c r="D1955" s="192" t="str">
        <f t="shared" si="1182"/>
        <v>VI</v>
      </c>
      <c r="E1955" s="162"/>
      <c r="F1955" s="163"/>
      <c r="G1955" s="163"/>
      <c r="H1955" s="164"/>
      <c r="I1955" s="164"/>
      <c r="J1955" s="162"/>
      <c r="K1955" s="165"/>
      <c r="L1955" s="164"/>
      <c r="M1955" s="164"/>
      <c r="N1955" s="166"/>
      <c r="O1955" s="167"/>
      <c r="P1955" s="168"/>
      <c r="Q1955" s="169"/>
      <c r="R1955" s="170"/>
      <c r="S1955" s="171"/>
      <c r="T1955" s="203">
        <f t="shared" si="1195"/>
        <v>43647</v>
      </c>
      <c r="U1955" s="204">
        <f t="shared" si="1196"/>
        <v>43677</v>
      </c>
      <c r="V1955" s="207">
        <f t="shared" si="1208"/>
        <v>0</v>
      </c>
      <c r="W1955" s="206" t="str">
        <f t="shared" si="1205"/>
        <v/>
      </c>
      <c r="X1955" s="206">
        <f t="shared" si="1206"/>
        <v>0</v>
      </c>
      <c r="Y1955" s="209">
        <f t="shared" si="1207"/>
        <v>0</v>
      </c>
    </row>
    <row r="1956" spans="2:25" ht="16.5" hidden="1" thickTop="1" thickBot="1" x14ac:dyDescent="0.3">
      <c r="B1956" s="60">
        <f>B1952</f>
        <v>43</v>
      </c>
      <c r="C1956" s="102">
        <v>299</v>
      </c>
      <c r="D1956" s="192" t="str">
        <f t="shared" si="1182"/>
        <v>VI</v>
      </c>
      <c r="E1956" s="162"/>
      <c r="F1956" s="163"/>
      <c r="G1956" s="163"/>
      <c r="H1956" s="164"/>
      <c r="I1956" s="164"/>
      <c r="J1956" s="162"/>
      <c r="K1956" s="165"/>
      <c r="L1956" s="164"/>
      <c r="M1956" s="164"/>
      <c r="N1956" s="166"/>
      <c r="O1956" s="167"/>
      <c r="P1956" s="168"/>
      <c r="Q1956" s="169"/>
      <c r="R1956" s="170"/>
      <c r="S1956" s="171"/>
      <c r="T1956" s="203">
        <f t="shared" si="1195"/>
        <v>43647</v>
      </c>
      <c r="U1956" s="204">
        <f t="shared" si="1196"/>
        <v>43677</v>
      </c>
      <c r="V1956" s="207">
        <f t="shared" si="1208"/>
        <v>0</v>
      </c>
      <c r="W1956" s="206" t="str">
        <f t="shared" si="1205"/>
        <v/>
      </c>
      <c r="X1956" s="206">
        <f t="shared" si="1206"/>
        <v>0</v>
      </c>
      <c r="Y1956" s="209">
        <f t="shared" si="1207"/>
        <v>0</v>
      </c>
    </row>
    <row r="1957" spans="2:25" ht="16.5" hidden="1" thickTop="1" thickBot="1" x14ac:dyDescent="0.3">
      <c r="B1957" s="60">
        <f>B1952</f>
        <v>43</v>
      </c>
      <c r="C1957" s="102">
        <v>300</v>
      </c>
      <c r="D1957" s="192" t="str">
        <f t="shared" si="1182"/>
        <v>VI</v>
      </c>
      <c r="E1957" s="172"/>
      <c r="F1957" s="173"/>
      <c r="G1957" s="173"/>
      <c r="H1957" s="174"/>
      <c r="I1957" s="174"/>
      <c r="J1957" s="172"/>
      <c r="K1957" s="175"/>
      <c r="L1957" s="174"/>
      <c r="M1957" s="174"/>
      <c r="N1957" s="176"/>
      <c r="O1957" s="177"/>
      <c r="P1957" s="178"/>
      <c r="Q1957" s="179"/>
      <c r="R1957" s="180"/>
      <c r="S1957" s="181"/>
      <c r="T1957" s="203">
        <f t="shared" si="1195"/>
        <v>43647</v>
      </c>
      <c r="U1957" s="204">
        <f t="shared" si="1196"/>
        <v>43677</v>
      </c>
      <c r="V1957" s="207">
        <f t="shared" si="1208"/>
        <v>0</v>
      </c>
      <c r="W1957" s="206" t="str">
        <f t="shared" si="1205"/>
        <v/>
      </c>
      <c r="X1957" s="206">
        <f t="shared" si="1206"/>
        <v>0</v>
      </c>
      <c r="Y1957" s="209">
        <f t="shared" si="1207"/>
        <v>0</v>
      </c>
    </row>
    <row r="1958" spans="2:25" ht="16.5" hidden="1" thickTop="1" thickBot="1" x14ac:dyDescent="0.3">
      <c r="B1958" s="141">
        <f>B1952</f>
        <v>43</v>
      </c>
      <c r="C1958" s="142">
        <v>301</v>
      </c>
      <c r="D1958" s="194" t="str">
        <f t="shared" si="1182"/>
        <v>VI</v>
      </c>
      <c r="E1958" s="189"/>
      <c r="F1958" s="190"/>
      <c r="G1958" s="190"/>
      <c r="H1958" s="182"/>
      <c r="I1958" s="182"/>
      <c r="J1958" s="436" t="s">
        <v>181</v>
      </c>
      <c r="K1958" s="437"/>
      <c r="L1958" s="438"/>
      <c r="M1958" s="182"/>
      <c r="N1958" s="183"/>
      <c r="O1958" s="184"/>
      <c r="P1958" s="185"/>
      <c r="Q1958" s="186"/>
      <c r="R1958" s="187"/>
      <c r="S1958" s="188"/>
      <c r="T1958" s="213">
        <f t="shared" si="1195"/>
        <v>43647</v>
      </c>
      <c r="U1958" s="214">
        <f t="shared" si="1196"/>
        <v>43677</v>
      </c>
      <c r="V1958" s="210">
        <f t="shared" si="1208"/>
        <v>0</v>
      </c>
      <c r="W1958" s="211"/>
      <c r="X1958" s="211">
        <f>IF(AND($V1958&gt;0,$I1958=1),IF($E1958=10,P1958/10,P1958/$V1958),0)</f>
        <v>0</v>
      </c>
      <c r="Y1958" s="212">
        <f>IF(AND($V1952&gt;0,$I1958&lt;&gt;1),Q1958/E1952*V1952,0)</f>
        <v>0</v>
      </c>
    </row>
    <row r="1959" spans="2:25" ht="16.5" hidden="1" thickTop="1" thickBot="1" x14ac:dyDescent="0.3">
      <c r="B1959" s="129">
        <f>B1957+1</f>
        <v>44</v>
      </c>
      <c r="C1959" s="130">
        <v>302</v>
      </c>
      <c r="D1959" s="196" t="str">
        <f t="shared" si="1182"/>
        <v>VI</v>
      </c>
      <c r="E1959" s="131"/>
      <c r="F1959" s="132"/>
      <c r="G1959" s="132"/>
      <c r="H1959" s="133"/>
      <c r="I1959" s="133"/>
      <c r="J1959" s="131"/>
      <c r="K1959" s="134"/>
      <c r="L1959" s="133"/>
      <c r="M1959" s="133"/>
      <c r="N1959" s="135"/>
      <c r="O1959" s="136"/>
      <c r="P1959" s="137"/>
      <c r="Q1959" s="138"/>
      <c r="R1959" s="139"/>
      <c r="S1959" s="140"/>
      <c r="T1959" s="203">
        <f t="shared" si="1195"/>
        <v>43647</v>
      </c>
      <c r="U1959" s="204">
        <f t="shared" si="1196"/>
        <v>43677</v>
      </c>
      <c r="V1959" s="207">
        <f>IF(G1959-F1959+1-IF(G1959-U1959&gt;0,G1959-U1959,0)-IF(T1959-F1959&gt;0,T1959-F1959,0)&gt;0,G1959-F1959+1-IF(G1959-U1959&gt;0,G1959-U1959,0)-IF(T1959-F1959&gt;0,T1959-F1959,0),0)</f>
        <v>0</v>
      </c>
      <c r="W1959" s="206" t="str">
        <f t="shared" ref="W1959:W1964" si="1209">IF(V1959&gt;0,H1959,"")</f>
        <v/>
      </c>
      <c r="X1959" s="206">
        <f t="shared" ref="X1959:X1964" si="1210">IF(AND($V1959&gt;0,$I1959=1),P1959/$E1959*$V1959,0)</f>
        <v>0</v>
      </c>
      <c r="Y1959" s="209">
        <f t="shared" ref="Y1959:Y1964" si="1211">IF(AND($V1959&gt;0,$I1959&lt;&gt;1),Q1959/$E1959*$V1959,0)</f>
        <v>0</v>
      </c>
    </row>
    <row r="1960" spans="2:25" ht="16.5" hidden="1" thickTop="1" thickBot="1" x14ac:dyDescent="0.3">
      <c r="B1960" s="60">
        <f>B1959</f>
        <v>44</v>
      </c>
      <c r="C1960" s="102">
        <v>303</v>
      </c>
      <c r="D1960" s="192" t="str">
        <f t="shared" si="1182"/>
        <v>VI</v>
      </c>
      <c r="E1960" s="62"/>
      <c r="F1960" s="105"/>
      <c r="G1960" s="105"/>
      <c r="H1960" s="61"/>
      <c r="I1960" s="61"/>
      <c r="J1960" s="62"/>
      <c r="K1960" s="63"/>
      <c r="L1960" s="61"/>
      <c r="M1960" s="61"/>
      <c r="N1960" s="111"/>
      <c r="O1960" s="112"/>
      <c r="P1960" s="113"/>
      <c r="Q1960" s="114"/>
      <c r="R1960" s="64"/>
      <c r="S1960" s="108"/>
      <c r="T1960" s="203">
        <f t="shared" si="1195"/>
        <v>43647</v>
      </c>
      <c r="U1960" s="204">
        <f t="shared" si="1196"/>
        <v>43677</v>
      </c>
      <c r="V1960" s="207">
        <f t="shared" ref="V1960:V1965" si="1212">IF(G1960-F1960+1-IF(G1960-U1960&gt;0,G1960-U1960,0)-IF(T1960-F1960&gt;0,T1960-F1960,0)&gt;0,G1960-F1960+1-IF(G1960-U1960&gt;0,G1960-U1960,0)-IF(T1960-F1960&gt;0,T1960-F1960,0),0)</f>
        <v>0</v>
      </c>
      <c r="W1960" s="206" t="str">
        <f t="shared" si="1209"/>
        <v/>
      </c>
      <c r="X1960" s="206">
        <f t="shared" si="1210"/>
        <v>0</v>
      </c>
      <c r="Y1960" s="209">
        <f t="shared" si="1211"/>
        <v>0</v>
      </c>
    </row>
    <row r="1961" spans="2:25" ht="16.5" hidden="1" thickTop="1" thickBot="1" x14ac:dyDescent="0.3">
      <c r="B1961" s="60">
        <f>B1959</f>
        <v>44</v>
      </c>
      <c r="C1961" s="102">
        <v>304</v>
      </c>
      <c r="D1961" s="192" t="str">
        <f t="shared" si="1182"/>
        <v>VI</v>
      </c>
      <c r="E1961" s="62"/>
      <c r="F1961" s="105"/>
      <c r="G1961" s="105"/>
      <c r="H1961" s="61"/>
      <c r="I1961" s="61"/>
      <c r="J1961" s="62"/>
      <c r="K1961" s="63"/>
      <c r="L1961" s="61"/>
      <c r="M1961" s="61"/>
      <c r="N1961" s="111"/>
      <c r="O1961" s="112"/>
      <c r="P1961" s="113"/>
      <c r="Q1961" s="114"/>
      <c r="R1961" s="64"/>
      <c r="S1961" s="108"/>
      <c r="T1961" s="203">
        <f t="shared" si="1195"/>
        <v>43647</v>
      </c>
      <c r="U1961" s="204">
        <f t="shared" si="1196"/>
        <v>43677</v>
      </c>
      <c r="V1961" s="207">
        <f t="shared" si="1212"/>
        <v>0</v>
      </c>
      <c r="W1961" s="206" t="str">
        <f t="shared" si="1209"/>
        <v/>
      </c>
      <c r="X1961" s="206">
        <f t="shared" si="1210"/>
        <v>0</v>
      </c>
      <c r="Y1961" s="209">
        <f t="shared" si="1211"/>
        <v>0</v>
      </c>
    </row>
    <row r="1962" spans="2:25" ht="16.5" hidden="1" thickTop="1" thickBot="1" x14ac:dyDescent="0.3">
      <c r="B1962" s="60">
        <f>B1959</f>
        <v>44</v>
      </c>
      <c r="C1962" s="102">
        <v>305</v>
      </c>
      <c r="D1962" s="192" t="str">
        <f t="shared" si="1182"/>
        <v>VI</v>
      </c>
      <c r="E1962" s="62"/>
      <c r="F1962" s="105"/>
      <c r="G1962" s="105"/>
      <c r="H1962" s="61"/>
      <c r="I1962" s="61"/>
      <c r="J1962" s="62"/>
      <c r="K1962" s="63"/>
      <c r="L1962" s="61"/>
      <c r="M1962" s="61"/>
      <c r="N1962" s="111"/>
      <c r="O1962" s="112"/>
      <c r="P1962" s="113"/>
      <c r="Q1962" s="114"/>
      <c r="R1962" s="64"/>
      <c r="S1962" s="108"/>
      <c r="T1962" s="203">
        <f t="shared" si="1195"/>
        <v>43647</v>
      </c>
      <c r="U1962" s="204">
        <f t="shared" si="1196"/>
        <v>43677</v>
      </c>
      <c r="V1962" s="207">
        <f t="shared" si="1212"/>
        <v>0</v>
      </c>
      <c r="W1962" s="206" t="str">
        <f t="shared" si="1209"/>
        <v/>
      </c>
      <c r="X1962" s="206">
        <f t="shared" si="1210"/>
        <v>0</v>
      </c>
      <c r="Y1962" s="209">
        <f t="shared" si="1211"/>
        <v>0</v>
      </c>
    </row>
    <row r="1963" spans="2:25" ht="16.5" hidden="1" thickTop="1" thickBot="1" x14ac:dyDescent="0.3">
      <c r="B1963" s="60">
        <f>B1959</f>
        <v>44</v>
      </c>
      <c r="C1963" s="102">
        <v>306</v>
      </c>
      <c r="D1963" s="192" t="str">
        <f t="shared" si="1182"/>
        <v>VI</v>
      </c>
      <c r="E1963" s="62"/>
      <c r="F1963" s="105"/>
      <c r="G1963" s="105"/>
      <c r="H1963" s="61"/>
      <c r="I1963" s="61"/>
      <c r="J1963" s="62"/>
      <c r="K1963" s="63"/>
      <c r="L1963" s="61"/>
      <c r="M1963" s="61"/>
      <c r="N1963" s="111"/>
      <c r="O1963" s="112"/>
      <c r="P1963" s="113"/>
      <c r="Q1963" s="114"/>
      <c r="R1963" s="64"/>
      <c r="S1963" s="108"/>
      <c r="T1963" s="203">
        <f t="shared" si="1195"/>
        <v>43647</v>
      </c>
      <c r="U1963" s="204">
        <f t="shared" si="1196"/>
        <v>43677</v>
      </c>
      <c r="V1963" s="207">
        <f t="shared" si="1212"/>
        <v>0</v>
      </c>
      <c r="W1963" s="206" t="str">
        <f t="shared" si="1209"/>
        <v/>
      </c>
      <c r="X1963" s="206">
        <f t="shared" si="1210"/>
        <v>0</v>
      </c>
      <c r="Y1963" s="209">
        <f t="shared" si="1211"/>
        <v>0</v>
      </c>
    </row>
    <row r="1964" spans="2:25" ht="16.5" hidden="1" thickTop="1" thickBot="1" x14ac:dyDescent="0.3">
      <c r="B1964" s="60">
        <f>B1959</f>
        <v>44</v>
      </c>
      <c r="C1964" s="102">
        <v>307</v>
      </c>
      <c r="D1964" s="192" t="str">
        <f t="shared" si="1182"/>
        <v>VI</v>
      </c>
      <c r="E1964" s="62"/>
      <c r="F1964" s="105"/>
      <c r="G1964" s="105"/>
      <c r="H1964" s="61"/>
      <c r="I1964" s="61"/>
      <c r="J1964" s="62"/>
      <c r="K1964" s="63"/>
      <c r="L1964" s="61"/>
      <c r="M1964" s="61"/>
      <c r="N1964" s="111"/>
      <c r="O1964" s="112"/>
      <c r="P1964" s="113"/>
      <c r="Q1964" s="114"/>
      <c r="R1964" s="64"/>
      <c r="S1964" s="108"/>
      <c r="T1964" s="203">
        <f t="shared" si="1195"/>
        <v>43647</v>
      </c>
      <c r="U1964" s="204">
        <f t="shared" si="1196"/>
        <v>43677</v>
      </c>
      <c r="V1964" s="207">
        <f t="shared" si="1212"/>
        <v>0</v>
      </c>
      <c r="W1964" s="206" t="str">
        <f t="shared" si="1209"/>
        <v/>
      </c>
      <c r="X1964" s="206">
        <f t="shared" si="1210"/>
        <v>0</v>
      </c>
      <c r="Y1964" s="209">
        <f t="shared" si="1211"/>
        <v>0</v>
      </c>
    </row>
    <row r="1965" spans="2:25" ht="16.5" hidden="1" thickTop="1" thickBot="1" x14ac:dyDescent="0.3">
      <c r="B1965" s="141">
        <f>B1959</f>
        <v>44</v>
      </c>
      <c r="C1965" s="142">
        <v>308</v>
      </c>
      <c r="D1965" s="194" t="str">
        <f t="shared" si="1182"/>
        <v>VI</v>
      </c>
      <c r="E1965" s="143"/>
      <c r="F1965" s="144"/>
      <c r="G1965" s="144"/>
      <c r="H1965" s="145"/>
      <c r="I1965" s="145"/>
      <c r="J1965" s="436" t="s">
        <v>181</v>
      </c>
      <c r="K1965" s="437"/>
      <c r="L1965" s="438"/>
      <c r="M1965" s="145"/>
      <c r="N1965" s="146"/>
      <c r="O1965" s="147"/>
      <c r="P1965" s="148"/>
      <c r="Q1965" s="149"/>
      <c r="R1965" s="150"/>
      <c r="S1965" s="151"/>
      <c r="T1965" s="213">
        <f t="shared" si="1195"/>
        <v>43647</v>
      </c>
      <c r="U1965" s="214">
        <f t="shared" si="1196"/>
        <v>43677</v>
      </c>
      <c r="V1965" s="210">
        <f t="shared" si="1212"/>
        <v>0</v>
      </c>
      <c r="W1965" s="211"/>
      <c r="X1965" s="211">
        <f>IF(AND($V1965&gt;0,$I1965=1),IF($E1965=10,P1965/10,P1965/$V1965),0)</f>
        <v>0</v>
      </c>
      <c r="Y1965" s="212">
        <f>IF(AND($V1959&gt;0,$I1965&lt;&gt;1),Q1965/E1959*V1959,0)</f>
        <v>0</v>
      </c>
    </row>
    <row r="1966" spans="2:25" ht="30.75" thickTop="1" x14ac:dyDescent="0.25">
      <c r="B1966" s="129">
        <f>B1964+1</f>
        <v>45</v>
      </c>
      <c r="C1966" s="130">
        <v>309</v>
      </c>
      <c r="D1966" s="196" t="str">
        <f t="shared" si="1182"/>
        <v>VI</v>
      </c>
      <c r="E1966" s="152">
        <v>10</v>
      </c>
      <c r="F1966" s="153">
        <v>43686</v>
      </c>
      <c r="G1966" s="153">
        <v>43695</v>
      </c>
      <c r="H1966" s="154" t="s">
        <v>280</v>
      </c>
      <c r="I1966" s="154">
        <v>1</v>
      </c>
      <c r="J1966" s="152" t="s">
        <v>168</v>
      </c>
      <c r="K1966" s="155" t="s">
        <v>16</v>
      </c>
      <c r="L1966" s="154">
        <v>1</v>
      </c>
      <c r="M1966" s="154">
        <v>8</v>
      </c>
      <c r="N1966" s="156">
        <v>75</v>
      </c>
      <c r="O1966" s="157">
        <v>75</v>
      </c>
      <c r="P1966" s="158">
        <v>75</v>
      </c>
      <c r="Q1966" s="159"/>
      <c r="R1966" s="160" t="s">
        <v>4</v>
      </c>
      <c r="S1966" s="161">
        <v>43675</v>
      </c>
      <c r="T1966" s="203">
        <f t="shared" si="1195"/>
        <v>43647</v>
      </c>
      <c r="U1966" s="204">
        <f t="shared" si="1196"/>
        <v>43677</v>
      </c>
      <c r="V1966" s="207">
        <f>IF(G1966-F1966+1-IF(G1966-U1966&gt;0,G1966-U1966,0)-IF(T1966-F1966&gt;0,T1966-F1966,0)&gt;0,G1966-F1966+1-IF(G1966-U1966&gt;0,G1966-U1966,0)-IF(T1966-F1966&gt;0,T1966-F1966,0),0)</f>
        <v>0</v>
      </c>
      <c r="W1966" s="206" t="str">
        <f t="shared" ref="W1966:W1971" si="1213">IF(V1966&gt;0,H1966,"")</f>
        <v/>
      </c>
      <c r="X1966" s="206">
        <f t="shared" ref="X1966:X1971" si="1214">IF(AND($V1966&gt;0,$I1966=1),P1966/$E1966*$V1966,0)</f>
        <v>0</v>
      </c>
      <c r="Y1966" s="209">
        <f t="shared" ref="Y1966:Y1971" si="1215">IF(AND($V1966&gt;0,$I1966&lt;&gt;1),Q1966/$E1966*$V1966,0)</f>
        <v>0</v>
      </c>
    </row>
    <row r="1967" spans="2:25" hidden="1" x14ac:dyDescent="0.25">
      <c r="B1967" s="60">
        <f>B1966</f>
        <v>45</v>
      </c>
      <c r="C1967" s="102">
        <v>310</v>
      </c>
      <c r="D1967" s="192" t="str">
        <f t="shared" si="1182"/>
        <v>VI</v>
      </c>
      <c r="E1967" s="162"/>
      <c r="F1967" s="163"/>
      <c r="G1967" s="163"/>
      <c r="H1967" s="164"/>
      <c r="I1967" s="164"/>
      <c r="J1967" s="162"/>
      <c r="K1967" s="165"/>
      <c r="L1967" s="164"/>
      <c r="M1967" s="164"/>
      <c r="N1967" s="166"/>
      <c r="O1967" s="167"/>
      <c r="P1967" s="168"/>
      <c r="Q1967" s="169"/>
      <c r="R1967" s="170"/>
      <c r="S1967" s="171"/>
      <c r="T1967" s="203">
        <f t="shared" si="1195"/>
        <v>43647</v>
      </c>
      <c r="U1967" s="204">
        <f t="shared" si="1196"/>
        <v>43677</v>
      </c>
      <c r="V1967" s="207">
        <f t="shared" ref="V1967:V1972" si="1216">IF(G1967-F1967+1-IF(G1967-U1967&gt;0,G1967-U1967,0)-IF(T1967-F1967&gt;0,T1967-F1967,0)&gt;0,G1967-F1967+1-IF(G1967-U1967&gt;0,G1967-U1967,0)-IF(T1967-F1967&gt;0,T1967-F1967,0),0)</f>
        <v>0</v>
      </c>
      <c r="W1967" s="206" t="str">
        <f t="shared" si="1213"/>
        <v/>
      </c>
      <c r="X1967" s="206">
        <f t="shared" si="1214"/>
        <v>0</v>
      </c>
      <c r="Y1967" s="209">
        <f t="shared" si="1215"/>
        <v>0</v>
      </c>
    </row>
    <row r="1968" spans="2:25" hidden="1" x14ac:dyDescent="0.25">
      <c r="B1968" s="60">
        <f>B1966</f>
        <v>45</v>
      </c>
      <c r="C1968" s="102">
        <v>311</v>
      </c>
      <c r="D1968" s="192" t="str">
        <f t="shared" si="1182"/>
        <v>VI</v>
      </c>
      <c r="E1968" s="162"/>
      <c r="F1968" s="163"/>
      <c r="G1968" s="163"/>
      <c r="H1968" s="164"/>
      <c r="I1968" s="164"/>
      <c r="J1968" s="162"/>
      <c r="K1968" s="165"/>
      <c r="L1968" s="164"/>
      <c r="M1968" s="164"/>
      <c r="N1968" s="166"/>
      <c r="O1968" s="167"/>
      <c r="P1968" s="168"/>
      <c r="Q1968" s="169"/>
      <c r="R1968" s="170"/>
      <c r="S1968" s="171"/>
      <c r="T1968" s="203">
        <f t="shared" si="1195"/>
        <v>43647</v>
      </c>
      <c r="U1968" s="204">
        <f t="shared" si="1196"/>
        <v>43677</v>
      </c>
      <c r="V1968" s="207">
        <f t="shared" si="1216"/>
        <v>0</v>
      </c>
      <c r="W1968" s="206" t="str">
        <f t="shared" si="1213"/>
        <v/>
      </c>
      <c r="X1968" s="206">
        <f t="shared" si="1214"/>
        <v>0</v>
      </c>
      <c r="Y1968" s="209">
        <f t="shared" si="1215"/>
        <v>0</v>
      </c>
    </row>
    <row r="1969" spans="2:25" hidden="1" x14ac:dyDescent="0.25">
      <c r="B1969" s="60">
        <f>B1966</f>
        <v>45</v>
      </c>
      <c r="C1969" s="102">
        <v>312</v>
      </c>
      <c r="D1969" s="192" t="str">
        <f t="shared" si="1182"/>
        <v>VI</v>
      </c>
      <c r="E1969" s="162"/>
      <c r="F1969" s="163"/>
      <c r="G1969" s="163"/>
      <c r="H1969" s="164"/>
      <c r="I1969" s="164"/>
      <c r="J1969" s="162"/>
      <c r="K1969" s="165"/>
      <c r="L1969" s="164"/>
      <c r="M1969" s="164"/>
      <c r="N1969" s="166"/>
      <c r="O1969" s="167"/>
      <c r="P1969" s="168"/>
      <c r="Q1969" s="169"/>
      <c r="R1969" s="170"/>
      <c r="S1969" s="171"/>
      <c r="T1969" s="203">
        <f t="shared" si="1195"/>
        <v>43647</v>
      </c>
      <c r="U1969" s="204">
        <f t="shared" si="1196"/>
        <v>43677</v>
      </c>
      <c r="V1969" s="207">
        <f t="shared" si="1216"/>
        <v>0</v>
      </c>
      <c r="W1969" s="206" t="str">
        <f t="shared" si="1213"/>
        <v/>
      </c>
      <c r="X1969" s="206">
        <f t="shared" si="1214"/>
        <v>0</v>
      </c>
      <c r="Y1969" s="209">
        <f t="shared" si="1215"/>
        <v>0</v>
      </c>
    </row>
    <row r="1970" spans="2:25" hidden="1" x14ac:dyDescent="0.25">
      <c r="B1970" s="60">
        <f>B1966</f>
        <v>45</v>
      </c>
      <c r="C1970" s="102">
        <v>313</v>
      </c>
      <c r="D1970" s="192" t="str">
        <f t="shared" si="1182"/>
        <v>VI</v>
      </c>
      <c r="E1970" s="162"/>
      <c r="F1970" s="163"/>
      <c r="G1970" s="163"/>
      <c r="H1970" s="164"/>
      <c r="I1970" s="164"/>
      <c r="J1970" s="162"/>
      <c r="K1970" s="165"/>
      <c r="L1970" s="164"/>
      <c r="M1970" s="164"/>
      <c r="N1970" s="166"/>
      <c r="O1970" s="167"/>
      <c r="P1970" s="168"/>
      <c r="Q1970" s="169"/>
      <c r="R1970" s="170"/>
      <c r="S1970" s="171"/>
      <c r="T1970" s="203">
        <f t="shared" si="1195"/>
        <v>43647</v>
      </c>
      <c r="U1970" s="204">
        <f t="shared" si="1196"/>
        <v>43677</v>
      </c>
      <c r="V1970" s="207">
        <f t="shared" si="1216"/>
        <v>0</v>
      </c>
      <c r="W1970" s="206" t="str">
        <f t="shared" si="1213"/>
        <v/>
      </c>
      <c r="X1970" s="206">
        <f t="shared" si="1214"/>
        <v>0</v>
      </c>
      <c r="Y1970" s="209">
        <f t="shared" si="1215"/>
        <v>0</v>
      </c>
    </row>
    <row r="1971" spans="2:25" hidden="1" x14ac:dyDescent="0.25">
      <c r="B1971" s="60">
        <f>B1966</f>
        <v>45</v>
      </c>
      <c r="C1971" s="102">
        <v>314</v>
      </c>
      <c r="D1971" s="192" t="str">
        <f t="shared" si="1182"/>
        <v>VI</v>
      </c>
      <c r="E1971" s="172"/>
      <c r="F1971" s="173"/>
      <c r="G1971" s="173"/>
      <c r="H1971" s="174"/>
      <c r="I1971" s="174"/>
      <c r="J1971" s="172"/>
      <c r="K1971" s="175"/>
      <c r="L1971" s="174"/>
      <c r="M1971" s="174"/>
      <c r="N1971" s="176"/>
      <c r="O1971" s="177"/>
      <c r="P1971" s="178"/>
      <c r="Q1971" s="179"/>
      <c r="R1971" s="180"/>
      <c r="S1971" s="181"/>
      <c r="T1971" s="203">
        <f t="shared" si="1195"/>
        <v>43647</v>
      </c>
      <c r="U1971" s="204">
        <f t="shared" si="1196"/>
        <v>43677</v>
      </c>
      <c r="V1971" s="207">
        <f t="shared" si="1216"/>
        <v>0</v>
      </c>
      <c r="W1971" s="206" t="str">
        <f t="shared" si="1213"/>
        <v/>
      </c>
      <c r="X1971" s="206">
        <f t="shared" si="1214"/>
        <v>0</v>
      </c>
      <c r="Y1971" s="209">
        <f t="shared" si="1215"/>
        <v>0</v>
      </c>
    </row>
    <row r="1972" spans="2:25" ht="15.75" thickBot="1" x14ac:dyDescent="0.3">
      <c r="B1972" s="141">
        <f>B1966</f>
        <v>45</v>
      </c>
      <c r="C1972" s="142">
        <v>315</v>
      </c>
      <c r="D1972" s="194" t="str">
        <f t="shared" si="1182"/>
        <v>VI</v>
      </c>
      <c r="E1972" s="189"/>
      <c r="F1972" s="190"/>
      <c r="G1972" s="190"/>
      <c r="H1972" s="182"/>
      <c r="I1972" s="182"/>
      <c r="J1972" s="436" t="s">
        <v>181</v>
      </c>
      <c r="K1972" s="437"/>
      <c r="L1972" s="438"/>
      <c r="M1972" s="182"/>
      <c r="N1972" s="183">
        <v>10</v>
      </c>
      <c r="O1972" s="184">
        <v>10</v>
      </c>
      <c r="P1972" s="185"/>
      <c r="Q1972" s="186">
        <v>10</v>
      </c>
      <c r="R1972" s="187" t="s">
        <v>4</v>
      </c>
      <c r="S1972" s="188">
        <v>43675</v>
      </c>
      <c r="T1972" s="213">
        <f t="shared" si="1195"/>
        <v>43647</v>
      </c>
      <c r="U1972" s="214">
        <f t="shared" si="1196"/>
        <v>43677</v>
      </c>
      <c r="V1972" s="210">
        <f t="shared" si="1216"/>
        <v>0</v>
      </c>
      <c r="W1972" s="211"/>
      <c r="X1972" s="211">
        <f>IF(AND($V1972&gt;0,$I1972=1),IF($E1972=10,P1972/10,P1972/$V1972),0)</f>
        <v>0</v>
      </c>
      <c r="Y1972" s="212">
        <f>IF(AND($V1966&gt;0,$I1972&lt;&gt;1),Q1972/E1966*V1966,0)</f>
        <v>0</v>
      </c>
    </row>
    <row r="1973" spans="2:25" ht="30.75" thickTop="1" x14ac:dyDescent="0.25">
      <c r="B1973" s="129">
        <f>B1971+1</f>
        <v>46</v>
      </c>
      <c r="C1973" s="130">
        <v>316</v>
      </c>
      <c r="D1973" s="196" t="str">
        <f t="shared" si="1182"/>
        <v>VI</v>
      </c>
      <c r="E1973" s="131">
        <v>10</v>
      </c>
      <c r="F1973" s="132">
        <v>43686</v>
      </c>
      <c r="G1973" s="132">
        <v>43695</v>
      </c>
      <c r="H1973" s="133" t="s">
        <v>372</v>
      </c>
      <c r="I1973" s="133">
        <v>1</v>
      </c>
      <c r="J1973" s="131" t="s">
        <v>168</v>
      </c>
      <c r="K1973" s="134" t="s">
        <v>61</v>
      </c>
      <c r="L1973" s="133">
        <v>1.5</v>
      </c>
      <c r="M1973" s="133">
        <v>8</v>
      </c>
      <c r="N1973" s="135">
        <v>112.5</v>
      </c>
      <c r="O1973" s="136">
        <v>112.5</v>
      </c>
      <c r="P1973" s="137">
        <v>112.5</v>
      </c>
      <c r="Q1973" s="138"/>
      <c r="R1973" s="139" t="s">
        <v>4</v>
      </c>
      <c r="S1973" s="140">
        <v>43630</v>
      </c>
      <c r="T1973" s="203">
        <f t="shared" si="1195"/>
        <v>43647</v>
      </c>
      <c r="U1973" s="204">
        <f t="shared" si="1196"/>
        <v>43677</v>
      </c>
      <c r="V1973" s="207">
        <f>IF(G1973-F1973+1-IF(G1973-U1973&gt;0,G1973-U1973,0)-IF(T1973-F1973&gt;0,T1973-F1973,0)&gt;0,G1973-F1973+1-IF(G1973-U1973&gt;0,G1973-U1973,0)-IF(T1973-F1973&gt;0,T1973-F1973,0),0)</f>
        <v>0</v>
      </c>
      <c r="W1973" s="206" t="str">
        <f t="shared" ref="W1973:W1978" si="1217">IF(V1973&gt;0,H1973,"")</f>
        <v/>
      </c>
      <c r="X1973" s="206">
        <f t="shared" ref="X1973:X1978" si="1218">IF(AND($V1973&gt;0,$I1973=1),P1973/$E1973*$V1973,0)</f>
        <v>0</v>
      </c>
      <c r="Y1973" s="209">
        <f t="shared" ref="Y1973:Y1978" si="1219">IF(AND($V1973&gt;0,$I1973&lt;&gt;1),Q1973/$E1973*$V1973,0)</f>
        <v>0</v>
      </c>
    </row>
    <row r="1974" spans="2:25" ht="30" x14ac:dyDescent="0.25">
      <c r="B1974" s="60">
        <f>B1973</f>
        <v>46</v>
      </c>
      <c r="C1974" s="102">
        <v>317</v>
      </c>
      <c r="D1974" s="192" t="str">
        <f t="shared" si="1182"/>
        <v>VI</v>
      </c>
      <c r="E1974" s="62">
        <v>10</v>
      </c>
      <c r="F1974" s="105">
        <v>43686</v>
      </c>
      <c r="G1974" s="105">
        <v>43695</v>
      </c>
      <c r="H1974" s="61" t="s">
        <v>373</v>
      </c>
      <c r="I1974" s="61">
        <v>3</v>
      </c>
      <c r="J1974" s="62" t="s">
        <v>170</v>
      </c>
      <c r="K1974" s="63" t="s">
        <v>61</v>
      </c>
      <c r="L1974" s="61">
        <v>1.5</v>
      </c>
      <c r="M1974" s="61">
        <v>8</v>
      </c>
      <c r="N1974" s="111">
        <v>0</v>
      </c>
      <c r="O1974" s="112">
        <v>0</v>
      </c>
      <c r="P1974" s="113"/>
      <c r="Q1974" s="114">
        <v>0</v>
      </c>
      <c r="R1974" s="64" t="s">
        <v>4</v>
      </c>
      <c r="S1974" s="108">
        <v>43630</v>
      </c>
      <c r="T1974" s="203">
        <f t="shared" si="1195"/>
        <v>43647</v>
      </c>
      <c r="U1974" s="204">
        <f t="shared" si="1196"/>
        <v>43677</v>
      </c>
      <c r="V1974" s="207">
        <f t="shared" ref="V1974:V1979" si="1220">IF(G1974-F1974+1-IF(G1974-U1974&gt;0,G1974-U1974,0)-IF(T1974-F1974&gt;0,T1974-F1974,0)&gt;0,G1974-F1974+1-IF(G1974-U1974&gt;0,G1974-U1974,0)-IF(T1974-F1974&gt;0,T1974-F1974,0),0)</f>
        <v>0</v>
      </c>
      <c r="W1974" s="206" t="str">
        <f t="shared" si="1217"/>
        <v/>
      </c>
      <c r="X1974" s="206">
        <f t="shared" si="1218"/>
        <v>0</v>
      </c>
      <c r="Y1974" s="209">
        <f t="shared" si="1219"/>
        <v>0</v>
      </c>
    </row>
    <row r="1975" spans="2:25" hidden="1" x14ac:dyDescent="0.25">
      <c r="B1975" s="60">
        <f>B1973</f>
        <v>46</v>
      </c>
      <c r="C1975" s="102">
        <v>318</v>
      </c>
      <c r="D1975" s="192" t="str">
        <f t="shared" si="1182"/>
        <v>VI</v>
      </c>
      <c r="E1975" s="62">
        <v>10</v>
      </c>
      <c r="F1975" s="105">
        <v>43686</v>
      </c>
      <c r="G1975" s="105">
        <v>43695</v>
      </c>
      <c r="H1975" s="61" t="s">
        <v>374</v>
      </c>
      <c r="I1975" s="61">
        <v>3</v>
      </c>
      <c r="J1975" s="62" t="s">
        <v>170</v>
      </c>
      <c r="K1975" s="63"/>
      <c r="L1975" s="61"/>
      <c r="M1975" s="61"/>
      <c r="N1975" s="111"/>
      <c r="O1975" s="112"/>
      <c r="P1975" s="113"/>
      <c r="Q1975" s="114"/>
      <c r="R1975" s="64" t="s">
        <v>4</v>
      </c>
      <c r="S1975" s="108">
        <v>43630</v>
      </c>
      <c r="T1975" s="203">
        <f t="shared" si="1195"/>
        <v>43647</v>
      </c>
      <c r="U1975" s="204">
        <f t="shared" si="1196"/>
        <v>43677</v>
      </c>
      <c r="V1975" s="207">
        <f t="shared" si="1220"/>
        <v>0</v>
      </c>
      <c r="W1975" s="206" t="str">
        <f t="shared" si="1217"/>
        <v/>
      </c>
      <c r="X1975" s="206">
        <f t="shared" si="1218"/>
        <v>0</v>
      </c>
      <c r="Y1975" s="209">
        <f t="shared" si="1219"/>
        <v>0</v>
      </c>
    </row>
    <row r="1976" spans="2:25" hidden="1" x14ac:dyDescent="0.25">
      <c r="B1976" s="60">
        <f>B1973</f>
        <v>46</v>
      </c>
      <c r="C1976" s="102">
        <v>319</v>
      </c>
      <c r="D1976" s="192" t="str">
        <f t="shared" si="1182"/>
        <v>VI</v>
      </c>
      <c r="E1976" s="62">
        <v>10</v>
      </c>
      <c r="F1976" s="105">
        <v>43686</v>
      </c>
      <c r="G1976" s="105">
        <v>43695</v>
      </c>
      <c r="H1976" s="61" t="s">
        <v>375</v>
      </c>
      <c r="I1976" s="61"/>
      <c r="J1976" s="62"/>
      <c r="K1976" s="63"/>
      <c r="L1976" s="61"/>
      <c r="M1976" s="61"/>
      <c r="N1976" s="111"/>
      <c r="O1976" s="112"/>
      <c r="P1976" s="113"/>
      <c r="Q1976" s="114"/>
      <c r="R1976" s="64" t="s">
        <v>4</v>
      </c>
      <c r="S1976" s="108">
        <v>43630</v>
      </c>
      <c r="T1976" s="203">
        <f t="shared" si="1195"/>
        <v>43647</v>
      </c>
      <c r="U1976" s="204">
        <f t="shared" si="1196"/>
        <v>43677</v>
      </c>
      <c r="V1976" s="207">
        <f t="shared" si="1220"/>
        <v>0</v>
      </c>
      <c r="W1976" s="206" t="str">
        <f t="shared" si="1217"/>
        <v/>
      </c>
      <c r="X1976" s="206">
        <f t="shared" si="1218"/>
        <v>0</v>
      </c>
      <c r="Y1976" s="209">
        <f t="shared" si="1219"/>
        <v>0</v>
      </c>
    </row>
    <row r="1977" spans="2:25" hidden="1" x14ac:dyDescent="0.25">
      <c r="B1977" s="60">
        <f>B1973</f>
        <v>46</v>
      </c>
      <c r="C1977" s="102">
        <v>320</v>
      </c>
      <c r="D1977" s="192" t="str">
        <f t="shared" si="1182"/>
        <v>VI</v>
      </c>
      <c r="E1977" s="62"/>
      <c r="F1977" s="105"/>
      <c r="G1977" s="105"/>
      <c r="H1977" s="61"/>
      <c r="I1977" s="61"/>
      <c r="J1977" s="62"/>
      <c r="K1977" s="63"/>
      <c r="L1977" s="61"/>
      <c r="M1977" s="61"/>
      <c r="N1977" s="111"/>
      <c r="O1977" s="112"/>
      <c r="P1977" s="113"/>
      <c r="Q1977" s="114"/>
      <c r="R1977" s="64"/>
      <c r="S1977" s="108"/>
      <c r="T1977" s="203">
        <f t="shared" si="1195"/>
        <v>43647</v>
      </c>
      <c r="U1977" s="204">
        <f t="shared" si="1196"/>
        <v>43677</v>
      </c>
      <c r="V1977" s="207">
        <f t="shared" si="1220"/>
        <v>0</v>
      </c>
      <c r="W1977" s="206" t="str">
        <f t="shared" si="1217"/>
        <v/>
      </c>
      <c r="X1977" s="206">
        <f t="shared" si="1218"/>
        <v>0</v>
      </c>
      <c r="Y1977" s="209">
        <f t="shared" si="1219"/>
        <v>0</v>
      </c>
    </row>
    <row r="1978" spans="2:25" hidden="1" x14ac:dyDescent="0.25">
      <c r="B1978" s="60">
        <f>B1973</f>
        <v>46</v>
      </c>
      <c r="C1978" s="102">
        <v>321</v>
      </c>
      <c r="D1978" s="192" t="str">
        <f t="shared" si="1182"/>
        <v>VI</v>
      </c>
      <c r="E1978" s="62"/>
      <c r="F1978" s="105"/>
      <c r="G1978" s="105"/>
      <c r="H1978" s="61"/>
      <c r="I1978" s="61"/>
      <c r="J1978" s="62"/>
      <c r="K1978" s="63"/>
      <c r="L1978" s="61"/>
      <c r="M1978" s="61"/>
      <c r="N1978" s="111"/>
      <c r="O1978" s="112"/>
      <c r="P1978" s="113"/>
      <c r="Q1978" s="114"/>
      <c r="R1978" s="64"/>
      <c r="S1978" s="108"/>
      <c r="T1978" s="203">
        <f t="shared" si="1195"/>
        <v>43647</v>
      </c>
      <c r="U1978" s="204">
        <f t="shared" si="1196"/>
        <v>43677</v>
      </c>
      <c r="V1978" s="207">
        <f t="shared" si="1220"/>
        <v>0</v>
      </c>
      <c r="W1978" s="206" t="str">
        <f t="shared" si="1217"/>
        <v/>
      </c>
      <c r="X1978" s="206">
        <f t="shared" si="1218"/>
        <v>0</v>
      </c>
      <c r="Y1978" s="209">
        <f t="shared" si="1219"/>
        <v>0</v>
      </c>
    </row>
    <row r="1979" spans="2:25" ht="15.75" thickBot="1" x14ac:dyDescent="0.3">
      <c r="B1979" s="141">
        <f>B1973</f>
        <v>46</v>
      </c>
      <c r="C1979" s="142">
        <v>322</v>
      </c>
      <c r="D1979" s="194" t="str">
        <f t="shared" si="1182"/>
        <v>VI</v>
      </c>
      <c r="E1979" s="143"/>
      <c r="F1979" s="144"/>
      <c r="G1979" s="144"/>
      <c r="H1979" s="145"/>
      <c r="I1979" s="145"/>
      <c r="J1979" s="436" t="s">
        <v>181</v>
      </c>
      <c r="K1979" s="437"/>
      <c r="L1979" s="438"/>
      <c r="M1979" s="145"/>
      <c r="N1979" s="146">
        <v>10</v>
      </c>
      <c r="O1979" s="147">
        <v>10</v>
      </c>
      <c r="P1979" s="148"/>
      <c r="Q1979" s="149">
        <v>10</v>
      </c>
      <c r="R1979" s="150" t="s">
        <v>4</v>
      </c>
      <c r="S1979" s="151">
        <v>43630</v>
      </c>
      <c r="T1979" s="213">
        <f t="shared" si="1195"/>
        <v>43647</v>
      </c>
      <c r="U1979" s="214">
        <f t="shared" si="1196"/>
        <v>43677</v>
      </c>
      <c r="V1979" s="210">
        <f t="shared" si="1220"/>
        <v>0</v>
      </c>
      <c r="W1979" s="211"/>
      <c r="X1979" s="211">
        <f>IF(AND($V1979&gt;0,$I1979=1),IF($E1979=10,P1979/10,P1979/$V1979),0)</f>
        <v>0</v>
      </c>
      <c r="Y1979" s="212">
        <f>IF(AND($V1973&gt;0,$I1979&lt;&gt;1),Q1979/E1973*V1973,0)</f>
        <v>0</v>
      </c>
    </row>
    <row r="1980" spans="2:25" ht="16.5" hidden="1" thickTop="1" thickBot="1" x14ac:dyDescent="0.3">
      <c r="B1980" s="129">
        <f>B1978+1</f>
        <v>47</v>
      </c>
      <c r="C1980" s="130">
        <v>323</v>
      </c>
      <c r="D1980" s="196" t="str">
        <f t="shared" ref="D1980:D1986" si="1221">D1979</f>
        <v>VI</v>
      </c>
      <c r="E1980" s="152"/>
      <c r="F1980" s="153"/>
      <c r="G1980" s="153"/>
      <c r="H1980" s="154"/>
      <c r="I1980" s="154"/>
      <c r="J1980" s="152"/>
      <c r="K1980" s="155"/>
      <c r="L1980" s="154"/>
      <c r="M1980" s="154"/>
      <c r="N1980" s="156"/>
      <c r="O1980" s="157"/>
      <c r="P1980" s="158"/>
      <c r="Q1980" s="159"/>
      <c r="R1980" s="160"/>
      <c r="S1980" s="161"/>
      <c r="T1980" s="215">
        <f t="shared" si="1195"/>
        <v>43647</v>
      </c>
      <c r="U1980" s="216">
        <f t="shared" si="1196"/>
        <v>43677</v>
      </c>
      <c r="V1980" s="217">
        <f>IF(G1980-F1980+1-IF(G1980-U1980&gt;0,G1980-U1980,0)-IF(T1980-F1980&gt;0,T1980-F1980,0)&gt;0,G1980-F1980+1-IF(G1980-U1980&gt;0,G1980-U1980,0)-IF(T1980-F1980&gt;0,T1980-F1980,0),0)</f>
        <v>0</v>
      </c>
      <c r="W1980" s="218" t="str">
        <f t="shared" ref="W1980:W1985" si="1222">IF(V1980&gt;0,H1980,"")</f>
        <v/>
      </c>
      <c r="X1980" s="218">
        <f t="shared" ref="X1980:X1985" si="1223">IF(AND($V1980&gt;0,$I1980=1),P1980/$E1980*$V1980,0)</f>
        <v>0</v>
      </c>
      <c r="Y1980" s="219">
        <f t="shared" ref="Y1980:Y1985" si="1224">IF(AND($V1980&gt;0,$I1980&lt;&gt;1),Q1980/$E1980*$V1980,0)</f>
        <v>0</v>
      </c>
    </row>
    <row r="1981" spans="2:25" ht="16.5" hidden="1" thickTop="1" thickBot="1" x14ac:dyDescent="0.3">
      <c r="B1981" s="60">
        <f>B1980</f>
        <v>47</v>
      </c>
      <c r="C1981" s="102">
        <v>324</v>
      </c>
      <c r="D1981" s="192" t="str">
        <f t="shared" si="1221"/>
        <v>VI</v>
      </c>
      <c r="E1981" s="162"/>
      <c r="F1981" s="163"/>
      <c r="G1981" s="163"/>
      <c r="H1981" s="164"/>
      <c r="I1981" s="164"/>
      <c r="J1981" s="162"/>
      <c r="K1981" s="165"/>
      <c r="L1981" s="164"/>
      <c r="M1981" s="164"/>
      <c r="N1981" s="166"/>
      <c r="O1981" s="167"/>
      <c r="P1981" s="168"/>
      <c r="Q1981" s="169"/>
      <c r="R1981" s="170"/>
      <c r="S1981" s="171"/>
      <c r="T1981" s="203">
        <f t="shared" si="1195"/>
        <v>43647</v>
      </c>
      <c r="U1981" s="205">
        <f t="shared" si="1196"/>
        <v>43677</v>
      </c>
      <c r="V1981" s="207">
        <f t="shared" ref="V1981:V1986" si="1225">IF(G1981-F1981+1-IF(G1981-U1981&gt;0,G1981-U1981,0)-IF(T1981-F1981&gt;0,T1981-F1981,0)&gt;0,G1981-F1981+1-IF(G1981-U1981&gt;0,G1981-U1981,0)-IF(T1981-F1981&gt;0,T1981-F1981,0),0)</f>
        <v>0</v>
      </c>
      <c r="W1981" s="206" t="str">
        <f t="shared" si="1222"/>
        <v/>
      </c>
      <c r="X1981" s="206">
        <f t="shared" si="1223"/>
        <v>0</v>
      </c>
      <c r="Y1981" s="208">
        <f t="shared" si="1224"/>
        <v>0</v>
      </c>
    </row>
    <row r="1982" spans="2:25" ht="16.5" hidden="1" thickTop="1" thickBot="1" x14ac:dyDescent="0.3">
      <c r="B1982" s="60">
        <f>B1980</f>
        <v>47</v>
      </c>
      <c r="C1982" s="102">
        <v>325</v>
      </c>
      <c r="D1982" s="192" t="str">
        <f t="shared" si="1221"/>
        <v>VI</v>
      </c>
      <c r="E1982" s="162"/>
      <c r="F1982" s="163"/>
      <c r="G1982" s="163"/>
      <c r="H1982" s="164"/>
      <c r="I1982" s="164"/>
      <c r="J1982" s="162"/>
      <c r="K1982" s="165"/>
      <c r="L1982" s="164"/>
      <c r="M1982" s="164"/>
      <c r="N1982" s="166"/>
      <c r="O1982" s="167"/>
      <c r="P1982" s="168"/>
      <c r="Q1982" s="169"/>
      <c r="R1982" s="170"/>
      <c r="S1982" s="171"/>
      <c r="T1982" s="203">
        <f t="shared" si="1195"/>
        <v>43647</v>
      </c>
      <c r="U1982" s="205">
        <f t="shared" si="1196"/>
        <v>43677</v>
      </c>
      <c r="V1982" s="207">
        <f t="shared" si="1225"/>
        <v>0</v>
      </c>
      <c r="W1982" s="206" t="str">
        <f t="shared" si="1222"/>
        <v/>
      </c>
      <c r="X1982" s="206">
        <f t="shared" si="1223"/>
        <v>0</v>
      </c>
      <c r="Y1982" s="208">
        <f t="shared" si="1224"/>
        <v>0</v>
      </c>
    </row>
    <row r="1983" spans="2:25" ht="16.5" hidden="1" thickTop="1" thickBot="1" x14ac:dyDescent="0.3">
      <c r="B1983" s="60">
        <f>B1980</f>
        <v>47</v>
      </c>
      <c r="C1983" s="102">
        <v>326</v>
      </c>
      <c r="D1983" s="192" t="str">
        <f t="shared" si="1221"/>
        <v>VI</v>
      </c>
      <c r="E1983" s="162"/>
      <c r="F1983" s="163"/>
      <c r="G1983" s="163"/>
      <c r="H1983" s="164"/>
      <c r="I1983" s="164"/>
      <c r="J1983" s="162"/>
      <c r="K1983" s="165"/>
      <c r="L1983" s="164"/>
      <c r="M1983" s="164"/>
      <c r="N1983" s="166"/>
      <c r="O1983" s="167"/>
      <c r="P1983" s="168"/>
      <c r="Q1983" s="169"/>
      <c r="R1983" s="170"/>
      <c r="S1983" s="171"/>
      <c r="T1983" s="203">
        <f t="shared" si="1195"/>
        <v>43647</v>
      </c>
      <c r="U1983" s="205">
        <f t="shared" si="1196"/>
        <v>43677</v>
      </c>
      <c r="V1983" s="207">
        <f t="shared" si="1225"/>
        <v>0</v>
      </c>
      <c r="W1983" s="206" t="str">
        <f t="shared" si="1222"/>
        <v/>
      </c>
      <c r="X1983" s="206">
        <f t="shared" si="1223"/>
        <v>0</v>
      </c>
      <c r="Y1983" s="208">
        <f t="shared" si="1224"/>
        <v>0</v>
      </c>
    </row>
    <row r="1984" spans="2:25" ht="16.5" hidden="1" thickTop="1" thickBot="1" x14ac:dyDescent="0.3">
      <c r="B1984" s="60">
        <f>B1980</f>
        <v>47</v>
      </c>
      <c r="C1984" s="102">
        <v>327</v>
      </c>
      <c r="D1984" s="192" t="str">
        <f t="shared" si="1221"/>
        <v>VI</v>
      </c>
      <c r="E1984" s="162"/>
      <c r="F1984" s="163"/>
      <c r="G1984" s="163"/>
      <c r="H1984" s="164"/>
      <c r="I1984" s="164"/>
      <c r="J1984" s="162"/>
      <c r="K1984" s="165"/>
      <c r="L1984" s="164"/>
      <c r="M1984" s="164"/>
      <c r="N1984" s="166"/>
      <c r="O1984" s="167"/>
      <c r="P1984" s="168"/>
      <c r="Q1984" s="169"/>
      <c r="R1984" s="170"/>
      <c r="S1984" s="171"/>
      <c r="T1984" s="203">
        <f t="shared" si="1195"/>
        <v>43647</v>
      </c>
      <c r="U1984" s="205">
        <f t="shared" si="1196"/>
        <v>43677</v>
      </c>
      <c r="V1984" s="207">
        <f t="shared" si="1225"/>
        <v>0</v>
      </c>
      <c r="W1984" s="206" t="str">
        <f t="shared" si="1222"/>
        <v/>
      </c>
      <c r="X1984" s="206">
        <f t="shared" si="1223"/>
        <v>0</v>
      </c>
      <c r="Y1984" s="208">
        <f t="shared" si="1224"/>
        <v>0</v>
      </c>
    </row>
    <row r="1985" spans="2:25" ht="16.5" hidden="1" thickTop="1" thickBot="1" x14ac:dyDescent="0.3">
      <c r="B1985" s="60">
        <f>B1980</f>
        <v>47</v>
      </c>
      <c r="C1985" s="102">
        <v>328</v>
      </c>
      <c r="D1985" s="192" t="str">
        <f t="shared" si="1221"/>
        <v>VI</v>
      </c>
      <c r="E1985" s="172"/>
      <c r="F1985" s="173"/>
      <c r="G1985" s="173"/>
      <c r="H1985" s="174"/>
      <c r="I1985" s="174"/>
      <c r="J1985" s="172"/>
      <c r="K1985" s="175"/>
      <c r="L1985" s="174"/>
      <c r="M1985" s="174"/>
      <c r="N1985" s="176"/>
      <c r="O1985" s="177"/>
      <c r="P1985" s="178"/>
      <c r="Q1985" s="179"/>
      <c r="R1985" s="180"/>
      <c r="S1985" s="181"/>
      <c r="T1985" s="203">
        <f t="shared" si="1195"/>
        <v>43647</v>
      </c>
      <c r="U1985" s="205">
        <f t="shared" si="1196"/>
        <v>43677</v>
      </c>
      <c r="V1985" s="207">
        <f t="shared" si="1225"/>
        <v>0</v>
      </c>
      <c r="W1985" s="206" t="str">
        <f t="shared" si="1222"/>
        <v/>
      </c>
      <c r="X1985" s="206">
        <f t="shared" si="1223"/>
        <v>0</v>
      </c>
      <c r="Y1985" s="208">
        <f t="shared" si="1224"/>
        <v>0</v>
      </c>
    </row>
    <row r="1986" spans="2:25" ht="16.5" hidden="1" thickTop="1" thickBot="1" x14ac:dyDescent="0.3">
      <c r="B1986" s="141">
        <f>B1980</f>
        <v>47</v>
      </c>
      <c r="C1986" s="142">
        <v>329</v>
      </c>
      <c r="D1986" s="194" t="str">
        <f t="shared" si="1221"/>
        <v>VI</v>
      </c>
      <c r="E1986" s="189"/>
      <c r="F1986" s="190"/>
      <c r="G1986" s="190"/>
      <c r="H1986" s="182"/>
      <c r="I1986" s="182"/>
      <c r="J1986" s="436" t="s">
        <v>181</v>
      </c>
      <c r="K1986" s="437"/>
      <c r="L1986" s="438"/>
      <c r="M1986" s="182"/>
      <c r="N1986" s="183"/>
      <c r="O1986" s="184"/>
      <c r="P1986" s="185"/>
      <c r="Q1986" s="186"/>
      <c r="R1986" s="187"/>
      <c r="S1986" s="188"/>
      <c r="T1986" s="213">
        <f t="shared" si="1195"/>
        <v>43647</v>
      </c>
      <c r="U1986" s="214">
        <f t="shared" si="1196"/>
        <v>43677</v>
      </c>
      <c r="V1986" s="210">
        <f t="shared" si="1225"/>
        <v>0</v>
      </c>
      <c r="W1986" s="211"/>
      <c r="X1986" s="211">
        <f>IF(AND($V1986&gt;0,$I1986=1),IF($E1986=10,P1986/10,P1986/$V1986),0)</f>
        <v>0</v>
      </c>
      <c r="Y1986" s="212">
        <f>IF(AND($V1980&gt;0,$I1986&lt;&gt;1),Q1986/E1980*V1980,0)</f>
        <v>0</v>
      </c>
    </row>
    <row r="1987" spans="2:25" ht="16.5" hidden="1" thickTop="1" thickBot="1" x14ac:dyDescent="0.3">
      <c r="B1987" s="129">
        <v>1</v>
      </c>
      <c r="C1987" s="130">
        <v>1</v>
      </c>
      <c r="D1987" s="191" t="s">
        <v>41</v>
      </c>
      <c r="E1987" s="152"/>
      <c r="F1987" s="153"/>
      <c r="G1987" s="153"/>
      <c r="H1987" s="154"/>
      <c r="I1987" s="154"/>
      <c r="J1987" s="152"/>
      <c r="K1987" s="155"/>
      <c r="L1987" s="154"/>
      <c r="M1987" s="154"/>
      <c r="N1987" s="156"/>
      <c r="O1987" s="157"/>
      <c r="P1987" s="158"/>
      <c r="Q1987" s="159"/>
      <c r="R1987" s="160"/>
      <c r="S1987" s="161"/>
      <c r="T1987" s="215">
        <f t="shared" si="1195"/>
        <v>43647</v>
      </c>
      <c r="U1987" s="216">
        <f t="shared" si="1196"/>
        <v>43677</v>
      </c>
      <c r="V1987" s="217">
        <f>IF(G1987-F1987+1-IF(G1987-U1987&gt;0,G1987-U1987,0)-IF(T1987-F1987&gt;0,T1987-F1987,0)&gt;0,G1987-F1987+1-IF(G1987-U1987&gt;0,G1987-U1987,0)-IF(T1987-F1987&gt;0,T1987-F1987,0),0)</f>
        <v>0</v>
      </c>
      <c r="W1987" s="206" t="str">
        <f t="shared" ref="W1987:W1992" si="1226">IF(V1987&gt;0,H1987,"")</f>
        <v/>
      </c>
      <c r="X1987" s="218">
        <f t="shared" ref="X1987:X1992" si="1227">IF(AND($V1987&gt;0,$I1987=1),P1987/$E1987*$V1987,0)</f>
        <v>0</v>
      </c>
      <c r="Y1987" s="219">
        <f t="shared" ref="Y1987:Y1992" si="1228">IF(AND($V1987&gt;0,$I1987&lt;&gt;1),Q1987/$E1987*$V1987,0)</f>
        <v>0</v>
      </c>
    </row>
    <row r="1988" spans="2:25" ht="16.5" hidden="1" thickTop="1" thickBot="1" x14ac:dyDescent="0.3">
      <c r="B1988" s="60">
        <f>B1987</f>
        <v>1</v>
      </c>
      <c r="C1988" s="102">
        <v>2</v>
      </c>
      <c r="D1988" s="192" t="str">
        <f>D1987</f>
        <v>VII</v>
      </c>
      <c r="E1988" s="162"/>
      <c r="F1988" s="163"/>
      <c r="G1988" s="163"/>
      <c r="H1988" s="164"/>
      <c r="I1988" s="164"/>
      <c r="J1988" s="162"/>
      <c r="K1988" s="165"/>
      <c r="L1988" s="164"/>
      <c r="M1988" s="164"/>
      <c r="N1988" s="166"/>
      <c r="O1988" s="167"/>
      <c r="P1988" s="168"/>
      <c r="Q1988" s="169"/>
      <c r="R1988" s="170"/>
      <c r="S1988" s="171"/>
      <c r="T1988" s="203">
        <f t="shared" si="1195"/>
        <v>43647</v>
      </c>
      <c r="U1988" s="205">
        <f t="shared" si="1196"/>
        <v>43677</v>
      </c>
      <c r="V1988" s="207">
        <f t="shared" ref="V1988:V1993" si="1229">IF(G1988-F1988+1-IF(G1988-U1988&gt;0,G1988-U1988,0)-IF(T1988-F1988&gt;0,T1988-F1988,0)&gt;0,G1988-F1988+1-IF(G1988-U1988&gt;0,G1988-U1988,0)-IF(T1988-F1988&gt;0,T1988-F1988,0),0)</f>
        <v>0</v>
      </c>
      <c r="W1988" s="206" t="str">
        <f t="shared" si="1226"/>
        <v/>
      </c>
      <c r="X1988" s="206">
        <f t="shared" si="1227"/>
        <v>0</v>
      </c>
      <c r="Y1988" s="208">
        <f t="shared" si="1228"/>
        <v>0</v>
      </c>
    </row>
    <row r="1989" spans="2:25" ht="16.5" hidden="1" thickTop="1" thickBot="1" x14ac:dyDescent="0.3">
      <c r="B1989" s="60">
        <f>B1987</f>
        <v>1</v>
      </c>
      <c r="C1989" s="102">
        <v>3</v>
      </c>
      <c r="D1989" s="192" t="str">
        <f t="shared" ref="D1989:D2052" si="1230">D1988</f>
        <v>VII</v>
      </c>
      <c r="E1989" s="162"/>
      <c r="F1989" s="163"/>
      <c r="G1989" s="163"/>
      <c r="H1989" s="164"/>
      <c r="I1989" s="164"/>
      <c r="J1989" s="162"/>
      <c r="K1989" s="165"/>
      <c r="L1989" s="164"/>
      <c r="M1989" s="164"/>
      <c r="N1989" s="166"/>
      <c r="O1989" s="167"/>
      <c r="P1989" s="168"/>
      <c r="Q1989" s="169"/>
      <c r="R1989" s="170"/>
      <c r="S1989" s="171"/>
      <c r="T1989" s="203">
        <f t="shared" si="1195"/>
        <v>43647</v>
      </c>
      <c r="U1989" s="205">
        <f t="shared" si="1196"/>
        <v>43677</v>
      </c>
      <c r="V1989" s="207">
        <f t="shared" si="1229"/>
        <v>0</v>
      </c>
      <c r="W1989" s="206" t="str">
        <f t="shared" si="1226"/>
        <v/>
      </c>
      <c r="X1989" s="206">
        <f t="shared" si="1227"/>
        <v>0</v>
      </c>
      <c r="Y1989" s="208">
        <f t="shared" si="1228"/>
        <v>0</v>
      </c>
    </row>
    <row r="1990" spans="2:25" ht="16.5" hidden="1" thickTop="1" thickBot="1" x14ac:dyDescent="0.3">
      <c r="B1990" s="60">
        <f>B1987</f>
        <v>1</v>
      </c>
      <c r="C1990" s="102">
        <v>4</v>
      </c>
      <c r="D1990" s="192" t="str">
        <f t="shared" si="1230"/>
        <v>VII</v>
      </c>
      <c r="E1990" s="162"/>
      <c r="F1990" s="163"/>
      <c r="G1990" s="163"/>
      <c r="H1990" s="164"/>
      <c r="I1990" s="164"/>
      <c r="J1990" s="162"/>
      <c r="K1990" s="165"/>
      <c r="L1990" s="164"/>
      <c r="M1990" s="164"/>
      <c r="N1990" s="166"/>
      <c r="O1990" s="167"/>
      <c r="P1990" s="168"/>
      <c r="Q1990" s="169"/>
      <c r="R1990" s="170"/>
      <c r="S1990" s="171"/>
      <c r="T1990" s="203">
        <f t="shared" si="1195"/>
        <v>43647</v>
      </c>
      <c r="U1990" s="205">
        <f t="shared" si="1196"/>
        <v>43677</v>
      </c>
      <c r="V1990" s="207">
        <f t="shared" si="1229"/>
        <v>0</v>
      </c>
      <c r="W1990" s="206" t="str">
        <f t="shared" si="1226"/>
        <v/>
      </c>
      <c r="X1990" s="206">
        <f t="shared" si="1227"/>
        <v>0</v>
      </c>
      <c r="Y1990" s="208">
        <f t="shared" si="1228"/>
        <v>0</v>
      </c>
    </row>
    <row r="1991" spans="2:25" ht="16.5" hidden="1" thickTop="1" thickBot="1" x14ac:dyDescent="0.3">
      <c r="B1991" s="60">
        <f>B1987</f>
        <v>1</v>
      </c>
      <c r="C1991" s="102">
        <v>5</v>
      </c>
      <c r="D1991" s="192" t="str">
        <f t="shared" si="1230"/>
        <v>VII</v>
      </c>
      <c r="E1991" s="162"/>
      <c r="F1991" s="163"/>
      <c r="G1991" s="163"/>
      <c r="H1991" s="164"/>
      <c r="I1991" s="164"/>
      <c r="J1991" s="162"/>
      <c r="K1991" s="165"/>
      <c r="L1991" s="164"/>
      <c r="M1991" s="164"/>
      <c r="N1991" s="166"/>
      <c r="O1991" s="167"/>
      <c r="P1991" s="168"/>
      <c r="Q1991" s="169"/>
      <c r="R1991" s="170"/>
      <c r="S1991" s="171"/>
      <c r="T1991" s="203">
        <f t="shared" si="1195"/>
        <v>43647</v>
      </c>
      <c r="U1991" s="205">
        <f t="shared" si="1196"/>
        <v>43677</v>
      </c>
      <c r="V1991" s="207">
        <f t="shared" si="1229"/>
        <v>0</v>
      </c>
      <c r="W1991" s="206" t="str">
        <f t="shared" si="1226"/>
        <v/>
      </c>
      <c r="X1991" s="206">
        <f t="shared" si="1227"/>
        <v>0</v>
      </c>
      <c r="Y1991" s="208">
        <f t="shared" si="1228"/>
        <v>0</v>
      </c>
    </row>
    <row r="1992" spans="2:25" ht="16.5" hidden="1" thickTop="1" thickBot="1" x14ac:dyDescent="0.3">
      <c r="B1992" s="86">
        <f>B1991</f>
        <v>1</v>
      </c>
      <c r="C1992" s="103">
        <v>6</v>
      </c>
      <c r="D1992" s="193" t="str">
        <f t="shared" si="1230"/>
        <v>VII</v>
      </c>
      <c r="E1992" s="172"/>
      <c r="F1992" s="173"/>
      <c r="G1992" s="173"/>
      <c r="H1992" s="174"/>
      <c r="I1992" s="174"/>
      <c r="J1992" s="172"/>
      <c r="K1992" s="175"/>
      <c r="L1992" s="174"/>
      <c r="M1992" s="174"/>
      <c r="N1992" s="176"/>
      <c r="O1992" s="177"/>
      <c r="P1992" s="178"/>
      <c r="Q1992" s="179"/>
      <c r="R1992" s="180"/>
      <c r="S1992" s="181"/>
      <c r="T1992" s="203">
        <f t="shared" si="1195"/>
        <v>43647</v>
      </c>
      <c r="U1992" s="205">
        <f t="shared" si="1196"/>
        <v>43677</v>
      </c>
      <c r="V1992" s="207">
        <f t="shared" si="1229"/>
        <v>0</v>
      </c>
      <c r="W1992" s="206" t="str">
        <f t="shared" si="1226"/>
        <v/>
      </c>
      <c r="X1992" s="206">
        <f t="shared" si="1227"/>
        <v>0</v>
      </c>
      <c r="Y1992" s="208">
        <f t="shared" si="1228"/>
        <v>0</v>
      </c>
    </row>
    <row r="1993" spans="2:25" ht="16.5" hidden="1" thickTop="1" thickBot="1" x14ac:dyDescent="0.3">
      <c r="B1993" s="141">
        <f>B1987</f>
        <v>1</v>
      </c>
      <c r="C1993" s="142">
        <v>7</v>
      </c>
      <c r="D1993" s="194" t="str">
        <f t="shared" si="1230"/>
        <v>VII</v>
      </c>
      <c r="E1993" s="189"/>
      <c r="F1993" s="190"/>
      <c r="G1993" s="190"/>
      <c r="H1993" s="182"/>
      <c r="I1993" s="182"/>
      <c r="J1993" s="436" t="s">
        <v>181</v>
      </c>
      <c r="K1993" s="437"/>
      <c r="L1993" s="438"/>
      <c r="M1993" s="182"/>
      <c r="N1993" s="183"/>
      <c r="O1993" s="184"/>
      <c r="P1993" s="185"/>
      <c r="Q1993" s="186"/>
      <c r="R1993" s="187"/>
      <c r="S1993" s="188"/>
      <c r="T1993" s="213">
        <f t="shared" si="1195"/>
        <v>43647</v>
      </c>
      <c r="U1993" s="214">
        <f t="shared" si="1196"/>
        <v>43677</v>
      </c>
      <c r="V1993" s="210">
        <f t="shared" si="1229"/>
        <v>0</v>
      </c>
      <c r="W1993" s="211"/>
      <c r="X1993" s="211">
        <f>IF(AND($V1993&gt;0,$I1993=1),IF($E1993=10,P1993/10,P1993/$V1993),0)</f>
        <v>0</v>
      </c>
      <c r="Y1993" s="212">
        <f>IF(AND($V1987&gt;0,$I1993&lt;&gt;1),Q1993/E1987*V1987,0)</f>
        <v>0</v>
      </c>
    </row>
    <row r="1994" spans="2:25" ht="16.5" hidden="1" thickTop="1" thickBot="1" x14ac:dyDescent="0.3">
      <c r="B1994" s="91">
        <f>B1993+1</f>
        <v>2</v>
      </c>
      <c r="C1994" s="104">
        <v>8</v>
      </c>
      <c r="D1994" s="195" t="str">
        <f t="shared" si="1230"/>
        <v>VII</v>
      </c>
      <c r="E1994" s="92"/>
      <c r="F1994" s="107"/>
      <c r="G1994" s="107"/>
      <c r="H1994" s="93"/>
      <c r="I1994" s="93"/>
      <c r="J1994" s="92"/>
      <c r="K1994" s="94"/>
      <c r="L1994" s="93"/>
      <c r="M1994" s="93"/>
      <c r="N1994" s="119"/>
      <c r="O1994" s="120"/>
      <c r="P1994" s="121"/>
      <c r="Q1994" s="122"/>
      <c r="R1994" s="95"/>
      <c r="S1994" s="110"/>
      <c r="T1994" s="201">
        <f t="shared" si="1195"/>
        <v>43647</v>
      </c>
      <c r="U1994" s="202">
        <f t="shared" si="1196"/>
        <v>43677</v>
      </c>
      <c r="V1994" s="207">
        <f>IF(G1994-F1994+1-IF(G1994-U1994&gt;0,G1994-U1994,0)-IF(T1994-F1994&gt;0,T1994-F1994,0)&gt;0,G1994-F1994+1-IF(G1994-U1994&gt;0,G1994-U1994,0)-IF(T1994-F1994&gt;0,T1994-F1994,0),0)</f>
        <v>0</v>
      </c>
      <c r="W1994" s="206" t="str">
        <f t="shared" ref="W1994:W1999" si="1231">IF(V1994&gt;0,H1994,"")</f>
        <v/>
      </c>
      <c r="X1994" s="206">
        <f t="shared" ref="X1994:X1999" si="1232">IF(AND($V1994&gt;0,$I1994=1),P1994/$E1994*$V1994,0)</f>
        <v>0</v>
      </c>
      <c r="Y1994" s="209">
        <f t="shared" ref="Y1994:Y1999" si="1233">IF(AND($V1994&gt;0,$I1994&lt;&gt;1),Q1994/$E1994*$V1994,0)</f>
        <v>0</v>
      </c>
    </row>
    <row r="1995" spans="2:25" ht="16.5" hidden="1" thickTop="1" thickBot="1" x14ac:dyDescent="0.3">
      <c r="B1995" s="60">
        <f>B1994</f>
        <v>2</v>
      </c>
      <c r="C1995" s="102">
        <v>9</v>
      </c>
      <c r="D1995" s="192" t="str">
        <f t="shared" si="1230"/>
        <v>VII</v>
      </c>
      <c r="E1995" s="62"/>
      <c r="F1995" s="105"/>
      <c r="G1995" s="105"/>
      <c r="H1995" s="61"/>
      <c r="I1995" s="61"/>
      <c r="J1995" s="62"/>
      <c r="K1995" s="63"/>
      <c r="L1995" s="61"/>
      <c r="M1995" s="61"/>
      <c r="N1995" s="111"/>
      <c r="O1995" s="112"/>
      <c r="P1995" s="113"/>
      <c r="Q1995" s="114"/>
      <c r="R1995" s="64"/>
      <c r="S1995" s="108"/>
      <c r="T1995" s="203">
        <f t="shared" si="1195"/>
        <v>43647</v>
      </c>
      <c r="U1995" s="204">
        <f t="shared" si="1196"/>
        <v>43677</v>
      </c>
      <c r="V1995" s="207">
        <f t="shared" ref="V1995:V2000" si="1234">IF(G1995-F1995+1-IF(G1995-U1995&gt;0,G1995-U1995,0)-IF(T1995-F1995&gt;0,T1995-F1995,0)&gt;0,G1995-F1995+1-IF(G1995-U1995&gt;0,G1995-U1995,0)-IF(T1995-F1995&gt;0,T1995-F1995,0),0)</f>
        <v>0</v>
      </c>
      <c r="W1995" s="206" t="str">
        <f t="shared" si="1231"/>
        <v/>
      </c>
      <c r="X1995" s="206">
        <f t="shared" si="1232"/>
        <v>0</v>
      </c>
      <c r="Y1995" s="209">
        <f t="shared" si="1233"/>
        <v>0</v>
      </c>
    </row>
    <row r="1996" spans="2:25" ht="16.5" hidden="1" thickTop="1" thickBot="1" x14ac:dyDescent="0.3">
      <c r="B1996" s="60">
        <f>B1994</f>
        <v>2</v>
      </c>
      <c r="C1996" s="102">
        <v>10</v>
      </c>
      <c r="D1996" s="192" t="str">
        <f t="shared" si="1230"/>
        <v>VII</v>
      </c>
      <c r="E1996" s="62"/>
      <c r="F1996" s="105"/>
      <c r="G1996" s="105"/>
      <c r="H1996" s="61"/>
      <c r="I1996" s="61"/>
      <c r="J1996" s="62"/>
      <c r="K1996" s="63"/>
      <c r="L1996" s="61"/>
      <c r="M1996" s="61"/>
      <c r="N1996" s="111"/>
      <c r="O1996" s="112"/>
      <c r="P1996" s="113"/>
      <c r="Q1996" s="114"/>
      <c r="R1996" s="64"/>
      <c r="S1996" s="108"/>
      <c r="T1996" s="203">
        <f t="shared" si="1195"/>
        <v>43647</v>
      </c>
      <c r="U1996" s="204">
        <f t="shared" si="1196"/>
        <v>43677</v>
      </c>
      <c r="V1996" s="207">
        <f t="shared" si="1234"/>
        <v>0</v>
      </c>
      <c r="W1996" s="206" t="str">
        <f t="shared" si="1231"/>
        <v/>
      </c>
      <c r="X1996" s="206">
        <f t="shared" si="1232"/>
        <v>0</v>
      </c>
      <c r="Y1996" s="209">
        <f t="shared" si="1233"/>
        <v>0</v>
      </c>
    </row>
    <row r="1997" spans="2:25" ht="16.5" hidden="1" thickTop="1" thickBot="1" x14ac:dyDescent="0.3">
      <c r="B1997" s="60">
        <f>B1994</f>
        <v>2</v>
      </c>
      <c r="C1997" s="102">
        <v>11</v>
      </c>
      <c r="D1997" s="192" t="str">
        <f t="shared" si="1230"/>
        <v>VII</v>
      </c>
      <c r="E1997" s="62"/>
      <c r="F1997" s="105"/>
      <c r="G1997" s="105"/>
      <c r="H1997" s="61"/>
      <c r="I1997" s="61"/>
      <c r="J1997" s="62"/>
      <c r="K1997" s="63"/>
      <c r="L1997" s="61"/>
      <c r="M1997" s="61"/>
      <c r="N1997" s="111"/>
      <c r="O1997" s="112"/>
      <c r="P1997" s="113"/>
      <c r="Q1997" s="114"/>
      <c r="R1997" s="64"/>
      <c r="S1997" s="108"/>
      <c r="T1997" s="203">
        <f t="shared" ref="T1997:T2060" si="1235">$F$4</f>
        <v>43647</v>
      </c>
      <c r="U1997" s="204">
        <f t="shared" ref="U1997:U2060" si="1236">$G$4</f>
        <v>43677</v>
      </c>
      <c r="V1997" s="207">
        <f t="shared" si="1234"/>
        <v>0</v>
      </c>
      <c r="W1997" s="206" t="str">
        <f t="shared" si="1231"/>
        <v/>
      </c>
      <c r="X1997" s="206">
        <f t="shared" si="1232"/>
        <v>0</v>
      </c>
      <c r="Y1997" s="209">
        <f t="shared" si="1233"/>
        <v>0</v>
      </c>
    </row>
    <row r="1998" spans="2:25" ht="16.5" hidden="1" thickTop="1" thickBot="1" x14ac:dyDescent="0.3">
      <c r="B1998" s="60">
        <f>B1994</f>
        <v>2</v>
      </c>
      <c r="C1998" s="102">
        <v>12</v>
      </c>
      <c r="D1998" s="192" t="str">
        <f t="shared" si="1230"/>
        <v>VII</v>
      </c>
      <c r="E1998" s="62"/>
      <c r="F1998" s="105"/>
      <c r="G1998" s="105"/>
      <c r="H1998" s="61"/>
      <c r="I1998" s="61"/>
      <c r="J1998" s="62"/>
      <c r="K1998" s="63"/>
      <c r="L1998" s="61"/>
      <c r="M1998" s="61"/>
      <c r="N1998" s="111"/>
      <c r="O1998" s="112"/>
      <c r="P1998" s="113"/>
      <c r="Q1998" s="114"/>
      <c r="R1998" s="64"/>
      <c r="S1998" s="108"/>
      <c r="T1998" s="203">
        <f t="shared" si="1235"/>
        <v>43647</v>
      </c>
      <c r="U1998" s="204">
        <f t="shared" si="1236"/>
        <v>43677</v>
      </c>
      <c r="V1998" s="207">
        <f t="shared" si="1234"/>
        <v>0</v>
      </c>
      <c r="W1998" s="206" t="str">
        <f t="shared" si="1231"/>
        <v/>
      </c>
      <c r="X1998" s="206">
        <f t="shared" si="1232"/>
        <v>0</v>
      </c>
      <c r="Y1998" s="209">
        <f t="shared" si="1233"/>
        <v>0</v>
      </c>
    </row>
    <row r="1999" spans="2:25" ht="16.5" hidden="1" thickTop="1" thickBot="1" x14ac:dyDescent="0.3">
      <c r="B1999" s="86">
        <f>B1994</f>
        <v>2</v>
      </c>
      <c r="C1999" s="103">
        <v>13</v>
      </c>
      <c r="D1999" s="193" t="str">
        <f t="shared" si="1230"/>
        <v>VII</v>
      </c>
      <c r="E1999" s="87"/>
      <c r="F1999" s="106"/>
      <c r="G1999" s="106"/>
      <c r="H1999" s="88"/>
      <c r="I1999" s="88"/>
      <c r="J1999" s="87"/>
      <c r="K1999" s="89"/>
      <c r="L1999" s="88"/>
      <c r="M1999" s="88"/>
      <c r="N1999" s="115"/>
      <c r="O1999" s="116"/>
      <c r="P1999" s="117"/>
      <c r="Q1999" s="118"/>
      <c r="R1999" s="90"/>
      <c r="S1999" s="109"/>
      <c r="T1999" s="203">
        <f t="shared" si="1235"/>
        <v>43647</v>
      </c>
      <c r="U1999" s="204">
        <f t="shared" si="1236"/>
        <v>43677</v>
      </c>
      <c r="V1999" s="207">
        <f t="shared" si="1234"/>
        <v>0</v>
      </c>
      <c r="W1999" s="206" t="str">
        <f t="shared" si="1231"/>
        <v/>
      </c>
      <c r="X1999" s="206">
        <f t="shared" si="1232"/>
        <v>0</v>
      </c>
      <c r="Y1999" s="209">
        <f t="shared" si="1233"/>
        <v>0</v>
      </c>
    </row>
    <row r="2000" spans="2:25" ht="16.5" hidden="1" thickTop="1" thickBot="1" x14ac:dyDescent="0.3">
      <c r="B2000" s="141">
        <f>B1994</f>
        <v>2</v>
      </c>
      <c r="C2000" s="142">
        <v>14</v>
      </c>
      <c r="D2000" s="194" t="str">
        <f t="shared" si="1230"/>
        <v>VII</v>
      </c>
      <c r="E2000" s="143"/>
      <c r="F2000" s="144"/>
      <c r="G2000" s="144"/>
      <c r="H2000" s="145"/>
      <c r="I2000" s="145"/>
      <c r="J2000" s="436" t="s">
        <v>181</v>
      </c>
      <c r="K2000" s="437"/>
      <c r="L2000" s="438"/>
      <c r="M2000" s="145"/>
      <c r="N2000" s="146"/>
      <c r="O2000" s="147"/>
      <c r="P2000" s="148"/>
      <c r="Q2000" s="149"/>
      <c r="R2000" s="150"/>
      <c r="S2000" s="151"/>
      <c r="T2000" s="213">
        <f t="shared" si="1235"/>
        <v>43647</v>
      </c>
      <c r="U2000" s="214">
        <f t="shared" si="1236"/>
        <v>43677</v>
      </c>
      <c r="V2000" s="210">
        <f t="shared" si="1234"/>
        <v>0</v>
      </c>
      <c r="W2000" s="211"/>
      <c r="X2000" s="211">
        <f>IF(AND($V2000&gt;0,$I2000=1),IF($E2000=10,P2000/10,P2000/$V2000),0)</f>
        <v>0</v>
      </c>
      <c r="Y2000" s="212">
        <f>IF(AND($V1994&gt;0,$I2000&lt;&gt;1),Q2000/E1994*V1994,0)</f>
        <v>0</v>
      </c>
    </row>
    <row r="2001" spans="2:25" ht="16.5" hidden="1" thickTop="1" thickBot="1" x14ac:dyDescent="0.3">
      <c r="B2001" s="129">
        <f>B1999+1</f>
        <v>3</v>
      </c>
      <c r="C2001" s="130">
        <v>15</v>
      </c>
      <c r="D2001" s="196" t="str">
        <f t="shared" si="1230"/>
        <v>VII</v>
      </c>
      <c r="E2001" s="152"/>
      <c r="F2001" s="153"/>
      <c r="G2001" s="153"/>
      <c r="H2001" s="154"/>
      <c r="I2001" s="154"/>
      <c r="J2001" s="152"/>
      <c r="K2001" s="155"/>
      <c r="L2001" s="154"/>
      <c r="M2001" s="154"/>
      <c r="N2001" s="156"/>
      <c r="O2001" s="157"/>
      <c r="P2001" s="158"/>
      <c r="Q2001" s="159"/>
      <c r="R2001" s="160"/>
      <c r="S2001" s="161"/>
      <c r="T2001" s="203">
        <f t="shared" si="1235"/>
        <v>43647</v>
      </c>
      <c r="U2001" s="204">
        <f t="shared" si="1236"/>
        <v>43677</v>
      </c>
      <c r="V2001" s="207">
        <f>IF(G2001-F2001+1-IF(G2001-U2001&gt;0,G2001-U2001,0)-IF(T2001-F2001&gt;0,T2001-F2001,0)&gt;0,G2001-F2001+1-IF(G2001-U2001&gt;0,G2001-U2001,0)-IF(T2001-F2001&gt;0,T2001-F2001,0),0)</f>
        <v>0</v>
      </c>
      <c r="W2001" s="206" t="str">
        <f t="shared" ref="W2001:W2006" si="1237">IF(V2001&gt;0,H2001,"")</f>
        <v/>
      </c>
      <c r="X2001" s="206">
        <f t="shared" ref="X2001:X2006" si="1238">IF(AND($V2001&gt;0,$I2001=1),P2001/$E2001*$V2001,0)</f>
        <v>0</v>
      </c>
      <c r="Y2001" s="209">
        <f t="shared" ref="Y2001:Y2006" si="1239">IF(AND($V2001&gt;0,$I2001&lt;&gt;1),Q2001/$E2001*$V2001,0)</f>
        <v>0</v>
      </c>
    </row>
    <row r="2002" spans="2:25" ht="16.5" hidden="1" thickTop="1" thickBot="1" x14ac:dyDescent="0.3">
      <c r="B2002" s="60">
        <f>B2001</f>
        <v>3</v>
      </c>
      <c r="C2002" s="102">
        <v>16</v>
      </c>
      <c r="D2002" s="192" t="str">
        <f t="shared" si="1230"/>
        <v>VII</v>
      </c>
      <c r="E2002" s="162"/>
      <c r="F2002" s="163"/>
      <c r="G2002" s="163"/>
      <c r="H2002" s="164"/>
      <c r="I2002" s="164"/>
      <c r="J2002" s="162"/>
      <c r="K2002" s="165"/>
      <c r="L2002" s="164"/>
      <c r="M2002" s="164"/>
      <c r="N2002" s="166"/>
      <c r="O2002" s="167"/>
      <c r="P2002" s="168"/>
      <c r="Q2002" s="169"/>
      <c r="R2002" s="170"/>
      <c r="S2002" s="171"/>
      <c r="T2002" s="203">
        <f t="shared" si="1235"/>
        <v>43647</v>
      </c>
      <c r="U2002" s="204">
        <f t="shared" si="1236"/>
        <v>43677</v>
      </c>
      <c r="V2002" s="207">
        <f t="shared" ref="V2002:V2007" si="1240">IF(G2002-F2002+1-IF(G2002-U2002&gt;0,G2002-U2002,0)-IF(T2002-F2002&gt;0,T2002-F2002,0)&gt;0,G2002-F2002+1-IF(G2002-U2002&gt;0,G2002-U2002,0)-IF(T2002-F2002&gt;0,T2002-F2002,0),0)</f>
        <v>0</v>
      </c>
      <c r="W2002" s="206" t="str">
        <f t="shared" si="1237"/>
        <v/>
      </c>
      <c r="X2002" s="206">
        <f t="shared" si="1238"/>
        <v>0</v>
      </c>
      <c r="Y2002" s="209">
        <f t="shared" si="1239"/>
        <v>0</v>
      </c>
    </row>
    <row r="2003" spans="2:25" ht="16.5" hidden="1" thickTop="1" thickBot="1" x14ac:dyDescent="0.3">
      <c r="B2003" s="60">
        <f>B2001</f>
        <v>3</v>
      </c>
      <c r="C2003" s="102">
        <v>17</v>
      </c>
      <c r="D2003" s="192" t="str">
        <f t="shared" si="1230"/>
        <v>VII</v>
      </c>
      <c r="E2003" s="162"/>
      <c r="F2003" s="163"/>
      <c r="G2003" s="163"/>
      <c r="H2003" s="164"/>
      <c r="I2003" s="164"/>
      <c r="J2003" s="162"/>
      <c r="K2003" s="165"/>
      <c r="L2003" s="164"/>
      <c r="M2003" s="164"/>
      <c r="N2003" s="166"/>
      <c r="O2003" s="167"/>
      <c r="P2003" s="168"/>
      <c r="Q2003" s="169"/>
      <c r="R2003" s="170"/>
      <c r="S2003" s="171"/>
      <c r="T2003" s="203">
        <f t="shared" si="1235"/>
        <v>43647</v>
      </c>
      <c r="U2003" s="204">
        <f t="shared" si="1236"/>
        <v>43677</v>
      </c>
      <c r="V2003" s="207">
        <f t="shared" si="1240"/>
        <v>0</v>
      </c>
      <c r="W2003" s="206" t="str">
        <f t="shared" si="1237"/>
        <v/>
      </c>
      <c r="X2003" s="206">
        <f t="shared" si="1238"/>
        <v>0</v>
      </c>
      <c r="Y2003" s="209">
        <f t="shared" si="1239"/>
        <v>0</v>
      </c>
    </row>
    <row r="2004" spans="2:25" ht="16.5" hidden="1" thickTop="1" thickBot="1" x14ac:dyDescent="0.3">
      <c r="B2004" s="60">
        <f>B2001</f>
        <v>3</v>
      </c>
      <c r="C2004" s="102">
        <v>18</v>
      </c>
      <c r="D2004" s="192" t="str">
        <f t="shared" si="1230"/>
        <v>VII</v>
      </c>
      <c r="E2004" s="162"/>
      <c r="F2004" s="163"/>
      <c r="G2004" s="163"/>
      <c r="H2004" s="164"/>
      <c r="I2004" s="164"/>
      <c r="J2004" s="162"/>
      <c r="K2004" s="165"/>
      <c r="L2004" s="164"/>
      <c r="M2004" s="164"/>
      <c r="N2004" s="166"/>
      <c r="O2004" s="167"/>
      <c r="P2004" s="168"/>
      <c r="Q2004" s="169"/>
      <c r="R2004" s="170"/>
      <c r="S2004" s="171"/>
      <c r="T2004" s="203">
        <f t="shared" si="1235"/>
        <v>43647</v>
      </c>
      <c r="U2004" s="204">
        <f t="shared" si="1236"/>
        <v>43677</v>
      </c>
      <c r="V2004" s="207">
        <f t="shared" si="1240"/>
        <v>0</v>
      </c>
      <c r="W2004" s="206" t="str">
        <f t="shared" si="1237"/>
        <v/>
      </c>
      <c r="X2004" s="206">
        <f t="shared" si="1238"/>
        <v>0</v>
      </c>
      <c r="Y2004" s="209">
        <f t="shared" si="1239"/>
        <v>0</v>
      </c>
    </row>
    <row r="2005" spans="2:25" ht="16.5" hidden="1" thickTop="1" thickBot="1" x14ac:dyDescent="0.3">
      <c r="B2005" s="60">
        <f>B2001</f>
        <v>3</v>
      </c>
      <c r="C2005" s="102">
        <v>19</v>
      </c>
      <c r="D2005" s="192" t="str">
        <f t="shared" si="1230"/>
        <v>VII</v>
      </c>
      <c r="E2005" s="162"/>
      <c r="F2005" s="163"/>
      <c r="G2005" s="163"/>
      <c r="H2005" s="164"/>
      <c r="I2005" s="164"/>
      <c r="J2005" s="162"/>
      <c r="K2005" s="165"/>
      <c r="L2005" s="164"/>
      <c r="M2005" s="164"/>
      <c r="N2005" s="166"/>
      <c r="O2005" s="167"/>
      <c r="P2005" s="168"/>
      <c r="Q2005" s="169"/>
      <c r="R2005" s="170"/>
      <c r="S2005" s="171"/>
      <c r="T2005" s="203">
        <f t="shared" si="1235"/>
        <v>43647</v>
      </c>
      <c r="U2005" s="204">
        <f t="shared" si="1236"/>
        <v>43677</v>
      </c>
      <c r="V2005" s="207">
        <f t="shared" si="1240"/>
        <v>0</v>
      </c>
      <c r="W2005" s="206" t="str">
        <f t="shared" si="1237"/>
        <v/>
      </c>
      <c r="X2005" s="206">
        <f t="shared" si="1238"/>
        <v>0</v>
      </c>
      <c r="Y2005" s="209">
        <f t="shared" si="1239"/>
        <v>0</v>
      </c>
    </row>
    <row r="2006" spans="2:25" ht="16.5" hidden="1" thickTop="1" thickBot="1" x14ac:dyDescent="0.3">
      <c r="B2006" s="60">
        <f>B2001</f>
        <v>3</v>
      </c>
      <c r="C2006" s="102">
        <v>20</v>
      </c>
      <c r="D2006" s="192" t="str">
        <f t="shared" si="1230"/>
        <v>VII</v>
      </c>
      <c r="E2006" s="172"/>
      <c r="F2006" s="173"/>
      <c r="G2006" s="173"/>
      <c r="H2006" s="174"/>
      <c r="I2006" s="174"/>
      <c r="J2006" s="172"/>
      <c r="K2006" s="175"/>
      <c r="L2006" s="174"/>
      <c r="M2006" s="174"/>
      <c r="N2006" s="176"/>
      <c r="O2006" s="177"/>
      <c r="P2006" s="178"/>
      <c r="Q2006" s="179"/>
      <c r="R2006" s="180"/>
      <c r="S2006" s="181"/>
      <c r="T2006" s="203">
        <f t="shared" si="1235"/>
        <v>43647</v>
      </c>
      <c r="U2006" s="204">
        <f t="shared" si="1236"/>
        <v>43677</v>
      </c>
      <c r="V2006" s="207">
        <f t="shared" si="1240"/>
        <v>0</v>
      </c>
      <c r="W2006" s="206" t="str">
        <f t="shared" si="1237"/>
        <v/>
      </c>
      <c r="X2006" s="206">
        <f t="shared" si="1238"/>
        <v>0</v>
      </c>
      <c r="Y2006" s="209">
        <f t="shared" si="1239"/>
        <v>0</v>
      </c>
    </row>
    <row r="2007" spans="2:25" ht="16.5" hidden="1" thickTop="1" thickBot="1" x14ac:dyDescent="0.3">
      <c r="B2007" s="141">
        <f>B2001</f>
        <v>3</v>
      </c>
      <c r="C2007" s="142">
        <v>21</v>
      </c>
      <c r="D2007" s="194" t="str">
        <f t="shared" si="1230"/>
        <v>VII</v>
      </c>
      <c r="E2007" s="189"/>
      <c r="F2007" s="190"/>
      <c r="G2007" s="190"/>
      <c r="H2007" s="182"/>
      <c r="I2007" s="182"/>
      <c r="J2007" s="436" t="s">
        <v>181</v>
      </c>
      <c r="K2007" s="437"/>
      <c r="L2007" s="438"/>
      <c r="M2007" s="182"/>
      <c r="N2007" s="183"/>
      <c r="O2007" s="184"/>
      <c r="P2007" s="185"/>
      <c r="Q2007" s="186"/>
      <c r="R2007" s="187"/>
      <c r="S2007" s="188"/>
      <c r="T2007" s="213">
        <f t="shared" si="1235"/>
        <v>43647</v>
      </c>
      <c r="U2007" s="214">
        <f t="shared" si="1236"/>
        <v>43677</v>
      </c>
      <c r="V2007" s="210">
        <f t="shared" si="1240"/>
        <v>0</v>
      </c>
      <c r="W2007" s="211"/>
      <c r="X2007" s="211">
        <f>IF(AND($V2007&gt;0,$I2007=1),IF($E2007=10,P2007/10,P2007/$V2007),0)</f>
        <v>0</v>
      </c>
      <c r="Y2007" s="212">
        <f>IF(AND($V2001&gt;0,$I2007&lt;&gt;1),Q2007/E2001*V2001,0)</f>
        <v>0</v>
      </c>
    </row>
    <row r="2008" spans="2:25" ht="16.5" hidden="1" thickTop="1" thickBot="1" x14ac:dyDescent="0.3">
      <c r="B2008" s="129">
        <f>B2006+1</f>
        <v>4</v>
      </c>
      <c r="C2008" s="130">
        <v>22</v>
      </c>
      <c r="D2008" s="196" t="str">
        <f t="shared" si="1230"/>
        <v>VII</v>
      </c>
      <c r="E2008" s="131"/>
      <c r="F2008" s="132"/>
      <c r="G2008" s="132"/>
      <c r="H2008" s="133"/>
      <c r="I2008" s="133"/>
      <c r="J2008" s="131"/>
      <c r="K2008" s="134"/>
      <c r="L2008" s="133"/>
      <c r="M2008" s="133"/>
      <c r="N2008" s="135"/>
      <c r="O2008" s="136"/>
      <c r="P2008" s="137"/>
      <c r="Q2008" s="138"/>
      <c r="R2008" s="139"/>
      <c r="S2008" s="140"/>
      <c r="T2008" s="203">
        <f t="shared" si="1235"/>
        <v>43647</v>
      </c>
      <c r="U2008" s="204">
        <f t="shared" si="1236"/>
        <v>43677</v>
      </c>
      <c r="V2008" s="207">
        <f>IF(G2008-F2008+1-IF(G2008-U2008&gt;0,G2008-U2008,0)-IF(T2008-F2008&gt;0,T2008-F2008,0)&gt;0,G2008-F2008+1-IF(G2008-U2008&gt;0,G2008-U2008,0)-IF(T2008-F2008&gt;0,T2008-F2008,0),0)</f>
        <v>0</v>
      </c>
      <c r="W2008" s="206" t="str">
        <f t="shared" ref="W2008:W2013" si="1241">IF(V2008&gt;0,H2008,"")</f>
        <v/>
      </c>
      <c r="X2008" s="206">
        <f t="shared" ref="X2008:X2013" si="1242">IF(AND($V2008&gt;0,$I2008=1),P2008/$E2008*$V2008,0)</f>
        <v>0</v>
      </c>
      <c r="Y2008" s="209">
        <f t="shared" ref="Y2008:Y2013" si="1243">IF(AND($V2008&gt;0,$I2008&lt;&gt;1),Q2008/$E2008*$V2008,0)</f>
        <v>0</v>
      </c>
    </row>
    <row r="2009" spans="2:25" ht="16.5" hidden="1" thickTop="1" thickBot="1" x14ac:dyDescent="0.3">
      <c r="B2009" s="60">
        <f>B2008</f>
        <v>4</v>
      </c>
      <c r="C2009" s="102">
        <v>23</v>
      </c>
      <c r="D2009" s="192" t="str">
        <f t="shared" si="1230"/>
        <v>VII</v>
      </c>
      <c r="E2009" s="62"/>
      <c r="F2009" s="105"/>
      <c r="G2009" s="105"/>
      <c r="H2009" s="61"/>
      <c r="I2009" s="61"/>
      <c r="J2009" s="62"/>
      <c r="K2009" s="63"/>
      <c r="L2009" s="61"/>
      <c r="M2009" s="61"/>
      <c r="N2009" s="111"/>
      <c r="O2009" s="112"/>
      <c r="P2009" s="113"/>
      <c r="Q2009" s="114"/>
      <c r="R2009" s="64"/>
      <c r="S2009" s="108"/>
      <c r="T2009" s="203">
        <f t="shared" si="1235"/>
        <v>43647</v>
      </c>
      <c r="U2009" s="204">
        <f t="shared" si="1236"/>
        <v>43677</v>
      </c>
      <c r="V2009" s="207">
        <f t="shared" ref="V2009:V2014" si="1244">IF(G2009-F2009+1-IF(G2009-U2009&gt;0,G2009-U2009,0)-IF(T2009-F2009&gt;0,T2009-F2009,0)&gt;0,G2009-F2009+1-IF(G2009-U2009&gt;0,G2009-U2009,0)-IF(T2009-F2009&gt;0,T2009-F2009,0),0)</f>
        <v>0</v>
      </c>
      <c r="W2009" s="206" t="str">
        <f t="shared" si="1241"/>
        <v/>
      </c>
      <c r="X2009" s="206">
        <f t="shared" si="1242"/>
        <v>0</v>
      </c>
      <c r="Y2009" s="209">
        <f t="shared" si="1243"/>
        <v>0</v>
      </c>
    </row>
    <row r="2010" spans="2:25" ht="16.5" hidden="1" thickTop="1" thickBot="1" x14ac:dyDescent="0.3">
      <c r="B2010" s="60">
        <f>B2008</f>
        <v>4</v>
      </c>
      <c r="C2010" s="102">
        <v>24</v>
      </c>
      <c r="D2010" s="192" t="str">
        <f t="shared" si="1230"/>
        <v>VII</v>
      </c>
      <c r="E2010" s="62"/>
      <c r="F2010" s="105"/>
      <c r="G2010" s="105"/>
      <c r="H2010" s="61"/>
      <c r="I2010" s="61"/>
      <c r="J2010" s="62"/>
      <c r="K2010" s="63"/>
      <c r="L2010" s="61"/>
      <c r="M2010" s="61"/>
      <c r="N2010" s="111"/>
      <c r="O2010" s="112"/>
      <c r="P2010" s="113"/>
      <c r="Q2010" s="114"/>
      <c r="R2010" s="64"/>
      <c r="S2010" s="108"/>
      <c r="T2010" s="203">
        <f t="shared" si="1235"/>
        <v>43647</v>
      </c>
      <c r="U2010" s="204">
        <f t="shared" si="1236"/>
        <v>43677</v>
      </c>
      <c r="V2010" s="207">
        <f t="shared" si="1244"/>
        <v>0</v>
      </c>
      <c r="W2010" s="206" t="str">
        <f t="shared" si="1241"/>
        <v/>
      </c>
      <c r="X2010" s="206">
        <f t="shared" si="1242"/>
        <v>0</v>
      </c>
      <c r="Y2010" s="209">
        <f t="shared" si="1243"/>
        <v>0</v>
      </c>
    </row>
    <row r="2011" spans="2:25" ht="16.5" hidden="1" thickTop="1" thickBot="1" x14ac:dyDescent="0.3">
      <c r="B2011" s="60">
        <f>B2008</f>
        <v>4</v>
      </c>
      <c r="C2011" s="102">
        <v>25</v>
      </c>
      <c r="D2011" s="192" t="str">
        <f t="shared" si="1230"/>
        <v>VII</v>
      </c>
      <c r="E2011" s="62"/>
      <c r="F2011" s="105"/>
      <c r="G2011" s="105"/>
      <c r="H2011" s="61"/>
      <c r="I2011" s="61"/>
      <c r="J2011" s="62"/>
      <c r="K2011" s="63"/>
      <c r="L2011" s="61"/>
      <c r="M2011" s="61"/>
      <c r="N2011" s="111"/>
      <c r="O2011" s="112"/>
      <c r="P2011" s="113"/>
      <c r="Q2011" s="114"/>
      <c r="R2011" s="64"/>
      <c r="S2011" s="108"/>
      <c r="T2011" s="203">
        <f t="shared" si="1235"/>
        <v>43647</v>
      </c>
      <c r="U2011" s="204">
        <f t="shared" si="1236"/>
        <v>43677</v>
      </c>
      <c r="V2011" s="207">
        <f t="shared" si="1244"/>
        <v>0</v>
      </c>
      <c r="W2011" s="206" t="str">
        <f t="shared" si="1241"/>
        <v/>
      </c>
      <c r="X2011" s="206">
        <f t="shared" si="1242"/>
        <v>0</v>
      </c>
      <c r="Y2011" s="209">
        <f t="shared" si="1243"/>
        <v>0</v>
      </c>
    </row>
    <row r="2012" spans="2:25" ht="16.5" hidden="1" thickTop="1" thickBot="1" x14ac:dyDescent="0.3">
      <c r="B2012" s="60">
        <f>B2008</f>
        <v>4</v>
      </c>
      <c r="C2012" s="102">
        <v>26</v>
      </c>
      <c r="D2012" s="192" t="str">
        <f t="shared" si="1230"/>
        <v>VII</v>
      </c>
      <c r="E2012" s="62"/>
      <c r="F2012" s="105"/>
      <c r="G2012" s="105"/>
      <c r="H2012" s="61"/>
      <c r="I2012" s="61"/>
      <c r="J2012" s="62"/>
      <c r="K2012" s="63"/>
      <c r="L2012" s="61"/>
      <c r="M2012" s="61"/>
      <c r="N2012" s="111"/>
      <c r="O2012" s="112"/>
      <c r="P2012" s="113"/>
      <c r="Q2012" s="114"/>
      <c r="R2012" s="64"/>
      <c r="S2012" s="108"/>
      <c r="T2012" s="203">
        <f t="shared" si="1235"/>
        <v>43647</v>
      </c>
      <c r="U2012" s="204">
        <f t="shared" si="1236"/>
        <v>43677</v>
      </c>
      <c r="V2012" s="207">
        <f t="shared" si="1244"/>
        <v>0</v>
      </c>
      <c r="W2012" s="206" t="str">
        <f t="shared" si="1241"/>
        <v/>
      </c>
      <c r="X2012" s="206">
        <f t="shared" si="1242"/>
        <v>0</v>
      </c>
      <c r="Y2012" s="209">
        <f t="shared" si="1243"/>
        <v>0</v>
      </c>
    </row>
    <row r="2013" spans="2:25" ht="16.5" hidden="1" thickTop="1" thickBot="1" x14ac:dyDescent="0.3">
      <c r="B2013" s="60">
        <f>B2008</f>
        <v>4</v>
      </c>
      <c r="C2013" s="102">
        <v>27</v>
      </c>
      <c r="D2013" s="192" t="str">
        <f t="shared" si="1230"/>
        <v>VII</v>
      </c>
      <c r="E2013" s="62"/>
      <c r="F2013" s="105"/>
      <c r="G2013" s="105"/>
      <c r="H2013" s="61"/>
      <c r="I2013" s="61"/>
      <c r="J2013" s="62"/>
      <c r="K2013" s="63"/>
      <c r="L2013" s="61"/>
      <c r="M2013" s="61"/>
      <c r="N2013" s="111"/>
      <c r="O2013" s="112"/>
      <c r="P2013" s="113"/>
      <c r="Q2013" s="114"/>
      <c r="R2013" s="64"/>
      <c r="S2013" s="108"/>
      <c r="T2013" s="203">
        <f t="shared" si="1235"/>
        <v>43647</v>
      </c>
      <c r="U2013" s="204">
        <f t="shared" si="1236"/>
        <v>43677</v>
      </c>
      <c r="V2013" s="207">
        <f t="shared" si="1244"/>
        <v>0</v>
      </c>
      <c r="W2013" s="206" t="str">
        <f t="shared" si="1241"/>
        <v/>
      </c>
      <c r="X2013" s="206">
        <f t="shared" si="1242"/>
        <v>0</v>
      </c>
      <c r="Y2013" s="209">
        <f t="shared" si="1243"/>
        <v>0</v>
      </c>
    </row>
    <row r="2014" spans="2:25" ht="16.5" hidden="1" thickTop="1" thickBot="1" x14ac:dyDescent="0.3">
      <c r="B2014" s="141">
        <f>B2008</f>
        <v>4</v>
      </c>
      <c r="C2014" s="142">
        <v>28</v>
      </c>
      <c r="D2014" s="194" t="str">
        <f t="shared" si="1230"/>
        <v>VII</v>
      </c>
      <c r="E2014" s="143"/>
      <c r="F2014" s="144"/>
      <c r="G2014" s="144"/>
      <c r="H2014" s="145"/>
      <c r="I2014" s="145"/>
      <c r="J2014" s="436" t="s">
        <v>181</v>
      </c>
      <c r="K2014" s="437"/>
      <c r="L2014" s="438"/>
      <c r="M2014" s="145"/>
      <c r="N2014" s="146"/>
      <c r="O2014" s="147"/>
      <c r="P2014" s="148"/>
      <c r="Q2014" s="149"/>
      <c r="R2014" s="150"/>
      <c r="S2014" s="151"/>
      <c r="T2014" s="213">
        <f t="shared" si="1235"/>
        <v>43647</v>
      </c>
      <c r="U2014" s="214">
        <f t="shared" si="1236"/>
        <v>43677</v>
      </c>
      <c r="V2014" s="210">
        <f t="shared" si="1244"/>
        <v>0</v>
      </c>
      <c r="W2014" s="211"/>
      <c r="X2014" s="211">
        <f>IF(AND($V2014&gt;0,$I2014=1),IF($E2014=10,P2014/10,P2014/$V2014),0)</f>
        <v>0</v>
      </c>
      <c r="Y2014" s="212">
        <f>IF(AND($V2008&gt;0,$I2014&lt;&gt;1),Q2014/E2008*V2008,0)</f>
        <v>0</v>
      </c>
    </row>
    <row r="2015" spans="2:25" ht="16.5" hidden="1" thickTop="1" thickBot="1" x14ac:dyDescent="0.3">
      <c r="B2015" s="129">
        <f>B2013+1</f>
        <v>5</v>
      </c>
      <c r="C2015" s="130">
        <v>29</v>
      </c>
      <c r="D2015" s="196" t="str">
        <f t="shared" si="1230"/>
        <v>VII</v>
      </c>
      <c r="E2015" s="152"/>
      <c r="F2015" s="153"/>
      <c r="G2015" s="153"/>
      <c r="H2015" s="154"/>
      <c r="I2015" s="154"/>
      <c r="J2015" s="152"/>
      <c r="K2015" s="155"/>
      <c r="L2015" s="154"/>
      <c r="M2015" s="154"/>
      <c r="N2015" s="156"/>
      <c r="O2015" s="157"/>
      <c r="P2015" s="158"/>
      <c r="Q2015" s="159"/>
      <c r="R2015" s="160"/>
      <c r="S2015" s="161"/>
      <c r="T2015" s="203">
        <f t="shared" si="1235"/>
        <v>43647</v>
      </c>
      <c r="U2015" s="204">
        <f t="shared" si="1236"/>
        <v>43677</v>
      </c>
      <c r="V2015" s="207">
        <f>IF(G2015-F2015+1-IF(G2015-U2015&gt;0,G2015-U2015,0)-IF(T2015-F2015&gt;0,T2015-F2015,0)&gt;0,G2015-F2015+1-IF(G2015-U2015&gt;0,G2015-U2015,0)-IF(T2015-F2015&gt;0,T2015-F2015,0),0)</f>
        <v>0</v>
      </c>
      <c r="W2015" s="206" t="str">
        <f t="shared" ref="W2015:W2020" si="1245">IF(V2015&gt;0,H2015,"")</f>
        <v/>
      </c>
      <c r="X2015" s="206">
        <f t="shared" ref="X2015:X2020" si="1246">IF(AND($V2015&gt;0,$I2015=1),P2015/$E2015*$V2015,0)</f>
        <v>0</v>
      </c>
      <c r="Y2015" s="209">
        <f t="shared" ref="Y2015:Y2020" si="1247">IF(AND($V2015&gt;0,$I2015&lt;&gt;1),Q2015/$E2015*$V2015,0)</f>
        <v>0</v>
      </c>
    </row>
    <row r="2016" spans="2:25" ht="16.5" hidden="1" thickTop="1" thickBot="1" x14ac:dyDescent="0.3">
      <c r="B2016" s="60">
        <f>B2015</f>
        <v>5</v>
      </c>
      <c r="C2016" s="102">
        <v>30</v>
      </c>
      <c r="D2016" s="192" t="str">
        <f t="shared" si="1230"/>
        <v>VII</v>
      </c>
      <c r="E2016" s="162"/>
      <c r="F2016" s="163"/>
      <c r="G2016" s="163"/>
      <c r="H2016" s="164"/>
      <c r="I2016" s="164"/>
      <c r="J2016" s="162"/>
      <c r="K2016" s="165"/>
      <c r="L2016" s="164"/>
      <c r="M2016" s="164"/>
      <c r="N2016" s="166"/>
      <c r="O2016" s="167"/>
      <c r="P2016" s="168"/>
      <c r="Q2016" s="169"/>
      <c r="R2016" s="170"/>
      <c r="S2016" s="171"/>
      <c r="T2016" s="203">
        <f t="shared" si="1235"/>
        <v>43647</v>
      </c>
      <c r="U2016" s="204">
        <f t="shared" si="1236"/>
        <v>43677</v>
      </c>
      <c r="V2016" s="207">
        <f t="shared" ref="V2016:V2021" si="1248">IF(G2016-F2016+1-IF(G2016-U2016&gt;0,G2016-U2016,0)-IF(T2016-F2016&gt;0,T2016-F2016,0)&gt;0,G2016-F2016+1-IF(G2016-U2016&gt;0,G2016-U2016,0)-IF(T2016-F2016&gt;0,T2016-F2016,0),0)</f>
        <v>0</v>
      </c>
      <c r="W2016" s="206" t="str">
        <f t="shared" si="1245"/>
        <v/>
      </c>
      <c r="X2016" s="206">
        <f t="shared" si="1246"/>
        <v>0</v>
      </c>
      <c r="Y2016" s="209">
        <f t="shared" si="1247"/>
        <v>0</v>
      </c>
    </row>
    <row r="2017" spans="2:25" ht="16.5" hidden="1" thickTop="1" thickBot="1" x14ac:dyDescent="0.3">
      <c r="B2017" s="60">
        <f>B2015</f>
        <v>5</v>
      </c>
      <c r="C2017" s="102">
        <v>31</v>
      </c>
      <c r="D2017" s="192" t="str">
        <f t="shared" si="1230"/>
        <v>VII</v>
      </c>
      <c r="E2017" s="162"/>
      <c r="F2017" s="163"/>
      <c r="G2017" s="163"/>
      <c r="H2017" s="164"/>
      <c r="I2017" s="164"/>
      <c r="J2017" s="162"/>
      <c r="K2017" s="165"/>
      <c r="L2017" s="164"/>
      <c r="M2017" s="164"/>
      <c r="N2017" s="166"/>
      <c r="O2017" s="167"/>
      <c r="P2017" s="168"/>
      <c r="Q2017" s="169"/>
      <c r="R2017" s="170"/>
      <c r="S2017" s="171"/>
      <c r="T2017" s="203">
        <f t="shared" si="1235"/>
        <v>43647</v>
      </c>
      <c r="U2017" s="204">
        <f t="shared" si="1236"/>
        <v>43677</v>
      </c>
      <c r="V2017" s="207">
        <f t="shared" si="1248"/>
        <v>0</v>
      </c>
      <c r="W2017" s="206" t="str">
        <f t="shared" si="1245"/>
        <v/>
      </c>
      <c r="X2017" s="206">
        <f t="shared" si="1246"/>
        <v>0</v>
      </c>
      <c r="Y2017" s="209">
        <f t="shared" si="1247"/>
        <v>0</v>
      </c>
    </row>
    <row r="2018" spans="2:25" ht="16.5" hidden="1" thickTop="1" thickBot="1" x14ac:dyDescent="0.3">
      <c r="B2018" s="60">
        <f>B2015</f>
        <v>5</v>
      </c>
      <c r="C2018" s="102">
        <v>32</v>
      </c>
      <c r="D2018" s="192" t="str">
        <f t="shared" si="1230"/>
        <v>VII</v>
      </c>
      <c r="E2018" s="162"/>
      <c r="F2018" s="163"/>
      <c r="G2018" s="163"/>
      <c r="H2018" s="164"/>
      <c r="I2018" s="164"/>
      <c r="J2018" s="162"/>
      <c r="K2018" s="165"/>
      <c r="L2018" s="164"/>
      <c r="M2018" s="164"/>
      <c r="N2018" s="166"/>
      <c r="O2018" s="167"/>
      <c r="P2018" s="168"/>
      <c r="Q2018" s="169"/>
      <c r="R2018" s="170"/>
      <c r="S2018" s="171"/>
      <c r="T2018" s="203">
        <f t="shared" si="1235"/>
        <v>43647</v>
      </c>
      <c r="U2018" s="204">
        <f t="shared" si="1236"/>
        <v>43677</v>
      </c>
      <c r="V2018" s="207">
        <f t="shared" si="1248"/>
        <v>0</v>
      </c>
      <c r="W2018" s="206" t="str">
        <f t="shared" si="1245"/>
        <v/>
      </c>
      <c r="X2018" s="206">
        <f t="shared" si="1246"/>
        <v>0</v>
      </c>
      <c r="Y2018" s="209">
        <f t="shared" si="1247"/>
        <v>0</v>
      </c>
    </row>
    <row r="2019" spans="2:25" ht="16.5" hidden="1" thickTop="1" thickBot="1" x14ac:dyDescent="0.3">
      <c r="B2019" s="60">
        <f>B2015</f>
        <v>5</v>
      </c>
      <c r="C2019" s="102">
        <v>33</v>
      </c>
      <c r="D2019" s="192" t="str">
        <f t="shared" si="1230"/>
        <v>VII</v>
      </c>
      <c r="E2019" s="162"/>
      <c r="F2019" s="163"/>
      <c r="G2019" s="163"/>
      <c r="H2019" s="164"/>
      <c r="I2019" s="164"/>
      <c r="J2019" s="162"/>
      <c r="K2019" s="165"/>
      <c r="L2019" s="164"/>
      <c r="M2019" s="164"/>
      <c r="N2019" s="166"/>
      <c r="O2019" s="167"/>
      <c r="P2019" s="168"/>
      <c r="Q2019" s="169"/>
      <c r="R2019" s="170"/>
      <c r="S2019" s="171"/>
      <c r="T2019" s="203">
        <f t="shared" si="1235"/>
        <v>43647</v>
      </c>
      <c r="U2019" s="204">
        <f t="shared" si="1236"/>
        <v>43677</v>
      </c>
      <c r="V2019" s="207">
        <f t="shared" si="1248"/>
        <v>0</v>
      </c>
      <c r="W2019" s="206" t="str">
        <f t="shared" si="1245"/>
        <v/>
      </c>
      <c r="X2019" s="206">
        <f t="shared" si="1246"/>
        <v>0</v>
      </c>
      <c r="Y2019" s="209">
        <f t="shared" si="1247"/>
        <v>0</v>
      </c>
    </row>
    <row r="2020" spans="2:25" ht="16.5" hidden="1" thickTop="1" thickBot="1" x14ac:dyDescent="0.3">
      <c r="B2020" s="60">
        <f>B2015</f>
        <v>5</v>
      </c>
      <c r="C2020" s="102">
        <v>34</v>
      </c>
      <c r="D2020" s="192" t="str">
        <f t="shared" si="1230"/>
        <v>VII</v>
      </c>
      <c r="E2020" s="172"/>
      <c r="F2020" s="173"/>
      <c r="G2020" s="173"/>
      <c r="H2020" s="174"/>
      <c r="I2020" s="174"/>
      <c r="J2020" s="172"/>
      <c r="K2020" s="175"/>
      <c r="L2020" s="174"/>
      <c r="M2020" s="174"/>
      <c r="N2020" s="176"/>
      <c r="O2020" s="177"/>
      <c r="P2020" s="178"/>
      <c r="Q2020" s="179"/>
      <c r="R2020" s="180"/>
      <c r="S2020" s="181"/>
      <c r="T2020" s="203">
        <f t="shared" si="1235"/>
        <v>43647</v>
      </c>
      <c r="U2020" s="204">
        <f t="shared" si="1236"/>
        <v>43677</v>
      </c>
      <c r="V2020" s="207">
        <f t="shared" si="1248"/>
        <v>0</v>
      </c>
      <c r="W2020" s="206" t="str">
        <f t="shared" si="1245"/>
        <v/>
      </c>
      <c r="X2020" s="206">
        <f t="shared" si="1246"/>
        <v>0</v>
      </c>
      <c r="Y2020" s="209">
        <f t="shared" si="1247"/>
        <v>0</v>
      </c>
    </row>
    <row r="2021" spans="2:25" ht="16.5" hidden="1" thickTop="1" thickBot="1" x14ac:dyDescent="0.3">
      <c r="B2021" s="141">
        <f>B2015</f>
        <v>5</v>
      </c>
      <c r="C2021" s="142">
        <v>35</v>
      </c>
      <c r="D2021" s="194" t="str">
        <f t="shared" si="1230"/>
        <v>VII</v>
      </c>
      <c r="E2021" s="189"/>
      <c r="F2021" s="190"/>
      <c r="G2021" s="190"/>
      <c r="H2021" s="182"/>
      <c r="I2021" s="182"/>
      <c r="J2021" s="436" t="s">
        <v>181</v>
      </c>
      <c r="K2021" s="437"/>
      <c r="L2021" s="438"/>
      <c r="M2021" s="182"/>
      <c r="N2021" s="183"/>
      <c r="O2021" s="184"/>
      <c r="P2021" s="185"/>
      <c r="Q2021" s="186"/>
      <c r="R2021" s="187"/>
      <c r="S2021" s="188"/>
      <c r="T2021" s="213">
        <f t="shared" si="1235"/>
        <v>43647</v>
      </c>
      <c r="U2021" s="214">
        <f t="shared" si="1236"/>
        <v>43677</v>
      </c>
      <c r="V2021" s="210">
        <f t="shared" si="1248"/>
        <v>0</v>
      </c>
      <c r="W2021" s="211"/>
      <c r="X2021" s="211">
        <f>IF(AND($V2021&gt;0,$I2021=1),IF($E2021=10,P2021/10,P2021/$V2021),0)</f>
        <v>0</v>
      </c>
      <c r="Y2021" s="212">
        <f>IF(AND($V2015&gt;0,$I2021&lt;&gt;1),Q2021/E2015*V2015,0)</f>
        <v>0</v>
      </c>
    </row>
    <row r="2022" spans="2:25" ht="16.5" hidden="1" thickTop="1" thickBot="1" x14ac:dyDescent="0.3">
      <c r="B2022" s="129">
        <f>B2020+1</f>
        <v>6</v>
      </c>
      <c r="C2022" s="130">
        <v>36</v>
      </c>
      <c r="D2022" s="196" t="str">
        <f t="shared" si="1230"/>
        <v>VII</v>
      </c>
      <c r="E2022" s="131"/>
      <c r="F2022" s="132"/>
      <c r="G2022" s="132"/>
      <c r="H2022" s="133"/>
      <c r="I2022" s="133"/>
      <c r="J2022" s="131"/>
      <c r="K2022" s="134"/>
      <c r="L2022" s="133"/>
      <c r="M2022" s="133"/>
      <c r="N2022" s="135"/>
      <c r="O2022" s="136"/>
      <c r="P2022" s="137"/>
      <c r="Q2022" s="138"/>
      <c r="R2022" s="139"/>
      <c r="S2022" s="140"/>
      <c r="T2022" s="203">
        <f t="shared" si="1235"/>
        <v>43647</v>
      </c>
      <c r="U2022" s="204">
        <f t="shared" si="1236"/>
        <v>43677</v>
      </c>
      <c r="V2022" s="207">
        <f>IF(G2022-F2022+1-IF(G2022-U2022&gt;0,G2022-U2022,0)-IF(T2022-F2022&gt;0,T2022-F2022,0)&gt;0,G2022-F2022+1-IF(G2022-U2022&gt;0,G2022-U2022,0)-IF(T2022-F2022&gt;0,T2022-F2022,0),0)</f>
        <v>0</v>
      </c>
      <c r="W2022" s="206" t="str">
        <f t="shared" ref="W2022:W2027" si="1249">IF(V2022&gt;0,H2022,"")</f>
        <v/>
      </c>
      <c r="X2022" s="206">
        <f t="shared" ref="X2022:X2027" si="1250">IF(AND($V2022&gt;0,$I2022=1),P2022/$E2022*$V2022,0)</f>
        <v>0</v>
      </c>
      <c r="Y2022" s="209">
        <f t="shared" ref="Y2022:Y2027" si="1251">IF(AND($V2022&gt;0,$I2022&lt;&gt;1),Q2022/$E2022*$V2022,0)</f>
        <v>0</v>
      </c>
    </row>
    <row r="2023" spans="2:25" ht="16.5" hidden="1" thickTop="1" thickBot="1" x14ac:dyDescent="0.3">
      <c r="B2023" s="60">
        <f>B2022</f>
        <v>6</v>
      </c>
      <c r="C2023" s="102">
        <v>37</v>
      </c>
      <c r="D2023" s="192" t="str">
        <f t="shared" si="1230"/>
        <v>VII</v>
      </c>
      <c r="E2023" s="62"/>
      <c r="F2023" s="105"/>
      <c r="G2023" s="105"/>
      <c r="H2023" s="61"/>
      <c r="I2023" s="61"/>
      <c r="J2023" s="62"/>
      <c r="K2023" s="63"/>
      <c r="L2023" s="61"/>
      <c r="M2023" s="61"/>
      <c r="N2023" s="111"/>
      <c r="O2023" s="112"/>
      <c r="P2023" s="113"/>
      <c r="Q2023" s="114"/>
      <c r="R2023" s="64"/>
      <c r="S2023" s="108"/>
      <c r="T2023" s="203">
        <f t="shared" si="1235"/>
        <v>43647</v>
      </c>
      <c r="U2023" s="204">
        <f t="shared" si="1236"/>
        <v>43677</v>
      </c>
      <c r="V2023" s="207">
        <f t="shared" ref="V2023:V2028" si="1252">IF(G2023-F2023+1-IF(G2023-U2023&gt;0,G2023-U2023,0)-IF(T2023-F2023&gt;0,T2023-F2023,0)&gt;0,G2023-F2023+1-IF(G2023-U2023&gt;0,G2023-U2023,0)-IF(T2023-F2023&gt;0,T2023-F2023,0),0)</f>
        <v>0</v>
      </c>
      <c r="W2023" s="206" t="str">
        <f t="shared" si="1249"/>
        <v/>
      </c>
      <c r="X2023" s="206">
        <f t="shared" si="1250"/>
        <v>0</v>
      </c>
      <c r="Y2023" s="209">
        <f t="shared" si="1251"/>
        <v>0</v>
      </c>
    </row>
    <row r="2024" spans="2:25" ht="16.5" hidden="1" thickTop="1" thickBot="1" x14ac:dyDescent="0.3">
      <c r="B2024" s="60">
        <f>B2022</f>
        <v>6</v>
      </c>
      <c r="C2024" s="102">
        <v>38</v>
      </c>
      <c r="D2024" s="192" t="str">
        <f t="shared" si="1230"/>
        <v>VII</v>
      </c>
      <c r="E2024" s="62"/>
      <c r="F2024" s="105"/>
      <c r="G2024" s="105"/>
      <c r="H2024" s="61"/>
      <c r="I2024" s="61"/>
      <c r="J2024" s="62"/>
      <c r="K2024" s="63"/>
      <c r="L2024" s="61"/>
      <c r="M2024" s="61"/>
      <c r="N2024" s="111"/>
      <c r="O2024" s="112"/>
      <c r="P2024" s="113"/>
      <c r="Q2024" s="114"/>
      <c r="R2024" s="64"/>
      <c r="S2024" s="108"/>
      <c r="T2024" s="203">
        <f t="shared" si="1235"/>
        <v>43647</v>
      </c>
      <c r="U2024" s="204">
        <f t="shared" si="1236"/>
        <v>43677</v>
      </c>
      <c r="V2024" s="207">
        <f t="shared" si="1252"/>
        <v>0</v>
      </c>
      <c r="W2024" s="206" t="str">
        <f t="shared" si="1249"/>
        <v/>
      </c>
      <c r="X2024" s="206">
        <f t="shared" si="1250"/>
        <v>0</v>
      </c>
      <c r="Y2024" s="209">
        <f t="shared" si="1251"/>
        <v>0</v>
      </c>
    </row>
    <row r="2025" spans="2:25" ht="16.5" hidden="1" thickTop="1" thickBot="1" x14ac:dyDescent="0.3">
      <c r="B2025" s="60">
        <f>B2022</f>
        <v>6</v>
      </c>
      <c r="C2025" s="102">
        <v>39</v>
      </c>
      <c r="D2025" s="192" t="str">
        <f t="shared" si="1230"/>
        <v>VII</v>
      </c>
      <c r="E2025" s="62"/>
      <c r="F2025" s="105"/>
      <c r="G2025" s="105"/>
      <c r="H2025" s="61"/>
      <c r="I2025" s="61"/>
      <c r="J2025" s="62"/>
      <c r="K2025" s="63"/>
      <c r="L2025" s="61"/>
      <c r="M2025" s="61"/>
      <c r="N2025" s="111"/>
      <c r="O2025" s="112"/>
      <c r="P2025" s="113"/>
      <c r="Q2025" s="114"/>
      <c r="R2025" s="64"/>
      <c r="S2025" s="108"/>
      <c r="T2025" s="203">
        <f t="shared" si="1235"/>
        <v>43647</v>
      </c>
      <c r="U2025" s="204">
        <f t="shared" si="1236"/>
        <v>43677</v>
      </c>
      <c r="V2025" s="207">
        <f t="shared" si="1252"/>
        <v>0</v>
      </c>
      <c r="W2025" s="206" t="str">
        <f t="shared" si="1249"/>
        <v/>
      </c>
      <c r="X2025" s="206">
        <f t="shared" si="1250"/>
        <v>0</v>
      </c>
      <c r="Y2025" s="209">
        <f t="shared" si="1251"/>
        <v>0</v>
      </c>
    </row>
    <row r="2026" spans="2:25" ht="16.5" hidden="1" thickTop="1" thickBot="1" x14ac:dyDescent="0.3">
      <c r="B2026" s="60">
        <f>B2022</f>
        <v>6</v>
      </c>
      <c r="C2026" s="102">
        <v>40</v>
      </c>
      <c r="D2026" s="192" t="str">
        <f t="shared" si="1230"/>
        <v>VII</v>
      </c>
      <c r="E2026" s="62"/>
      <c r="F2026" s="105"/>
      <c r="G2026" s="105"/>
      <c r="H2026" s="61"/>
      <c r="I2026" s="61"/>
      <c r="J2026" s="62"/>
      <c r="K2026" s="63"/>
      <c r="L2026" s="61"/>
      <c r="M2026" s="61"/>
      <c r="N2026" s="111"/>
      <c r="O2026" s="112"/>
      <c r="P2026" s="113"/>
      <c r="Q2026" s="114"/>
      <c r="R2026" s="64"/>
      <c r="S2026" s="108"/>
      <c r="T2026" s="203">
        <f t="shared" si="1235"/>
        <v>43647</v>
      </c>
      <c r="U2026" s="204">
        <f t="shared" si="1236"/>
        <v>43677</v>
      </c>
      <c r="V2026" s="207">
        <f t="shared" si="1252"/>
        <v>0</v>
      </c>
      <c r="W2026" s="206" t="str">
        <f t="shared" si="1249"/>
        <v/>
      </c>
      <c r="X2026" s="206">
        <f t="shared" si="1250"/>
        <v>0</v>
      </c>
      <c r="Y2026" s="209">
        <f t="shared" si="1251"/>
        <v>0</v>
      </c>
    </row>
    <row r="2027" spans="2:25" ht="16.5" hidden="1" thickTop="1" thickBot="1" x14ac:dyDescent="0.3">
      <c r="B2027" s="60">
        <f>B2022</f>
        <v>6</v>
      </c>
      <c r="C2027" s="102">
        <v>41</v>
      </c>
      <c r="D2027" s="192" t="str">
        <f t="shared" si="1230"/>
        <v>VII</v>
      </c>
      <c r="E2027" s="62"/>
      <c r="F2027" s="105"/>
      <c r="G2027" s="105"/>
      <c r="H2027" s="61"/>
      <c r="I2027" s="61"/>
      <c r="J2027" s="62"/>
      <c r="K2027" s="63"/>
      <c r="L2027" s="61"/>
      <c r="M2027" s="61"/>
      <c r="N2027" s="111"/>
      <c r="O2027" s="112"/>
      <c r="P2027" s="113"/>
      <c r="Q2027" s="114"/>
      <c r="R2027" s="64"/>
      <c r="S2027" s="108"/>
      <c r="T2027" s="203">
        <f t="shared" si="1235"/>
        <v>43647</v>
      </c>
      <c r="U2027" s="204">
        <f t="shared" si="1236"/>
        <v>43677</v>
      </c>
      <c r="V2027" s="207">
        <f t="shared" si="1252"/>
        <v>0</v>
      </c>
      <c r="W2027" s="206" t="str">
        <f t="shared" si="1249"/>
        <v/>
      </c>
      <c r="X2027" s="206">
        <f t="shared" si="1250"/>
        <v>0</v>
      </c>
      <c r="Y2027" s="209">
        <f t="shared" si="1251"/>
        <v>0</v>
      </c>
    </row>
    <row r="2028" spans="2:25" ht="16.5" hidden="1" thickTop="1" thickBot="1" x14ac:dyDescent="0.3">
      <c r="B2028" s="141">
        <f>B2022</f>
        <v>6</v>
      </c>
      <c r="C2028" s="142">
        <v>42</v>
      </c>
      <c r="D2028" s="194" t="str">
        <f t="shared" si="1230"/>
        <v>VII</v>
      </c>
      <c r="E2028" s="143"/>
      <c r="F2028" s="144"/>
      <c r="G2028" s="144"/>
      <c r="H2028" s="145"/>
      <c r="I2028" s="145"/>
      <c r="J2028" s="436" t="s">
        <v>181</v>
      </c>
      <c r="K2028" s="437"/>
      <c r="L2028" s="438"/>
      <c r="M2028" s="145"/>
      <c r="N2028" s="146"/>
      <c r="O2028" s="147"/>
      <c r="P2028" s="148"/>
      <c r="Q2028" s="149"/>
      <c r="R2028" s="150"/>
      <c r="S2028" s="151"/>
      <c r="T2028" s="213">
        <f t="shared" si="1235"/>
        <v>43647</v>
      </c>
      <c r="U2028" s="214">
        <f t="shared" si="1236"/>
        <v>43677</v>
      </c>
      <c r="V2028" s="210">
        <f t="shared" si="1252"/>
        <v>0</v>
      </c>
      <c r="W2028" s="211"/>
      <c r="X2028" s="211">
        <f>IF(AND($V2028&gt;0,$I2028=1),IF($E2028=10,P2028/10,P2028/$V2028),0)</f>
        <v>0</v>
      </c>
      <c r="Y2028" s="212">
        <f>IF(AND($V2022&gt;0,$I2028&lt;&gt;1),Q2028/E2022*V2022,0)</f>
        <v>0</v>
      </c>
    </row>
    <row r="2029" spans="2:25" ht="16.5" hidden="1" thickTop="1" thickBot="1" x14ac:dyDescent="0.3">
      <c r="B2029" s="129">
        <f>B2027+1</f>
        <v>7</v>
      </c>
      <c r="C2029" s="130">
        <v>43</v>
      </c>
      <c r="D2029" s="196" t="str">
        <f t="shared" si="1230"/>
        <v>VII</v>
      </c>
      <c r="E2029" s="152"/>
      <c r="F2029" s="153"/>
      <c r="G2029" s="153"/>
      <c r="H2029" s="154"/>
      <c r="I2029" s="154"/>
      <c r="J2029" s="152"/>
      <c r="K2029" s="155"/>
      <c r="L2029" s="154"/>
      <c r="M2029" s="154"/>
      <c r="N2029" s="156"/>
      <c r="O2029" s="157"/>
      <c r="P2029" s="158"/>
      <c r="Q2029" s="159"/>
      <c r="R2029" s="160"/>
      <c r="S2029" s="161"/>
      <c r="T2029" s="203">
        <f t="shared" si="1235"/>
        <v>43647</v>
      </c>
      <c r="U2029" s="204">
        <f t="shared" si="1236"/>
        <v>43677</v>
      </c>
      <c r="V2029" s="207">
        <f>IF(G2029-F2029+1-IF(G2029-U2029&gt;0,G2029-U2029,0)-IF(T2029-F2029&gt;0,T2029-F2029,0)&gt;0,G2029-F2029+1-IF(G2029-U2029&gt;0,G2029-U2029,0)-IF(T2029-F2029&gt;0,T2029-F2029,0),0)</f>
        <v>0</v>
      </c>
      <c r="W2029" s="206" t="str">
        <f t="shared" ref="W2029:W2034" si="1253">IF(V2029&gt;0,H2029,"")</f>
        <v/>
      </c>
      <c r="X2029" s="206">
        <f t="shared" ref="X2029:X2034" si="1254">IF(AND($V2029&gt;0,$I2029=1),P2029/$E2029*$V2029,0)</f>
        <v>0</v>
      </c>
      <c r="Y2029" s="209">
        <f t="shared" ref="Y2029:Y2034" si="1255">IF(AND($V2029&gt;0,$I2029&lt;&gt;1),Q2029/$E2029*$V2029,0)</f>
        <v>0</v>
      </c>
    </row>
    <row r="2030" spans="2:25" ht="16.5" hidden="1" thickTop="1" thickBot="1" x14ac:dyDescent="0.3">
      <c r="B2030" s="60">
        <f>B2029</f>
        <v>7</v>
      </c>
      <c r="C2030" s="102">
        <v>44</v>
      </c>
      <c r="D2030" s="192" t="str">
        <f t="shared" si="1230"/>
        <v>VII</v>
      </c>
      <c r="E2030" s="162"/>
      <c r="F2030" s="163"/>
      <c r="G2030" s="163"/>
      <c r="H2030" s="164"/>
      <c r="I2030" s="164"/>
      <c r="J2030" s="162"/>
      <c r="K2030" s="165"/>
      <c r="L2030" s="164"/>
      <c r="M2030" s="164"/>
      <c r="N2030" s="166"/>
      <c r="O2030" s="167"/>
      <c r="P2030" s="168"/>
      <c r="Q2030" s="169"/>
      <c r="R2030" s="170"/>
      <c r="S2030" s="171"/>
      <c r="T2030" s="203">
        <f t="shared" si="1235"/>
        <v>43647</v>
      </c>
      <c r="U2030" s="204">
        <f t="shared" si="1236"/>
        <v>43677</v>
      </c>
      <c r="V2030" s="207">
        <f t="shared" ref="V2030:V2035" si="1256">IF(G2030-F2030+1-IF(G2030-U2030&gt;0,G2030-U2030,0)-IF(T2030-F2030&gt;0,T2030-F2030,0)&gt;0,G2030-F2030+1-IF(G2030-U2030&gt;0,G2030-U2030,0)-IF(T2030-F2030&gt;0,T2030-F2030,0),0)</f>
        <v>0</v>
      </c>
      <c r="W2030" s="206" t="str">
        <f t="shared" si="1253"/>
        <v/>
      </c>
      <c r="X2030" s="206">
        <f t="shared" si="1254"/>
        <v>0</v>
      </c>
      <c r="Y2030" s="209">
        <f t="shared" si="1255"/>
        <v>0</v>
      </c>
    </row>
    <row r="2031" spans="2:25" ht="16.5" hidden="1" thickTop="1" thickBot="1" x14ac:dyDescent="0.3">
      <c r="B2031" s="60">
        <f>B2029</f>
        <v>7</v>
      </c>
      <c r="C2031" s="102">
        <v>45</v>
      </c>
      <c r="D2031" s="192" t="str">
        <f t="shared" si="1230"/>
        <v>VII</v>
      </c>
      <c r="E2031" s="162"/>
      <c r="F2031" s="163"/>
      <c r="G2031" s="163"/>
      <c r="H2031" s="164"/>
      <c r="I2031" s="164"/>
      <c r="J2031" s="162"/>
      <c r="K2031" s="165"/>
      <c r="L2031" s="164"/>
      <c r="M2031" s="164"/>
      <c r="N2031" s="166"/>
      <c r="O2031" s="167"/>
      <c r="P2031" s="168"/>
      <c r="Q2031" s="169"/>
      <c r="R2031" s="170"/>
      <c r="S2031" s="171"/>
      <c r="T2031" s="203">
        <f t="shared" si="1235"/>
        <v>43647</v>
      </c>
      <c r="U2031" s="204">
        <f t="shared" si="1236"/>
        <v>43677</v>
      </c>
      <c r="V2031" s="207">
        <f t="shared" si="1256"/>
        <v>0</v>
      </c>
      <c r="W2031" s="206" t="str">
        <f t="shared" si="1253"/>
        <v/>
      </c>
      <c r="X2031" s="206">
        <f t="shared" si="1254"/>
        <v>0</v>
      </c>
      <c r="Y2031" s="209">
        <f t="shared" si="1255"/>
        <v>0</v>
      </c>
    </row>
    <row r="2032" spans="2:25" ht="16.5" hidden="1" thickTop="1" thickBot="1" x14ac:dyDescent="0.3">
      <c r="B2032" s="60">
        <f>B2029</f>
        <v>7</v>
      </c>
      <c r="C2032" s="102">
        <v>46</v>
      </c>
      <c r="D2032" s="192" t="str">
        <f t="shared" si="1230"/>
        <v>VII</v>
      </c>
      <c r="E2032" s="162"/>
      <c r="F2032" s="163"/>
      <c r="G2032" s="163"/>
      <c r="H2032" s="164"/>
      <c r="I2032" s="164"/>
      <c r="J2032" s="162"/>
      <c r="K2032" s="165"/>
      <c r="L2032" s="164"/>
      <c r="M2032" s="164"/>
      <c r="N2032" s="166"/>
      <c r="O2032" s="167"/>
      <c r="P2032" s="168"/>
      <c r="Q2032" s="169"/>
      <c r="R2032" s="170"/>
      <c r="S2032" s="171"/>
      <c r="T2032" s="203">
        <f t="shared" si="1235"/>
        <v>43647</v>
      </c>
      <c r="U2032" s="204">
        <f t="shared" si="1236"/>
        <v>43677</v>
      </c>
      <c r="V2032" s="207">
        <f t="shared" si="1256"/>
        <v>0</v>
      </c>
      <c r="W2032" s="206" t="str">
        <f t="shared" si="1253"/>
        <v/>
      </c>
      <c r="X2032" s="206">
        <f t="shared" si="1254"/>
        <v>0</v>
      </c>
      <c r="Y2032" s="209">
        <f t="shared" si="1255"/>
        <v>0</v>
      </c>
    </row>
    <row r="2033" spans="2:25" ht="16.5" hidden="1" thickTop="1" thickBot="1" x14ac:dyDescent="0.3">
      <c r="B2033" s="60">
        <f>B2029</f>
        <v>7</v>
      </c>
      <c r="C2033" s="102">
        <v>47</v>
      </c>
      <c r="D2033" s="192" t="str">
        <f t="shared" si="1230"/>
        <v>VII</v>
      </c>
      <c r="E2033" s="162"/>
      <c r="F2033" s="163"/>
      <c r="G2033" s="163"/>
      <c r="H2033" s="164"/>
      <c r="I2033" s="164"/>
      <c r="J2033" s="162"/>
      <c r="K2033" s="165"/>
      <c r="L2033" s="164"/>
      <c r="M2033" s="164"/>
      <c r="N2033" s="166"/>
      <c r="O2033" s="167"/>
      <c r="P2033" s="168"/>
      <c r="Q2033" s="169"/>
      <c r="R2033" s="170"/>
      <c r="S2033" s="171"/>
      <c r="T2033" s="203">
        <f t="shared" si="1235"/>
        <v>43647</v>
      </c>
      <c r="U2033" s="204">
        <f t="shared" si="1236"/>
        <v>43677</v>
      </c>
      <c r="V2033" s="207">
        <f t="shared" si="1256"/>
        <v>0</v>
      </c>
      <c r="W2033" s="206" t="str">
        <f t="shared" si="1253"/>
        <v/>
      </c>
      <c r="X2033" s="206">
        <f t="shared" si="1254"/>
        <v>0</v>
      </c>
      <c r="Y2033" s="209">
        <f t="shared" si="1255"/>
        <v>0</v>
      </c>
    </row>
    <row r="2034" spans="2:25" ht="16.5" hidden="1" thickTop="1" thickBot="1" x14ac:dyDescent="0.3">
      <c r="B2034" s="60">
        <f>B2029</f>
        <v>7</v>
      </c>
      <c r="C2034" s="102">
        <v>48</v>
      </c>
      <c r="D2034" s="192" t="str">
        <f t="shared" si="1230"/>
        <v>VII</v>
      </c>
      <c r="E2034" s="172"/>
      <c r="F2034" s="173"/>
      <c r="G2034" s="173"/>
      <c r="H2034" s="174"/>
      <c r="I2034" s="174"/>
      <c r="J2034" s="172"/>
      <c r="K2034" s="175"/>
      <c r="L2034" s="174"/>
      <c r="M2034" s="174"/>
      <c r="N2034" s="176"/>
      <c r="O2034" s="177"/>
      <c r="P2034" s="178"/>
      <c r="Q2034" s="179"/>
      <c r="R2034" s="180"/>
      <c r="S2034" s="181"/>
      <c r="T2034" s="203">
        <f t="shared" si="1235"/>
        <v>43647</v>
      </c>
      <c r="U2034" s="204">
        <f t="shared" si="1236"/>
        <v>43677</v>
      </c>
      <c r="V2034" s="207">
        <f t="shared" si="1256"/>
        <v>0</v>
      </c>
      <c r="W2034" s="206" t="str">
        <f t="shared" si="1253"/>
        <v/>
      </c>
      <c r="X2034" s="206">
        <f t="shared" si="1254"/>
        <v>0</v>
      </c>
      <c r="Y2034" s="209">
        <f t="shared" si="1255"/>
        <v>0</v>
      </c>
    </row>
    <row r="2035" spans="2:25" ht="16.5" hidden="1" thickTop="1" thickBot="1" x14ac:dyDescent="0.3">
      <c r="B2035" s="141">
        <f>B2029</f>
        <v>7</v>
      </c>
      <c r="C2035" s="142">
        <v>49</v>
      </c>
      <c r="D2035" s="194" t="str">
        <f t="shared" si="1230"/>
        <v>VII</v>
      </c>
      <c r="E2035" s="189"/>
      <c r="F2035" s="190"/>
      <c r="G2035" s="190"/>
      <c r="H2035" s="182"/>
      <c r="I2035" s="182"/>
      <c r="J2035" s="436" t="s">
        <v>181</v>
      </c>
      <c r="K2035" s="437"/>
      <c r="L2035" s="438"/>
      <c r="M2035" s="182"/>
      <c r="N2035" s="183"/>
      <c r="O2035" s="184"/>
      <c r="P2035" s="185"/>
      <c r="Q2035" s="186"/>
      <c r="R2035" s="187"/>
      <c r="S2035" s="188"/>
      <c r="T2035" s="213">
        <f t="shared" si="1235"/>
        <v>43647</v>
      </c>
      <c r="U2035" s="214">
        <f t="shared" si="1236"/>
        <v>43677</v>
      </c>
      <c r="V2035" s="210">
        <f t="shared" si="1256"/>
        <v>0</v>
      </c>
      <c r="W2035" s="211"/>
      <c r="X2035" s="211">
        <f>IF(AND($V2035&gt;0,$I2035=1),IF($E2035=10,P2035/10,P2035/$V2035),0)</f>
        <v>0</v>
      </c>
      <c r="Y2035" s="212">
        <f>IF(AND($V2029&gt;0,$I2035&lt;&gt;1),Q2035/E2029*V2029,0)</f>
        <v>0</v>
      </c>
    </row>
    <row r="2036" spans="2:25" ht="16.5" hidden="1" thickTop="1" thickBot="1" x14ac:dyDescent="0.3">
      <c r="B2036" s="129">
        <f>B2034+1</f>
        <v>8</v>
      </c>
      <c r="C2036" s="130">
        <v>50</v>
      </c>
      <c r="D2036" s="196" t="str">
        <f t="shared" si="1230"/>
        <v>VII</v>
      </c>
      <c r="E2036" s="131"/>
      <c r="F2036" s="132"/>
      <c r="G2036" s="132"/>
      <c r="H2036" s="133"/>
      <c r="I2036" s="133"/>
      <c r="J2036" s="131"/>
      <c r="K2036" s="134"/>
      <c r="L2036" s="133"/>
      <c r="M2036" s="133"/>
      <c r="N2036" s="135"/>
      <c r="O2036" s="136"/>
      <c r="P2036" s="137"/>
      <c r="Q2036" s="138"/>
      <c r="R2036" s="139"/>
      <c r="S2036" s="140"/>
      <c r="T2036" s="203">
        <f t="shared" si="1235"/>
        <v>43647</v>
      </c>
      <c r="U2036" s="204">
        <f t="shared" si="1236"/>
        <v>43677</v>
      </c>
      <c r="V2036" s="207">
        <f>IF(G2036-F2036+1-IF(G2036-U2036&gt;0,G2036-U2036,0)-IF(T2036-F2036&gt;0,T2036-F2036,0)&gt;0,G2036-F2036+1-IF(G2036-U2036&gt;0,G2036-U2036,0)-IF(T2036-F2036&gt;0,T2036-F2036,0),0)</f>
        <v>0</v>
      </c>
      <c r="W2036" s="206" t="str">
        <f t="shared" ref="W2036:W2041" si="1257">IF(V2036&gt;0,H2036,"")</f>
        <v/>
      </c>
      <c r="X2036" s="206">
        <f t="shared" ref="X2036:X2041" si="1258">IF(AND($V2036&gt;0,$I2036=1),P2036/$E2036*$V2036,0)</f>
        <v>0</v>
      </c>
      <c r="Y2036" s="209">
        <f t="shared" ref="Y2036:Y2041" si="1259">IF(AND($V2036&gt;0,$I2036&lt;&gt;1),Q2036/$E2036*$V2036,0)</f>
        <v>0</v>
      </c>
    </row>
    <row r="2037" spans="2:25" ht="16.5" hidden="1" thickTop="1" thickBot="1" x14ac:dyDescent="0.3">
      <c r="B2037" s="60">
        <f>B2036</f>
        <v>8</v>
      </c>
      <c r="C2037" s="102">
        <v>51</v>
      </c>
      <c r="D2037" s="192" t="str">
        <f t="shared" si="1230"/>
        <v>VII</v>
      </c>
      <c r="E2037" s="62"/>
      <c r="F2037" s="105"/>
      <c r="G2037" s="105"/>
      <c r="H2037" s="61"/>
      <c r="I2037" s="61"/>
      <c r="J2037" s="62"/>
      <c r="K2037" s="63"/>
      <c r="L2037" s="61"/>
      <c r="M2037" s="61"/>
      <c r="N2037" s="111"/>
      <c r="O2037" s="112"/>
      <c r="P2037" s="113"/>
      <c r="Q2037" s="114"/>
      <c r="R2037" s="64"/>
      <c r="S2037" s="108"/>
      <c r="T2037" s="203">
        <f t="shared" si="1235"/>
        <v>43647</v>
      </c>
      <c r="U2037" s="204">
        <f t="shared" si="1236"/>
        <v>43677</v>
      </c>
      <c r="V2037" s="207">
        <f t="shared" ref="V2037:V2042" si="1260">IF(G2037-F2037+1-IF(G2037-U2037&gt;0,G2037-U2037,0)-IF(T2037-F2037&gt;0,T2037-F2037,0)&gt;0,G2037-F2037+1-IF(G2037-U2037&gt;0,G2037-U2037,0)-IF(T2037-F2037&gt;0,T2037-F2037,0),0)</f>
        <v>0</v>
      </c>
      <c r="W2037" s="206" t="str">
        <f t="shared" si="1257"/>
        <v/>
      </c>
      <c r="X2037" s="206">
        <f t="shared" si="1258"/>
        <v>0</v>
      </c>
      <c r="Y2037" s="209">
        <f t="shared" si="1259"/>
        <v>0</v>
      </c>
    </row>
    <row r="2038" spans="2:25" ht="16.5" hidden="1" thickTop="1" thickBot="1" x14ac:dyDescent="0.3">
      <c r="B2038" s="60">
        <f>B2036</f>
        <v>8</v>
      </c>
      <c r="C2038" s="102">
        <v>52</v>
      </c>
      <c r="D2038" s="192" t="str">
        <f t="shared" si="1230"/>
        <v>VII</v>
      </c>
      <c r="E2038" s="62"/>
      <c r="F2038" s="105"/>
      <c r="G2038" s="105"/>
      <c r="H2038" s="61"/>
      <c r="I2038" s="61"/>
      <c r="J2038" s="62"/>
      <c r="K2038" s="63"/>
      <c r="L2038" s="61"/>
      <c r="M2038" s="61"/>
      <c r="N2038" s="111"/>
      <c r="O2038" s="112"/>
      <c r="P2038" s="113"/>
      <c r="Q2038" s="114"/>
      <c r="R2038" s="64"/>
      <c r="S2038" s="108"/>
      <c r="T2038" s="203">
        <f t="shared" si="1235"/>
        <v>43647</v>
      </c>
      <c r="U2038" s="204">
        <f t="shared" si="1236"/>
        <v>43677</v>
      </c>
      <c r="V2038" s="207">
        <f t="shared" si="1260"/>
        <v>0</v>
      </c>
      <c r="W2038" s="206" t="str">
        <f t="shared" si="1257"/>
        <v/>
      </c>
      <c r="X2038" s="206">
        <f t="shared" si="1258"/>
        <v>0</v>
      </c>
      <c r="Y2038" s="209">
        <f t="shared" si="1259"/>
        <v>0</v>
      </c>
    </row>
    <row r="2039" spans="2:25" ht="16.5" hidden="1" thickTop="1" thickBot="1" x14ac:dyDescent="0.3">
      <c r="B2039" s="60">
        <f>B2036</f>
        <v>8</v>
      </c>
      <c r="C2039" s="102">
        <v>53</v>
      </c>
      <c r="D2039" s="192" t="str">
        <f t="shared" si="1230"/>
        <v>VII</v>
      </c>
      <c r="E2039" s="62"/>
      <c r="F2039" s="105"/>
      <c r="G2039" s="105"/>
      <c r="H2039" s="61"/>
      <c r="I2039" s="61"/>
      <c r="J2039" s="62"/>
      <c r="K2039" s="63"/>
      <c r="L2039" s="61"/>
      <c r="M2039" s="61"/>
      <c r="N2039" s="111"/>
      <c r="O2039" s="112"/>
      <c r="P2039" s="113"/>
      <c r="Q2039" s="114"/>
      <c r="R2039" s="64"/>
      <c r="S2039" s="108"/>
      <c r="T2039" s="203">
        <f t="shared" si="1235"/>
        <v>43647</v>
      </c>
      <c r="U2039" s="204">
        <f t="shared" si="1236"/>
        <v>43677</v>
      </c>
      <c r="V2039" s="207">
        <f t="shared" si="1260"/>
        <v>0</v>
      </c>
      <c r="W2039" s="206" t="str">
        <f t="shared" si="1257"/>
        <v/>
      </c>
      <c r="X2039" s="206">
        <f t="shared" si="1258"/>
        <v>0</v>
      </c>
      <c r="Y2039" s="209">
        <f t="shared" si="1259"/>
        <v>0</v>
      </c>
    </row>
    <row r="2040" spans="2:25" ht="16.5" hidden="1" thickTop="1" thickBot="1" x14ac:dyDescent="0.3">
      <c r="B2040" s="60">
        <f>B2036</f>
        <v>8</v>
      </c>
      <c r="C2040" s="102">
        <v>54</v>
      </c>
      <c r="D2040" s="192" t="str">
        <f t="shared" si="1230"/>
        <v>VII</v>
      </c>
      <c r="E2040" s="62"/>
      <c r="F2040" s="105"/>
      <c r="G2040" s="105"/>
      <c r="H2040" s="61"/>
      <c r="I2040" s="61"/>
      <c r="J2040" s="62"/>
      <c r="K2040" s="63"/>
      <c r="L2040" s="61"/>
      <c r="M2040" s="61"/>
      <c r="N2040" s="111"/>
      <c r="O2040" s="112"/>
      <c r="P2040" s="113"/>
      <c r="Q2040" s="114"/>
      <c r="R2040" s="64"/>
      <c r="S2040" s="108"/>
      <c r="T2040" s="203">
        <f t="shared" si="1235"/>
        <v>43647</v>
      </c>
      <c r="U2040" s="204">
        <f t="shared" si="1236"/>
        <v>43677</v>
      </c>
      <c r="V2040" s="207">
        <f t="shared" si="1260"/>
        <v>0</v>
      </c>
      <c r="W2040" s="206" t="str">
        <f t="shared" si="1257"/>
        <v/>
      </c>
      <c r="X2040" s="206">
        <f t="shared" si="1258"/>
        <v>0</v>
      </c>
      <c r="Y2040" s="209">
        <f t="shared" si="1259"/>
        <v>0</v>
      </c>
    </row>
    <row r="2041" spans="2:25" ht="16.5" hidden="1" thickTop="1" thickBot="1" x14ac:dyDescent="0.3">
      <c r="B2041" s="60">
        <f>B2036</f>
        <v>8</v>
      </c>
      <c r="C2041" s="102">
        <v>55</v>
      </c>
      <c r="D2041" s="192" t="str">
        <f t="shared" si="1230"/>
        <v>VII</v>
      </c>
      <c r="E2041" s="62"/>
      <c r="F2041" s="105"/>
      <c r="G2041" s="105"/>
      <c r="H2041" s="61"/>
      <c r="I2041" s="61"/>
      <c r="J2041" s="62"/>
      <c r="K2041" s="63"/>
      <c r="L2041" s="61"/>
      <c r="M2041" s="61"/>
      <c r="N2041" s="111"/>
      <c r="O2041" s="112"/>
      <c r="P2041" s="113"/>
      <c r="Q2041" s="114"/>
      <c r="R2041" s="64"/>
      <c r="S2041" s="108"/>
      <c r="T2041" s="203">
        <f t="shared" si="1235"/>
        <v>43647</v>
      </c>
      <c r="U2041" s="204">
        <f t="shared" si="1236"/>
        <v>43677</v>
      </c>
      <c r="V2041" s="207">
        <f t="shared" si="1260"/>
        <v>0</v>
      </c>
      <c r="W2041" s="206" t="str">
        <f t="shared" si="1257"/>
        <v/>
      </c>
      <c r="X2041" s="206">
        <f t="shared" si="1258"/>
        <v>0</v>
      </c>
      <c r="Y2041" s="209">
        <f t="shared" si="1259"/>
        <v>0</v>
      </c>
    </row>
    <row r="2042" spans="2:25" ht="16.5" hidden="1" thickTop="1" thickBot="1" x14ac:dyDescent="0.3">
      <c r="B2042" s="141">
        <f>B2036</f>
        <v>8</v>
      </c>
      <c r="C2042" s="142">
        <v>56</v>
      </c>
      <c r="D2042" s="194" t="str">
        <f t="shared" si="1230"/>
        <v>VII</v>
      </c>
      <c r="E2042" s="143"/>
      <c r="F2042" s="144"/>
      <c r="G2042" s="144"/>
      <c r="H2042" s="145"/>
      <c r="I2042" s="145"/>
      <c r="J2042" s="436" t="s">
        <v>181</v>
      </c>
      <c r="K2042" s="437"/>
      <c r="L2042" s="438"/>
      <c r="M2042" s="145"/>
      <c r="N2042" s="146"/>
      <c r="O2042" s="147"/>
      <c r="P2042" s="148"/>
      <c r="Q2042" s="149"/>
      <c r="R2042" s="150"/>
      <c r="S2042" s="151"/>
      <c r="T2042" s="213">
        <f t="shared" si="1235"/>
        <v>43647</v>
      </c>
      <c r="U2042" s="214">
        <f t="shared" si="1236"/>
        <v>43677</v>
      </c>
      <c r="V2042" s="210">
        <f t="shared" si="1260"/>
        <v>0</v>
      </c>
      <c r="W2042" s="211"/>
      <c r="X2042" s="211">
        <f>IF(AND($V2042&gt;0,$I2042=1),IF($E2042=10,P2042/10,P2042/$V2042),0)</f>
        <v>0</v>
      </c>
      <c r="Y2042" s="212">
        <f>IF(AND($V2036&gt;0,$I2042&lt;&gt;1),Q2042/E2036*V2036,0)</f>
        <v>0</v>
      </c>
    </row>
    <row r="2043" spans="2:25" ht="16.5" hidden="1" thickTop="1" thickBot="1" x14ac:dyDescent="0.3">
      <c r="B2043" s="129">
        <f>B2041+1</f>
        <v>9</v>
      </c>
      <c r="C2043" s="130">
        <v>57</v>
      </c>
      <c r="D2043" s="196" t="str">
        <f t="shared" si="1230"/>
        <v>VII</v>
      </c>
      <c r="E2043" s="152"/>
      <c r="F2043" s="153"/>
      <c r="G2043" s="153"/>
      <c r="H2043" s="154"/>
      <c r="I2043" s="154"/>
      <c r="J2043" s="152"/>
      <c r="K2043" s="155"/>
      <c r="L2043" s="154"/>
      <c r="M2043" s="154"/>
      <c r="N2043" s="156"/>
      <c r="O2043" s="157"/>
      <c r="P2043" s="158"/>
      <c r="Q2043" s="159"/>
      <c r="R2043" s="160"/>
      <c r="S2043" s="161"/>
      <c r="T2043" s="203">
        <f t="shared" si="1235"/>
        <v>43647</v>
      </c>
      <c r="U2043" s="204">
        <f t="shared" si="1236"/>
        <v>43677</v>
      </c>
      <c r="V2043" s="207">
        <f>IF(G2043-F2043+1-IF(G2043-U2043&gt;0,G2043-U2043,0)-IF(T2043-F2043&gt;0,T2043-F2043,0)&gt;0,G2043-F2043+1-IF(G2043-U2043&gt;0,G2043-U2043,0)-IF(T2043-F2043&gt;0,T2043-F2043,0),0)</f>
        <v>0</v>
      </c>
      <c r="W2043" s="206" t="str">
        <f t="shared" ref="W2043:W2048" si="1261">IF(V2043&gt;0,H2043,"")</f>
        <v/>
      </c>
      <c r="X2043" s="206">
        <f t="shared" ref="X2043:X2048" si="1262">IF(AND($V2043&gt;0,$I2043=1),P2043/$E2043*$V2043,0)</f>
        <v>0</v>
      </c>
      <c r="Y2043" s="209">
        <f t="shared" ref="Y2043:Y2048" si="1263">IF(AND($V2043&gt;0,$I2043&lt;&gt;1),Q2043/$E2043*$V2043,0)</f>
        <v>0</v>
      </c>
    </row>
    <row r="2044" spans="2:25" ht="16.5" hidden="1" thickTop="1" thickBot="1" x14ac:dyDescent="0.3">
      <c r="B2044" s="60">
        <f>B2043</f>
        <v>9</v>
      </c>
      <c r="C2044" s="102">
        <v>58</v>
      </c>
      <c r="D2044" s="192" t="str">
        <f t="shared" si="1230"/>
        <v>VII</v>
      </c>
      <c r="E2044" s="162"/>
      <c r="F2044" s="163"/>
      <c r="G2044" s="163"/>
      <c r="H2044" s="164"/>
      <c r="I2044" s="164"/>
      <c r="J2044" s="162"/>
      <c r="K2044" s="165"/>
      <c r="L2044" s="164"/>
      <c r="M2044" s="164"/>
      <c r="N2044" s="166"/>
      <c r="O2044" s="167"/>
      <c r="P2044" s="168"/>
      <c r="Q2044" s="169"/>
      <c r="R2044" s="170"/>
      <c r="S2044" s="171"/>
      <c r="T2044" s="203">
        <f t="shared" si="1235"/>
        <v>43647</v>
      </c>
      <c r="U2044" s="204">
        <f t="shared" si="1236"/>
        <v>43677</v>
      </c>
      <c r="V2044" s="207">
        <f t="shared" ref="V2044:V2049" si="1264">IF(G2044-F2044+1-IF(G2044-U2044&gt;0,G2044-U2044,0)-IF(T2044-F2044&gt;0,T2044-F2044,0)&gt;0,G2044-F2044+1-IF(G2044-U2044&gt;0,G2044-U2044,0)-IF(T2044-F2044&gt;0,T2044-F2044,0),0)</f>
        <v>0</v>
      </c>
      <c r="W2044" s="206" t="str">
        <f t="shared" si="1261"/>
        <v/>
      </c>
      <c r="X2044" s="206">
        <f t="shared" si="1262"/>
        <v>0</v>
      </c>
      <c r="Y2044" s="209">
        <f t="shared" si="1263"/>
        <v>0</v>
      </c>
    </row>
    <row r="2045" spans="2:25" ht="16.5" hidden="1" thickTop="1" thickBot="1" x14ac:dyDescent="0.3">
      <c r="B2045" s="60">
        <f>B2043</f>
        <v>9</v>
      </c>
      <c r="C2045" s="102">
        <v>59</v>
      </c>
      <c r="D2045" s="192" t="str">
        <f t="shared" si="1230"/>
        <v>VII</v>
      </c>
      <c r="E2045" s="162"/>
      <c r="F2045" s="163"/>
      <c r="G2045" s="163"/>
      <c r="H2045" s="164"/>
      <c r="I2045" s="164"/>
      <c r="J2045" s="162"/>
      <c r="K2045" s="165"/>
      <c r="L2045" s="164"/>
      <c r="M2045" s="164"/>
      <c r="N2045" s="166"/>
      <c r="O2045" s="167"/>
      <c r="P2045" s="168"/>
      <c r="Q2045" s="169"/>
      <c r="R2045" s="170"/>
      <c r="S2045" s="171"/>
      <c r="T2045" s="203">
        <f t="shared" si="1235"/>
        <v>43647</v>
      </c>
      <c r="U2045" s="204">
        <f t="shared" si="1236"/>
        <v>43677</v>
      </c>
      <c r="V2045" s="207">
        <f t="shared" si="1264"/>
        <v>0</v>
      </c>
      <c r="W2045" s="206" t="str">
        <f t="shared" si="1261"/>
        <v/>
      </c>
      <c r="X2045" s="206">
        <f t="shared" si="1262"/>
        <v>0</v>
      </c>
      <c r="Y2045" s="209">
        <f t="shared" si="1263"/>
        <v>0</v>
      </c>
    </row>
    <row r="2046" spans="2:25" ht="16.5" hidden="1" thickTop="1" thickBot="1" x14ac:dyDescent="0.3">
      <c r="B2046" s="60">
        <f>B2043</f>
        <v>9</v>
      </c>
      <c r="C2046" s="102">
        <v>60</v>
      </c>
      <c r="D2046" s="192" t="str">
        <f t="shared" si="1230"/>
        <v>VII</v>
      </c>
      <c r="E2046" s="162"/>
      <c r="F2046" s="163"/>
      <c r="G2046" s="163"/>
      <c r="H2046" s="164"/>
      <c r="I2046" s="164"/>
      <c r="J2046" s="162"/>
      <c r="K2046" s="165"/>
      <c r="L2046" s="164"/>
      <c r="M2046" s="164"/>
      <c r="N2046" s="166"/>
      <c r="O2046" s="167"/>
      <c r="P2046" s="168"/>
      <c r="Q2046" s="169"/>
      <c r="R2046" s="170"/>
      <c r="S2046" s="171"/>
      <c r="T2046" s="203">
        <f t="shared" si="1235"/>
        <v>43647</v>
      </c>
      <c r="U2046" s="204">
        <f t="shared" si="1236"/>
        <v>43677</v>
      </c>
      <c r="V2046" s="207">
        <f t="shared" si="1264"/>
        <v>0</v>
      </c>
      <c r="W2046" s="206" t="str">
        <f t="shared" si="1261"/>
        <v/>
      </c>
      <c r="X2046" s="206">
        <f t="shared" si="1262"/>
        <v>0</v>
      </c>
      <c r="Y2046" s="209">
        <f t="shared" si="1263"/>
        <v>0</v>
      </c>
    </row>
    <row r="2047" spans="2:25" ht="16.5" hidden="1" thickTop="1" thickBot="1" x14ac:dyDescent="0.3">
      <c r="B2047" s="60">
        <f>B2043</f>
        <v>9</v>
      </c>
      <c r="C2047" s="102">
        <v>61</v>
      </c>
      <c r="D2047" s="192" t="str">
        <f t="shared" si="1230"/>
        <v>VII</v>
      </c>
      <c r="E2047" s="162"/>
      <c r="F2047" s="163"/>
      <c r="G2047" s="163"/>
      <c r="H2047" s="164"/>
      <c r="I2047" s="164"/>
      <c r="J2047" s="162"/>
      <c r="K2047" s="165"/>
      <c r="L2047" s="164"/>
      <c r="M2047" s="164"/>
      <c r="N2047" s="166"/>
      <c r="O2047" s="167"/>
      <c r="P2047" s="168"/>
      <c r="Q2047" s="169"/>
      <c r="R2047" s="170"/>
      <c r="S2047" s="171"/>
      <c r="T2047" s="203">
        <f t="shared" si="1235"/>
        <v>43647</v>
      </c>
      <c r="U2047" s="204">
        <f t="shared" si="1236"/>
        <v>43677</v>
      </c>
      <c r="V2047" s="207">
        <f t="shared" si="1264"/>
        <v>0</v>
      </c>
      <c r="W2047" s="206" t="str">
        <f t="shared" si="1261"/>
        <v/>
      </c>
      <c r="X2047" s="206">
        <f t="shared" si="1262"/>
        <v>0</v>
      </c>
      <c r="Y2047" s="209">
        <f t="shared" si="1263"/>
        <v>0</v>
      </c>
    </row>
    <row r="2048" spans="2:25" ht="16.5" hidden="1" thickTop="1" thickBot="1" x14ac:dyDescent="0.3">
      <c r="B2048" s="60">
        <f>B2043</f>
        <v>9</v>
      </c>
      <c r="C2048" s="102">
        <v>62</v>
      </c>
      <c r="D2048" s="192" t="str">
        <f t="shared" si="1230"/>
        <v>VII</v>
      </c>
      <c r="E2048" s="172"/>
      <c r="F2048" s="173"/>
      <c r="G2048" s="173"/>
      <c r="H2048" s="174"/>
      <c r="I2048" s="174"/>
      <c r="J2048" s="172"/>
      <c r="K2048" s="175"/>
      <c r="L2048" s="174"/>
      <c r="M2048" s="174"/>
      <c r="N2048" s="176"/>
      <c r="O2048" s="177"/>
      <c r="P2048" s="178"/>
      <c r="Q2048" s="179"/>
      <c r="R2048" s="180"/>
      <c r="S2048" s="181"/>
      <c r="T2048" s="203">
        <f t="shared" si="1235"/>
        <v>43647</v>
      </c>
      <c r="U2048" s="204">
        <f t="shared" si="1236"/>
        <v>43677</v>
      </c>
      <c r="V2048" s="207">
        <f t="shared" si="1264"/>
        <v>0</v>
      </c>
      <c r="W2048" s="206" t="str">
        <f t="shared" si="1261"/>
        <v/>
      </c>
      <c r="X2048" s="206">
        <f t="shared" si="1262"/>
        <v>0</v>
      </c>
      <c r="Y2048" s="209">
        <f t="shared" si="1263"/>
        <v>0</v>
      </c>
    </row>
    <row r="2049" spans="2:25" ht="16.5" hidden="1" thickTop="1" thickBot="1" x14ac:dyDescent="0.3">
      <c r="B2049" s="141">
        <f>B2043</f>
        <v>9</v>
      </c>
      <c r="C2049" s="142">
        <v>63</v>
      </c>
      <c r="D2049" s="194" t="str">
        <f t="shared" si="1230"/>
        <v>VII</v>
      </c>
      <c r="E2049" s="189"/>
      <c r="F2049" s="190"/>
      <c r="G2049" s="190"/>
      <c r="H2049" s="182"/>
      <c r="I2049" s="182"/>
      <c r="J2049" s="436" t="s">
        <v>181</v>
      </c>
      <c r="K2049" s="437"/>
      <c r="L2049" s="438"/>
      <c r="M2049" s="182"/>
      <c r="N2049" s="183"/>
      <c r="O2049" s="184"/>
      <c r="P2049" s="185"/>
      <c r="Q2049" s="186"/>
      <c r="R2049" s="187"/>
      <c r="S2049" s="188"/>
      <c r="T2049" s="213">
        <f t="shared" si="1235"/>
        <v>43647</v>
      </c>
      <c r="U2049" s="214">
        <f t="shared" si="1236"/>
        <v>43677</v>
      </c>
      <c r="V2049" s="210">
        <f t="shared" si="1264"/>
        <v>0</v>
      </c>
      <c r="W2049" s="211"/>
      <c r="X2049" s="211">
        <f>IF(AND($V2049&gt;0,$I2049=1),IF($E2049=10,P2049/10,P2049/$V2049),0)</f>
        <v>0</v>
      </c>
      <c r="Y2049" s="212">
        <f>IF(AND($V2043&gt;0,$I2049&lt;&gt;1),Q2049/E2043*V2043,0)</f>
        <v>0</v>
      </c>
    </row>
    <row r="2050" spans="2:25" ht="16.5" hidden="1" thickTop="1" thickBot="1" x14ac:dyDescent="0.3">
      <c r="B2050" s="129">
        <f>B2048+1</f>
        <v>10</v>
      </c>
      <c r="C2050" s="130">
        <v>64</v>
      </c>
      <c r="D2050" s="196" t="str">
        <f t="shared" si="1230"/>
        <v>VII</v>
      </c>
      <c r="E2050" s="131"/>
      <c r="F2050" s="132"/>
      <c r="G2050" s="132"/>
      <c r="H2050" s="133"/>
      <c r="I2050" s="133"/>
      <c r="J2050" s="131"/>
      <c r="K2050" s="134"/>
      <c r="L2050" s="133"/>
      <c r="M2050" s="133"/>
      <c r="N2050" s="135"/>
      <c r="O2050" s="136"/>
      <c r="P2050" s="137"/>
      <c r="Q2050" s="138"/>
      <c r="R2050" s="139"/>
      <c r="S2050" s="140"/>
      <c r="T2050" s="203">
        <f t="shared" si="1235"/>
        <v>43647</v>
      </c>
      <c r="U2050" s="204">
        <f t="shared" si="1236"/>
        <v>43677</v>
      </c>
      <c r="V2050" s="207">
        <f>IF(G2050-F2050+1-IF(G2050-U2050&gt;0,G2050-U2050,0)-IF(T2050-F2050&gt;0,T2050-F2050,0)&gt;0,G2050-F2050+1-IF(G2050-U2050&gt;0,G2050-U2050,0)-IF(T2050-F2050&gt;0,T2050-F2050,0),0)</f>
        <v>0</v>
      </c>
      <c r="W2050" s="206" t="str">
        <f t="shared" ref="W2050:W2055" si="1265">IF(V2050&gt;0,H2050,"")</f>
        <v/>
      </c>
      <c r="X2050" s="206">
        <f t="shared" ref="X2050:X2055" si="1266">IF(AND($V2050&gt;0,$I2050=1),P2050/$E2050*$V2050,0)</f>
        <v>0</v>
      </c>
      <c r="Y2050" s="209">
        <f t="shared" ref="Y2050:Y2055" si="1267">IF(AND($V2050&gt;0,$I2050&lt;&gt;1),Q2050/$E2050*$V2050,0)</f>
        <v>0</v>
      </c>
    </row>
    <row r="2051" spans="2:25" ht="16.5" hidden="1" thickTop="1" thickBot="1" x14ac:dyDescent="0.3">
      <c r="B2051" s="60">
        <f>B2050</f>
        <v>10</v>
      </c>
      <c r="C2051" s="102">
        <v>65</v>
      </c>
      <c r="D2051" s="192" t="str">
        <f t="shared" si="1230"/>
        <v>VII</v>
      </c>
      <c r="E2051" s="62"/>
      <c r="F2051" s="105"/>
      <c r="G2051" s="105"/>
      <c r="H2051" s="61"/>
      <c r="I2051" s="61"/>
      <c r="J2051" s="62"/>
      <c r="K2051" s="63"/>
      <c r="L2051" s="61"/>
      <c r="M2051" s="61"/>
      <c r="N2051" s="111"/>
      <c r="O2051" s="112"/>
      <c r="P2051" s="113"/>
      <c r="Q2051" s="114"/>
      <c r="R2051" s="64"/>
      <c r="S2051" s="108"/>
      <c r="T2051" s="203">
        <f t="shared" si="1235"/>
        <v>43647</v>
      </c>
      <c r="U2051" s="204">
        <f t="shared" si="1236"/>
        <v>43677</v>
      </c>
      <c r="V2051" s="207">
        <f t="shared" ref="V2051:V2056" si="1268">IF(G2051-F2051+1-IF(G2051-U2051&gt;0,G2051-U2051,0)-IF(T2051-F2051&gt;0,T2051-F2051,0)&gt;0,G2051-F2051+1-IF(G2051-U2051&gt;0,G2051-U2051,0)-IF(T2051-F2051&gt;0,T2051-F2051,0),0)</f>
        <v>0</v>
      </c>
      <c r="W2051" s="206" t="str">
        <f t="shared" si="1265"/>
        <v/>
      </c>
      <c r="X2051" s="206">
        <f t="shared" si="1266"/>
        <v>0</v>
      </c>
      <c r="Y2051" s="209">
        <f t="shared" si="1267"/>
        <v>0</v>
      </c>
    </row>
    <row r="2052" spans="2:25" ht="16.5" hidden="1" thickTop="1" thickBot="1" x14ac:dyDescent="0.3">
      <c r="B2052" s="60">
        <f>B2050</f>
        <v>10</v>
      </c>
      <c r="C2052" s="102">
        <v>66</v>
      </c>
      <c r="D2052" s="192" t="str">
        <f t="shared" si="1230"/>
        <v>VII</v>
      </c>
      <c r="E2052" s="62"/>
      <c r="F2052" s="105"/>
      <c r="G2052" s="105"/>
      <c r="H2052" s="61"/>
      <c r="I2052" s="61"/>
      <c r="J2052" s="62"/>
      <c r="K2052" s="63"/>
      <c r="L2052" s="61"/>
      <c r="M2052" s="61"/>
      <c r="N2052" s="111"/>
      <c r="O2052" s="112"/>
      <c r="P2052" s="113"/>
      <c r="Q2052" s="114"/>
      <c r="R2052" s="64"/>
      <c r="S2052" s="108"/>
      <c r="T2052" s="203">
        <f t="shared" si="1235"/>
        <v>43647</v>
      </c>
      <c r="U2052" s="204">
        <f t="shared" si="1236"/>
        <v>43677</v>
      </c>
      <c r="V2052" s="207">
        <f t="shared" si="1268"/>
        <v>0</v>
      </c>
      <c r="W2052" s="206" t="str">
        <f t="shared" si="1265"/>
        <v/>
      </c>
      <c r="X2052" s="206">
        <f t="shared" si="1266"/>
        <v>0</v>
      </c>
      <c r="Y2052" s="209">
        <f t="shared" si="1267"/>
        <v>0</v>
      </c>
    </row>
    <row r="2053" spans="2:25" ht="16.5" hidden="1" thickTop="1" thickBot="1" x14ac:dyDescent="0.3">
      <c r="B2053" s="60">
        <f>B2050</f>
        <v>10</v>
      </c>
      <c r="C2053" s="102">
        <v>67</v>
      </c>
      <c r="D2053" s="192" t="str">
        <f t="shared" ref="D2053:D2116" si="1269">D2052</f>
        <v>VII</v>
      </c>
      <c r="E2053" s="62"/>
      <c r="F2053" s="105"/>
      <c r="G2053" s="105"/>
      <c r="H2053" s="61"/>
      <c r="I2053" s="61"/>
      <c r="J2053" s="62"/>
      <c r="K2053" s="63"/>
      <c r="L2053" s="61"/>
      <c r="M2053" s="61"/>
      <c r="N2053" s="111"/>
      <c r="O2053" s="112"/>
      <c r="P2053" s="113"/>
      <c r="Q2053" s="114"/>
      <c r="R2053" s="64"/>
      <c r="S2053" s="108"/>
      <c r="T2053" s="203">
        <f t="shared" si="1235"/>
        <v>43647</v>
      </c>
      <c r="U2053" s="204">
        <f t="shared" si="1236"/>
        <v>43677</v>
      </c>
      <c r="V2053" s="207">
        <f t="shared" si="1268"/>
        <v>0</v>
      </c>
      <c r="W2053" s="206" t="str">
        <f t="shared" si="1265"/>
        <v/>
      </c>
      <c r="X2053" s="206">
        <f t="shared" si="1266"/>
        <v>0</v>
      </c>
      <c r="Y2053" s="209">
        <f t="shared" si="1267"/>
        <v>0</v>
      </c>
    </row>
    <row r="2054" spans="2:25" ht="16.5" hidden="1" thickTop="1" thickBot="1" x14ac:dyDescent="0.3">
      <c r="B2054" s="60">
        <f>B2050</f>
        <v>10</v>
      </c>
      <c r="C2054" s="102">
        <v>68</v>
      </c>
      <c r="D2054" s="192" t="str">
        <f t="shared" si="1269"/>
        <v>VII</v>
      </c>
      <c r="E2054" s="62"/>
      <c r="F2054" s="105"/>
      <c r="G2054" s="105"/>
      <c r="H2054" s="61"/>
      <c r="I2054" s="61"/>
      <c r="J2054" s="62"/>
      <c r="K2054" s="63"/>
      <c r="L2054" s="61"/>
      <c r="M2054" s="61"/>
      <c r="N2054" s="111"/>
      <c r="O2054" s="112"/>
      <c r="P2054" s="113"/>
      <c r="Q2054" s="114"/>
      <c r="R2054" s="64"/>
      <c r="S2054" s="108"/>
      <c r="T2054" s="203">
        <f t="shared" si="1235"/>
        <v>43647</v>
      </c>
      <c r="U2054" s="204">
        <f t="shared" si="1236"/>
        <v>43677</v>
      </c>
      <c r="V2054" s="207">
        <f t="shared" si="1268"/>
        <v>0</v>
      </c>
      <c r="W2054" s="206" t="str">
        <f t="shared" si="1265"/>
        <v/>
      </c>
      <c r="X2054" s="206">
        <f t="shared" si="1266"/>
        <v>0</v>
      </c>
      <c r="Y2054" s="209">
        <f t="shared" si="1267"/>
        <v>0</v>
      </c>
    </row>
    <row r="2055" spans="2:25" ht="16.5" hidden="1" thickTop="1" thickBot="1" x14ac:dyDescent="0.3">
      <c r="B2055" s="60">
        <f>B2050</f>
        <v>10</v>
      </c>
      <c r="C2055" s="102">
        <v>69</v>
      </c>
      <c r="D2055" s="192" t="str">
        <f t="shared" si="1269"/>
        <v>VII</v>
      </c>
      <c r="E2055" s="62"/>
      <c r="F2055" s="105"/>
      <c r="G2055" s="105"/>
      <c r="H2055" s="61"/>
      <c r="I2055" s="61"/>
      <c r="J2055" s="62"/>
      <c r="K2055" s="63"/>
      <c r="L2055" s="61"/>
      <c r="M2055" s="61"/>
      <c r="N2055" s="111"/>
      <c r="O2055" s="112"/>
      <c r="P2055" s="113"/>
      <c r="Q2055" s="114"/>
      <c r="R2055" s="64"/>
      <c r="S2055" s="108"/>
      <c r="T2055" s="203">
        <f t="shared" si="1235"/>
        <v>43647</v>
      </c>
      <c r="U2055" s="204">
        <f t="shared" si="1236"/>
        <v>43677</v>
      </c>
      <c r="V2055" s="207">
        <f t="shared" si="1268"/>
        <v>0</v>
      </c>
      <c r="W2055" s="206" t="str">
        <f t="shared" si="1265"/>
        <v/>
      </c>
      <c r="X2055" s="206">
        <f t="shared" si="1266"/>
        <v>0</v>
      </c>
      <c r="Y2055" s="209">
        <f t="shared" si="1267"/>
        <v>0</v>
      </c>
    </row>
    <row r="2056" spans="2:25" ht="16.5" hidden="1" thickTop="1" thickBot="1" x14ac:dyDescent="0.3">
      <c r="B2056" s="141">
        <f>B2050</f>
        <v>10</v>
      </c>
      <c r="C2056" s="142">
        <v>70</v>
      </c>
      <c r="D2056" s="194" t="str">
        <f t="shared" si="1269"/>
        <v>VII</v>
      </c>
      <c r="E2056" s="143"/>
      <c r="F2056" s="144"/>
      <c r="G2056" s="144"/>
      <c r="H2056" s="145"/>
      <c r="I2056" s="145"/>
      <c r="J2056" s="436" t="s">
        <v>181</v>
      </c>
      <c r="K2056" s="437"/>
      <c r="L2056" s="438"/>
      <c r="M2056" s="145"/>
      <c r="N2056" s="146"/>
      <c r="O2056" s="147"/>
      <c r="P2056" s="148"/>
      <c r="Q2056" s="149"/>
      <c r="R2056" s="150"/>
      <c r="S2056" s="151"/>
      <c r="T2056" s="213">
        <f t="shared" si="1235"/>
        <v>43647</v>
      </c>
      <c r="U2056" s="214">
        <f t="shared" si="1236"/>
        <v>43677</v>
      </c>
      <c r="V2056" s="210">
        <f t="shared" si="1268"/>
        <v>0</v>
      </c>
      <c r="W2056" s="211"/>
      <c r="X2056" s="211">
        <f>IF(AND($V2056&gt;0,$I2056=1),IF($E2056=10,P2056/10,P2056/$V2056),0)</f>
        <v>0</v>
      </c>
      <c r="Y2056" s="212">
        <f>IF(AND($V2050&gt;0,$I2056&lt;&gt;1),Q2056/E2050*V2050,0)</f>
        <v>0</v>
      </c>
    </row>
    <row r="2057" spans="2:25" ht="16.5" hidden="1" thickTop="1" thickBot="1" x14ac:dyDescent="0.3">
      <c r="B2057" s="129">
        <f>B2055+1</f>
        <v>11</v>
      </c>
      <c r="C2057" s="130">
        <v>71</v>
      </c>
      <c r="D2057" s="196" t="str">
        <f t="shared" si="1269"/>
        <v>VII</v>
      </c>
      <c r="E2057" s="152"/>
      <c r="F2057" s="153"/>
      <c r="G2057" s="153"/>
      <c r="H2057" s="154"/>
      <c r="I2057" s="154"/>
      <c r="J2057" s="152"/>
      <c r="K2057" s="155"/>
      <c r="L2057" s="154"/>
      <c r="M2057" s="154"/>
      <c r="N2057" s="156"/>
      <c r="O2057" s="157"/>
      <c r="P2057" s="158"/>
      <c r="Q2057" s="159"/>
      <c r="R2057" s="160"/>
      <c r="S2057" s="161"/>
      <c r="T2057" s="203">
        <f t="shared" si="1235"/>
        <v>43647</v>
      </c>
      <c r="U2057" s="204">
        <f t="shared" si="1236"/>
        <v>43677</v>
      </c>
      <c r="V2057" s="207">
        <f>IF(G2057-F2057+1-IF(G2057-U2057&gt;0,G2057-U2057,0)-IF(T2057-F2057&gt;0,T2057-F2057,0)&gt;0,G2057-F2057+1-IF(G2057-U2057&gt;0,G2057-U2057,0)-IF(T2057-F2057&gt;0,T2057-F2057,0),0)</f>
        <v>0</v>
      </c>
      <c r="W2057" s="206" t="str">
        <f t="shared" ref="W2057:W2062" si="1270">IF(V2057&gt;0,H2057,"")</f>
        <v/>
      </c>
      <c r="X2057" s="206">
        <f t="shared" ref="X2057:X2062" si="1271">IF(AND($V2057&gt;0,$I2057=1),P2057/$E2057*$V2057,0)</f>
        <v>0</v>
      </c>
      <c r="Y2057" s="209">
        <f t="shared" ref="Y2057:Y2062" si="1272">IF(AND($V2057&gt;0,$I2057&lt;&gt;1),Q2057/$E2057*$V2057,0)</f>
        <v>0</v>
      </c>
    </row>
    <row r="2058" spans="2:25" ht="16.5" hidden="1" thickTop="1" thickBot="1" x14ac:dyDescent="0.3">
      <c r="B2058" s="60">
        <f>B2057</f>
        <v>11</v>
      </c>
      <c r="C2058" s="102">
        <v>72</v>
      </c>
      <c r="D2058" s="192" t="str">
        <f t="shared" si="1269"/>
        <v>VII</v>
      </c>
      <c r="E2058" s="162"/>
      <c r="F2058" s="163"/>
      <c r="G2058" s="163"/>
      <c r="H2058" s="164"/>
      <c r="I2058" s="164"/>
      <c r="J2058" s="162"/>
      <c r="K2058" s="165"/>
      <c r="L2058" s="164"/>
      <c r="M2058" s="164"/>
      <c r="N2058" s="166"/>
      <c r="O2058" s="167"/>
      <c r="P2058" s="168"/>
      <c r="Q2058" s="169"/>
      <c r="R2058" s="170"/>
      <c r="S2058" s="171"/>
      <c r="T2058" s="203">
        <f t="shared" si="1235"/>
        <v>43647</v>
      </c>
      <c r="U2058" s="204">
        <f t="shared" si="1236"/>
        <v>43677</v>
      </c>
      <c r="V2058" s="207">
        <f t="shared" ref="V2058:V2063" si="1273">IF(G2058-F2058+1-IF(G2058-U2058&gt;0,G2058-U2058,0)-IF(T2058-F2058&gt;0,T2058-F2058,0)&gt;0,G2058-F2058+1-IF(G2058-U2058&gt;0,G2058-U2058,0)-IF(T2058-F2058&gt;0,T2058-F2058,0),0)</f>
        <v>0</v>
      </c>
      <c r="W2058" s="206" t="str">
        <f t="shared" si="1270"/>
        <v/>
      </c>
      <c r="X2058" s="206">
        <f t="shared" si="1271"/>
        <v>0</v>
      </c>
      <c r="Y2058" s="209">
        <f t="shared" si="1272"/>
        <v>0</v>
      </c>
    </row>
    <row r="2059" spans="2:25" ht="16.5" hidden="1" thickTop="1" thickBot="1" x14ac:dyDescent="0.3">
      <c r="B2059" s="60">
        <f>B2057</f>
        <v>11</v>
      </c>
      <c r="C2059" s="102">
        <v>73</v>
      </c>
      <c r="D2059" s="192" t="str">
        <f t="shared" si="1269"/>
        <v>VII</v>
      </c>
      <c r="E2059" s="162"/>
      <c r="F2059" s="163"/>
      <c r="G2059" s="163"/>
      <c r="H2059" s="164"/>
      <c r="I2059" s="164"/>
      <c r="J2059" s="162"/>
      <c r="K2059" s="165"/>
      <c r="L2059" s="164"/>
      <c r="M2059" s="164"/>
      <c r="N2059" s="166"/>
      <c r="O2059" s="167"/>
      <c r="P2059" s="168"/>
      <c r="Q2059" s="169"/>
      <c r="R2059" s="170"/>
      <c r="S2059" s="171"/>
      <c r="T2059" s="203">
        <f t="shared" si="1235"/>
        <v>43647</v>
      </c>
      <c r="U2059" s="204">
        <f t="shared" si="1236"/>
        <v>43677</v>
      </c>
      <c r="V2059" s="207">
        <f t="shared" si="1273"/>
        <v>0</v>
      </c>
      <c r="W2059" s="206" t="str">
        <f t="shared" si="1270"/>
        <v/>
      </c>
      <c r="X2059" s="206">
        <f t="shared" si="1271"/>
        <v>0</v>
      </c>
      <c r="Y2059" s="209">
        <f t="shared" si="1272"/>
        <v>0</v>
      </c>
    </row>
    <row r="2060" spans="2:25" ht="16.5" hidden="1" thickTop="1" thickBot="1" x14ac:dyDescent="0.3">
      <c r="B2060" s="60">
        <f>B2057</f>
        <v>11</v>
      </c>
      <c r="C2060" s="102">
        <v>74</v>
      </c>
      <c r="D2060" s="192" t="str">
        <f t="shared" si="1269"/>
        <v>VII</v>
      </c>
      <c r="E2060" s="162"/>
      <c r="F2060" s="163"/>
      <c r="G2060" s="163"/>
      <c r="H2060" s="164"/>
      <c r="I2060" s="164"/>
      <c r="J2060" s="162"/>
      <c r="K2060" s="165"/>
      <c r="L2060" s="164"/>
      <c r="M2060" s="164"/>
      <c r="N2060" s="166"/>
      <c r="O2060" s="167"/>
      <c r="P2060" s="168"/>
      <c r="Q2060" s="169"/>
      <c r="R2060" s="170"/>
      <c r="S2060" s="171"/>
      <c r="T2060" s="203">
        <f t="shared" si="1235"/>
        <v>43647</v>
      </c>
      <c r="U2060" s="204">
        <f t="shared" si="1236"/>
        <v>43677</v>
      </c>
      <c r="V2060" s="207">
        <f t="shared" si="1273"/>
        <v>0</v>
      </c>
      <c r="W2060" s="206" t="str">
        <f t="shared" si="1270"/>
        <v/>
      </c>
      <c r="X2060" s="206">
        <f t="shared" si="1271"/>
        <v>0</v>
      </c>
      <c r="Y2060" s="209">
        <f t="shared" si="1272"/>
        <v>0</v>
      </c>
    </row>
    <row r="2061" spans="2:25" ht="16.5" hidden="1" thickTop="1" thickBot="1" x14ac:dyDescent="0.3">
      <c r="B2061" s="60">
        <f>B2057</f>
        <v>11</v>
      </c>
      <c r="C2061" s="102">
        <v>75</v>
      </c>
      <c r="D2061" s="192" t="str">
        <f t="shared" si="1269"/>
        <v>VII</v>
      </c>
      <c r="E2061" s="162"/>
      <c r="F2061" s="163"/>
      <c r="G2061" s="163"/>
      <c r="H2061" s="164"/>
      <c r="I2061" s="164"/>
      <c r="J2061" s="162"/>
      <c r="K2061" s="165"/>
      <c r="L2061" s="164"/>
      <c r="M2061" s="164"/>
      <c r="N2061" s="166"/>
      <c r="O2061" s="167"/>
      <c r="P2061" s="168"/>
      <c r="Q2061" s="169"/>
      <c r="R2061" s="170"/>
      <c r="S2061" s="171"/>
      <c r="T2061" s="203">
        <f t="shared" ref="T2061:T2124" si="1274">$F$4</f>
        <v>43647</v>
      </c>
      <c r="U2061" s="204">
        <f t="shared" ref="U2061:U2124" si="1275">$G$4</f>
        <v>43677</v>
      </c>
      <c r="V2061" s="207">
        <f t="shared" si="1273"/>
        <v>0</v>
      </c>
      <c r="W2061" s="206" t="str">
        <f t="shared" si="1270"/>
        <v/>
      </c>
      <c r="X2061" s="206">
        <f t="shared" si="1271"/>
        <v>0</v>
      </c>
      <c r="Y2061" s="209">
        <f t="shared" si="1272"/>
        <v>0</v>
      </c>
    </row>
    <row r="2062" spans="2:25" ht="16.5" hidden="1" thickTop="1" thickBot="1" x14ac:dyDescent="0.3">
      <c r="B2062" s="60">
        <f>B2057</f>
        <v>11</v>
      </c>
      <c r="C2062" s="102">
        <v>76</v>
      </c>
      <c r="D2062" s="192" t="str">
        <f t="shared" si="1269"/>
        <v>VII</v>
      </c>
      <c r="E2062" s="172"/>
      <c r="F2062" s="173"/>
      <c r="G2062" s="173"/>
      <c r="H2062" s="174"/>
      <c r="I2062" s="174"/>
      <c r="J2062" s="172"/>
      <c r="K2062" s="175"/>
      <c r="L2062" s="174"/>
      <c r="M2062" s="174"/>
      <c r="N2062" s="176"/>
      <c r="O2062" s="177"/>
      <c r="P2062" s="178"/>
      <c r="Q2062" s="179"/>
      <c r="R2062" s="180"/>
      <c r="S2062" s="181"/>
      <c r="T2062" s="203">
        <f t="shared" si="1274"/>
        <v>43647</v>
      </c>
      <c r="U2062" s="204">
        <f t="shared" si="1275"/>
        <v>43677</v>
      </c>
      <c r="V2062" s="207">
        <f t="shared" si="1273"/>
        <v>0</v>
      </c>
      <c r="W2062" s="206" t="str">
        <f t="shared" si="1270"/>
        <v/>
      </c>
      <c r="X2062" s="206">
        <f t="shared" si="1271"/>
        <v>0</v>
      </c>
      <c r="Y2062" s="209">
        <f t="shared" si="1272"/>
        <v>0</v>
      </c>
    </row>
    <row r="2063" spans="2:25" ht="16.5" hidden="1" thickTop="1" thickBot="1" x14ac:dyDescent="0.3">
      <c r="B2063" s="141">
        <f>B2057</f>
        <v>11</v>
      </c>
      <c r="C2063" s="142">
        <v>77</v>
      </c>
      <c r="D2063" s="194" t="str">
        <f t="shared" si="1269"/>
        <v>VII</v>
      </c>
      <c r="E2063" s="189"/>
      <c r="F2063" s="190"/>
      <c r="G2063" s="190"/>
      <c r="H2063" s="182"/>
      <c r="I2063" s="182"/>
      <c r="J2063" s="436" t="s">
        <v>181</v>
      </c>
      <c r="K2063" s="437"/>
      <c r="L2063" s="438"/>
      <c r="M2063" s="182"/>
      <c r="N2063" s="183"/>
      <c r="O2063" s="184"/>
      <c r="P2063" s="185"/>
      <c r="Q2063" s="186"/>
      <c r="R2063" s="187"/>
      <c r="S2063" s="188"/>
      <c r="T2063" s="213">
        <f t="shared" si="1274"/>
        <v>43647</v>
      </c>
      <c r="U2063" s="214">
        <f t="shared" si="1275"/>
        <v>43677</v>
      </c>
      <c r="V2063" s="210">
        <f t="shared" si="1273"/>
        <v>0</v>
      </c>
      <c r="W2063" s="211"/>
      <c r="X2063" s="211">
        <f>IF(AND($V2063&gt;0,$I2063=1),IF($E2063=10,P2063/10,P2063/$V2063),0)</f>
        <v>0</v>
      </c>
      <c r="Y2063" s="212">
        <f>IF(AND($V2057&gt;0,$I2063&lt;&gt;1),Q2063/E2057*V2057,0)</f>
        <v>0</v>
      </c>
    </row>
    <row r="2064" spans="2:25" ht="16.5" hidden="1" thickTop="1" thickBot="1" x14ac:dyDescent="0.3">
      <c r="B2064" s="129">
        <f>B2062+1</f>
        <v>12</v>
      </c>
      <c r="C2064" s="130">
        <v>78</v>
      </c>
      <c r="D2064" s="196" t="str">
        <f t="shared" si="1269"/>
        <v>VII</v>
      </c>
      <c r="E2064" s="131"/>
      <c r="F2064" s="132"/>
      <c r="G2064" s="132"/>
      <c r="H2064" s="133"/>
      <c r="I2064" s="133"/>
      <c r="J2064" s="131"/>
      <c r="K2064" s="134"/>
      <c r="L2064" s="133"/>
      <c r="M2064" s="133"/>
      <c r="N2064" s="135"/>
      <c r="O2064" s="136"/>
      <c r="P2064" s="137"/>
      <c r="Q2064" s="138"/>
      <c r="R2064" s="139"/>
      <c r="S2064" s="140"/>
      <c r="T2064" s="203">
        <f t="shared" si="1274"/>
        <v>43647</v>
      </c>
      <c r="U2064" s="204">
        <f t="shared" si="1275"/>
        <v>43677</v>
      </c>
      <c r="V2064" s="207">
        <f>IF(G2064-F2064+1-IF(G2064-U2064&gt;0,G2064-U2064,0)-IF(T2064-F2064&gt;0,T2064-F2064,0)&gt;0,G2064-F2064+1-IF(G2064-U2064&gt;0,G2064-U2064,0)-IF(T2064-F2064&gt;0,T2064-F2064,0),0)</f>
        <v>0</v>
      </c>
      <c r="W2064" s="206" t="str">
        <f t="shared" ref="W2064:W2069" si="1276">IF(V2064&gt;0,H2064,"")</f>
        <v/>
      </c>
      <c r="X2064" s="206">
        <f t="shared" ref="X2064:X2069" si="1277">IF(AND($V2064&gt;0,$I2064=1),P2064/$E2064*$V2064,0)</f>
        <v>0</v>
      </c>
      <c r="Y2064" s="209">
        <f t="shared" ref="Y2064:Y2069" si="1278">IF(AND($V2064&gt;0,$I2064&lt;&gt;1),Q2064/$E2064*$V2064,0)</f>
        <v>0</v>
      </c>
    </row>
    <row r="2065" spans="2:25" ht="16.5" hidden="1" thickTop="1" thickBot="1" x14ac:dyDescent="0.3">
      <c r="B2065" s="60">
        <f>B2064</f>
        <v>12</v>
      </c>
      <c r="C2065" s="102">
        <v>79</v>
      </c>
      <c r="D2065" s="192" t="str">
        <f t="shared" si="1269"/>
        <v>VII</v>
      </c>
      <c r="E2065" s="62"/>
      <c r="F2065" s="105"/>
      <c r="G2065" s="105"/>
      <c r="H2065" s="61"/>
      <c r="I2065" s="61"/>
      <c r="J2065" s="62"/>
      <c r="K2065" s="63"/>
      <c r="L2065" s="61"/>
      <c r="M2065" s="61"/>
      <c r="N2065" s="111"/>
      <c r="O2065" s="112"/>
      <c r="P2065" s="113"/>
      <c r="Q2065" s="114"/>
      <c r="R2065" s="64"/>
      <c r="S2065" s="108"/>
      <c r="T2065" s="203">
        <f t="shared" si="1274"/>
        <v>43647</v>
      </c>
      <c r="U2065" s="204">
        <f t="shared" si="1275"/>
        <v>43677</v>
      </c>
      <c r="V2065" s="207">
        <f t="shared" ref="V2065:V2070" si="1279">IF(G2065-F2065+1-IF(G2065-U2065&gt;0,G2065-U2065,0)-IF(T2065-F2065&gt;0,T2065-F2065,0)&gt;0,G2065-F2065+1-IF(G2065-U2065&gt;0,G2065-U2065,0)-IF(T2065-F2065&gt;0,T2065-F2065,0),0)</f>
        <v>0</v>
      </c>
      <c r="W2065" s="206" t="str">
        <f t="shared" si="1276"/>
        <v/>
      </c>
      <c r="X2065" s="206">
        <f t="shared" si="1277"/>
        <v>0</v>
      </c>
      <c r="Y2065" s="209">
        <f t="shared" si="1278"/>
        <v>0</v>
      </c>
    </row>
    <row r="2066" spans="2:25" ht="16.5" hidden="1" thickTop="1" thickBot="1" x14ac:dyDescent="0.3">
      <c r="B2066" s="60">
        <f>B2064</f>
        <v>12</v>
      </c>
      <c r="C2066" s="102">
        <v>80</v>
      </c>
      <c r="D2066" s="192" t="str">
        <f t="shared" si="1269"/>
        <v>VII</v>
      </c>
      <c r="E2066" s="62"/>
      <c r="F2066" s="105"/>
      <c r="G2066" s="105"/>
      <c r="H2066" s="61"/>
      <c r="I2066" s="61"/>
      <c r="J2066" s="62"/>
      <c r="K2066" s="63"/>
      <c r="L2066" s="61"/>
      <c r="M2066" s="61"/>
      <c r="N2066" s="111"/>
      <c r="O2066" s="112"/>
      <c r="P2066" s="113"/>
      <c r="Q2066" s="114"/>
      <c r="R2066" s="64"/>
      <c r="S2066" s="108"/>
      <c r="T2066" s="203">
        <f t="shared" si="1274"/>
        <v>43647</v>
      </c>
      <c r="U2066" s="204">
        <f t="shared" si="1275"/>
        <v>43677</v>
      </c>
      <c r="V2066" s="207">
        <f t="shared" si="1279"/>
        <v>0</v>
      </c>
      <c r="W2066" s="206" t="str">
        <f t="shared" si="1276"/>
        <v/>
      </c>
      <c r="X2066" s="206">
        <f t="shared" si="1277"/>
        <v>0</v>
      </c>
      <c r="Y2066" s="209">
        <f t="shared" si="1278"/>
        <v>0</v>
      </c>
    </row>
    <row r="2067" spans="2:25" ht="16.5" hidden="1" thickTop="1" thickBot="1" x14ac:dyDescent="0.3">
      <c r="B2067" s="60">
        <f>B2064</f>
        <v>12</v>
      </c>
      <c r="C2067" s="102">
        <v>81</v>
      </c>
      <c r="D2067" s="192" t="str">
        <f t="shared" si="1269"/>
        <v>VII</v>
      </c>
      <c r="E2067" s="62"/>
      <c r="F2067" s="105"/>
      <c r="G2067" s="105"/>
      <c r="H2067" s="61"/>
      <c r="I2067" s="61"/>
      <c r="J2067" s="62"/>
      <c r="K2067" s="63"/>
      <c r="L2067" s="61"/>
      <c r="M2067" s="61"/>
      <c r="N2067" s="111"/>
      <c r="O2067" s="112"/>
      <c r="P2067" s="113"/>
      <c r="Q2067" s="114"/>
      <c r="R2067" s="64"/>
      <c r="S2067" s="108"/>
      <c r="T2067" s="203">
        <f t="shared" si="1274"/>
        <v>43647</v>
      </c>
      <c r="U2067" s="204">
        <f t="shared" si="1275"/>
        <v>43677</v>
      </c>
      <c r="V2067" s="207">
        <f t="shared" si="1279"/>
        <v>0</v>
      </c>
      <c r="W2067" s="206" t="str">
        <f t="shared" si="1276"/>
        <v/>
      </c>
      <c r="X2067" s="206">
        <f t="shared" si="1277"/>
        <v>0</v>
      </c>
      <c r="Y2067" s="209">
        <f t="shared" si="1278"/>
        <v>0</v>
      </c>
    </row>
    <row r="2068" spans="2:25" ht="16.5" hidden="1" thickTop="1" thickBot="1" x14ac:dyDescent="0.3">
      <c r="B2068" s="60">
        <f>B2064</f>
        <v>12</v>
      </c>
      <c r="C2068" s="102">
        <v>82</v>
      </c>
      <c r="D2068" s="192" t="str">
        <f t="shared" si="1269"/>
        <v>VII</v>
      </c>
      <c r="E2068" s="62"/>
      <c r="F2068" s="105"/>
      <c r="G2068" s="105"/>
      <c r="H2068" s="61"/>
      <c r="I2068" s="61"/>
      <c r="J2068" s="62"/>
      <c r="K2068" s="63"/>
      <c r="L2068" s="61"/>
      <c r="M2068" s="61"/>
      <c r="N2068" s="111"/>
      <c r="O2068" s="112"/>
      <c r="P2068" s="113"/>
      <c r="Q2068" s="114"/>
      <c r="R2068" s="64"/>
      <c r="S2068" s="108"/>
      <c r="T2068" s="203">
        <f t="shared" si="1274"/>
        <v>43647</v>
      </c>
      <c r="U2068" s="204">
        <f t="shared" si="1275"/>
        <v>43677</v>
      </c>
      <c r="V2068" s="207">
        <f t="shared" si="1279"/>
        <v>0</v>
      </c>
      <c r="W2068" s="206" t="str">
        <f t="shared" si="1276"/>
        <v/>
      </c>
      <c r="X2068" s="206">
        <f t="shared" si="1277"/>
        <v>0</v>
      </c>
      <c r="Y2068" s="209">
        <f t="shared" si="1278"/>
        <v>0</v>
      </c>
    </row>
    <row r="2069" spans="2:25" ht="16.5" hidden="1" thickTop="1" thickBot="1" x14ac:dyDescent="0.3">
      <c r="B2069" s="60">
        <f>B2064</f>
        <v>12</v>
      </c>
      <c r="C2069" s="102">
        <v>83</v>
      </c>
      <c r="D2069" s="192" t="str">
        <f t="shared" si="1269"/>
        <v>VII</v>
      </c>
      <c r="E2069" s="62"/>
      <c r="F2069" s="105"/>
      <c r="G2069" s="105"/>
      <c r="H2069" s="61"/>
      <c r="I2069" s="61"/>
      <c r="J2069" s="62"/>
      <c r="K2069" s="63"/>
      <c r="L2069" s="61"/>
      <c r="M2069" s="61"/>
      <c r="N2069" s="111"/>
      <c r="O2069" s="112"/>
      <c r="P2069" s="113"/>
      <c r="Q2069" s="114"/>
      <c r="R2069" s="64"/>
      <c r="S2069" s="108"/>
      <c r="T2069" s="203">
        <f t="shared" si="1274"/>
        <v>43647</v>
      </c>
      <c r="U2069" s="204">
        <f t="shared" si="1275"/>
        <v>43677</v>
      </c>
      <c r="V2069" s="207">
        <f t="shared" si="1279"/>
        <v>0</v>
      </c>
      <c r="W2069" s="206" t="str">
        <f t="shared" si="1276"/>
        <v/>
      </c>
      <c r="X2069" s="206">
        <f t="shared" si="1277"/>
        <v>0</v>
      </c>
      <c r="Y2069" s="209">
        <f t="shared" si="1278"/>
        <v>0</v>
      </c>
    </row>
    <row r="2070" spans="2:25" ht="16.5" hidden="1" thickTop="1" thickBot="1" x14ac:dyDescent="0.3">
      <c r="B2070" s="141">
        <f>B2064</f>
        <v>12</v>
      </c>
      <c r="C2070" s="142">
        <v>84</v>
      </c>
      <c r="D2070" s="194" t="str">
        <f t="shared" si="1269"/>
        <v>VII</v>
      </c>
      <c r="E2070" s="143"/>
      <c r="F2070" s="144"/>
      <c r="G2070" s="144"/>
      <c r="H2070" s="145"/>
      <c r="I2070" s="145"/>
      <c r="J2070" s="436" t="s">
        <v>181</v>
      </c>
      <c r="K2070" s="437"/>
      <c r="L2070" s="438"/>
      <c r="M2070" s="145"/>
      <c r="N2070" s="146"/>
      <c r="O2070" s="147"/>
      <c r="P2070" s="148"/>
      <c r="Q2070" s="149"/>
      <c r="R2070" s="150"/>
      <c r="S2070" s="151"/>
      <c r="T2070" s="213">
        <f t="shared" si="1274"/>
        <v>43647</v>
      </c>
      <c r="U2070" s="214">
        <f t="shared" si="1275"/>
        <v>43677</v>
      </c>
      <c r="V2070" s="210">
        <f t="shared" si="1279"/>
        <v>0</v>
      </c>
      <c r="W2070" s="211"/>
      <c r="X2070" s="211">
        <f>IF(AND($V2070&gt;0,$I2070=1),IF($E2070=10,P2070/10,P2070/$V2070),0)</f>
        <v>0</v>
      </c>
      <c r="Y2070" s="212">
        <f>IF(AND($V2064&gt;0,$I2070&lt;&gt;1),Q2070/E2064*V2064,0)</f>
        <v>0</v>
      </c>
    </row>
    <row r="2071" spans="2:25" ht="16.5" hidden="1" thickTop="1" thickBot="1" x14ac:dyDescent="0.3">
      <c r="B2071" s="129">
        <f>B2069+1</f>
        <v>13</v>
      </c>
      <c r="C2071" s="130">
        <v>85</v>
      </c>
      <c r="D2071" s="196" t="str">
        <f t="shared" si="1269"/>
        <v>VII</v>
      </c>
      <c r="E2071" s="152"/>
      <c r="F2071" s="153"/>
      <c r="G2071" s="153"/>
      <c r="H2071" s="154"/>
      <c r="I2071" s="154"/>
      <c r="J2071" s="152"/>
      <c r="K2071" s="155"/>
      <c r="L2071" s="154"/>
      <c r="M2071" s="154"/>
      <c r="N2071" s="156"/>
      <c r="O2071" s="157"/>
      <c r="P2071" s="158"/>
      <c r="Q2071" s="159"/>
      <c r="R2071" s="160"/>
      <c r="S2071" s="161"/>
      <c r="T2071" s="203">
        <f t="shared" si="1274"/>
        <v>43647</v>
      </c>
      <c r="U2071" s="204">
        <f t="shared" si="1275"/>
        <v>43677</v>
      </c>
      <c r="V2071" s="207">
        <f>IF(G2071-F2071+1-IF(G2071-U2071&gt;0,G2071-U2071,0)-IF(T2071-F2071&gt;0,T2071-F2071,0)&gt;0,G2071-F2071+1-IF(G2071-U2071&gt;0,G2071-U2071,0)-IF(T2071-F2071&gt;0,T2071-F2071,0),0)</f>
        <v>0</v>
      </c>
      <c r="W2071" s="206" t="str">
        <f t="shared" ref="W2071:W2076" si="1280">IF(V2071&gt;0,H2071,"")</f>
        <v/>
      </c>
      <c r="X2071" s="206">
        <f t="shared" ref="X2071:X2076" si="1281">IF(AND($V2071&gt;0,$I2071=1),P2071/$E2071*$V2071,0)</f>
        <v>0</v>
      </c>
      <c r="Y2071" s="209">
        <f t="shared" ref="Y2071:Y2076" si="1282">IF(AND($V2071&gt;0,$I2071&lt;&gt;1),Q2071/$E2071*$V2071,0)</f>
        <v>0</v>
      </c>
    </row>
    <row r="2072" spans="2:25" ht="16.5" hidden="1" thickTop="1" thickBot="1" x14ac:dyDescent="0.3">
      <c r="B2072" s="60">
        <f>B2071</f>
        <v>13</v>
      </c>
      <c r="C2072" s="102">
        <v>86</v>
      </c>
      <c r="D2072" s="192" t="str">
        <f t="shared" si="1269"/>
        <v>VII</v>
      </c>
      <c r="E2072" s="162"/>
      <c r="F2072" s="163"/>
      <c r="G2072" s="163"/>
      <c r="H2072" s="164"/>
      <c r="I2072" s="164"/>
      <c r="J2072" s="162"/>
      <c r="K2072" s="165"/>
      <c r="L2072" s="164"/>
      <c r="M2072" s="164"/>
      <c r="N2072" s="166"/>
      <c r="O2072" s="167"/>
      <c r="P2072" s="168"/>
      <c r="Q2072" s="169"/>
      <c r="R2072" s="170"/>
      <c r="S2072" s="171"/>
      <c r="T2072" s="203">
        <f t="shared" si="1274"/>
        <v>43647</v>
      </c>
      <c r="U2072" s="204">
        <f t="shared" si="1275"/>
        <v>43677</v>
      </c>
      <c r="V2072" s="207">
        <f t="shared" ref="V2072:V2077" si="1283">IF(G2072-F2072+1-IF(G2072-U2072&gt;0,G2072-U2072,0)-IF(T2072-F2072&gt;0,T2072-F2072,0)&gt;0,G2072-F2072+1-IF(G2072-U2072&gt;0,G2072-U2072,0)-IF(T2072-F2072&gt;0,T2072-F2072,0),0)</f>
        <v>0</v>
      </c>
      <c r="W2072" s="206" t="str">
        <f t="shared" si="1280"/>
        <v/>
      </c>
      <c r="X2072" s="206">
        <f t="shared" si="1281"/>
        <v>0</v>
      </c>
      <c r="Y2072" s="209">
        <f t="shared" si="1282"/>
        <v>0</v>
      </c>
    </row>
    <row r="2073" spans="2:25" ht="16.5" hidden="1" thickTop="1" thickBot="1" x14ac:dyDescent="0.3">
      <c r="B2073" s="60">
        <f>B2071</f>
        <v>13</v>
      </c>
      <c r="C2073" s="102">
        <v>87</v>
      </c>
      <c r="D2073" s="192" t="str">
        <f t="shared" si="1269"/>
        <v>VII</v>
      </c>
      <c r="E2073" s="162"/>
      <c r="F2073" s="163"/>
      <c r="G2073" s="163"/>
      <c r="H2073" s="164"/>
      <c r="I2073" s="164"/>
      <c r="J2073" s="162"/>
      <c r="K2073" s="165"/>
      <c r="L2073" s="164"/>
      <c r="M2073" s="164"/>
      <c r="N2073" s="166"/>
      <c r="O2073" s="167"/>
      <c r="P2073" s="168"/>
      <c r="Q2073" s="169"/>
      <c r="R2073" s="170"/>
      <c r="S2073" s="171"/>
      <c r="T2073" s="203">
        <f t="shared" si="1274"/>
        <v>43647</v>
      </c>
      <c r="U2073" s="204">
        <f t="shared" si="1275"/>
        <v>43677</v>
      </c>
      <c r="V2073" s="207">
        <f t="shared" si="1283"/>
        <v>0</v>
      </c>
      <c r="W2073" s="206" t="str">
        <f t="shared" si="1280"/>
        <v/>
      </c>
      <c r="X2073" s="206">
        <f t="shared" si="1281"/>
        <v>0</v>
      </c>
      <c r="Y2073" s="209">
        <f t="shared" si="1282"/>
        <v>0</v>
      </c>
    </row>
    <row r="2074" spans="2:25" ht="16.5" hidden="1" thickTop="1" thickBot="1" x14ac:dyDescent="0.3">
      <c r="B2074" s="60">
        <f>B2071</f>
        <v>13</v>
      </c>
      <c r="C2074" s="102">
        <v>88</v>
      </c>
      <c r="D2074" s="192" t="str">
        <f t="shared" si="1269"/>
        <v>VII</v>
      </c>
      <c r="E2074" s="162"/>
      <c r="F2074" s="163"/>
      <c r="G2074" s="163"/>
      <c r="H2074" s="164"/>
      <c r="I2074" s="164"/>
      <c r="J2074" s="162"/>
      <c r="K2074" s="165"/>
      <c r="L2074" s="164"/>
      <c r="M2074" s="164"/>
      <c r="N2074" s="166"/>
      <c r="O2074" s="167"/>
      <c r="P2074" s="168"/>
      <c r="Q2074" s="169"/>
      <c r="R2074" s="170"/>
      <c r="S2074" s="171"/>
      <c r="T2074" s="203">
        <f t="shared" si="1274"/>
        <v>43647</v>
      </c>
      <c r="U2074" s="204">
        <f t="shared" si="1275"/>
        <v>43677</v>
      </c>
      <c r="V2074" s="207">
        <f t="shared" si="1283"/>
        <v>0</v>
      </c>
      <c r="W2074" s="206" t="str">
        <f t="shared" si="1280"/>
        <v/>
      </c>
      <c r="X2074" s="206">
        <f t="shared" si="1281"/>
        <v>0</v>
      </c>
      <c r="Y2074" s="209">
        <f t="shared" si="1282"/>
        <v>0</v>
      </c>
    </row>
    <row r="2075" spans="2:25" ht="16.5" hidden="1" thickTop="1" thickBot="1" x14ac:dyDescent="0.3">
      <c r="B2075" s="60">
        <f>B2071</f>
        <v>13</v>
      </c>
      <c r="C2075" s="102">
        <v>89</v>
      </c>
      <c r="D2075" s="192" t="str">
        <f t="shared" si="1269"/>
        <v>VII</v>
      </c>
      <c r="E2075" s="162"/>
      <c r="F2075" s="163"/>
      <c r="G2075" s="163"/>
      <c r="H2075" s="164"/>
      <c r="I2075" s="164"/>
      <c r="J2075" s="162"/>
      <c r="K2075" s="165"/>
      <c r="L2075" s="164"/>
      <c r="M2075" s="164"/>
      <c r="N2075" s="166"/>
      <c r="O2075" s="167"/>
      <c r="P2075" s="168"/>
      <c r="Q2075" s="169"/>
      <c r="R2075" s="170"/>
      <c r="S2075" s="171"/>
      <c r="T2075" s="203">
        <f t="shared" si="1274"/>
        <v>43647</v>
      </c>
      <c r="U2075" s="204">
        <f t="shared" si="1275"/>
        <v>43677</v>
      </c>
      <c r="V2075" s="207">
        <f t="shared" si="1283"/>
        <v>0</v>
      </c>
      <c r="W2075" s="206" t="str">
        <f t="shared" si="1280"/>
        <v/>
      </c>
      <c r="X2075" s="206">
        <f t="shared" si="1281"/>
        <v>0</v>
      </c>
      <c r="Y2075" s="209">
        <f t="shared" si="1282"/>
        <v>0</v>
      </c>
    </row>
    <row r="2076" spans="2:25" ht="16.5" hidden="1" thickTop="1" thickBot="1" x14ac:dyDescent="0.3">
      <c r="B2076" s="60">
        <f>B2071</f>
        <v>13</v>
      </c>
      <c r="C2076" s="102">
        <v>90</v>
      </c>
      <c r="D2076" s="192" t="str">
        <f t="shared" si="1269"/>
        <v>VII</v>
      </c>
      <c r="E2076" s="172"/>
      <c r="F2076" s="173"/>
      <c r="G2076" s="173"/>
      <c r="H2076" s="174"/>
      <c r="I2076" s="174"/>
      <c r="J2076" s="172"/>
      <c r="K2076" s="175"/>
      <c r="L2076" s="174"/>
      <c r="M2076" s="174"/>
      <c r="N2076" s="176"/>
      <c r="O2076" s="177"/>
      <c r="P2076" s="178"/>
      <c r="Q2076" s="179"/>
      <c r="R2076" s="180"/>
      <c r="S2076" s="181"/>
      <c r="T2076" s="203">
        <f t="shared" si="1274"/>
        <v>43647</v>
      </c>
      <c r="U2076" s="204">
        <f t="shared" si="1275"/>
        <v>43677</v>
      </c>
      <c r="V2076" s="207">
        <f t="shared" si="1283"/>
        <v>0</v>
      </c>
      <c r="W2076" s="206" t="str">
        <f t="shared" si="1280"/>
        <v/>
      </c>
      <c r="X2076" s="206">
        <f t="shared" si="1281"/>
        <v>0</v>
      </c>
      <c r="Y2076" s="209">
        <f t="shared" si="1282"/>
        <v>0</v>
      </c>
    </row>
    <row r="2077" spans="2:25" ht="16.5" hidden="1" thickTop="1" thickBot="1" x14ac:dyDescent="0.3">
      <c r="B2077" s="141">
        <f>B2071</f>
        <v>13</v>
      </c>
      <c r="C2077" s="142">
        <v>91</v>
      </c>
      <c r="D2077" s="194" t="str">
        <f t="shared" si="1269"/>
        <v>VII</v>
      </c>
      <c r="E2077" s="189"/>
      <c r="F2077" s="190"/>
      <c r="G2077" s="190"/>
      <c r="H2077" s="182"/>
      <c r="I2077" s="182"/>
      <c r="J2077" s="436" t="s">
        <v>181</v>
      </c>
      <c r="K2077" s="437"/>
      <c r="L2077" s="438"/>
      <c r="M2077" s="182"/>
      <c r="N2077" s="183"/>
      <c r="O2077" s="184"/>
      <c r="P2077" s="185"/>
      <c r="Q2077" s="186"/>
      <c r="R2077" s="187"/>
      <c r="S2077" s="188"/>
      <c r="T2077" s="213">
        <f t="shared" si="1274"/>
        <v>43647</v>
      </c>
      <c r="U2077" s="214">
        <f t="shared" si="1275"/>
        <v>43677</v>
      </c>
      <c r="V2077" s="210">
        <f t="shared" si="1283"/>
        <v>0</v>
      </c>
      <c r="W2077" s="211"/>
      <c r="X2077" s="211">
        <f>IF(AND($V2077&gt;0,$I2077=1),IF($E2077=10,P2077/10,P2077/$V2077),0)</f>
        <v>0</v>
      </c>
      <c r="Y2077" s="212">
        <f>IF(AND($V2071&gt;0,$I2077&lt;&gt;1),Q2077/E2071*V2071,0)</f>
        <v>0</v>
      </c>
    </row>
    <row r="2078" spans="2:25" ht="16.5" hidden="1" thickTop="1" thickBot="1" x14ac:dyDescent="0.3">
      <c r="B2078" s="129">
        <f>B2076+1</f>
        <v>14</v>
      </c>
      <c r="C2078" s="130">
        <v>92</v>
      </c>
      <c r="D2078" s="196" t="str">
        <f t="shared" si="1269"/>
        <v>VII</v>
      </c>
      <c r="E2078" s="131"/>
      <c r="F2078" s="132"/>
      <c r="G2078" s="132"/>
      <c r="H2078" s="133"/>
      <c r="I2078" s="133"/>
      <c r="J2078" s="131"/>
      <c r="K2078" s="134"/>
      <c r="L2078" s="133"/>
      <c r="M2078" s="133"/>
      <c r="N2078" s="135"/>
      <c r="O2078" s="136"/>
      <c r="P2078" s="137"/>
      <c r="Q2078" s="138"/>
      <c r="R2078" s="139"/>
      <c r="S2078" s="140"/>
      <c r="T2078" s="203">
        <f t="shared" si="1274"/>
        <v>43647</v>
      </c>
      <c r="U2078" s="204">
        <f t="shared" si="1275"/>
        <v>43677</v>
      </c>
      <c r="V2078" s="207">
        <f>IF(G2078-F2078+1-IF(G2078-U2078&gt;0,G2078-U2078,0)-IF(T2078-F2078&gt;0,T2078-F2078,0)&gt;0,G2078-F2078+1-IF(G2078-U2078&gt;0,G2078-U2078,0)-IF(T2078-F2078&gt;0,T2078-F2078,0),0)</f>
        <v>0</v>
      </c>
      <c r="W2078" s="206" t="str">
        <f t="shared" ref="W2078:W2083" si="1284">IF(V2078&gt;0,H2078,"")</f>
        <v/>
      </c>
      <c r="X2078" s="206">
        <f t="shared" ref="X2078:X2083" si="1285">IF(AND($V2078&gt;0,$I2078=1),P2078/$E2078*$V2078,0)</f>
        <v>0</v>
      </c>
      <c r="Y2078" s="209">
        <f t="shared" ref="Y2078:Y2083" si="1286">IF(AND($V2078&gt;0,$I2078&lt;&gt;1),Q2078/$E2078*$V2078,0)</f>
        <v>0</v>
      </c>
    </row>
    <row r="2079" spans="2:25" ht="16.5" hidden="1" thickTop="1" thickBot="1" x14ac:dyDescent="0.3">
      <c r="B2079" s="60">
        <f>B2078</f>
        <v>14</v>
      </c>
      <c r="C2079" s="102">
        <v>93</v>
      </c>
      <c r="D2079" s="192" t="str">
        <f t="shared" si="1269"/>
        <v>VII</v>
      </c>
      <c r="E2079" s="62"/>
      <c r="F2079" s="105"/>
      <c r="G2079" s="105"/>
      <c r="H2079" s="61"/>
      <c r="I2079" s="61"/>
      <c r="J2079" s="62"/>
      <c r="K2079" s="63"/>
      <c r="L2079" s="61"/>
      <c r="M2079" s="61"/>
      <c r="N2079" s="111"/>
      <c r="O2079" s="112"/>
      <c r="P2079" s="113"/>
      <c r="Q2079" s="114"/>
      <c r="R2079" s="64"/>
      <c r="S2079" s="108"/>
      <c r="T2079" s="203">
        <f t="shared" si="1274"/>
        <v>43647</v>
      </c>
      <c r="U2079" s="204">
        <f t="shared" si="1275"/>
        <v>43677</v>
      </c>
      <c r="V2079" s="207">
        <f t="shared" ref="V2079:V2084" si="1287">IF(G2079-F2079+1-IF(G2079-U2079&gt;0,G2079-U2079,0)-IF(T2079-F2079&gt;0,T2079-F2079,0)&gt;0,G2079-F2079+1-IF(G2079-U2079&gt;0,G2079-U2079,0)-IF(T2079-F2079&gt;0,T2079-F2079,0),0)</f>
        <v>0</v>
      </c>
      <c r="W2079" s="206" t="str">
        <f t="shared" si="1284"/>
        <v/>
      </c>
      <c r="X2079" s="206">
        <f t="shared" si="1285"/>
        <v>0</v>
      </c>
      <c r="Y2079" s="209">
        <f t="shared" si="1286"/>
        <v>0</v>
      </c>
    </row>
    <row r="2080" spans="2:25" ht="16.5" hidden="1" thickTop="1" thickBot="1" x14ac:dyDescent="0.3">
      <c r="B2080" s="60">
        <f>B2078</f>
        <v>14</v>
      </c>
      <c r="C2080" s="102">
        <v>94</v>
      </c>
      <c r="D2080" s="192" t="str">
        <f t="shared" si="1269"/>
        <v>VII</v>
      </c>
      <c r="E2080" s="62"/>
      <c r="F2080" s="105"/>
      <c r="G2080" s="105"/>
      <c r="H2080" s="61"/>
      <c r="I2080" s="61"/>
      <c r="J2080" s="62"/>
      <c r="K2080" s="63"/>
      <c r="L2080" s="61"/>
      <c r="M2080" s="61"/>
      <c r="N2080" s="111"/>
      <c r="O2080" s="112"/>
      <c r="P2080" s="113"/>
      <c r="Q2080" s="114"/>
      <c r="R2080" s="64"/>
      <c r="S2080" s="108"/>
      <c r="T2080" s="203">
        <f t="shared" si="1274"/>
        <v>43647</v>
      </c>
      <c r="U2080" s="204">
        <f t="shared" si="1275"/>
        <v>43677</v>
      </c>
      <c r="V2080" s="207">
        <f t="shared" si="1287"/>
        <v>0</v>
      </c>
      <c r="W2080" s="206" t="str">
        <f t="shared" si="1284"/>
        <v/>
      </c>
      <c r="X2080" s="206">
        <f t="shared" si="1285"/>
        <v>0</v>
      </c>
      <c r="Y2080" s="209">
        <f t="shared" si="1286"/>
        <v>0</v>
      </c>
    </row>
    <row r="2081" spans="2:25" ht="16.5" hidden="1" thickTop="1" thickBot="1" x14ac:dyDescent="0.3">
      <c r="B2081" s="60">
        <f>B2078</f>
        <v>14</v>
      </c>
      <c r="C2081" s="102">
        <v>95</v>
      </c>
      <c r="D2081" s="192" t="str">
        <f t="shared" si="1269"/>
        <v>VII</v>
      </c>
      <c r="E2081" s="62"/>
      <c r="F2081" s="105"/>
      <c r="G2081" s="105"/>
      <c r="H2081" s="61"/>
      <c r="I2081" s="61"/>
      <c r="J2081" s="62"/>
      <c r="K2081" s="63"/>
      <c r="L2081" s="61"/>
      <c r="M2081" s="61"/>
      <c r="N2081" s="111"/>
      <c r="O2081" s="112"/>
      <c r="P2081" s="113"/>
      <c r="Q2081" s="114"/>
      <c r="R2081" s="64"/>
      <c r="S2081" s="108"/>
      <c r="T2081" s="203">
        <f t="shared" si="1274"/>
        <v>43647</v>
      </c>
      <c r="U2081" s="204">
        <f t="shared" si="1275"/>
        <v>43677</v>
      </c>
      <c r="V2081" s="207">
        <f t="shared" si="1287"/>
        <v>0</v>
      </c>
      <c r="W2081" s="206" t="str">
        <f t="shared" si="1284"/>
        <v/>
      </c>
      <c r="X2081" s="206">
        <f t="shared" si="1285"/>
        <v>0</v>
      </c>
      <c r="Y2081" s="209">
        <f t="shared" si="1286"/>
        <v>0</v>
      </c>
    </row>
    <row r="2082" spans="2:25" ht="16.5" hidden="1" thickTop="1" thickBot="1" x14ac:dyDescent="0.3">
      <c r="B2082" s="60">
        <f>B2078</f>
        <v>14</v>
      </c>
      <c r="C2082" s="102">
        <v>96</v>
      </c>
      <c r="D2082" s="192" t="str">
        <f t="shared" si="1269"/>
        <v>VII</v>
      </c>
      <c r="E2082" s="62"/>
      <c r="F2082" s="105"/>
      <c r="G2082" s="105"/>
      <c r="H2082" s="61"/>
      <c r="I2082" s="61"/>
      <c r="J2082" s="62"/>
      <c r="K2082" s="63"/>
      <c r="L2082" s="61"/>
      <c r="M2082" s="61"/>
      <c r="N2082" s="111"/>
      <c r="O2082" s="112"/>
      <c r="P2082" s="113"/>
      <c r="Q2082" s="114"/>
      <c r="R2082" s="64"/>
      <c r="S2082" s="108"/>
      <c r="T2082" s="203">
        <f t="shared" si="1274"/>
        <v>43647</v>
      </c>
      <c r="U2082" s="204">
        <f t="shared" si="1275"/>
        <v>43677</v>
      </c>
      <c r="V2082" s="207">
        <f t="shared" si="1287"/>
        <v>0</v>
      </c>
      <c r="W2082" s="206" t="str">
        <f t="shared" si="1284"/>
        <v/>
      </c>
      <c r="X2082" s="206">
        <f t="shared" si="1285"/>
        <v>0</v>
      </c>
      <c r="Y2082" s="209">
        <f t="shared" si="1286"/>
        <v>0</v>
      </c>
    </row>
    <row r="2083" spans="2:25" ht="16.5" hidden="1" thickTop="1" thickBot="1" x14ac:dyDescent="0.3">
      <c r="B2083" s="60">
        <f>B2078</f>
        <v>14</v>
      </c>
      <c r="C2083" s="102">
        <v>97</v>
      </c>
      <c r="D2083" s="192" t="str">
        <f t="shared" si="1269"/>
        <v>VII</v>
      </c>
      <c r="E2083" s="62"/>
      <c r="F2083" s="105"/>
      <c r="G2083" s="105"/>
      <c r="H2083" s="61"/>
      <c r="I2083" s="61"/>
      <c r="J2083" s="62"/>
      <c r="K2083" s="63"/>
      <c r="L2083" s="61"/>
      <c r="M2083" s="61"/>
      <c r="N2083" s="111"/>
      <c r="O2083" s="112"/>
      <c r="P2083" s="113"/>
      <c r="Q2083" s="114"/>
      <c r="R2083" s="64"/>
      <c r="S2083" s="108"/>
      <c r="T2083" s="203">
        <f t="shared" si="1274"/>
        <v>43647</v>
      </c>
      <c r="U2083" s="204">
        <f t="shared" si="1275"/>
        <v>43677</v>
      </c>
      <c r="V2083" s="207">
        <f t="shared" si="1287"/>
        <v>0</v>
      </c>
      <c r="W2083" s="206" t="str">
        <f t="shared" si="1284"/>
        <v/>
      </c>
      <c r="X2083" s="206">
        <f t="shared" si="1285"/>
        <v>0</v>
      </c>
      <c r="Y2083" s="209">
        <f t="shared" si="1286"/>
        <v>0</v>
      </c>
    </row>
    <row r="2084" spans="2:25" ht="16.5" hidden="1" thickTop="1" thickBot="1" x14ac:dyDescent="0.3">
      <c r="B2084" s="141">
        <f>B2078</f>
        <v>14</v>
      </c>
      <c r="C2084" s="142">
        <v>98</v>
      </c>
      <c r="D2084" s="194" t="str">
        <f t="shared" si="1269"/>
        <v>VII</v>
      </c>
      <c r="E2084" s="143"/>
      <c r="F2084" s="144"/>
      <c r="G2084" s="144"/>
      <c r="H2084" s="145"/>
      <c r="I2084" s="145"/>
      <c r="J2084" s="436" t="s">
        <v>181</v>
      </c>
      <c r="K2084" s="437"/>
      <c r="L2084" s="438"/>
      <c r="M2084" s="145"/>
      <c r="N2084" s="146"/>
      <c r="O2084" s="147"/>
      <c r="P2084" s="148"/>
      <c r="Q2084" s="149"/>
      <c r="R2084" s="150"/>
      <c r="S2084" s="151"/>
      <c r="T2084" s="213">
        <f t="shared" si="1274"/>
        <v>43647</v>
      </c>
      <c r="U2084" s="214">
        <f t="shared" si="1275"/>
        <v>43677</v>
      </c>
      <c r="V2084" s="210">
        <f t="shared" si="1287"/>
        <v>0</v>
      </c>
      <c r="W2084" s="211"/>
      <c r="X2084" s="211">
        <f>IF(AND($V2084&gt;0,$I2084=1),IF($E2084=10,P2084/10,P2084/$V2084),0)</f>
        <v>0</v>
      </c>
      <c r="Y2084" s="212">
        <f>IF(AND($V2078&gt;0,$I2084&lt;&gt;1),Q2084/E2078*V2078,0)</f>
        <v>0</v>
      </c>
    </row>
    <row r="2085" spans="2:25" ht="16.5" hidden="1" thickTop="1" thickBot="1" x14ac:dyDescent="0.3">
      <c r="B2085" s="129">
        <f>B2083+1</f>
        <v>15</v>
      </c>
      <c r="C2085" s="130">
        <v>99</v>
      </c>
      <c r="D2085" s="196" t="str">
        <f t="shared" si="1269"/>
        <v>VII</v>
      </c>
      <c r="E2085" s="152"/>
      <c r="F2085" s="153"/>
      <c r="G2085" s="153"/>
      <c r="H2085" s="154"/>
      <c r="I2085" s="154"/>
      <c r="J2085" s="152"/>
      <c r="K2085" s="155"/>
      <c r="L2085" s="154"/>
      <c r="M2085" s="154"/>
      <c r="N2085" s="156"/>
      <c r="O2085" s="157"/>
      <c r="P2085" s="158"/>
      <c r="Q2085" s="159"/>
      <c r="R2085" s="160"/>
      <c r="S2085" s="161"/>
      <c r="T2085" s="203">
        <f t="shared" si="1274"/>
        <v>43647</v>
      </c>
      <c r="U2085" s="204">
        <f t="shared" si="1275"/>
        <v>43677</v>
      </c>
      <c r="V2085" s="207">
        <f>IF(G2085-F2085+1-IF(G2085-U2085&gt;0,G2085-U2085,0)-IF(T2085-F2085&gt;0,T2085-F2085,0)&gt;0,G2085-F2085+1-IF(G2085-U2085&gt;0,G2085-U2085,0)-IF(T2085-F2085&gt;0,T2085-F2085,0),0)</f>
        <v>0</v>
      </c>
      <c r="W2085" s="206" t="str">
        <f t="shared" ref="W2085:W2090" si="1288">IF(V2085&gt;0,H2085,"")</f>
        <v/>
      </c>
      <c r="X2085" s="206">
        <f t="shared" ref="X2085:X2090" si="1289">IF(AND($V2085&gt;0,$I2085=1),P2085/$E2085*$V2085,0)</f>
        <v>0</v>
      </c>
      <c r="Y2085" s="209">
        <f t="shared" ref="Y2085:Y2090" si="1290">IF(AND($V2085&gt;0,$I2085&lt;&gt;1),Q2085/$E2085*$V2085,0)</f>
        <v>0</v>
      </c>
    </row>
    <row r="2086" spans="2:25" ht="16.5" hidden="1" thickTop="1" thickBot="1" x14ac:dyDescent="0.3">
      <c r="B2086" s="60">
        <f>B2085</f>
        <v>15</v>
      </c>
      <c r="C2086" s="102">
        <v>100</v>
      </c>
      <c r="D2086" s="192" t="str">
        <f t="shared" si="1269"/>
        <v>VII</v>
      </c>
      <c r="E2086" s="162"/>
      <c r="F2086" s="163"/>
      <c r="G2086" s="163"/>
      <c r="H2086" s="164"/>
      <c r="I2086" s="164"/>
      <c r="J2086" s="162"/>
      <c r="K2086" s="165"/>
      <c r="L2086" s="164"/>
      <c r="M2086" s="164"/>
      <c r="N2086" s="166"/>
      <c r="O2086" s="167"/>
      <c r="P2086" s="168"/>
      <c r="Q2086" s="169"/>
      <c r="R2086" s="170"/>
      <c r="S2086" s="171"/>
      <c r="T2086" s="203">
        <f t="shared" si="1274"/>
        <v>43647</v>
      </c>
      <c r="U2086" s="204">
        <f t="shared" si="1275"/>
        <v>43677</v>
      </c>
      <c r="V2086" s="207">
        <f t="shared" ref="V2086:V2091" si="1291">IF(G2086-F2086+1-IF(G2086-U2086&gt;0,G2086-U2086,0)-IF(T2086-F2086&gt;0,T2086-F2086,0)&gt;0,G2086-F2086+1-IF(G2086-U2086&gt;0,G2086-U2086,0)-IF(T2086-F2086&gt;0,T2086-F2086,0),0)</f>
        <v>0</v>
      </c>
      <c r="W2086" s="206" t="str">
        <f t="shared" si="1288"/>
        <v/>
      </c>
      <c r="X2086" s="206">
        <f t="shared" si="1289"/>
        <v>0</v>
      </c>
      <c r="Y2086" s="209">
        <f t="shared" si="1290"/>
        <v>0</v>
      </c>
    </row>
    <row r="2087" spans="2:25" ht="16.5" hidden="1" thickTop="1" thickBot="1" x14ac:dyDescent="0.3">
      <c r="B2087" s="60">
        <f>B2085</f>
        <v>15</v>
      </c>
      <c r="C2087" s="102">
        <v>101</v>
      </c>
      <c r="D2087" s="192" t="str">
        <f t="shared" si="1269"/>
        <v>VII</v>
      </c>
      <c r="E2087" s="162"/>
      <c r="F2087" s="163"/>
      <c r="G2087" s="163"/>
      <c r="H2087" s="164"/>
      <c r="I2087" s="164"/>
      <c r="J2087" s="162"/>
      <c r="K2087" s="165"/>
      <c r="L2087" s="164"/>
      <c r="M2087" s="164"/>
      <c r="N2087" s="166"/>
      <c r="O2087" s="167"/>
      <c r="P2087" s="168"/>
      <c r="Q2087" s="169"/>
      <c r="R2087" s="170"/>
      <c r="S2087" s="171"/>
      <c r="T2087" s="203">
        <f t="shared" si="1274"/>
        <v>43647</v>
      </c>
      <c r="U2087" s="204">
        <f t="shared" si="1275"/>
        <v>43677</v>
      </c>
      <c r="V2087" s="207">
        <f t="shared" si="1291"/>
        <v>0</v>
      </c>
      <c r="W2087" s="206" t="str">
        <f t="shared" si="1288"/>
        <v/>
      </c>
      <c r="X2087" s="206">
        <f t="shared" si="1289"/>
        <v>0</v>
      </c>
      <c r="Y2087" s="209">
        <f t="shared" si="1290"/>
        <v>0</v>
      </c>
    </row>
    <row r="2088" spans="2:25" ht="16.5" hidden="1" thickTop="1" thickBot="1" x14ac:dyDescent="0.3">
      <c r="B2088" s="60">
        <f>B2085</f>
        <v>15</v>
      </c>
      <c r="C2088" s="102">
        <v>102</v>
      </c>
      <c r="D2088" s="192" t="str">
        <f t="shared" si="1269"/>
        <v>VII</v>
      </c>
      <c r="E2088" s="162"/>
      <c r="F2088" s="163"/>
      <c r="G2088" s="163"/>
      <c r="H2088" s="164"/>
      <c r="I2088" s="164"/>
      <c r="J2088" s="162"/>
      <c r="K2088" s="165"/>
      <c r="L2088" s="164"/>
      <c r="M2088" s="164"/>
      <c r="N2088" s="166"/>
      <c r="O2088" s="167"/>
      <c r="P2088" s="168"/>
      <c r="Q2088" s="169"/>
      <c r="R2088" s="170"/>
      <c r="S2088" s="171"/>
      <c r="T2088" s="203">
        <f t="shared" si="1274"/>
        <v>43647</v>
      </c>
      <c r="U2088" s="204">
        <f t="shared" si="1275"/>
        <v>43677</v>
      </c>
      <c r="V2088" s="207">
        <f t="shared" si="1291"/>
        <v>0</v>
      </c>
      <c r="W2088" s="206" t="str">
        <f t="shared" si="1288"/>
        <v/>
      </c>
      <c r="X2088" s="206">
        <f t="shared" si="1289"/>
        <v>0</v>
      </c>
      <c r="Y2088" s="209">
        <f t="shared" si="1290"/>
        <v>0</v>
      </c>
    </row>
    <row r="2089" spans="2:25" ht="16.5" hidden="1" thickTop="1" thickBot="1" x14ac:dyDescent="0.3">
      <c r="B2089" s="60">
        <f>B2085</f>
        <v>15</v>
      </c>
      <c r="C2089" s="102">
        <v>103</v>
      </c>
      <c r="D2089" s="192" t="str">
        <f t="shared" si="1269"/>
        <v>VII</v>
      </c>
      <c r="E2089" s="162"/>
      <c r="F2089" s="163"/>
      <c r="G2089" s="163"/>
      <c r="H2089" s="164"/>
      <c r="I2089" s="164"/>
      <c r="J2089" s="162"/>
      <c r="K2089" s="165"/>
      <c r="L2089" s="164"/>
      <c r="M2089" s="164"/>
      <c r="N2089" s="166"/>
      <c r="O2089" s="167"/>
      <c r="P2089" s="168"/>
      <c r="Q2089" s="169"/>
      <c r="R2089" s="170"/>
      <c r="S2089" s="171"/>
      <c r="T2089" s="203">
        <f t="shared" si="1274"/>
        <v>43647</v>
      </c>
      <c r="U2089" s="204">
        <f t="shared" si="1275"/>
        <v>43677</v>
      </c>
      <c r="V2089" s="207">
        <f t="shared" si="1291"/>
        <v>0</v>
      </c>
      <c r="W2089" s="206" t="str">
        <f t="shared" si="1288"/>
        <v/>
      </c>
      <c r="X2089" s="206">
        <f t="shared" si="1289"/>
        <v>0</v>
      </c>
      <c r="Y2089" s="209">
        <f t="shared" si="1290"/>
        <v>0</v>
      </c>
    </row>
    <row r="2090" spans="2:25" ht="16.5" hidden="1" thickTop="1" thickBot="1" x14ac:dyDescent="0.3">
      <c r="B2090" s="60">
        <f>B2085</f>
        <v>15</v>
      </c>
      <c r="C2090" s="102">
        <v>104</v>
      </c>
      <c r="D2090" s="192" t="str">
        <f t="shared" si="1269"/>
        <v>VII</v>
      </c>
      <c r="E2090" s="172"/>
      <c r="F2090" s="173"/>
      <c r="G2090" s="173"/>
      <c r="H2090" s="174"/>
      <c r="I2090" s="174"/>
      <c r="J2090" s="172"/>
      <c r="K2090" s="175"/>
      <c r="L2090" s="174"/>
      <c r="M2090" s="174"/>
      <c r="N2090" s="176"/>
      <c r="O2090" s="177"/>
      <c r="P2090" s="178"/>
      <c r="Q2090" s="179"/>
      <c r="R2090" s="180"/>
      <c r="S2090" s="181"/>
      <c r="T2090" s="203">
        <f t="shared" si="1274"/>
        <v>43647</v>
      </c>
      <c r="U2090" s="204">
        <f t="shared" si="1275"/>
        <v>43677</v>
      </c>
      <c r="V2090" s="207">
        <f t="shared" si="1291"/>
        <v>0</v>
      </c>
      <c r="W2090" s="206" t="str">
        <f t="shared" si="1288"/>
        <v/>
      </c>
      <c r="X2090" s="206">
        <f t="shared" si="1289"/>
        <v>0</v>
      </c>
      <c r="Y2090" s="209">
        <f t="shared" si="1290"/>
        <v>0</v>
      </c>
    </row>
    <row r="2091" spans="2:25" ht="16.5" hidden="1" thickTop="1" thickBot="1" x14ac:dyDescent="0.3">
      <c r="B2091" s="141">
        <f>B2085</f>
        <v>15</v>
      </c>
      <c r="C2091" s="142">
        <v>105</v>
      </c>
      <c r="D2091" s="194" t="str">
        <f t="shared" si="1269"/>
        <v>VII</v>
      </c>
      <c r="E2091" s="189"/>
      <c r="F2091" s="190"/>
      <c r="G2091" s="190"/>
      <c r="H2091" s="182"/>
      <c r="I2091" s="182"/>
      <c r="J2091" s="436" t="s">
        <v>181</v>
      </c>
      <c r="K2091" s="437"/>
      <c r="L2091" s="438"/>
      <c r="M2091" s="182"/>
      <c r="N2091" s="183"/>
      <c r="O2091" s="184"/>
      <c r="P2091" s="185"/>
      <c r="Q2091" s="186"/>
      <c r="R2091" s="187"/>
      <c r="S2091" s="188"/>
      <c r="T2091" s="213">
        <f t="shared" si="1274"/>
        <v>43647</v>
      </c>
      <c r="U2091" s="214">
        <f t="shared" si="1275"/>
        <v>43677</v>
      </c>
      <c r="V2091" s="210">
        <f t="shared" si="1291"/>
        <v>0</v>
      </c>
      <c r="W2091" s="211"/>
      <c r="X2091" s="211">
        <f>IF(AND($V2091&gt;0,$I2091=1),IF($E2091=10,P2091/10,P2091/$V2091),0)</f>
        <v>0</v>
      </c>
      <c r="Y2091" s="212">
        <f>IF(AND($V2085&gt;0,$I2091&lt;&gt;1),Q2091/E2085*V2085,0)</f>
        <v>0</v>
      </c>
    </row>
    <row r="2092" spans="2:25" ht="16.5" hidden="1" thickTop="1" thickBot="1" x14ac:dyDescent="0.3">
      <c r="B2092" s="129">
        <f>B2090+1</f>
        <v>16</v>
      </c>
      <c r="C2092" s="130">
        <v>106</v>
      </c>
      <c r="D2092" s="196" t="str">
        <f t="shared" si="1269"/>
        <v>VII</v>
      </c>
      <c r="E2092" s="131"/>
      <c r="F2092" s="132"/>
      <c r="G2092" s="132"/>
      <c r="H2092" s="133"/>
      <c r="I2092" s="133"/>
      <c r="J2092" s="131"/>
      <c r="K2092" s="134"/>
      <c r="L2092" s="133"/>
      <c r="M2092" s="133"/>
      <c r="N2092" s="135"/>
      <c r="O2092" s="136"/>
      <c r="P2092" s="137"/>
      <c r="Q2092" s="138"/>
      <c r="R2092" s="139"/>
      <c r="S2092" s="140"/>
      <c r="T2092" s="203">
        <f t="shared" si="1274"/>
        <v>43647</v>
      </c>
      <c r="U2092" s="204">
        <f t="shared" si="1275"/>
        <v>43677</v>
      </c>
      <c r="V2092" s="207">
        <f>IF(G2092-F2092+1-IF(G2092-U2092&gt;0,G2092-U2092,0)-IF(T2092-F2092&gt;0,T2092-F2092,0)&gt;0,G2092-F2092+1-IF(G2092-U2092&gt;0,G2092-U2092,0)-IF(T2092-F2092&gt;0,T2092-F2092,0),0)</f>
        <v>0</v>
      </c>
      <c r="W2092" s="206" t="str">
        <f t="shared" ref="W2092:W2097" si="1292">IF(V2092&gt;0,H2092,"")</f>
        <v/>
      </c>
      <c r="X2092" s="206">
        <f t="shared" ref="X2092:X2097" si="1293">IF(AND($V2092&gt;0,$I2092=1),P2092/$E2092*$V2092,0)</f>
        <v>0</v>
      </c>
      <c r="Y2092" s="209">
        <f t="shared" ref="Y2092:Y2097" si="1294">IF(AND($V2092&gt;0,$I2092&lt;&gt;1),Q2092/$E2092*$V2092,0)</f>
        <v>0</v>
      </c>
    </row>
    <row r="2093" spans="2:25" ht="16.5" hidden="1" thickTop="1" thickBot="1" x14ac:dyDescent="0.3">
      <c r="B2093" s="60">
        <f>B2092</f>
        <v>16</v>
      </c>
      <c r="C2093" s="102">
        <v>107</v>
      </c>
      <c r="D2093" s="192" t="str">
        <f t="shared" si="1269"/>
        <v>VII</v>
      </c>
      <c r="E2093" s="62"/>
      <c r="F2093" s="105"/>
      <c r="G2093" s="105"/>
      <c r="H2093" s="61"/>
      <c r="I2093" s="61"/>
      <c r="J2093" s="62"/>
      <c r="K2093" s="63"/>
      <c r="L2093" s="61"/>
      <c r="M2093" s="61"/>
      <c r="N2093" s="111"/>
      <c r="O2093" s="112"/>
      <c r="P2093" s="113"/>
      <c r="Q2093" s="114"/>
      <c r="R2093" s="64"/>
      <c r="S2093" s="108"/>
      <c r="T2093" s="203">
        <f t="shared" si="1274"/>
        <v>43647</v>
      </c>
      <c r="U2093" s="204">
        <f t="shared" si="1275"/>
        <v>43677</v>
      </c>
      <c r="V2093" s="207">
        <f t="shared" ref="V2093:V2098" si="1295">IF(G2093-F2093+1-IF(G2093-U2093&gt;0,G2093-U2093,0)-IF(T2093-F2093&gt;0,T2093-F2093,0)&gt;0,G2093-F2093+1-IF(G2093-U2093&gt;0,G2093-U2093,0)-IF(T2093-F2093&gt;0,T2093-F2093,0),0)</f>
        <v>0</v>
      </c>
      <c r="W2093" s="206" t="str">
        <f t="shared" si="1292"/>
        <v/>
      </c>
      <c r="X2093" s="206">
        <f t="shared" si="1293"/>
        <v>0</v>
      </c>
      <c r="Y2093" s="209">
        <f t="shared" si="1294"/>
        <v>0</v>
      </c>
    </row>
    <row r="2094" spans="2:25" ht="16.5" hidden="1" thickTop="1" thickBot="1" x14ac:dyDescent="0.3">
      <c r="B2094" s="60">
        <f>B2092</f>
        <v>16</v>
      </c>
      <c r="C2094" s="102">
        <v>108</v>
      </c>
      <c r="D2094" s="192" t="str">
        <f t="shared" si="1269"/>
        <v>VII</v>
      </c>
      <c r="E2094" s="62"/>
      <c r="F2094" s="105"/>
      <c r="G2094" s="105"/>
      <c r="H2094" s="61"/>
      <c r="I2094" s="61"/>
      <c r="J2094" s="62"/>
      <c r="K2094" s="63"/>
      <c r="L2094" s="61"/>
      <c r="M2094" s="61"/>
      <c r="N2094" s="111"/>
      <c r="O2094" s="112"/>
      <c r="P2094" s="113"/>
      <c r="Q2094" s="114"/>
      <c r="R2094" s="64"/>
      <c r="S2094" s="108"/>
      <c r="T2094" s="203">
        <f t="shared" si="1274"/>
        <v>43647</v>
      </c>
      <c r="U2094" s="204">
        <f t="shared" si="1275"/>
        <v>43677</v>
      </c>
      <c r="V2094" s="207">
        <f t="shared" si="1295"/>
        <v>0</v>
      </c>
      <c r="W2094" s="206" t="str">
        <f t="shared" si="1292"/>
        <v/>
      </c>
      <c r="X2094" s="206">
        <f t="shared" si="1293"/>
        <v>0</v>
      </c>
      <c r="Y2094" s="209">
        <f t="shared" si="1294"/>
        <v>0</v>
      </c>
    </row>
    <row r="2095" spans="2:25" ht="16.5" hidden="1" thickTop="1" thickBot="1" x14ac:dyDescent="0.3">
      <c r="B2095" s="60">
        <f>B2092</f>
        <v>16</v>
      </c>
      <c r="C2095" s="102">
        <v>109</v>
      </c>
      <c r="D2095" s="192" t="str">
        <f t="shared" si="1269"/>
        <v>VII</v>
      </c>
      <c r="E2095" s="62"/>
      <c r="F2095" s="105"/>
      <c r="G2095" s="105"/>
      <c r="H2095" s="61"/>
      <c r="I2095" s="61"/>
      <c r="J2095" s="62"/>
      <c r="K2095" s="63"/>
      <c r="L2095" s="61"/>
      <c r="M2095" s="61"/>
      <c r="N2095" s="111"/>
      <c r="O2095" s="112"/>
      <c r="P2095" s="113"/>
      <c r="Q2095" s="114"/>
      <c r="R2095" s="64"/>
      <c r="S2095" s="108"/>
      <c r="T2095" s="203">
        <f t="shared" si="1274"/>
        <v>43647</v>
      </c>
      <c r="U2095" s="204">
        <f t="shared" si="1275"/>
        <v>43677</v>
      </c>
      <c r="V2095" s="207">
        <f t="shared" si="1295"/>
        <v>0</v>
      </c>
      <c r="W2095" s="206" t="str">
        <f t="shared" si="1292"/>
        <v/>
      </c>
      <c r="X2095" s="206">
        <f t="shared" si="1293"/>
        <v>0</v>
      </c>
      <c r="Y2095" s="209">
        <f t="shared" si="1294"/>
        <v>0</v>
      </c>
    </row>
    <row r="2096" spans="2:25" ht="16.5" hidden="1" thickTop="1" thickBot="1" x14ac:dyDescent="0.3">
      <c r="B2096" s="60">
        <f>B2092</f>
        <v>16</v>
      </c>
      <c r="C2096" s="102">
        <v>110</v>
      </c>
      <c r="D2096" s="192" t="str">
        <f t="shared" si="1269"/>
        <v>VII</v>
      </c>
      <c r="E2096" s="62"/>
      <c r="F2096" s="105"/>
      <c r="G2096" s="105"/>
      <c r="H2096" s="61"/>
      <c r="I2096" s="61"/>
      <c r="J2096" s="62"/>
      <c r="K2096" s="63"/>
      <c r="L2096" s="61"/>
      <c r="M2096" s="61"/>
      <c r="N2096" s="111"/>
      <c r="O2096" s="112"/>
      <c r="P2096" s="113"/>
      <c r="Q2096" s="114"/>
      <c r="R2096" s="64"/>
      <c r="S2096" s="108"/>
      <c r="T2096" s="203">
        <f t="shared" si="1274"/>
        <v>43647</v>
      </c>
      <c r="U2096" s="204">
        <f t="shared" si="1275"/>
        <v>43677</v>
      </c>
      <c r="V2096" s="207">
        <f t="shared" si="1295"/>
        <v>0</v>
      </c>
      <c r="W2096" s="206" t="str">
        <f t="shared" si="1292"/>
        <v/>
      </c>
      <c r="X2096" s="206">
        <f t="shared" si="1293"/>
        <v>0</v>
      </c>
      <c r="Y2096" s="209">
        <f t="shared" si="1294"/>
        <v>0</v>
      </c>
    </row>
    <row r="2097" spans="2:25" ht="16.5" hidden="1" thickTop="1" thickBot="1" x14ac:dyDescent="0.3">
      <c r="B2097" s="60">
        <f>B2092</f>
        <v>16</v>
      </c>
      <c r="C2097" s="102">
        <v>111</v>
      </c>
      <c r="D2097" s="192" t="str">
        <f t="shared" si="1269"/>
        <v>VII</v>
      </c>
      <c r="E2097" s="62"/>
      <c r="F2097" s="105"/>
      <c r="G2097" s="105"/>
      <c r="H2097" s="61"/>
      <c r="I2097" s="61"/>
      <c r="J2097" s="62"/>
      <c r="K2097" s="63"/>
      <c r="L2097" s="61"/>
      <c r="M2097" s="61"/>
      <c r="N2097" s="111"/>
      <c r="O2097" s="112"/>
      <c r="P2097" s="113"/>
      <c r="Q2097" s="114"/>
      <c r="R2097" s="64"/>
      <c r="S2097" s="108"/>
      <c r="T2097" s="203">
        <f t="shared" si="1274"/>
        <v>43647</v>
      </c>
      <c r="U2097" s="204">
        <f t="shared" si="1275"/>
        <v>43677</v>
      </c>
      <c r="V2097" s="207">
        <f t="shared" si="1295"/>
        <v>0</v>
      </c>
      <c r="W2097" s="206" t="str">
        <f t="shared" si="1292"/>
        <v/>
      </c>
      <c r="X2097" s="206">
        <f t="shared" si="1293"/>
        <v>0</v>
      </c>
      <c r="Y2097" s="209">
        <f t="shared" si="1294"/>
        <v>0</v>
      </c>
    </row>
    <row r="2098" spans="2:25" ht="16.5" hidden="1" thickTop="1" thickBot="1" x14ac:dyDescent="0.3">
      <c r="B2098" s="141">
        <f>B2092</f>
        <v>16</v>
      </c>
      <c r="C2098" s="142">
        <v>112</v>
      </c>
      <c r="D2098" s="194" t="str">
        <f t="shared" si="1269"/>
        <v>VII</v>
      </c>
      <c r="E2098" s="143"/>
      <c r="F2098" s="144"/>
      <c r="G2098" s="144"/>
      <c r="H2098" s="145"/>
      <c r="I2098" s="145"/>
      <c r="J2098" s="436" t="s">
        <v>181</v>
      </c>
      <c r="K2098" s="437"/>
      <c r="L2098" s="438"/>
      <c r="M2098" s="145"/>
      <c r="N2098" s="146"/>
      <c r="O2098" s="147"/>
      <c r="P2098" s="148"/>
      <c r="Q2098" s="149"/>
      <c r="R2098" s="150"/>
      <c r="S2098" s="151"/>
      <c r="T2098" s="213">
        <f t="shared" si="1274"/>
        <v>43647</v>
      </c>
      <c r="U2098" s="214">
        <f t="shared" si="1275"/>
        <v>43677</v>
      </c>
      <c r="V2098" s="210">
        <f t="shared" si="1295"/>
        <v>0</v>
      </c>
      <c r="W2098" s="211"/>
      <c r="X2098" s="211">
        <f>IF(AND($V2098&gt;0,$I2098=1),IF($E2098=10,P2098/10,P2098/$V2098),0)</f>
        <v>0</v>
      </c>
      <c r="Y2098" s="212">
        <f>IF(AND($V2092&gt;0,$I2098&lt;&gt;1),Q2098/E2092*V2092,0)</f>
        <v>0</v>
      </c>
    </row>
    <row r="2099" spans="2:25" ht="16.5" hidden="1" thickTop="1" thickBot="1" x14ac:dyDescent="0.3">
      <c r="B2099" s="129">
        <f>B2097+1</f>
        <v>17</v>
      </c>
      <c r="C2099" s="130">
        <v>113</v>
      </c>
      <c r="D2099" s="196" t="str">
        <f t="shared" si="1269"/>
        <v>VII</v>
      </c>
      <c r="E2099" s="152"/>
      <c r="F2099" s="153"/>
      <c r="G2099" s="153"/>
      <c r="H2099" s="154"/>
      <c r="I2099" s="154"/>
      <c r="J2099" s="152"/>
      <c r="K2099" s="155"/>
      <c r="L2099" s="154"/>
      <c r="M2099" s="154"/>
      <c r="N2099" s="156"/>
      <c r="O2099" s="157"/>
      <c r="P2099" s="158"/>
      <c r="Q2099" s="159"/>
      <c r="R2099" s="160"/>
      <c r="S2099" s="161"/>
      <c r="T2099" s="203">
        <f t="shared" si="1274"/>
        <v>43647</v>
      </c>
      <c r="U2099" s="204">
        <f t="shared" si="1275"/>
        <v>43677</v>
      </c>
      <c r="V2099" s="207">
        <f>IF(G2099-F2099+1-IF(G2099-U2099&gt;0,G2099-U2099,0)-IF(T2099-F2099&gt;0,T2099-F2099,0)&gt;0,G2099-F2099+1-IF(G2099-U2099&gt;0,G2099-U2099,0)-IF(T2099-F2099&gt;0,T2099-F2099,0),0)</f>
        <v>0</v>
      </c>
      <c r="W2099" s="206" t="str">
        <f t="shared" ref="W2099:W2104" si="1296">IF(V2099&gt;0,H2099,"")</f>
        <v/>
      </c>
      <c r="X2099" s="206">
        <f t="shared" ref="X2099:X2104" si="1297">IF(AND($V2099&gt;0,$I2099=1),P2099/$E2099*$V2099,0)</f>
        <v>0</v>
      </c>
      <c r="Y2099" s="209">
        <f t="shared" ref="Y2099:Y2104" si="1298">IF(AND($V2099&gt;0,$I2099&lt;&gt;1),Q2099/$E2099*$V2099,0)</f>
        <v>0</v>
      </c>
    </row>
    <row r="2100" spans="2:25" ht="16.5" hidden="1" thickTop="1" thickBot="1" x14ac:dyDescent="0.3">
      <c r="B2100" s="60">
        <f>B2099</f>
        <v>17</v>
      </c>
      <c r="C2100" s="102">
        <v>114</v>
      </c>
      <c r="D2100" s="192" t="str">
        <f t="shared" si="1269"/>
        <v>VII</v>
      </c>
      <c r="E2100" s="162"/>
      <c r="F2100" s="163"/>
      <c r="G2100" s="163"/>
      <c r="H2100" s="164"/>
      <c r="I2100" s="164"/>
      <c r="J2100" s="162"/>
      <c r="K2100" s="165"/>
      <c r="L2100" s="164"/>
      <c r="M2100" s="164"/>
      <c r="N2100" s="166"/>
      <c r="O2100" s="167"/>
      <c r="P2100" s="168"/>
      <c r="Q2100" s="169"/>
      <c r="R2100" s="170"/>
      <c r="S2100" s="171"/>
      <c r="T2100" s="203">
        <f t="shared" si="1274"/>
        <v>43647</v>
      </c>
      <c r="U2100" s="204">
        <f t="shared" si="1275"/>
        <v>43677</v>
      </c>
      <c r="V2100" s="207">
        <f t="shared" ref="V2100:V2105" si="1299">IF(G2100-F2100+1-IF(G2100-U2100&gt;0,G2100-U2100,0)-IF(T2100-F2100&gt;0,T2100-F2100,0)&gt;0,G2100-F2100+1-IF(G2100-U2100&gt;0,G2100-U2100,0)-IF(T2100-F2100&gt;0,T2100-F2100,0),0)</f>
        <v>0</v>
      </c>
      <c r="W2100" s="206" t="str">
        <f t="shared" si="1296"/>
        <v/>
      </c>
      <c r="X2100" s="206">
        <f t="shared" si="1297"/>
        <v>0</v>
      </c>
      <c r="Y2100" s="209">
        <f t="shared" si="1298"/>
        <v>0</v>
      </c>
    </row>
    <row r="2101" spans="2:25" ht="16.5" hidden="1" thickTop="1" thickBot="1" x14ac:dyDescent="0.3">
      <c r="B2101" s="60">
        <f>B2099</f>
        <v>17</v>
      </c>
      <c r="C2101" s="102">
        <v>115</v>
      </c>
      <c r="D2101" s="192" t="str">
        <f t="shared" si="1269"/>
        <v>VII</v>
      </c>
      <c r="E2101" s="162"/>
      <c r="F2101" s="163"/>
      <c r="G2101" s="163"/>
      <c r="H2101" s="164"/>
      <c r="I2101" s="164"/>
      <c r="J2101" s="162"/>
      <c r="K2101" s="165"/>
      <c r="L2101" s="164"/>
      <c r="M2101" s="164"/>
      <c r="N2101" s="166"/>
      <c r="O2101" s="167"/>
      <c r="P2101" s="168"/>
      <c r="Q2101" s="169"/>
      <c r="R2101" s="170"/>
      <c r="S2101" s="171"/>
      <c r="T2101" s="203">
        <f t="shared" si="1274"/>
        <v>43647</v>
      </c>
      <c r="U2101" s="204">
        <f t="shared" si="1275"/>
        <v>43677</v>
      </c>
      <c r="V2101" s="207">
        <f t="shared" si="1299"/>
        <v>0</v>
      </c>
      <c r="W2101" s="206" t="str">
        <f t="shared" si="1296"/>
        <v/>
      </c>
      <c r="X2101" s="206">
        <f t="shared" si="1297"/>
        <v>0</v>
      </c>
      <c r="Y2101" s="209">
        <f t="shared" si="1298"/>
        <v>0</v>
      </c>
    </row>
    <row r="2102" spans="2:25" ht="16.5" hidden="1" thickTop="1" thickBot="1" x14ac:dyDescent="0.3">
      <c r="B2102" s="60">
        <f>B2099</f>
        <v>17</v>
      </c>
      <c r="C2102" s="102">
        <v>116</v>
      </c>
      <c r="D2102" s="192" t="str">
        <f t="shared" si="1269"/>
        <v>VII</v>
      </c>
      <c r="E2102" s="162"/>
      <c r="F2102" s="163"/>
      <c r="G2102" s="163"/>
      <c r="H2102" s="164"/>
      <c r="I2102" s="164"/>
      <c r="J2102" s="162"/>
      <c r="K2102" s="165"/>
      <c r="L2102" s="164"/>
      <c r="M2102" s="164"/>
      <c r="N2102" s="166"/>
      <c r="O2102" s="167"/>
      <c r="P2102" s="168"/>
      <c r="Q2102" s="169"/>
      <c r="R2102" s="170"/>
      <c r="S2102" s="171"/>
      <c r="T2102" s="203">
        <f t="shared" si="1274"/>
        <v>43647</v>
      </c>
      <c r="U2102" s="204">
        <f t="shared" si="1275"/>
        <v>43677</v>
      </c>
      <c r="V2102" s="207">
        <f t="shared" si="1299"/>
        <v>0</v>
      </c>
      <c r="W2102" s="206" t="str">
        <f t="shared" si="1296"/>
        <v/>
      </c>
      <c r="X2102" s="206">
        <f t="shared" si="1297"/>
        <v>0</v>
      </c>
      <c r="Y2102" s="209">
        <f t="shared" si="1298"/>
        <v>0</v>
      </c>
    </row>
    <row r="2103" spans="2:25" ht="16.5" hidden="1" thickTop="1" thickBot="1" x14ac:dyDescent="0.3">
      <c r="B2103" s="60">
        <f>B2099</f>
        <v>17</v>
      </c>
      <c r="C2103" s="102">
        <v>117</v>
      </c>
      <c r="D2103" s="192" t="str">
        <f t="shared" si="1269"/>
        <v>VII</v>
      </c>
      <c r="E2103" s="162"/>
      <c r="F2103" s="163"/>
      <c r="G2103" s="163"/>
      <c r="H2103" s="164"/>
      <c r="I2103" s="164"/>
      <c r="J2103" s="162"/>
      <c r="K2103" s="165"/>
      <c r="L2103" s="164"/>
      <c r="M2103" s="164"/>
      <c r="N2103" s="166"/>
      <c r="O2103" s="167"/>
      <c r="P2103" s="168"/>
      <c r="Q2103" s="169"/>
      <c r="R2103" s="170"/>
      <c r="S2103" s="171"/>
      <c r="T2103" s="203">
        <f t="shared" si="1274"/>
        <v>43647</v>
      </c>
      <c r="U2103" s="204">
        <f t="shared" si="1275"/>
        <v>43677</v>
      </c>
      <c r="V2103" s="207">
        <f t="shared" si="1299"/>
        <v>0</v>
      </c>
      <c r="W2103" s="206" t="str">
        <f t="shared" si="1296"/>
        <v/>
      </c>
      <c r="X2103" s="206">
        <f t="shared" si="1297"/>
        <v>0</v>
      </c>
      <c r="Y2103" s="209">
        <f t="shared" si="1298"/>
        <v>0</v>
      </c>
    </row>
    <row r="2104" spans="2:25" ht="16.5" hidden="1" thickTop="1" thickBot="1" x14ac:dyDescent="0.3">
      <c r="B2104" s="60">
        <f>B2099</f>
        <v>17</v>
      </c>
      <c r="C2104" s="102">
        <v>118</v>
      </c>
      <c r="D2104" s="192" t="str">
        <f t="shared" si="1269"/>
        <v>VII</v>
      </c>
      <c r="E2104" s="172"/>
      <c r="F2104" s="173"/>
      <c r="G2104" s="173"/>
      <c r="H2104" s="174"/>
      <c r="I2104" s="174"/>
      <c r="J2104" s="172"/>
      <c r="K2104" s="175"/>
      <c r="L2104" s="174"/>
      <c r="M2104" s="174"/>
      <c r="N2104" s="176"/>
      <c r="O2104" s="177"/>
      <c r="P2104" s="178"/>
      <c r="Q2104" s="179"/>
      <c r="R2104" s="180"/>
      <c r="S2104" s="181"/>
      <c r="T2104" s="203">
        <f t="shared" si="1274"/>
        <v>43647</v>
      </c>
      <c r="U2104" s="204">
        <f t="shared" si="1275"/>
        <v>43677</v>
      </c>
      <c r="V2104" s="207">
        <f t="shared" si="1299"/>
        <v>0</v>
      </c>
      <c r="W2104" s="206" t="str">
        <f t="shared" si="1296"/>
        <v/>
      </c>
      <c r="X2104" s="206">
        <f t="shared" si="1297"/>
        <v>0</v>
      </c>
      <c r="Y2104" s="209">
        <f t="shared" si="1298"/>
        <v>0</v>
      </c>
    </row>
    <row r="2105" spans="2:25" ht="16.5" hidden="1" thickTop="1" thickBot="1" x14ac:dyDescent="0.3">
      <c r="B2105" s="141">
        <f>B2099</f>
        <v>17</v>
      </c>
      <c r="C2105" s="142">
        <v>119</v>
      </c>
      <c r="D2105" s="194" t="str">
        <f t="shared" si="1269"/>
        <v>VII</v>
      </c>
      <c r="E2105" s="189"/>
      <c r="F2105" s="190"/>
      <c r="G2105" s="190"/>
      <c r="H2105" s="182"/>
      <c r="I2105" s="182"/>
      <c r="J2105" s="436" t="s">
        <v>181</v>
      </c>
      <c r="K2105" s="437"/>
      <c r="L2105" s="438"/>
      <c r="M2105" s="182"/>
      <c r="N2105" s="183"/>
      <c r="O2105" s="184"/>
      <c r="P2105" s="185"/>
      <c r="Q2105" s="186"/>
      <c r="R2105" s="187"/>
      <c r="S2105" s="188"/>
      <c r="T2105" s="213">
        <f t="shared" si="1274"/>
        <v>43647</v>
      </c>
      <c r="U2105" s="214">
        <f t="shared" si="1275"/>
        <v>43677</v>
      </c>
      <c r="V2105" s="210">
        <f t="shared" si="1299"/>
        <v>0</v>
      </c>
      <c r="W2105" s="211"/>
      <c r="X2105" s="211">
        <f>IF(AND($V2105&gt;0,$I2105=1),IF($E2105=10,P2105/10,P2105/$V2105),0)</f>
        <v>0</v>
      </c>
      <c r="Y2105" s="212">
        <f>IF(AND($V2099&gt;0,$I2105&lt;&gt;1),Q2105/E2099*V2099,0)</f>
        <v>0</v>
      </c>
    </row>
    <row r="2106" spans="2:25" ht="16.5" hidden="1" thickTop="1" thickBot="1" x14ac:dyDescent="0.3">
      <c r="B2106" s="129">
        <f>B2104+1</f>
        <v>18</v>
      </c>
      <c r="C2106" s="130">
        <v>120</v>
      </c>
      <c r="D2106" s="196" t="str">
        <f t="shared" si="1269"/>
        <v>VII</v>
      </c>
      <c r="E2106" s="131"/>
      <c r="F2106" s="132"/>
      <c r="G2106" s="132"/>
      <c r="H2106" s="133"/>
      <c r="I2106" s="133"/>
      <c r="J2106" s="131"/>
      <c r="K2106" s="134"/>
      <c r="L2106" s="133"/>
      <c r="M2106" s="133"/>
      <c r="N2106" s="135"/>
      <c r="O2106" s="136"/>
      <c r="P2106" s="137"/>
      <c r="Q2106" s="138"/>
      <c r="R2106" s="139"/>
      <c r="S2106" s="140"/>
      <c r="T2106" s="203">
        <f t="shared" si="1274"/>
        <v>43647</v>
      </c>
      <c r="U2106" s="204">
        <f t="shared" si="1275"/>
        <v>43677</v>
      </c>
      <c r="V2106" s="207">
        <f>IF(G2106-F2106+1-IF(G2106-U2106&gt;0,G2106-U2106,0)-IF(T2106-F2106&gt;0,T2106-F2106,0)&gt;0,G2106-F2106+1-IF(G2106-U2106&gt;0,G2106-U2106,0)-IF(T2106-F2106&gt;0,T2106-F2106,0),0)</f>
        <v>0</v>
      </c>
      <c r="W2106" s="206" t="str">
        <f t="shared" ref="W2106:W2111" si="1300">IF(V2106&gt;0,H2106,"")</f>
        <v/>
      </c>
      <c r="X2106" s="206">
        <f t="shared" ref="X2106:X2111" si="1301">IF(AND($V2106&gt;0,$I2106=1),P2106/$E2106*$V2106,0)</f>
        <v>0</v>
      </c>
      <c r="Y2106" s="209">
        <f t="shared" ref="Y2106:Y2111" si="1302">IF(AND($V2106&gt;0,$I2106&lt;&gt;1),Q2106/$E2106*$V2106,0)</f>
        <v>0</v>
      </c>
    </row>
    <row r="2107" spans="2:25" ht="16.5" hidden="1" thickTop="1" thickBot="1" x14ac:dyDescent="0.3">
      <c r="B2107" s="60">
        <f>B2106</f>
        <v>18</v>
      </c>
      <c r="C2107" s="102">
        <v>121</v>
      </c>
      <c r="D2107" s="192" t="str">
        <f t="shared" si="1269"/>
        <v>VII</v>
      </c>
      <c r="E2107" s="62"/>
      <c r="F2107" s="105"/>
      <c r="G2107" s="105"/>
      <c r="H2107" s="61"/>
      <c r="I2107" s="61"/>
      <c r="J2107" s="62"/>
      <c r="K2107" s="63"/>
      <c r="L2107" s="61"/>
      <c r="M2107" s="61"/>
      <c r="N2107" s="111"/>
      <c r="O2107" s="112"/>
      <c r="P2107" s="113"/>
      <c r="Q2107" s="114"/>
      <c r="R2107" s="64"/>
      <c r="S2107" s="108"/>
      <c r="T2107" s="203">
        <f t="shared" si="1274"/>
        <v>43647</v>
      </c>
      <c r="U2107" s="204">
        <f t="shared" si="1275"/>
        <v>43677</v>
      </c>
      <c r="V2107" s="207">
        <f t="shared" ref="V2107:V2112" si="1303">IF(G2107-F2107+1-IF(G2107-U2107&gt;0,G2107-U2107,0)-IF(T2107-F2107&gt;0,T2107-F2107,0)&gt;0,G2107-F2107+1-IF(G2107-U2107&gt;0,G2107-U2107,0)-IF(T2107-F2107&gt;0,T2107-F2107,0),0)</f>
        <v>0</v>
      </c>
      <c r="W2107" s="206" t="str">
        <f t="shared" si="1300"/>
        <v/>
      </c>
      <c r="X2107" s="206">
        <f t="shared" si="1301"/>
        <v>0</v>
      </c>
      <c r="Y2107" s="209">
        <f t="shared" si="1302"/>
        <v>0</v>
      </c>
    </row>
    <row r="2108" spans="2:25" ht="16.5" hidden="1" thickTop="1" thickBot="1" x14ac:dyDescent="0.3">
      <c r="B2108" s="60">
        <f>B2106</f>
        <v>18</v>
      </c>
      <c r="C2108" s="102">
        <v>122</v>
      </c>
      <c r="D2108" s="192" t="str">
        <f t="shared" si="1269"/>
        <v>VII</v>
      </c>
      <c r="E2108" s="62"/>
      <c r="F2108" s="105"/>
      <c r="G2108" s="105"/>
      <c r="H2108" s="61"/>
      <c r="I2108" s="61"/>
      <c r="J2108" s="62"/>
      <c r="K2108" s="63"/>
      <c r="L2108" s="61"/>
      <c r="M2108" s="61"/>
      <c r="N2108" s="111"/>
      <c r="O2108" s="112"/>
      <c r="P2108" s="113"/>
      <c r="Q2108" s="114"/>
      <c r="R2108" s="64"/>
      <c r="S2108" s="108"/>
      <c r="T2108" s="203">
        <f t="shared" si="1274"/>
        <v>43647</v>
      </c>
      <c r="U2108" s="204">
        <f t="shared" si="1275"/>
        <v>43677</v>
      </c>
      <c r="V2108" s="207">
        <f t="shared" si="1303"/>
        <v>0</v>
      </c>
      <c r="W2108" s="206" t="str">
        <f t="shared" si="1300"/>
        <v/>
      </c>
      <c r="X2108" s="206">
        <f t="shared" si="1301"/>
        <v>0</v>
      </c>
      <c r="Y2108" s="209">
        <f t="shared" si="1302"/>
        <v>0</v>
      </c>
    </row>
    <row r="2109" spans="2:25" ht="16.5" hidden="1" thickTop="1" thickBot="1" x14ac:dyDescent="0.3">
      <c r="B2109" s="60">
        <f>B2106</f>
        <v>18</v>
      </c>
      <c r="C2109" s="102">
        <v>123</v>
      </c>
      <c r="D2109" s="192" t="str">
        <f t="shared" si="1269"/>
        <v>VII</v>
      </c>
      <c r="E2109" s="62"/>
      <c r="F2109" s="105"/>
      <c r="G2109" s="105"/>
      <c r="H2109" s="61"/>
      <c r="I2109" s="61"/>
      <c r="J2109" s="62"/>
      <c r="K2109" s="63"/>
      <c r="L2109" s="61"/>
      <c r="M2109" s="61"/>
      <c r="N2109" s="111"/>
      <c r="O2109" s="112"/>
      <c r="P2109" s="113"/>
      <c r="Q2109" s="114"/>
      <c r="R2109" s="64"/>
      <c r="S2109" s="108"/>
      <c r="T2109" s="203">
        <f t="shared" si="1274"/>
        <v>43647</v>
      </c>
      <c r="U2109" s="204">
        <f t="shared" si="1275"/>
        <v>43677</v>
      </c>
      <c r="V2109" s="207">
        <f t="shared" si="1303"/>
        <v>0</v>
      </c>
      <c r="W2109" s="206" t="str">
        <f t="shared" si="1300"/>
        <v/>
      </c>
      <c r="X2109" s="206">
        <f t="shared" si="1301"/>
        <v>0</v>
      </c>
      <c r="Y2109" s="209">
        <f t="shared" si="1302"/>
        <v>0</v>
      </c>
    </row>
    <row r="2110" spans="2:25" ht="16.5" hidden="1" thickTop="1" thickBot="1" x14ac:dyDescent="0.3">
      <c r="B2110" s="60">
        <f>B2106</f>
        <v>18</v>
      </c>
      <c r="C2110" s="102">
        <v>124</v>
      </c>
      <c r="D2110" s="192" t="str">
        <f t="shared" si="1269"/>
        <v>VII</v>
      </c>
      <c r="E2110" s="62"/>
      <c r="F2110" s="105"/>
      <c r="G2110" s="105"/>
      <c r="H2110" s="61"/>
      <c r="I2110" s="61"/>
      <c r="J2110" s="62"/>
      <c r="K2110" s="63"/>
      <c r="L2110" s="61"/>
      <c r="M2110" s="61"/>
      <c r="N2110" s="111"/>
      <c r="O2110" s="112"/>
      <c r="P2110" s="113"/>
      <c r="Q2110" s="114"/>
      <c r="R2110" s="64"/>
      <c r="S2110" s="108"/>
      <c r="T2110" s="203">
        <f t="shared" si="1274"/>
        <v>43647</v>
      </c>
      <c r="U2110" s="204">
        <f t="shared" si="1275"/>
        <v>43677</v>
      </c>
      <c r="V2110" s="207">
        <f t="shared" si="1303"/>
        <v>0</v>
      </c>
      <c r="W2110" s="206" t="str">
        <f t="shared" si="1300"/>
        <v/>
      </c>
      <c r="X2110" s="206">
        <f t="shared" si="1301"/>
        <v>0</v>
      </c>
      <c r="Y2110" s="209">
        <f t="shared" si="1302"/>
        <v>0</v>
      </c>
    </row>
    <row r="2111" spans="2:25" ht="16.5" hidden="1" thickTop="1" thickBot="1" x14ac:dyDescent="0.3">
      <c r="B2111" s="60">
        <f>B2106</f>
        <v>18</v>
      </c>
      <c r="C2111" s="102">
        <v>125</v>
      </c>
      <c r="D2111" s="192" t="str">
        <f t="shared" si="1269"/>
        <v>VII</v>
      </c>
      <c r="E2111" s="62"/>
      <c r="F2111" s="105"/>
      <c r="G2111" s="105"/>
      <c r="H2111" s="61"/>
      <c r="I2111" s="61"/>
      <c r="J2111" s="62"/>
      <c r="K2111" s="63"/>
      <c r="L2111" s="61"/>
      <c r="M2111" s="61"/>
      <c r="N2111" s="111"/>
      <c r="O2111" s="112"/>
      <c r="P2111" s="113"/>
      <c r="Q2111" s="114"/>
      <c r="R2111" s="64"/>
      <c r="S2111" s="108"/>
      <c r="T2111" s="203">
        <f t="shared" si="1274"/>
        <v>43647</v>
      </c>
      <c r="U2111" s="204">
        <f t="shared" si="1275"/>
        <v>43677</v>
      </c>
      <c r="V2111" s="207">
        <f t="shared" si="1303"/>
        <v>0</v>
      </c>
      <c r="W2111" s="206" t="str">
        <f t="shared" si="1300"/>
        <v/>
      </c>
      <c r="X2111" s="206">
        <f t="shared" si="1301"/>
        <v>0</v>
      </c>
      <c r="Y2111" s="209">
        <f t="shared" si="1302"/>
        <v>0</v>
      </c>
    </row>
    <row r="2112" spans="2:25" ht="16.5" hidden="1" thickTop="1" thickBot="1" x14ac:dyDescent="0.3">
      <c r="B2112" s="141">
        <f>B2106</f>
        <v>18</v>
      </c>
      <c r="C2112" s="142">
        <v>126</v>
      </c>
      <c r="D2112" s="194" t="str">
        <f t="shared" si="1269"/>
        <v>VII</v>
      </c>
      <c r="E2112" s="143"/>
      <c r="F2112" s="144"/>
      <c r="G2112" s="144"/>
      <c r="H2112" s="145"/>
      <c r="I2112" s="145"/>
      <c r="J2112" s="436" t="s">
        <v>181</v>
      </c>
      <c r="K2112" s="437"/>
      <c r="L2112" s="438"/>
      <c r="M2112" s="145"/>
      <c r="N2112" s="146"/>
      <c r="O2112" s="147"/>
      <c r="P2112" s="148"/>
      <c r="Q2112" s="149"/>
      <c r="R2112" s="150"/>
      <c r="S2112" s="151"/>
      <c r="T2112" s="213">
        <f t="shared" si="1274"/>
        <v>43647</v>
      </c>
      <c r="U2112" s="214">
        <f t="shared" si="1275"/>
        <v>43677</v>
      </c>
      <c r="V2112" s="210">
        <f t="shared" si="1303"/>
        <v>0</v>
      </c>
      <c r="W2112" s="211"/>
      <c r="X2112" s="211">
        <f>IF(AND($V2112&gt;0,$I2112=1),IF($E2112=10,P2112/10,P2112/$V2112),0)</f>
        <v>0</v>
      </c>
      <c r="Y2112" s="212">
        <f>IF(AND($V2106&gt;0,$I2112&lt;&gt;1),Q2112/E2106*V2106,0)</f>
        <v>0</v>
      </c>
    </row>
    <row r="2113" spans="2:25" ht="16.5" hidden="1" thickTop="1" thickBot="1" x14ac:dyDescent="0.3">
      <c r="B2113" s="129">
        <f>B2111+1</f>
        <v>19</v>
      </c>
      <c r="C2113" s="130">
        <v>127</v>
      </c>
      <c r="D2113" s="196" t="str">
        <f t="shared" si="1269"/>
        <v>VII</v>
      </c>
      <c r="E2113" s="152"/>
      <c r="F2113" s="153"/>
      <c r="G2113" s="153"/>
      <c r="H2113" s="154"/>
      <c r="I2113" s="154"/>
      <c r="J2113" s="152"/>
      <c r="K2113" s="155"/>
      <c r="L2113" s="154"/>
      <c r="M2113" s="154"/>
      <c r="N2113" s="156"/>
      <c r="O2113" s="157"/>
      <c r="P2113" s="158"/>
      <c r="Q2113" s="159"/>
      <c r="R2113" s="160"/>
      <c r="S2113" s="161"/>
      <c r="T2113" s="203">
        <f t="shared" si="1274"/>
        <v>43647</v>
      </c>
      <c r="U2113" s="204">
        <f t="shared" si="1275"/>
        <v>43677</v>
      </c>
      <c r="V2113" s="207">
        <f>IF(G2113-F2113+1-IF(G2113-U2113&gt;0,G2113-U2113,0)-IF(T2113-F2113&gt;0,T2113-F2113,0)&gt;0,G2113-F2113+1-IF(G2113-U2113&gt;0,G2113-U2113,0)-IF(T2113-F2113&gt;0,T2113-F2113,0),0)</f>
        <v>0</v>
      </c>
      <c r="W2113" s="206" t="str">
        <f t="shared" ref="W2113:W2118" si="1304">IF(V2113&gt;0,H2113,"")</f>
        <v/>
      </c>
      <c r="X2113" s="206">
        <f t="shared" ref="X2113:X2118" si="1305">IF(AND($V2113&gt;0,$I2113=1),P2113/$E2113*$V2113,0)</f>
        <v>0</v>
      </c>
      <c r="Y2113" s="209">
        <f t="shared" ref="Y2113:Y2118" si="1306">IF(AND($V2113&gt;0,$I2113&lt;&gt;1),Q2113/$E2113*$V2113,0)</f>
        <v>0</v>
      </c>
    </row>
    <row r="2114" spans="2:25" ht="16.5" hidden="1" thickTop="1" thickBot="1" x14ac:dyDescent="0.3">
      <c r="B2114" s="60">
        <f>B2113</f>
        <v>19</v>
      </c>
      <c r="C2114" s="102">
        <v>128</v>
      </c>
      <c r="D2114" s="192" t="str">
        <f t="shared" si="1269"/>
        <v>VII</v>
      </c>
      <c r="E2114" s="162"/>
      <c r="F2114" s="163"/>
      <c r="G2114" s="163"/>
      <c r="H2114" s="164"/>
      <c r="I2114" s="164"/>
      <c r="J2114" s="162"/>
      <c r="K2114" s="165"/>
      <c r="L2114" s="164"/>
      <c r="M2114" s="164"/>
      <c r="N2114" s="166"/>
      <c r="O2114" s="167"/>
      <c r="P2114" s="168"/>
      <c r="Q2114" s="169"/>
      <c r="R2114" s="170"/>
      <c r="S2114" s="171"/>
      <c r="T2114" s="203">
        <f t="shared" si="1274"/>
        <v>43647</v>
      </c>
      <c r="U2114" s="204">
        <f t="shared" si="1275"/>
        <v>43677</v>
      </c>
      <c r="V2114" s="207">
        <f t="shared" ref="V2114:V2119" si="1307">IF(G2114-F2114+1-IF(G2114-U2114&gt;0,G2114-U2114,0)-IF(T2114-F2114&gt;0,T2114-F2114,0)&gt;0,G2114-F2114+1-IF(G2114-U2114&gt;0,G2114-U2114,0)-IF(T2114-F2114&gt;0,T2114-F2114,0),0)</f>
        <v>0</v>
      </c>
      <c r="W2114" s="206" t="str">
        <f t="shared" si="1304"/>
        <v/>
      </c>
      <c r="X2114" s="206">
        <f t="shared" si="1305"/>
        <v>0</v>
      </c>
      <c r="Y2114" s="209">
        <f t="shared" si="1306"/>
        <v>0</v>
      </c>
    </row>
    <row r="2115" spans="2:25" ht="16.5" hidden="1" thickTop="1" thickBot="1" x14ac:dyDescent="0.3">
      <c r="B2115" s="60">
        <f>B2113</f>
        <v>19</v>
      </c>
      <c r="C2115" s="102">
        <v>129</v>
      </c>
      <c r="D2115" s="192" t="str">
        <f t="shared" si="1269"/>
        <v>VII</v>
      </c>
      <c r="E2115" s="162"/>
      <c r="F2115" s="163"/>
      <c r="G2115" s="163"/>
      <c r="H2115" s="164"/>
      <c r="I2115" s="164"/>
      <c r="J2115" s="162"/>
      <c r="K2115" s="165"/>
      <c r="L2115" s="164"/>
      <c r="M2115" s="164"/>
      <c r="N2115" s="166"/>
      <c r="O2115" s="167"/>
      <c r="P2115" s="168"/>
      <c r="Q2115" s="169"/>
      <c r="R2115" s="170"/>
      <c r="S2115" s="171"/>
      <c r="T2115" s="203">
        <f t="shared" si="1274"/>
        <v>43647</v>
      </c>
      <c r="U2115" s="204">
        <f t="shared" si="1275"/>
        <v>43677</v>
      </c>
      <c r="V2115" s="207">
        <f t="shared" si="1307"/>
        <v>0</v>
      </c>
      <c r="W2115" s="206" t="str">
        <f t="shared" si="1304"/>
        <v/>
      </c>
      <c r="X2115" s="206">
        <f t="shared" si="1305"/>
        <v>0</v>
      </c>
      <c r="Y2115" s="209">
        <f t="shared" si="1306"/>
        <v>0</v>
      </c>
    </row>
    <row r="2116" spans="2:25" ht="16.5" hidden="1" thickTop="1" thickBot="1" x14ac:dyDescent="0.3">
      <c r="B2116" s="60">
        <f>B2113</f>
        <v>19</v>
      </c>
      <c r="C2116" s="102">
        <v>130</v>
      </c>
      <c r="D2116" s="192" t="str">
        <f t="shared" si="1269"/>
        <v>VII</v>
      </c>
      <c r="E2116" s="162"/>
      <c r="F2116" s="163"/>
      <c r="G2116" s="163"/>
      <c r="H2116" s="164"/>
      <c r="I2116" s="164"/>
      <c r="J2116" s="162"/>
      <c r="K2116" s="165"/>
      <c r="L2116" s="164"/>
      <c r="M2116" s="164"/>
      <c r="N2116" s="166"/>
      <c r="O2116" s="167"/>
      <c r="P2116" s="168"/>
      <c r="Q2116" s="169"/>
      <c r="R2116" s="170"/>
      <c r="S2116" s="171"/>
      <c r="T2116" s="203">
        <f t="shared" si="1274"/>
        <v>43647</v>
      </c>
      <c r="U2116" s="204">
        <f t="shared" si="1275"/>
        <v>43677</v>
      </c>
      <c r="V2116" s="207">
        <f t="shared" si="1307"/>
        <v>0</v>
      </c>
      <c r="W2116" s="206" t="str">
        <f t="shared" si="1304"/>
        <v/>
      </c>
      <c r="X2116" s="206">
        <f t="shared" si="1305"/>
        <v>0</v>
      </c>
      <c r="Y2116" s="209">
        <f t="shared" si="1306"/>
        <v>0</v>
      </c>
    </row>
    <row r="2117" spans="2:25" ht="16.5" hidden="1" thickTop="1" thickBot="1" x14ac:dyDescent="0.3">
      <c r="B2117" s="60">
        <f>B2113</f>
        <v>19</v>
      </c>
      <c r="C2117" s="102">
        <v>131</v>
      </c>
      <c r="D2117" s="192" t="str">
        <f t="shared" ref="D2117:D2180" si="1308">D2116</f>
        <v>VII</v>
      </c>
      <c r="E2117" s="162"/>
      <c r="F2117" s="163"/>
      <c r="G2117" s="163"/>
      <c r="H2117" s="164"/>
      <c r="I2117" s="164"/>
      <c r="J2117" s="162"/>
      <c r="K2117" s="165"/>
      <c r="L2117" s="164"/>
      <c r="M2117" s="164"/>
      <c r="N2117" s="166"/>
      <c r="O2117" s="167"/>
      <c r="P2117" s="168"/>
      <c r="Q2117" s="169"/>
      <c r="R2117" s="170"/>
      <c r="S2117" s="171"/>
      <c r="T2117" s="203">
        <f t="shared" si="1274"/>
        <v>43647</v>
      </c>
      <c r="U2117" s="204">
        <f t="shared" si="1275"/>
        <v>43677</v>
      </c>
      <c r="V2117" s="207">
        <f t="shared" si="1307"/>
        <v>0</v>
      </c>
      <c r="W2117" s="206" t="str">
        <f t="shared" si="1304"/>
        <v/>
      </c>
      <c r="X2117" s="206">
        <f t="shared" si="1305"/>
        <v>0</v>
      </c>
      <c r="Y2117" s="209">
        <f t="shared" si="1306"/>
        <v>0</v>
      </c>
    </row>
    <row r="2118" spans="2:25" ht="16.5" hidden="1" thickTop="1" thickBot="1" x14ac:dyDescent="0.3">
      <c r="B2118" s="60">
        <f>B2113</f>
        <v>19</v>
      </c>
      <c r="C2118" s="102">
        <v>132</v>
      </c>
      <c r="D2118" s="192" t="str">
        <f t="shared" si="1308"/>
        <v>VII</v>
      </c>
      <c r="E2118" s="172"/>
      <c r="F2118" s="173"/>
      <c r="G2118" s="173"/>
      <c r="H2118" s="174"/>
      <c r="I2118" s="174"/>
      <c r="J2118" s="172"/>
      <c r="K2118" s="175"/>
      <c r="L2118" s="174"/>
      <c r="M2118" s="174"/>
      <c r="N2118" s="176"/>
      <c r="O2118" s="177"/>
      <c r="P2118" s="178"/>
      <c r="Q2118" s="179"/>
      <c r="R2118" s="180"/>
      <c r="S2118" s="181"/>
      <c r="T2118" s="203">
        <f t="shared" si="1274"/>
        <v>43647</v>
      </c>
      <c r="U2118" s="204">
        <f t="shared" si="1275"/>
        <v>43677</v>
      </c>
      <c r="V2118" s="207">
        <f t="shared" si="1307"/>
        <v>0</v>
      </c>
      <c r="W2118" s="206" t="str">
        <f t="shared" si="1304"/>
        <v/>
      </c>
      <c r="X2118" s="206">
        <f t="shared" si="1305"/>
        <v>0</v>
      </c>
      <c r="Y2118" s="209">
        <f t="shared" si="1306"/>
        <v>0</v>
      </c>
    </row>
    <row r="2119" spans="2:25" ht="16.5" hidden="1" thickTop="1" thickBot="1" x14ac:dyDescent="0.3">
      <c r="B2119" s="141">
        <f>B2113</f>
        <v>19</v>
      </c>
      <c r="C2119" s="142">
        <v>133</v>
      </c>
      <c r="D2119" s="194" t="str">
        <f t="shared" si="1308"/>
        <v>VII</v>
      </c>
      <c r="E2119" s="189"/>
      <c r="F2119" s="190"/>
      <c r="G2119" s="190"/>
      <c r="H2119" s="182"/>
      <c r="I2119" s="182"/>
      <c r="J2119" s="436" t="s">
        <v>181</v>
      </c>
      <c r="K2119" s="437"/>
      <c r="L2119" s="438"/>
      <c r="M2119" s="182"/>
      <c r="N2119" s="183"/>
      <c r="O2119" s="184"/>
      <c r="P2119" s="185"/>
      <c r="Q2119" s="186"/>
      <c r="R2119" s="187"/>
      <c r="S2119" s="188"/>
      <c r="T2119" s="213">
        <f t="shared" si="1274"/>
        <v>43647</v>
      </c>
      <c r="U2119" s="214">
        <f t="shared" si="1275"/>
        <v>43677</v>
      </c>
      <c r="V2119" s="210">
        <f t="shared" si="1307"/>
        <v>0</v>
      </c>
      <c r="W2119" s="211"/>
      <c r="X2119" s="211">
        <f>IF(AND($V2119&gt;0,$I2119=1),IF($E2119=10,P2119/10,P2119/$V2119),0)</f>
        <v>0</v>
      </c>
      <c r="Y2119" s="212">
        <f>IF(AND($V2113&gt;0,$I2119&lt;&gt;1),Q2119/E2113*V2113,0)</f>
        <v>0</v>
      </c>
    </row>
    <row r="2120" spans="2:25" ht="16.5" hidden="1" thickTop="1" thickBot="1" x14ac:dyDescent="0.3">
      <c r="B2120" s="129">
        <f>B2118+1</f>
        <v>20</v>
      </c>
      <c r="C2120" s="130">
        <v>134</v>
      </c>
      <c r="D2120" s="196" t="str">
        <f t="shared" si="1308"/>
        <v>VII</v>
      </c>
      <c r="E2120" s="131"/>
      <c r="F2120" s="132"/>
      <c r="G2120" s="132"/>
      <c r="H2120" s="133"/>
      <c r="I2120" s="133"/>
      <c r="J2120" s="131"/>
      <c r="K2120" s="134"/>
      <c r="L2120" s="133"/>
      <c r="M2120" s="133"/>
      <c r="N2120" s="135"/>
      <c r="O2120" s="136"/>
      <c r="P2120" s="137"/>
      <c r="Q2120" s="138"/>
      <c r="R2120" s="139"/>
      <c r="S2120" s="140"/>
      <c r="T2120" s="203">
        <f t="shared" si="1274"/>
        <v>43647</v>
      </c>
      <c r="U2120" s="204">
        <f t="shared" si="1275"/>
        <v>43677</v>
      </c>
      <c r="V2120" s="207">
        <f>IF(G2120-F2120+1-IF(G2120-U2120&gt;0,G2120-U2120,0)-IF(T2120-F2120&gt;0,T2120-F2120,0)&gt;0,G2120-F2120+1-IF(G2120-U2120&gt;0,G2120-U2120,0)-IF(T2120-F2120&gt;0,T2120-F2120,0),0)</f>
        <v>0</v>
      </c>
      <c r="W2120" s="206" t="str">
        <f t="shared" ref="W2120:W2125" si="1309">IF(V2120&gt;0,H2120,"")</f>
        <v/>
      </c>
      <c r="X2120" s="206">
        <f t="shared" ref="X2120:X2125" si="1310">IF(AND($V2120&gt;0,$I2120=1),P2120/$E2120*$V2120,0)</f>
        <v>0</v>
      </c>
      <c r="Y2120" s="209">
        <f t="shared" ref="Y2120:Y2125" si="1311">IF(AND($V2120&gt;0,$I2120&lt;&gt;1),Q2120/$E2120*$V2120,0)</f>
        <v>0</v>
      </c>
    </row>
    <row r="2121" spans="2:25" ht="16.5" hidden="1" thickTop="1" thickBot="1" x14ac:dyDescent="0.3">
      <c r="B2121" s="60">
        <f>B2120</f>
        <v>20</v>
      </c>
      <c r="C2121" s="102">
        <v>135</v>
      </c>
      <c r="D2121" s="192" t="str">
        <f t="shared" si="1308"/>
        <v>VII</v>
      </c>
      <c r="E2121" s="62"/>
      <c r="F2121" s="105"/>
      <c r="G2121" s="105"/>
      <c r="H2121" s="61"/>
      <c r="I2121" s="61"/>
      <c r="J2121" s="62"/>
      <c r="K2121" s="63"/>
      <c r="L2121" s="61"/>
      <c r="M2121" s="61"/>
      <c r="N2121" s="111"/>
      <c r="O2121" s="112"/>
      <c r="P2121" s="113"/>
      <c r="Q2121" s="114"/>
      <c r="R2121" s="64"/>
      <c r="S2121" s="108"/>
      <c r="T2121" s="203">
        <f t="shared" si="1274"/>
        <v>43647</v>
      </c>
      <c r="U2121" s="204">
        <f t="shared" si="1275"/>
        <v>43677</v>
      </c>
      <c r="V2121" s="207">
        <f t="shared" ref="V2121:V2126" si="1312">IF(G2121-F2121+1-IF(G2121-U2121&gt;0,G2121-U2121,0)-IF(T2121-F2121&gt;0,T2121-F2121,0)&gt;0,G2121-F2121+1-IF(G2121-U2121&gt;0,G2121-U2121,0)-IF(T2121-F2121&gt;0,T2121-F2121,0),0)</f>
        <v>0</v>
      </c>
      <c r="W2121" s="206" t="str">
        <f t="shared" si="1309"/>
        <v/>
      </c>
      <c r="X2121" s="206">
        <f t="shared" si="1310"/>
        <v>0</v>
      </c>
      <c r="Y2121" s="209">
        <f t="shared" si="1311"/>
        <v>0</v>
      </c>
    </row>
    <row r="2122" spans="2:25" ht="16.5" hidden="1" thickTop="1" thickBot="1" x14ac:dyDescent="0.3">
      <c r="B2122" s="60">
        <f>B2120</f>
        <v>20</v>
      </c>
      <c r="C2122" s="102">
        <v>136</v>
      </c>
      <c r="D2122" s="192" t="str">
        <f t="shared" si="1308"/>
        <v>VII</v>
      </c>
      <c r="E2122" s="62"/>
      <c r="F2122" s="105"/>
      <c r="G2122" s="105"/>
      <c r="H2122" s="61"/>
      <c r="I2122" s="61"/>
      <c r="J2122" s="62"/>
      <c r="K2122" s="63"/>
      <c r="L2122" s="61"/>
      <c r="M2122" s="61"/>
      <c r="N2122" s="111"/>
      <c r="O2122" s="112"/>
      <c r="P2122" s="113"/>
      <c r="Q2122" s="114"/>
      <c r="R2122" s="64"/>
      <c r="S2122" s="108"/>
      <c r="T2122" s="203">
        <f t="shared" si="1274"/>
        <v>43647</v>
      </c>
      <c r="U2122" s="204">
        <f t="shared" si="1275"/>
        <v>43677</v>
      </c>
      <c r="V2122" s="207">
        <f t="shared" si="1312"/>
        <v>0</v>
      </c>
      <c r="W2122" s="206" t="str">
        <f t="shared" si="1309"/>
        <v/>
      </c>
      <c r="X2122" s="206">
        <f t="shared" si="1310"/>
        <v>0</v>
      </c>
      <c r="Y2122" s="209">
        <f t="shared" si="1311"/>
        <v>0</v>
      </c>
    </row>
    <row r="2123" spans="2:25" ht="16.5" hidden="1" thickTop="1" thickBot="1" x14ac:dyDescent="0.3">
      <c r="B2123" s="60">
        <f>B2120</f>
        <v>20</v>
      </c>
      <c r="C2123" s="102">
        <v>137</v>
      </c>
      <c r="D2123" s="192" t="str">
        <f t="shared" si="1308"/>
        <v>VII</v>
      </c>
      <c r="E2123" s="62"/>
      <c r="F2123" s="105"/>
      <c r="G2123" s="105"/>
      <c r="H2123" s="61"/>
      <c r="I2123" s="61"/>
      <c r="J2123" s="62"/>
      <c r="K2123" s="63"/>
      <c r="L2123" s="61"/>
      <c r="M2123" s="61"/>
      <c r="N2123" s="111"/>
      <c r="O2123" s="112"/>
      <c r="P2123" s="113"/>
      <c r="Q2123" s="114"/>
      <c r="R2123" s="64"/>
      <c r="S2123" s="108"/>
      <c r="T2123" s="203">
        <f t="shared" si="1274"/>
        <v>43647</v>
      </c>
      <c r="U2123" s="204">
        <f t="shared" si="1275"/>
        <v>43677</v>
      </c>
      <c r="V2123" s="207">
        <f t="shared" si="1312"/>
        <v>0</v>
      </c>
      <c r="W2123" s="206" t="str">
        <f t="shared" si="1309"/>
        <v/>
      </c>
      <c r="X2123" s="206">
        <f t="shared" si="1310"/>
        <v>0</v>
      </c>
      <c r="Y2123" s="209">
        <f t="shared" si="1311"/>
        <v>0</v>
      </c>
    </row>
    <row r="2124" spans="2:25" ht="16.5" hidden="1" thickTop="1" thickBot="1" x14ac:dyDescent="0.3">
      <c r="B2124" s="60">
        <f>B2120</f>
        <v>20</v>
      </c>
      <c r="C2124" s="102">
        <v>138</v>
      </c>
      <c r="D2124" s="192" t="str">
        <f t="shared" si="1308"/>
        <v>VII</v>
      </c>
      <c r="E2124" s="62"/>
      <c r="F2124" s="105"/>
      <c r="G2124" s="105"/>
      <c r="H2124" s="61"/>
      <c r="I2124" s="61"/>
      <c r="J2124" s="62"/>
      <c r="K2124" s="63"/>
      <c r="L2124" s="61"/>
      <c r="M2124" s="61"/>
      <c r="N2124" s="111"/>
      <c r="O2124" s="112"/>
      <c r="P2124" s="113"/>
      <c r="Q2124" s="114"/>
      <c r="R2124" s="64"/>
      <c r="S2124" s="108"/>
      <c r="T2124" s="203">
        <f t="shared" si="1274"/>
        <v>43647</v>
      </c>
      <c r="U2124" s="204">
        <f t="shared" si="1275"/>
        <v>43677</v>
      </c>
      <c r="V2124" s="207">
        <f t="shared" si="1312"/>
        <v>0</v>
      </c>
      <c r="W2124" s="206" t="str">
        <f t="shared" si="1309"/>
        <v/>
      </c>
      <c r="X2124" s="206">
        <f t="shared" si="1310"/>
        <v>0</v>
      </c>
      <c r="Y2124" s="209">
        <f t="shared" si="1311"/>
        <v>0</v>
      </c>
    </row>
    <row r="2125" spans="2:25" ht="16.5" hidden="1" thickTop="1" thickBot="1" x14ac:dyDescent="0.3">
      <c r="B2125" s="60">
        <f>B2120</f>
        <v>20</v>
      </c>
      <c r="C2125" s="102">
        <v>139</v>
      </c>
      <c r="D2125" s="192" t="str">
        <f t="shared" si="1308"/>
        <v>VII</v>
      </c>
      <c r="E2125" s="62"/>
      <c r="F2125" s="105"/>
      <c r="G2125" s="105"/>
      <c r="H2125" s="61"/>
      <c r="I2125" s="61"/>
      <c r="J2125" s="62"/>
      <c r="K2125" s="63"/>
      <c r="L2125" s="61"/>
      <c r="M2125" s="61"/>
      <c r="N2125" s="111"/>
      <c r="O2125" s="112"/>
      <c r="P2125" s="113"/>
      <c r="Q2125" s="114"/>
      <c r="R2125" s="64"/>
      <c r="S2125" s="108"/>
      <c r="T2125" s="203">
        <f t="shared" ref="T2125:T2188" si="1313">$F$4</f>
        <v>43647</v>
      </c>
      <c r="U2125" s="204">
        <f t="shared" ref="U2125:U2188" si="1314">$G$4</f>
        <v>43677</v>
      </c>
      <c r="V2125" s="207">
        <f t="shared" si="1312"/>
        <v>0</v>
      </c>
      <c r="W2125" s="206" t="str">
        <f t="shared" si="1309"/>
        <v/>
      </c>
      <c r="X2125" s="206">
        <f t="shared" si="1310"/>
        <v>0</v>
      </c>
      <c r="Y2125" s="209">
        <f t="shared" si="1311"/>
        <v>0</v>
      </c>
    </row>
    <row r="2126" spans="2:25" ht="16.5" hidden="1" thickTop="1" thickBot="1" x14ac:dyDescent="0.3">
      <c r="B2126" s="141">
        <f>B2120</f>
        <v>20</v>
      </c>
      <c r="C2126" s="142">
        <v>140</v>
      </c>
      <c r="D2126" s="194" t="str">
        <f t="shared" si="1308"/>
        <v>VII</v>
      </c>
      <c r="E2126" s="143"/>
      <c r="F2126" s="144"/>
      <c r="G2126" s="144"/>
      <c r="H2126" s="145"/>
      <c r="I2126" s="145"/>
      <c r="J2126" s="436" t="s">
        <v>181</v>
      </c>
      <c r="K2126" s="437"/>
      <c r="L2126" s="438"/>
      <c r="M2126" s="145"/>
      <c r="N2126" s="146"/>
      <c r="O2126" s="147"/>
      <c r="P2126" s="148"/>
      <c r="Q2126" s="149"/>
      <c r="R2126" s="150"/>
      <c r="S2126" s="151"/>
      <c r="T2126" s="213">
        <f t="shared" si="1313"/>
        <v>43647</v>
      </c>
      <c r="U2126" s="214">
        <f t="shared" si="1314"/>
        <v>43677</v>
      </c>
      <c r="V2126" s="210">
        <f t="shared" si="1312"/>
        <v>0</v>
      </c>
      <c r="W2126" s="211"/>
      <c r="X2126" s="211">
        <f>IF(AND($V2126&gt;0,$I2126=1),IF($E2126=10,P2126/10,P2126/$V2126),0)</f>
        <v>0</v>
      </c>
      <c r="Y2126" s="212">
        <f>IF(AND($V2120&gt;0,$I2126&lt;&gt;1),Q2126/E2120*V2120,0)</f>
        <v>0</v>
      </c>
    </row>
    <row r="2127" spans="2:25" ht="16.5" hidden="1" thickTop="1" thickBot="1" x14ac:dyDescent="0.3">
      <c r="B2127" s="129">
        <f>B2125+1</f>
        <v>21</v>
      </c>
      <c r="C2127" s="130">
        <v>141</v>
      </c>
      <c r="D2127" s="196" t="str">
        <f t="shared" si="1308"/>
        <v>VII</v>
      </c>
      <c r="E2127" s="152"/>
      <c r="F2127" s="153"/>
      <c r="G2127" s="153"/>
      <c r="H2127" s="154"/>
      <c r="I2127" s="154"/>
      <c r="J2127" s="152"/>
      <c r="K2127" s="155"/>
      <c r="L2127" s="154"/>
      <c r="M2127" s="154"/>
      <c r="N2127" s="156"/>
      <c r="O2127" s="157"/>
      <c r="P2127" s="158"/>
      <c r="Q2127" s="159"/>
      <c r="R2127" s="160"/>
      <c r="S2127" s="161"/>
      <c r="T2127" s="203">
        <f t="shared" si="1313"/>
        <v>43647</v>
      </c>
      <c r="U2127" s="204">
        <f t="shared" si="1314"/>
        <v>43677</v>
      </c>
      <c r="V2127" s="207">
        <f>IF(G2127-F2127+1-IF(G2127-U2127&gt;0,G2127-U2127,0)-IF(T2127-F2127&gt;0,T2127-F2127,0)&gt;0,G2127-F2127+1-IF(G2127-U2127&gt;0,G2127-U2127,0)-IF(T2127-F2127&gt;0,T2127-F2127,0),0)</f>
        <v>0</v>
      </c>
      <c r="W2127" s="206" t="str">
        <f t="shared" ref="W2127:W2132" si="1315">IF(V2127&gt;0,H2127,"")</f>
        <v/>
      </c>
      <c r="X2127" s="206">
        <f t="shared" ref="X2127:X2132" si="1316">IF(AND($V2127&gt;0,$I2127=1),P2127/$E2127*$V2127,0)</f>
        <v>0</v>
      </c>
      <c r="Y2127" s="209">
        <f t="shared" ref="Y2127:Y2132" si="1317">IF(AND($V2127&gt;0,$I2127&lt;&gt;1),Q2127/$E2127*$V2127,0)</f>
        <v>0</v>
      </c>
    </row>
    <row r="2128" spans="2:25" ht="16.5" hidden="1" thickTop="1" thickBot="1" x14ac:dyDescent="0.3">
      <c r="B2128" s="60">
        <f>B2127</f>
        <v>21</v>
      </c>
      <c r="C2128" s="102">
        <v>142</v>
      </c>
      <c r="D2128" s="192" t="str">
        <f t="shared" si="1308"/>
        <v>VII</v>
      </c>
      <c r="E2128" s="162"/>
      <c r="F2128" s="163"/>
      <c r="G2128" s="163"/>
      <c r="H2128" s="164"/>
      <c r="I2128" s="164"/>
      <c r="J2128" s="162"/>
      <c r="K2128" s="165"/>
      <c r="L2128" s="164"/>
      <c r="M2128" s="164"/>
      <c r="N2128" s="166"/>
      <c r="O2128" s="167"/>
      <c r="P2128" s="168"/>
      <c r="Q2128" s="169"/>
      <c r="R2128" s="170"/>
      <c r="S2128" s="171"/>
      <c r="T2128" s="203">
        <f t="shared" si="1313"/>
        <v>43647</v>
      </c>
      <c r="U2128" s="204">
        <f t="shared" si="1314"/>
        <v>43677</v>
      </c>
      <c r="V2128" s="207">
        <f t="shared" ref="V2128:V2133" si="1318">IF(G2128-F2128+1-IF(G2128-U2128&gt;0,G2128-U2128,0)-IF(T2128-F2128&gt;0,T2128-F2128,0)&gt;0,G2128-F2128+1-IF(G2128-U2128&gt;0,G2128-U2128,0)-IF(T2128-F2128&gt;0,T2128-F2128,0),0)</f>
        <v>0</v>
      </c>
      <c r="W2128" s="206" t="str">
        <f t="shared" si="1315"/>
        <v/>
      </c>
      <c r="X2128" s="206">
        <f t="shared" si="1316"/>
        <v>0</v>
      </c>
      <c r="Y2128" s="209">
        <f t="shared" si="1317"/>
        <v>0</v>
      </c>
    </row>
    <row r="2129" spans="2:25" ht="16.5" hidden="1" thickTop="1" thickBot="1" x14ac:dyDescent="0.3">
      <c r="B2129" s="60">
        <f>B2127</f>
        <v>21</v>
      </c>
      <c r="C2129" s="102">
        <v>143</v>
      </c>
      <c r="D2129" s="192" t="str">
        <f t="shared" si="1308"/>
        <v>VII</v>
      </c>
      <c r="E2129" s="162"/>
      <c r="F2129" s="163"/>
      <c r="G2129" s="163"/>
      <c r="H2129" s="164"/>
      <c r="I2129" s="164"/>
      <c r="J2129" s="162"/>
      <c r="K2129" s="165"/>
      <c r="L2129" s="164"/>
      <c r="M2129" s="164"/>
      <c r="N2129" s="166"/>
      <c r="O2129" s="167"/>
      <c r="P2129" s="168"/>
      <c r="Q2129" s="169"/>
      <c r="R2129" s="170"/>
      <c r="S2129" s="171"/>
      <c r="T2129" s="203">
        <f t="shared" si="1313"/>
        <v>43647</v>
      </c>
      <c r="U2129" s="204">
        <f t="shared" si="1314"/>
        <v>43677</v>
      </c>
      <c r="V2129" s="207">
        <f t="shared" si="1318"/>
        <v>0</v>
      </c>
      <c r="W2129" s="206" t="str">
        <f t="shared" si="1315"/>
        <v/>
      </c>
      <c r="X2129" s="206">
        <f t="shared" si="1316"/>
        <v>0</v>
      </c>
      <c r="Y2129" s="209">
        <f t="shared" si="1317"/>
        <v>0</v>
      </c>
    </row>
    <row r="2130" spans="2:25" ht="16.5" hidden="1" thickTop="1" thickBot="1" x14ac:dyDescent="0.3">
      <c r="B2130" s="60">
        <f>B2127</f>
        <v>21</v>
      </c>
      <c r="C2130" s="102">
        <v>144</v>
      </c>
      <c r="D2130" s="192" t="str">
        <f t="shared" si="1308"/>
        <v>VII</v>
      </c>
      <c r="E2130" s="162"/>
      <c r="F2130" s="163"/>
      <c r="G2130" s="163"/>
      <c r="H2130" s="164"/>
      <c r="I2130" s="164"/>
      <c r="J2130" s="162"/>
      <c r="K2130" s="165"/>
      <c r="L2130" s="164"/>
      <c r="M2130" s="164"/>
      <c r="N2130" s="166"/>
      <c r="O2130" s="167"/>
      <c r="P2130" s="168"/>
      <c r="Q2130" s="169"/>
      <c r="R2130" s="170"/>
      <c r="S2130" s="171"/>
      <c r="T2130" s="203">
        <f t="shared" si="1313"/>
        <v>43647</v>
      </c>
      <c r="U2130" s="204">
        <f t="shared" si="1314"/>
        <v>43677</v>
      </c>
      <c r="V2130" s="207">
        <f t="shared" si="1318"/>
        <v>0</v>
      </c>
      <c r="W2130" s="206" t="str">
        <f t="shared" si="1315"/>
        <v/>
      </c>
      <c r="X2130" s="206">
        <f t="shared" si="1316"/>
        <v>0</v>
      </c>
      <c r="Y2130" s="209">
        <f t="shared" si="1317"/>
        <v>0</v>
      </c>
    </row>
    <row r="2131" spans="2:25" ht="16.5" hidden="1" thickTop="1" thickBot="1" x14ac:dyDescent="0.3">
      <c r="B2131" s="60">
        <f>B2127</f>
        <v>21</v>
      </c>
      <c r="C2131" s="102">
        <v>145</v>
      </c>
      <c r="D2131" s="192" t="str">
        <f t="shared" si="1308"/>
        <v>VII</v>
      </c>
      <c r="E2131" s="162"/>
      <c r="F2131" s="163"/>
      <c r="G2131" s="163"/>
      <c r="H2131" s="164"/>
      <c r="I2131" s="164"/>
      <c r="J2131" s="162"/>
      <c r="K2131" s="165"/>
      <c r="L2131" s="164"/>
      <c r="M2131" s="164"/>
      <c r="N2131" s="166"/>
      <c r="O2131" s="167"/>
      <c r="P2131" s="168"/>
      <c r="Q2131" s="169"/>
      <c r="R2131" s="170"/>
      <c r="S2131" s="171"/>
      <c r="T2131" s="203">
        <f t="shared" si="1313"/>
        <v>43647</v>
      </c>
      <c r="U2131" s="204">
        <f t="shared" si="1314"/>
        <v>43677</v>
      </c>
      <c r="V2131" s="207">
        <f t="shared" si="1318"/>
        <v>0</v>
      </c>
      <c r="W2131" s="206" t="str">
        <f t="shared" si="1315"/>
        <v/>
      </c>
      <c r="X2131" s="206">
        <f t="shared" si="1316"/>
        <v>0</v>
      </c>
      <c r="Y2131" s="209">
        <f t="shared" si="1317"/>
        <v>0</v>
      </c>
    </row>
    <row r="2132" spans="2:25" ht="16.5" hidden="1" thickTop="1" thickBot="1" x14ac:dyDescent="0.3">
      <c r="B2132" s="60">
        <f>B2127</f>
        <v>21</v>
      </c>
      <c r="C2132" s="102">
        <v>146</v>
      </c>
      <c r="D2132" s="192" t="str">
        <f t="shared" si="1308"/>
        <v>VII</v>
      </c>
      <c r="E2132" s="172"/>
      <c r="F2132" s="173"/>
      <c r="G2132" s="173"/>
      <c r="H2132" s="174"/>
      <c r="I2132" s="174"/>
      <c r="J2132" s="172"/>
      <c r="K2132" s="175"/>
      <c r="L2132" s="174"/>
      <c r="M2132" s="174"/>
      <c r="N2132" s="176"/>
      <c r="O2132" s="177"/>
      <c r="P2132" s="178"/>
      <c r="Q2132" s="179"/>
      <c r="R2132" s="180"/>
      <c r="S2132" s="181"/>
      <c r="T2132" s="203">
        <f t="shared" si="1313"/>
        <v>43647</v>
      </c>
      <c r="U2132" s="204">
        <f t="shared" si="1314"/>
        <v>43677</v>
      </c>
      <c r="V2132" s="207">
        <f t="shared" si="1318"/>
        <v>0</v>
      </c>
      <c r="W2132" s="206" t="str">
        <f t="shared" si="1315"/>
        <v/>
      </c>
      <c r="X2132" s="206">
        <f t="shared" si="1316"/>
        <v>0</v>
      </c>
      <c r="Y2132" s="209">
        <f t="shared" si="1317"/>
        <v>0</v>
      </c>
    </row>
    <row r="2133" spans="2:25" ht="16.5" hidden="1" thickTop="1" thickBot="1" x14ac:dyDescent="0.3">
      <c r="B2133" s="141">
        <f>B2127</f>
        <v>21</v>
      </c>
      <c r="C2133" s="142">
        <v>147</v>
      </c>
      <c r="D2133" s="194" t="str">
        <f t="shared" si="1308"/>
        <v>VII</v>
      </c>
      <c r="E2133" s="189"/>
      <c r="F2133" s="190"/>
      <c r="G2133" s="190"/>
      <c r="H2133" s="182"/>
      <c r="I2133" s="182"/>
      <c r="J2133" s="436" t="s">
        <v>181</v>
      </c>
      <c r="K2133" s="437"/>
      <c r="L2133" s="438"/>
      <c r="M2133" s="182"/>
      <c r="N2133" s="183"/>
      <c r="O2133" s="184"/>
      <c r="P2133" s="185"/>
      <c r="Q2133" s="186"/>
      <c r="R2133" s="187"/>
      <c r="S2133" s="188"/>
      <c r="T2133" s="213">
        <f t="shared" si="1313"/>
        <v>43647</v>
      </c>
      <c r="U2133" s="214">
        <f t="shared" si="1314"/>
        <v>43677</v>
      </c>
      <c r="V2133" s="210">
        <f t="shared" si="1318"/>
        <v>0</v>
      </c>
      <c r="W2133" s="211"/>
      <c r="X2133" s="211">
        <f>IF(AND($V2133&gt;0,$I2133=1),IF($E2133=10,P2133/10,P2133/$V2133),0)</f>
        <v>0</v>
      </c>
      <c r="Y2133" s="212">
        <f>IF(AND($V2127&gt;0,$I2133&lt;&gt;1),Q2133/E2127*V2127,0)</f>
        <v>0</v>
      </c>
    </row>
    <row r="2134" spans="2:25" ht="16.5" hidden="1" thickTop="1" thickBot="1" x14ac:dyDescent="0.3">
      <c r="B2134" s="129">
        <f>B2132+1</f>
        <v>22</v>
      </c>
      <c r="C2134" s="130">
        <v>148</v>
      </c>
      <c r="D2134" s="196" t="str">
        <f t="shared" si="1308"/>
        <v>VII</v>
      </c>
      <c r="E2134" s="131"/>
      <c r="F2134" s="132"/>
      <c r="G2134" s="132"/>
      <c r="H2134" s="133"/>
      <c r="I2134" s="133"/>
      <c r="J2134" s="131"/>
      <c r="K2134" s="134"/>
      <c r="L2134" s="133"/>
      <c r="M2134" s="133"/>
      <c r="N2134" s="135"/>
      <c r="O2134" s="136"/>
      <c r="P2134" s="137"/>
      <c r="Q2134" s="138"/>
      <c r="R2134" s="139"/>
      <c r="S2134" s="140"/>
      <c r="T2134" s="203">
        <f t="shared" si="1313"/>
        <v>43647</v>
      </c>
      <c r="U2134" s="204">
        <f t="shared" si="1314"/>
        <v>43677</v>
      </c>
      <c r="V2134" s="207">
        <f>IF(G2134-F2134+1-IF(G2134-U2134&gt;0,G2134-U2134,0)-IF(T2134-F2134&gt;0,T2134-F2134,0)&gt;0,G2134-F2134+1-IF(G2134-U2134&gt;0,G2134-U2134,0)-IF(T2134-F2134&gt;0,T2134-F2134,0),0)</f>
        <v>0</v>
      </c>
      <c r="W2134" s="206" t="str">
        <f t="shared" ref="W2134:W2139" si="1319">IF(V2134&gt;0,H2134,"")</f>
        <v/>
      </c>
      <c r="X2134" s="206">
        <f t="shared" ref="X2134:X2139" si="1320">IF(AND($V2134&gt;0,$I2134=1),P2134/$E2134*$V2134,0)</f>
        <v>0</v>
      </c>
      <c r="Y2134" s="209">
        <f t="shared" ref="Y2134:Y2139" si="1321">IF(AND($V2134&gt;0,$I2134&lt;&gt;1),Q2134/$E2134*$V2134,0)</f>
        <v>0</v>
      </c>
    </row>
    <row r="2135" spans="2:25" ht="16.5" hidden="1" thickTop="1" thickBot="1" x14ac:dyDescent="0.3">
      <c r="B2135" s="60">
        <f>B2134</f>
        <v>22</v>
      </c>
      <c r="C2135" s="102">
        <v>149</v>
      </c>
      <c r="D2135" s="192" t="str">
        <f t="shared" si="1308"/>
        <v>VII</v>
      </c>
      <c r="E2135" s="62"/>
      <c r="F2135" s="105"/>
      <c r="G2135" s="105"/>
      <c r="H2135" s="61"/>
      <c r="I2135" s="61"/>
      <c r="J2135" s="62"/>
      <c r="K2135" s="63"/>
      <c r="L2135" s="61"/>
      <c r="M2135" s="61"/>
      <c r="N2135" s="111"/>
      <c r="O2135" s="112"/>
      <c r="P2135" s="113"/>
      <c r="Q2135" s="114"/>
      <c r="R2135" s="64"/>
      <c r="S2135" s="108"/>
      <c r="T2135" s="203">
        <f t="shared" si="1313"/>
        <v>43647</v>
      </c>
      <c r="U2135" s="204">
        <f t="shared" si="1314"/>
        <v>43677</v>
      </c>
      <c r="V2135" s="207">
        <f t="shared" ref="V2135:V2140" si="1322">IF(G2135-F2135+1-IF(G2135-U2135&gt;0,G2135-U2135,0)-IF(T2135-F2135&gt;0,T2135-F2135,0)&gt;0,G2135-F2135+1-IF(G2135-U2135&gt;0,G2135-U2135,0)-IF(T2135-F2135&gt;0,T2135-F2135,0),0)</f>
        <v>0</v>
      </c>
      <c r="W2135" s="206" t="str">
        <f t="shared" si="1319"/>
        <v/>
      </c>
      <c r="X2135" s="206">
        <f t="shared" si="1320"/>
        <v>0</v>
      </c>
      <c r="Y2135" s="209">
        <f t="shared" si="1321"/>
        <v>0</v>
      </c>
    </row>
    <row r="2136" spans="2:25" ht="16.5" hidden="1" thickTop="1" thickBot="1" x14ac:dyDescent="0.3">
      <c r="B2136" s="60">
        <f>B2134</f>
        <v>22</v>
      </c>
      <c r="C2136" s="102">
        <v>150</v>
      </c>
      <c r="D2136" s="192" t="str">
        <f t="shared" si="1308"/>
        <v>VII</v>
      </c>
      <c r="E2136" s="62"/>
      <c r="F2136" s="105"/>
      <c r="G2136" s="105"/>
      <c r="H2136" s="61"/>
      <c r="I2136" s="61"/>
      <c r="J2136" s="62"/>
      <c r="K2136" s="63"/>
      <c r="L2136" s="61"/>
      <c r="M2136" s="61"/>
      <c r="N2136" s="111"/>
      <c r="O2136" s="112"/>
      <c r="P2136" s="113"/>
      <c r="Q2136" s="114"/>
      <c r="R2136" s="64"/>
      <c r="S2136" s="108"/>
      <c r="T2136" s="203">
        <f t="shared" si="1313"/>
        <v>43647</v>
      </c>
      <c r="U2136" s="204">
        <f t="shared" si="1314"/>
        <v>43677</v>
      </c>
      <c r="V2136" s="207">
        <f t="shared" si="1322"/>
        <v>0</v>
      </c>
      <c r="W2136" s="206" t="str">
        <f t="shared" si="1319"/>
        <v/>
      </c>
      <c r="X2136" s="206">
        <f t="shared" si="1320"/>
        <v>0</v>
      </c>
      <c r="Y2136" s="209">
        <f t="shared" si="1321"/>
        <v>0</v>
      </c>
    </row>
    <row r="2137" spans="2:25" ht="16.5" hidden="1" thickTop="1" thickBot="1" x14ac:dyDescent="0.3">
      <c r="B2137" s="60">
        <f>B2134</f>
        <v>22</v>
      </c>
      <c r="C2137" s="102">
        <v>151</v>
      </c>
      <c r="D2137" s="192" t="str">
        <f t="shared" si="1308"/>
        <v>VII</v>
      </c>
      <c r="E2137" s="62"/>
      <c r="F2137" s="105"/>
      <c r="G2137" s="105"/>
      <c r="H2137" s="61"/>
      <c r="I2137" s="61"/>
      <c r="J2137" s="62"/>
      <c r="K2137" s="63"/>
      <c r="L2137" s="61"/>
      <c r="M2137" s="61"/>
      <c r="N2137" s="111"/>
      <c r="O2137" s="112"/>
      <c r="P2137" s="113"/>
      <c r="Q2137" s="114"/>
      <c r="R2137" s="64"/>
      <c r="S2137" s="108"/>
      <c r="T2137" s="203">
        <f t="shared" si="1313"/>
        <v>43647</v>
      </c>
      <c r="U2137" s="204">
        <f t="shared" si="1314"/>
        <v>43677</v>
      </c>
      <c r="V2137" s="207">
        <f t="shared" si="1322"/>
        <v>0</v>
      </c>
      <c r="W2137" s="206" t="str">
        <f t="shared" si="1319"/>
        <v/>
      </c>
      <c r="X2137" s="206">
        <f t="shared" si="1320"/>
        <v>0</v>
      </c>
      <c r="Y2137" s="209">
        <f t="shared" si="1321"/>
        <v>0</v>
      </c>
    </row>
    <row r="2138" spans="2:25" ht="16.5" hidden="1" thickTop="1" thickBot="1" x14ac:dyDescent="0.3">
      <c r="B2138" s="60">
        <f>B2134</f>
        <v>22</v>
      </c>
      <c r="C2138" s="102">
        <v>152</v>
      </c>
      <c r="D2138" s="192" t="str">
        <f t="shared" si="1308"/>
        <v>VII</v>
      </c>
      <c r="E2138" s="62"/>
      <c r="F2138" s="105"/>
      <c r="G2138" s="105"/>
      <c r="H2138" s="61"/>
      <c r="I2138" s="61"/>
      <c r="J2138" s="62"/>
      <c r="K2138" s="63"/>
      <c r="L2138" s="61"/>
      <c r="M2138" s="61"/>
      <c r="N2138" s="111"/>
      <c r="O2138" s="112"/>
      <c r="P2138" s="113"/>
      <c r="Q2138" s="114"/>
      <c r="R2138" s="64"/>
      <c r="S2138" s="108"/>
      <c r="T2138" s="203">
        <f t="shared" si="1313"/>
        <v>43647</v>
      </c>
      <c r="U2138" s="204">
        <f t="shared" si="1314"/>
        <v>43677</v>
      </c>
      <c r="V2138" s="207">
        <f t="shared" si="1322"/>
        <v>0</v>
      </c>
      <c r="W2138" s="206" t="str">
        <f t="shared" si="1319"/>
        <v/>
      </c>
      <c r="X2138" s="206">
        <f t="shared" si="1320"/>
        <v>0</v>
      </c>
      <c r="Y2138" s="209">
        <f t="shared" si="1321"/>
        <v>0</v>
      </c>
    </row>
    <row r="2139" spans="2:25" ht="16.5" hidden="1" thickTop="1" thickBot="1" x14ac:dyDescent="0.3">
      <c r="B2139" s="60">
        <f>B2134</f>
        <v>22</v>
      </c>
      <c r="C2139" s="102">
        <v>153</v>
      </c>
      <c r="D2139" s="192" t="str">
        <f t="shared" si="1308"/>
        <v>VII</v>
      </c>
      <c r="E2139" s="62"/>
      <c r="F2139" s="105"/>
      <c r="G2139" s="105"/>
      <c r="H2139" s="61"/>
      <c r="I2139" s="61"/>
      <c r="J2139" s="62"/>
      <c r="K2139" s="63"/>
      <c r="L2139" s="61"/>
      <c r="M2139" s="61"/>
      <c r="N2139" s="111"/>
      <c r="O2139" s="112"/>
      <c r="P2139" s="113"/>
      <c r="Q2139" s="114"/>
      <c r="R2139" s="64"/>
      <c r="S2139" s="108"/>
      <c r="T2139" s="203">
        <f t="shared" si="1313"/>
        <v>43647</v>
      </c>
      <c r="U2139" s="204">
        <f t="shared" si="1314"/>
        <v>43677</v>
      </c>
      <c r="V2139" s="207">
        <f t="shared" si="1322"/>
        <v>0</v>
      </c>
      <c r="W2139" s="206" t="str">
        <f t="shared" si="1319"/>
        <v/>
      </c>
      <c r="X2139" s="206">
        <f t="shared" si="1320"/>
        <v>0</v>
      </c>
      <c r="Y2139" s="209">
        <f t="shared" si="1321"/>
        <v>0</v>
      </c>
    </row>
    <row r="2140" spans="2:25" ht="16.5" hidden="1" thickTop="1" thickBot="1" x14ac:dyDescent="0.3">
      <c r="B2140" s="141">
        <f>B2134</f>
        <v>22</v>
      </c>
      <c r="C2140" s="142">
        <v>154</v>
      </c>
      <c r="D2140" s="194" t="str">
        <f t="shared" si="1308"/>
        <v>VII</v>
      </c>
      <c r="E2140" s="143"/>
      <c r="F2140" s="144"/>
      <c r="G2140" s="144"/>
      <c r="H2140" s="145"/>
      <c r="I2140" s="145"/>
      <c r="J2140" s="436" t="s">
        <v>181</v>
      </c>
      <c r="K2140" s="437"/>
      <c r="L2140" s="438"/>
      <c r="M2140" s="145"/>
      <c r="N2140" s="146"/>
      <c r="O2140" s="147"/>
      <c r="P2140" s="148"/>
      <c r="Q2140" s="149"/>
      <c r="R2140" s="150"/>
      <c r="S2140" s="151"/>
      <c r="T2140" s="213">
        <f t="shared" si="1313"/>
        <v>43647</v>
      </c>
      <c r="U2140" s="214">
        <f t="shared" si="1314"/>
        <v>43677</v>
      </c>
      <c r="V2140" s="210">
        <f t="shared" si="1322"/>
        <v>0</v>
      </c>
      <c r="W2140" s="211"/>
      <c r="X2140" s="211">
        <f>IF(AND($V2140&gt;0,$I2140=1),IF($E2140=10,P2140/10,P2140/$V2140),0)</f>
        <v>0</v>
      </c>
      <c r="Y2140" s="212">
        <f>IF(AND($V2134&gt;0,$I2140&lt;&gt;1),Q2140/E2134*V2134,0)</f>
        <v>0</v>
      </c>
    </row>
    <row r="2141" spans="2:25" ht="16.5" hidden="1" thickTop="1" thickBot="1" x14ac:dyDescent="0.3">
      <c r="B2141" s="129">
        <f>B2139+1</f>
        <v>23</v>
      </c>
      <c r="C2141" s="130">
        <v>155</v>
      </c>
      <c r="D2141" s="196" t="str">
        <f t="shared" si="1308"/>
        <v>VII</v>
      </c>
      <c r="E2141" s="152"/>
      <c r="F2141" s="153"/>
      <c r="G2141" s="153"/>
      <c r="H2141" s="154"/>
      <c r="I2141" s="154"/>
      <c r="J2141" s="152"/>
      <c r="K2141" s="155"/>
      <c r="L2141" s="154"/>
      <c r="M2141" s="154"/>
      <c r="N2141" s="156"/>
      <c r="O2141" s="157"/>
      <c r="P2141" s="158"/>
      <c r="Q2141" s="159"/>
      <c r="R2141" s="160"/>
      <c r="S2141" s="161"/>
      <c r="T2141" s="203">
        <f t="shared" si="1313"/>
        <v>43647</v>
      </c>
      <c r="U2141" s="204">
        <f t="shared" si="1314"/>
        <v>43677</v>
      </c>
      <c r="V2141" s="207">
        <f>IF(G2141-F2141+1-IF(G2141-U2141&gt;0,G2141-U2141,0)-IF(T2141-F2141&gt;0,T2141-F2141,0)&gt;0,G2141-F2141+1-IF(G2141-U2141&gt;0,G2141-U2141,0)-IF(T2141-F2141&gt;0,T2141-F2141,0),0)</f>
        <v>0</v>
      </c>
      <c r="W2141" s="206" t="str">
        <f t="shared" ref="W2141:W2146" si="1323">IF(V2141&gt;0,H2141,"")</f>
        <v/>
      </c>
      <c r="X2141" s="206">
        <f t="shared" ref="X2141:X2146" si="1324">IF(AND($V2141&gt;0,$I2141=1),P2141/$E2141*$V2141,0)</f>
        <v>0</v>
      </c>
      <c r="Y2141" s="209">
        <f t="shared" ref="Y2141:Y2146" si="1325">IF(AND($V2141&gt;0,$I2141&lt;&gt;1),Q2141/$E2141*$V2141,0)</f>
        <v>0</v>
      </c>
    </row>
    <row r="2142" spans="2:25" ht="16.5" hidden="1" thickTop="1" thickBot="1" x14ac:dyDescent="0.3">
      <c r="B2142" s="60">
        <f>B2141</f>
        <v>23</v>
      </c>
      <c r="C2142" s="102">
        <v>156</v>
      </c>
      <c r="D2142" s="192" t="str">
        <f t="shared" si="1308"/>
        <v>VII</v>
      </c>
      <c r="E2142" s="162"/>
      <c r="F2142" s="163"/>
      <c r="G2142" s="163"/>
      <c r="H2142" s="164"/>
      <c r="I2142" s="164"/>
      <c r="J2142" s="162"/>
      <c r="K2142" s="165"/>
      <c r="L2142" s="164"/>
      <c r="M2142" s="164"/>
      <c r="N2142" s="166"/>
      <c r="O2142" s="167"/>
      <c r="P2142" s="168"/>
      <c r="Q2142" s="169"/>
      <c r="R2142" s="170"/>
      <c r="S2142" s="171"/>
      <c r="T2142" s="203">
        <f t="shared" si="1313"/>
        <v>43647</v>
      </c>
      <c r="U2142" s="204">
        <f t="shared" si="1314"/>
        <v>43677</v>
      </c>
      <c r="V2142" s="207">
        <f t="shared" ref="V2142:V2147" si="1326">IF(G2142-F2142+1-IF(G2142-U2142&gt;0,G2142-U2142,0)-IF(T2142-F2142&gt;0,T2142-F2142,0)&gt;0,G2142-F2142+1-IF(G2142-U2142&gt;0,G2142-U2142,0)-IF(T2142-F2142&gt;0,T2142-F2142,0),0)</f>
        <v>0</v>
      </c>
      <c r="W2142" s="206" t="str">
        <f t="shared" si="1323"/>
        <v/>
      </c>
      <c r="X2142" s="206">
        <f t="shared" si="1324"/>
        <v>0</v>
      </c>
      <c r="Y2142" s="209">
        <f t="shared" si="1325"/>
        <v>0</v>
      </c>
    </row>
    <row r="2143" spans="2:25" ht="16.5" hidden="1" thickTop="1" thickBot="1" x14ac:dyDescent="0.3">
      <c r="B2143" s="60">
        <f>B2141</f>
        <v>23</v>
      </c>
      <c r="C2143" s="102">
        <v>157</v>
      </c>
      <c r="D2143" s="192" t="str">
        <f t="shared" si="1308"/>
        <v>VII</v>
      </c>
      <c r="E2143" s="162"/>
      <c r="F2143" s="163"/>
      <c r="G2143" s="163"/>
      <c r="H2143" s="164"/>
      <c r="I2143" s="164"/>
      <c r="J2143" s="162"/>
      <c r="K2143" s="165"/>
      <c r="L2143" s="164"/>
      <c r="M2143" s="164"/>
      <c r="N2143" s="166"/>
      <c r="O2143" s="167"/>
      <c r="P2143" s="168"/>
      <c r="Q2143" s="169"/>
      <c r="R2143" s="170"/>
      <c r="S2143" s="171"/>
      <c r="T2143" s="203">
        <f t="shared" si="1313"/>
        <v>43647</v>
      </c>
      <c r="U2143" s="204">
        <f t="shared" si="1314"/>
        <v>43677</v>
      </c>
      <c r="V2143" s="207">
        <f t="shared" si="1326"/>
        <v>0</v>
      </c>
      <c r="W2143" s="206" t="str">
        <f t="shared" si="1323"/>
        <v/>
      </c>
      <c r="X2143" s="206">
        <f t="shared" si="1324"/>
        <v>0</v>
      </c>
      <c r="Y2143" s="209">
        <f t="shared" si="1325"/>
        <v>0</v>
      </c>
    </row>
    <row r="2144" spans="2:25" ht="16.5" hidden="1" thickTop="1" thickBot="1" x14ac:dyDescent="0.3">
      <c r="B2144" s="60">
        <f>B2141</f>
        <v>23</v>
      </c>
      <c r="C2144" s="102">
        <v>158</v>
      </c>
      <c r="D2144" s="192" t="str">
        <f t="shared" si="1308"/>
        <v>VII</v>
      </c>
      <c r="E2144" s="162"/>
      <c r="F2144" s="163"/>
      <c r="G2144" s="163"/>
      <c r="H2144" s="164"/>
      <c r="I2144" s="164"/>
      <c r="J2144" s="162"/>
      <c r="K2144" s="165"/>
      <c r="L2144" s="164"/>
      <c r="M2144" s="164"/>
      <c r="N2144" s="166"/>
      <c r="O2144" s="167"/>
      <c r="P2144" s="168"/>
      <c r="Q2144" s="169"/>
      <c r="R2144" s="170"/>
      <c r="S2144" s="171"/>
      <c r="T2144" s="203">
        <f t="shared" si="1313"/>
        <v>43647</v>
      </c>
      <c r="U2144" s="204">
        <f t="shared" si="1314"/>
        <v>43677</v>
      </c>
      <c r="V2144" s="207">
        <f t="shared" si="1326"/>
        <v>0</v>
      </c>
      <c r="W2144" s="206" t="str">
        <f t="shared" si="1323"/>
        <v/>
      </c>
      <c r="X2144" s="206">
        <f t="shared" si="1324"/>
        <v>0</v>
      </c>
      <c r="Y2144" s="209">
        <f t="shared" si="1325"/>
        <v>0</v>
      </c>
    </row>
    <row r="2145" spans="2:25" ht="16.5" hidden="1" thickTop="1" thickBot="1" x14ac:dyDescent="0.3">
      <c r="B2145" s="60">
        <f>B2141</f>
        <v>23</v>
      </c>
      <c r="C2145" s="102">
        <v>159</v>
      </c>
      <c r="D2145" s="192" t="str">
        <f t="shared" si="1308"/>
        <v>VII</v>
      </c>
      <c r="E2145" s="162"/>
      <c r="F2145" s="163"/>
      <c r="G2145" s="163"/>
      <c r="H2145" s="164"/>
      <c r="I2145" s="164"/>
      <c r="J2145" s="162"/>
      <c r="K2145" s="165"/>
      <c r="L2145" s="164"/>
      <c r="M2145" s="164"/>
      <c r="N2145" s="166"/>
      <c r="O2145" s="167"/>
      <c r="P2145" s="168"/>
      <c r="Q2145" s="169"/>
      <c r="R2145" s="170"/>
      <c r="S2145" s="171"/>
      <c r="T2145" s="203">
        <f t="shared" si="1313"/>
        <v>43647</v>
      </c>
      <c r="U2145" s="204">
        <f t="shared" si="1314"/>
        <v>43677</v>
      </c>
      <c r="V2145" s="207">
        <f t="shared" si="1326"/>
        <v>0</v>
      </c>
      <c r="W2145" s="206" t="str">
        <f t="shared" si="1323"/>
        <v/>
      </c>
      <c r="X2145" s="206">
        <f t="shared" si="1324"/>
        <v>0</v>
      </c>
      <c r="Y2145" s="209">
        <f t="shared" si="1325"/>
        <v>0</v>
      </c>
    </row>
    <row r="2146" spans="2:25" ht="16.5" hidden="1" thickTop="1" thickBot="1" x14ac:dyDescent="0.3">
      <c r="B2146" s="60">
        <f>B2141</f>
        <v>23</v>
      </c>
      <c r="C2146" s="102">
        <v>160</v>
      </c>
      <c r="D2146" s="192" t="str">
        <f t="shared" si="1308"/>
        <v>VII</v>
      </c>
      <c r="E2146" s="172"/>
      <c r="F2146" s="173"/>
      <c r="G2146" s="173"/>
      <c r="H2146" s="174"/>
      <c r="I2146" s="174"/>
      <c r="J2146" s="172"/>
      <c r="K2146" s="175"/>
      <c r="L2146" s="174"/>
      <c r="M2146" s="174"/>
      <c r="N2146" s="176"/>
      <c r="O2146" s="177"/>
      <c r="P2146" s="178"/>
      <c r="Q2146" s="179"/>
      <c r="R2146" s="180"/>
      <c r="S2146" s="181"/>
      <c r="T2146" s="203">
        <f t="shared" si="1313"/>
        <v>43647</v>
      </c>
      <c r="U2146" s="204">
        <f t="shared" si="1314"/>
        <v>43677</v>
      </c>
      <c r="V2146" s="207">
        <f t="shared" si="1326"/>
        <v>0</v>
      </c>
      <c r="W2146" s="206" t="str">
        <f t="shared" si="1323"/>
        <v/>
      </c>
      <c r="X2146" s="206">
        <f t="shared" si="1324"/>
        <v>0</v>
      </c>
      <c r="Y2146" s="209">
        <f t="shared" si="1325"/>
        <v>0</v>
      </c>
    </row>
    <row r="2147" spans="2:25" ht="16.5" hidden="1" thickTop="1" thickBot="1" x14ac:dyDescent="0.3">
      <c r="B2147" s="141">
        <f>B2141</f>
        <v>23</v>
      </c>
      <c r="C2147" s="142">
        <v>161</v>
      </c>
      <c r="D2147" s="194" t="str">
        <f t="shared" si="1308"/>
        <v>VII</v>
      </c>
      <c r="E2147" s="189"/>
      <c r="F2147" s="190"/>
      <c r="G2147" s="190"/>
      <c r="H2147" s="182"/>
      <c r="I2147" s="182"/>
      <c r="J2147" s="436" t="s">
        <v>181</v>
      </c>
      <c r="K2147" s="437"/>
      <c r="L2147" s="438"/>
      <c r="M2147" s="182"/>
      <c r="N2147" s="183"/>
      <c r="O2147" s="184"/>
      <c r="P2147" s="185"/>
      <c r="Q2147" s="186"/>
      <c r="R2147" s="187"/>
      <c r="S2147" s="188"/>
      <c r="T2147" s="213">
        <f t="shared" si="1313"/>
        <v>43647</v>
      </c>
      <c r="U2147" s="214">
        <f t="shared" si="1314"/>
        <v>43677</v>
      </c>
      <c r="V2147" s="210">
        <f t="shared" si="1326"/>
        <v>0</v>
      </c>
      <c r="W2147" s="211"/>
      <c r="X2147" s="211">
        <f>IF(AND($V2147&gt;0,$I2147=1),IF($E2147=10,P2147/10,P2147/$V2147),0)</f>
        <v>0</v>
      </c>
      <c r="Y2147" s="212">
        <f>IF(AND($V2141&gt;0,$I2147&lt;&gt;1),Q2147/E2141*V2141,0)</f>
        <v>0</v>
      </c>
    </row>
    <row r="2148" spans="2:25" ht="16.5" hidden="1" thickTop="1" thickBot="1" x14ac:dyDescent="0.3">
      <c r="B2148" s="129">
        <f>B2146+1</f>
        <v>24</v>
      </c>
      <c r="C2148" s="130">
        <v>162</v>
      </c>
      <c r="D2148" s="196" t="str">
        <f t="shared" si="1308"/>
        <v>VII</v>
      </c>
      <c r="E2148" s="131"/>
      <c r="F2148" s="132"/>
      <c r="G2148" s="132"/>
      <c r="H2148" s="133"/>
      <c r="I2148" s="133"/>
      <c r="J2148" s="131"/>
      <c r="K2148" s="134"/>
      <c r="L2148" s="133"/>
      <c r="M2148" s="133"/>
      <c r="N2148" s="135"/>
      <c r="O2148" s="136"/>
      <c r="P2148" s="137"/>
      <c r="Q2148" s="138"/>
      <c r="R2148" s="139"/>
      <c r="S2148" s="140"/>
      <c r="T2148" s="203">
        <f t="shared" si="1313"/>
        <v>43647</v>
      </c>
      <c r="U2148" s="204">
        <f t="shared" si="1314"/>
        <v>43677</v>
      </c>
      <c r="V2148" s="207">
        <f>IF(G2148-F2148+1-IF(G2148-U2148&gt;0,G2148-U2148,0)-IF(T2148-F2148&gt;0,T2148-F2148,0)&gt;0,G2148-F2148+1-IF(G2148-U2148&gt;0,G2148-U2148,0)-IF(T2148-F2148&gt;0,T2148-F2148,0),0)</f>
        <v>0</v>
      </c>
      <c r="W2148" s="206" t="str">
        <f t="shared" ref="W2148:W2153" si="1327">IF(V2148&gt;0,H2148,"")</f>
        <v/>
      </c>
      <c r="X2148" s="206">
        <f t="shared" ref="X2148:X2153" si="1328">IF(AND($V2148&gt;0,$I2148=1),P2148/$E2148*$V2148,0)</f>
        <v>0</v>
      </c>
      <c r="Y2148" s="209">
        <f t="shared" ref="Y2148:Y2153" si="1329">IF(AND($V2148&gt;0,$I2148&lt;&gt;1),Q2148/$E2148*$V2148,0)</f>
        <v>0</v>
      </c>
    </row>
    <row r="2149" spans="2:25" ht="16.5" hidden="1" thickTop="1" thickBot="1" x14ac:dyDescent="0.3">
      <c r="B2149" s="60">
        <f>B2148</f>
        <v>24</v>
      </c>
      <c r="C2149" s="102">
        <v>163</v>
      </c>
      <c r="D2149" s="192" t="str">
        <f t="shared" si="1308"/>
        <v>VII</v>
      </c>
      <c r="E2149" s="62"/>
      <c r="F2149" s="105"/>
      <c r="G2149" s="105"/>
      <c r="H2149" s="61"/>
      <c r="I2149" s="61"/>
      <c r="J2149" s="62"/>
      <c r="K2149" s="63"/>
      <c r="L2149" s="61"/>
      <c r="M2149" s="61"/>
      <c r="N2149" s="111"/>
      <c r="O2149" s="112"/>
      <c r="P2149" s="113"/>
      <c r="Q2149" s="114"/>
      <c r="R2149" s="64"/>
      <c r="S2149" s="108"/>
      <c r="T2149" s="203">
        <f t="shared" si="1313"/>
        <v>43647</v>
      </c>
      <c r="U2149" s="204">
        <f t="shared" si="1314"/>
        <v>43677</v>
      </c>
      <c r="V2149" s="207">
        <f t="shared" ref="V2149:V2154" si="1330">IF(G2149-F2149+1-IF(G2149-U2149&gt;0,G2149-U2149,0)-IF(T2149-F2149&gt;0,T2149-F2149,0)&gt;0,G2149-F2149+1-IF(G2149-U2149&gt;0,G2149-U2149,0)-IF(T2149-F2149&gt;0,T2149-F2149,0),0)</f>
        <v>0</v>
      </c>
      <c r="W2149" s="206" t="str">
        <f t="shared" si="1327"/>
        <v/>
      </c>
      <c r="X2149" s="206">
        <f t="shared" si="1328"/>
        <v>0</v>
      </c>
      <c r="Y2149" s="209">
        <f t="shared" si="1329"/>
        <v>0</v>
      </c>
    </row>
    <row r="2150" spans="2:25" ht="16.5" hidden="1" thickTop="1" thickBot="1" x14ac:dyDescent="0.3">
      <c r="B2150" s="60">
        <f>B2148</f>
        <v>24</v>
      </c>
      <c r="C2150" s="102">
        <v>164</v>
      </c>
      <c r="D2150" s="192" t="str">
        <f t="shared" si="1308"/>
        <v>VII</v>
      </c>
      <c r="E2150" s="62"/>
      <c r="F2150" s="105"/>
      <c r="G2150" s="105"/>
      <c r="H2150" s="61"/>
      <c r="I2150" s="61"/>
      <c r="J2150" s="62"/>
      <c r="K2150" s="63"/>
      <c r="L2150" s="61"/>
      <c r="M2150" s="61"/>
      <c r="N2150" s="111"/>
      <c r="O2150" s="112"/>
      <c r="P2150" s="113"/>
      <c r="Q2150" s="114"/>
      <c r="R2150" s="64"/>
      <c r="S2150" s="108"/>
      <c r="T2150" s="203">
        <f t="shared" si="1313"/>
        <v>43647</v>
      </c>
      <c r="U2150" s="204">
        <f t="shared" si="1314"/>
        <v>43677</v>
      </c>
      <c r="V2150" s="207">
        <f t="shared" si="1330"/>
        <v>0</v>
      </c>
      <c r="W2150" s="206" t="str">
        <f t="shared" si="1327"/>
        <v/>
      </c>
      <c r="X2150" s="206">
        <f t="shared" si="1328"/>
        <v>0</v>
      </c>
      <c r="Y2150" s="209">
        <f t="shared" si="1329"/>
        <v>0</v>
      </c>
    </row>
    <row r="2151" spans="2:25" ht="16.5" hidden="1" thickTop="1" thickBot="1" x14ac:dyDescent="0.3">
      <c r="B2151" s="60">
        <f>B2148</f>
        <v>24</v>
      </c>
      <c r="C2151" s="102">
        <v>165</v>
      </c>
      <c r="D2151" s="192" t="str">
        <f t="shared" si="1308"/>
        <v>VII</v>
      </c>
      <c r="E2151" s="62"/>
      <c r="F2151" s="105"/>
      <c r="G2151" s="105"/>
      <c r="H2151" s="61"/>
      <c r="I2151" s="61"/>
      <c r="J2151" s="62"/>
      <c r="K2151" s="63"/>
      <c r="L2151" s="61"/>
      <c r="M2151" s="61"/>
      <c r="N2151" s="111"/>
      <c r="O2151" s="112"/>
      <c r="P2151" s="113"/>
      <c r="Q2151" s="114"/>
      <c r="R2151" s="64"/>
      <c r="S2151" s="108"/>
      <c r="T2151" s="203">
        <f t="shared" si="1313"/>
        <v>43647</v>
      </c>
      <c r="U2151" s="204">
        <f t="shared" si="1314"/>
        <v>43677</v>
      </c>
      <c r="V2151" s="207">
        <f t="shared" si="1330"/>
        <v>0</v>
      </c>
      <c r="W2151" s="206" t="str">
        <f t="shared" si="1327"/>
        <v/>
      </c>
      <c r="X2151" s="206">
        <f t="shared" si="1328"/>
        <v>0</v>
      </c>
      <c r="Y2151" s="209">
        <f t="shared" si="1329"/>
        <v>0</v>
      </c>
    </row>
    <row r="2152" spans="2:25" ht="16.5" hidden="1" thickTop="1" thickBot="1" x14ac:dyDescent="0.3">
      <c r="B2152" s="60">
        <f>B2148</f>
        <v>24</v>
      </c>
      <c r="C2152" s="102">
        <v>166</v>
      </c>
      <c r="D2152" s="192" t="str">
        <f t="shared" si="1308"/>
        <v>VII</v>
      </c>
      <c r="E2152" s="62"/>
      <c r="F2152" s="105"/>
      <c r="G2152" s="105"/>
      <c r="H2152" s="61"/>
      <c r="I2152" s="61"/>
      <c r="J2152" s="62"/>
      <c r="K2152" s="63"/>
      <c r="L2152" s="61"/>
      <c r="M2152" s="61"/>
      <c r="N2152" s="111"/>
      <c r="O2152" s="112"/>
      <c r="P2152" s="113"/>
      <c r="Q2152" s="114"/>
      <c r="R2152" s="64"/>
      <c r="S2152" s="108"/>
      <c r="T2152" s="203">
        <f t="shared" si="1313"/>
        <v>43647</v>
      </c>
      <c r="U2152" s="204">
        <f t="shared" si="1314"/>
        <v>43677</v>
      </c>
      <c r="V2152" s="207">
        <f t="shared" si="1330"/>
        <v>0</v>
      </c>
      <c r="W2152" s="206" t="str">
        <f t="shared" si="1327"/>
        <v/>
      </c>
      <c r="X2152" s="206">
        <f t="shared" si="1328"/>
        <v>0</v>
      </c>
      <c r="Y2152" s="209">
        <f t="shared" si="1329"/>
        <v>0</v>
      </c>
    </row>
    <row r="2153" spans="2:25" ht="16.5" hidden="1" thickTop="1" thickBot="1" x14ac:dyDescent="0.3">
      <c r="B2153" s="60">
        <f>B2148</f>
        <v>24</v>
      </c>
      <c r="C2153" s="102">
        <v>167</v>
      </c>
      <c r="D2153" s="192" t="str">
        <f t="shared" si="1308"/>
        <v>VII</v>
      </c>
      <c r="E2153" s="62"/>
      <c r="F2153" s="105"/>
      <c r="G2153" s="105"/>
      <c r="H2153" s="61"/>
      <c r="I2153" s="61"/>
      <c r="J2153" s="62"/>
      <c r="K2153" s="63"/>
      <c r="L2153" s="61"/>
      <c r="M2153" s="61"/>
      <c r="N2153" s="111"/>
      <c r="O2153" s="112"/>
      <c r="P2153" s="113"/>
      <c r="Q2153" s="114"/>
      <c r="R2153" s="64"/>
      <c r="S2153" s="108"/>
      <c r="T2153" s="203">
        <f t="shared" si="1313"/>
        <v>43647</v>
      </c>
      <c r="U2153" s="204">
        <f t="shared" si="1314"/>
        <v>43677</v>
      </c>
      <c r="V2153" s="207">
        <f t="shared" si="1330"/>
        <v>0</v>
      </c>
      <c r="W2153" s="206" t="str">
        <f t="shared" si="1327"/>
        <v/>
      </c>
      <c r="X2153" s="206">
        <f t="shared" si="1328"/>
        <v>0</v>
      </c>
      <c r="Y2153" s="209">
        <f t="shared" si="1329"/>
        <v>0</v>
      </c>
    </row>
    <row r="2154" spans="2:25" ht="16.5" hidden="1" thickTop="1" thickBot="1" x14ac:dyDescent="0.3">
      <c r="B2154" s="141">
        <f>B2148</f>
        <v>24</v>
      </c>
      <c r="C2154" s="142">
        <v>168</v>
      </c>
      <c r="D2154" s="194" t="str">
        <f t="shared" si="1308"/>
        <v>VII</v>
      </c>
      <c r="E2154" s="143"/>
      <c r="F2154" s="144"/>
      <c r="G2154" s="144"/>
      <c r="H2154" s="145"/>
      <c r="I2154" s="145"/>
      <c r="J2154" s="436" t="s">
        <v>181</v>
      </c>
      <c r="K2154" s="437"/>
      <c r="L2154" s="438"/>
      <c r="M2154" s="145"/>
      <c r="N2154" s="146"/>
      <c r="O2154" s="147"/>
      <c r="P2154" s="148"/>
      <c r="Q2154" s="149"/>
      <c r="R2154" s="150"/>
      <c r="S2154" s="151"/>
      <c r="T2154" s="213">
        <f t="shared" si="1313"/>
        <v>43647</v>
      </c>
      <c r="U2154" s="214">
        <f t="shared" si="1314"/>
        <v>43677</v>
      </c>
      <c r="V2154" s="210">
        <f t="shared" si="1330"/>
        <v>0</v>
      </c>
      <c r="W2154" s="211"/>
      <c r="X2154" s="211">
        <f>IF(AND($V2154&gt;0,$I2154=1),IF($E2154=10,P2154/10,P2154/$V2154),0)</f>
        <v>0</v>
      </c>
      <c r="Y2154" s="212">
        <f>IF(AND($V2148&gt;0,$I2154&lt;&gt;1),Q2154/E2148*V2148,0)</f>
        <v>0</v>
      </c>
    </row>
    <row r="2155" spans="2:25" ht="16.5" hidden="1" thickTop="1" thickBot="1" x14ac:dyDescent="0.3">
      <c r="B2155" s="129">
        <f>B2153+1</f>
        <v>25</v>
      </c>
      <c r="C2155" s="130">
        <v>169</v>
      </c>
      <c r="D2155" s="196" t="str">
        <f t="shared" si="1308"/>
        <v>VII</v>
      </c>
      <c r="E2155" s="152"/>
      <c r="F2155" s="153"/>
      <c r="G2155" s="153"/>
      <c r="H2155" s="154"/>
      <c r="I2155" s="154"/>
      <c r="J2155" s="152"/>
      <c r="K2155" s="155"/>
      <c r="L2155" s="154"/>
      <c r="M2155" s="154"/>
      <c r="N2155" s="156"/>
      <c r="O2155" s="157"/>
      <c r="P2155" s="158"/>
      <c r="Q2155" s="159"/>
      <c r="R2155" s="160"/>
      <c r="S2155" s="161"/>
      <c r="T2155" s="203">
        <f t="shared" si="1313"/>
        <v>43647</v>
      </c>
      <c r="U2155" s="204">
        <f t="shared" si="1314"/>
        <v>43677</v>
      </c>
      <c r="V2155" s="207">
        <f>IF(G2155-F2155+1-IF(G2155-U2155&gt;0,G2155-U2155,0)-IF(T2155-F2155&gt;0,T2155-F2155,0)&gt;0,G2155-F2155+1-IF(G2155-U2155&gt;0,G2155-U2155,0)-IF(T2155-F2155&gt;0,T2155-F2155,0),0)</f>
        <v>0</v>
      </c>
      <c r="W2155" s="206" t="str">
        <f t="shared" ref="W2155:W2160" si="1331">IF(V2155&gt;0,H2155,"")</f>
        <v/>
      </c>
      <c r="X2155" s="206">
        <f t="shared" ref="X2155:X2160" si="1332">IF(AND($V2155&gt;0,$I2155=1),P2155/$E2155*$V2155,0)</f>
        <v>0</v>
      </c>
      <c r="Y2155" s="209">
        <f t="shared" ref="Y2155:Y2160" si="1333">IF(AND($V2155&gt;0,$I2155&lt;&gt;1),Q2155/$E2155*$V2155,0)</f>
        <v>0</v>
      </c>
    </row>
    <row r="2156" spans="2:25" ht="16.5" hidden="1" thickTop="1" thickBot="1" x14ac:dyDescent="0.3">
      <c r="B2156" s="60">
        <f>B2155</f>
        <v>25</v>
      </c>
      <c r="C2156" s="102">
        <v>170</v>
      </c>
      <c r="D2156" s="192" t="str">
        <f t="shared" si="1308"/>
        <v>VII</v>
      </c>
      <c r="E2156" s="162"/>
      <c r="F2156" s="163"/>
      <c r="G2156" s="163"/>
      <c r="H2156" s="164"/>
      <c r="I2156" s="164"/>
      <c r="J2156" s="162"/>
      <c r="K2156" s="165"/>
      <c r="L2156" s="164"/>
      <c r="M2156" s="164"/>
      <c r="N2156" s="166"/>
      <c r="O2156" s="167"/>
      <c r="P2156" s="168"/>
      <c r="Q2156" s="169"/>
      <c r="R2156" s="170"/>
      <c r="S2156" s="171"/>
      <c r="T2156" s="203">
        <f t="shared" si="1313"/>
        <v>43647</v>
      </c>
      <c r="U2156" s="204">
        <f t="shared" si="1314"/>
        <v>43677</v>
      </c>
      <c r="V2156" s="207">
        <f t="shared" ref="V2156:V2161" si="1334">IF(G2156-F2156+1-IF(G2156-U2156&gt;0,G2156-U2156,0)-IF(T2156-F2156&gt;0,T2156-F2156,0)&gt;0,G2156-F2156+1-IF(G2156-U2156&gt;0,G2156-U2156,0)-IF(T2156-F2156&gt;0,T2156-F2156,0),0)</f>
        <v>0</v>
      </c>
      <c r="W2156" s="206" t="str">
        <f t="shared" si="1331"/>
        <v/>
      </c>
      <c r="X2156" s="206">
        <f t="shared" si="1332"/>
        <v>0</v>
      </c>
      <c r="Y2156" s="209">
        <f t="shared" si="1333"/>
        <v>0</v>
      </c>
    </row>
    <row r="2157" spans="2:25" ht="16.5" hidden="1" thickTop="1" thickBot="1" x14ac:dyDescent="0.3">
      <c r="B2157" s="60">
        <f>B2155</f>
        <v>25</v>
      </c>
      <c r="C2157" s="102">
        <v>171</v>
      </c>
      <c r="D2157" s="192" t="str">
        <f t="shared" si="1308"/>
        <v>VII</v>
      </c>
      <c r="E2157" s="162"/>
      <c r="F2157" s="163"/>
      <c r="G2157" s="163"/>
      <c r="H2157" s="164"/>
      <c r="I2157" s="164"/>
      <c r="J2157" s="162"/>
      <c r="K2157" s="165"/>
      <c r="L2157" s="164"/>
      <c r="M2157" s="164"/>
      <c r="N2157" s="166"/>
      <c r="O2157" s="167"/>
      <c r="P2157" s="168"/>
      <c r="Q2157" s="169"/>
      <c r="R2157" s="170"/>
      <c r="S2157" s="171"/>
      <c r="T2157" s="203">
        <f t="shared" si="1313"/>
        <v>43647</v>
      </c>
      <c r="U2157" s="204">
        <f t="shared" si="1314"/>
        <v>43677</v>
      </c>
      <c r="V2157" s="207">
        <f t="shared" si="1334"/>
        <v>0</v>
      </c>
      <c r="W2157" s="206" t="str">
        <f t="shared" si="1331"/>
        <v/>
      </c>
      <c r="X2157" s="206">
        <f t="shared" si="1332"/>
        <v>0</v>
      </c>
      <c r="Y2157" s="209">
        <f t="shared" si="1333"/>
        <v>0</v>
      </c>
    </row>
    <row r="2158" spans="2:25" ht="16.5" hidden="1" thickTop="1" thickBot="1" x14ac:dyDescent="0.3">
      <c r="B2158" s="60">
        <f>B2155</f>
        <v>25</v>
      </c>
      <c r="C2158" s="102">
        <v>172</v>
      </c>
      <c r="D2158" s="192" t="str">
        <f t="shared" si="1308"/>
        <v>VII</v>
      </c>
      <c r="E2158" s="162"/>
      <c r="F2158" s="163"/>
      <c r="G2158" s="163"/>
      <c r="H2158" s="164"/>
      <c r="I2158" s="164"/>
      <c r="J2158" s="162"/>
      <c r="K2158" s="165"/>
      <c r="L2158" s="164"/>
      <c r="M2158" s="164"/>
      <c r="N2158" s="166"/>
      <c r="O2158" s="167"/>
      <c r="P2158" s="168"/>
      <c r="Q2158" s="169"/>
      <c r="R2158" s="170"/>
      <c r="S2158" s="171"/>
      <c r="T2158" s="203">
        <f t="shared" si="1313"/>
        <v>43647</v>
      </c>
      <c r="U2158" s="204">
        <f t="shared" si="1314"/>
        <v>43677</v>
      </c>
      <c r="V2158" s="207">
        <f t="shared" si="1334"/>
        <v>0</v>
      </c>
      <c r="W2158" s="206" t="str">
        <f t="shared" si="1331"/>
        <v/>
      </c>
      <c r="X2158" s="206">
        <f t="shared" si="1332"/>
        <v>0</v>
      </c>
      <c r="Y2158" s="209">
        <f t="shared" si="1333"/>
        <v>0</v>
      </c>
    </row>
    <row r="2159" spans="2:25" ht="16.5" hidden="1" thickTop="1" thickBot="1" x14ac:dyDescent="0.3">
      <c r="B2159" s="60">
        <f>B2155</f>
        <v>25</v>
      </c>
      <c r="C2159" s="102">
        <v>173</v>
      </c>
      <c r="D2159" s="192" t="str">
        <f t="shared" si="1308"/>
        <v>VII</v>
      </c>
      <c r="E2159" s="162"/>
      <c r="F2159" s="163"/>
      <c r="G2159" s="163"/>
      <c r="H2159" s="164"/>
      <c r="I2159" s="164"/>
      <c r="J2159" s="162"/>
      <c r="K2159" s="165"/>
      <c r="L2159" s="164"/>
      <c r="M2159" s="164"/>
      <c r="N2159" s="166"/>
      <c r="O2159" s="167"/>
      <c r="P2159" s="168"/>
      <c r="Q2159" s="169"/>
      <c r="R2159" s="170"/>
      <c r="S2159" s="171"/>
      <c r="T2159" s="203">
        <f t="shared" si="1313"/>
        <v>43647</v>
      </c>
      <c r="U2159" s="204">
        <f t="shared" si="1314"/>
        <v>43677</v>
      </c>
      <c r="V2159" s="207">
        <f t="shared" si="1334"/>
        <v>0</v>
      </c>
      <c r="W2159" s="206" t="str">
        <f t="shared" si="1331"/>
        <v/>
      </c>
      <c r="X2159" s="206">
        <f t="shared" si="1332"/>
        <v>0</v>
      </c>
      <c r="Y2159" s="209">
        <f t="shared" si="1333"/>
        <v>0</v>
      </c>
    </row>
    <row r="2160" spans="2:25" ht="16.5" hidden="1" thickTop="1" thickBot="1" x14ac:dyDescent="0.3">
      <c r="B2160" s="60">
        <f>B2155</f>
        <v>25</v>
      </c>
      <c r="C2160" s="102">
        <v>174</v>
      </c>
      <c r="D2160" s="192" t="str">
        <f t="shared" si="1308"/>
        <v>VII</v>
      </c>
      <c r="E2160" s="172"/>
      <c r="F2160" s="173"/>
      <c r="G2160" s="173"/>
      <c r="H2160" s="174"/>
      <c r="I2160" s="174"/>
      <c r="J2160" s="172"/>
      <c r="K2160" s="175"/>
      <c r="L2160" s="174"/>
      <c r="M2160" s="174"/>
      <c r="N2160" s="176"/>
      <c r="O2160" s="177"/>
      <c r="P2160" s="178"/>
      <c r="Q2160" s="179"/>
      <c r="R2160" s="180"/>
      <c r="S2160" s="181"/>
      <c r="T2160" s="203">
        <f t="shared" si="1313"/>
        <v>43647</v>
      </c>
      <c r="U2160" s="204">
        <f t="shared" si="1314"/>
        <v>43677</v>
      </c>
      <c r="V2160" s="207">
        <f t="shared" si="1334"/>
        <v>0</v>
      </c>
      <c r="W2160" s="206" t="str">
        <f t="shared" si="1331"/>
        <v/>
      </c>
      <c r="X2160" s="206">
        <f t="shared" si="1332"/>
        <v>0</v>
      </c>
      <c r="Y2160" s="209">
        <f t="shared" si="1333"/>
        <v>0</v>
      </c>
    </row>
    <row r="2161" spans="2:25" ht="16.5" hidden="1" thickTop="1" thickBot="1" x14ac:dyDescent="0.3">
      <c r="B2161" s="141">
        <f>B2155</f>
        <v>25</v>
      </c>
      <c r="C2161" s="142">
        <v>175</v>
      </c>
      <c r="D2161" s="194" t="str">
        <f t="shared" si="1308"/>
        <v>VII</v>
      </c>
      <c r="E2161" s="189"/>
      <c r="F2161" s="190"/>
      <c r="G2161" s="190"/>
      <c r="H2161" s="182"/>
      <c r="I2161" s="182"/>
      <c r="J2161" s="436" t="s">
        <v>181</v>
      </c>
      <c r="K2161" s="437"/>
      <c r="L2161" s="438"/>
      <c r="M2161" s="182"/>
      <c r="N2161" s="183"/>
      <c r="O2161" s="184"/>
      <c r="P2161" s="185"/>
      <c r="Q2161" s="186"/>
      <c r="R2161" s="187"/>
      <c r="S2161" s="188"/>
      <c r="T2161" s="213">
        <f t="shared" si="1313"/>
        <v>43647</v>
      </c>
      <c r="U2161" s="214">
        <f t="shared" si="1314"/>
        <v>43677</v>
      </c>
      <c r="V2161" s="210">
        <f t="shared" si="1334"/>
        <v>0</v>
      </c>
      <c r="W2161" s="211"/>
      <c r="X2161" s="211">
        <f>IF(AND($V2161&gt;0,$I2161=1),IF($E2161=10,P2161/10,P2161/$V2161),0)</f>
        <v>0</v>
      </c>
      <c r="Y2161" s="212">
        <f>IF(AND($V2155&gt;0,$I2161&lt;&gt;1),Q2161/E2155*V2155,0)</f>
        <v>0</v>
      </c>
    </row>
    <row r="2162" spans="2:25" ht="16.5" hidden="1" thickTop="1" thickBot="1" x14ac:dyDescent="0.3">
      <c r="B2162" s="129">
        <f>B2160+1</f>
        <v>26</v>
      </c>
      <c r="C2162" s="130">
        <v>176</v>
      </c>
      <c r="D2162" s="196" t="str">
        <f t="shared" si="1308"/>
        <v>VII</v>
      </c>
      <c r="E2162" s="131"/>
      <c r="F2162" s="132"/>
      <c r="G2162" s="132"/>
      <c r="H2162" s="133"/>
      <c r="I2162" s="133"/>
      <c r="J2162" s="131"/>
      <c r="K2162" s="134"/>
      <c r="L2162" s="133"/>
      <c r="M2162" s="133"/>
      <c r="N2162" s="135"/>
      <c r="O2162" s="136"/>
      <c r="P2162" s="137"/>
      <c r="Q2162" s="138"/>
      <c r="R2162" s="139"/>
      <c r="S2162" s="140"/>
      <c r="T2162" s="203">
        <f t="shared" si="1313"/>
        <v>43647</v>
      </c>
      <c r="U2162" s="204">
        <f t="shared" si="1314"/>
        <v>43677</v>
      </c>
      <c r="V2162" s="207">
        <f>IF(G2162-F2162+1-IF(G2162-U2162&gt;0,G2162-U2162,0)-IF(T2162-F2162&gt;0,T2162-F2162,0)&gt;0,G2162-F2162+1-IF(G2162-U2162&gt;0,G2162-U2162,0)-IF(T2162-F2162&gt;0,T2162-F2162,0),0)</f>
        <v>0</v>
      </c>
      <c r="W2162" s="206" t="str">
        <f t="shared" ref="W2162:W2167" si="1335">IF(V2162&gt;0,H2162,"")</f>
        <v/>
      </c>
      <c r="X2162" s="206">
        <f t="shared" ref="X2162:X2167" si="1336">IF(AND($V2162&gt;0,$I2162=1),P2162/$E2162*$V2162,0)</f>
        <v>0</v>
      </c>
      <c r="Y2162" s="209">
        <f t="shared" ref="Y2162:Y2167" si="1337">IF(AND($V2162&gt;0,$I2162&lt;&gt;1),Q2162/$E2162*$V2162,0)</f>
        <v>0</v>
      </c>
    </row>
    <row r="2163" spans="2:25" ht="16.5" hidden="1" thickTop="1" thickBot="1" x14ac:dyDescent="0.3">
      <c r="B2163" s="60">
        <f>B2162</f>
        <v>26</v>
      </c>
      <c r="C2163" s="102">
        <v>177</v>
      </c>
      <c r="D2163" s="192" t="str">
        <f t="shared" si="1308"/>
        <v>VII</v>
      </c>
      <c r="E2163" s="62"/>
      <c r="F2163" s="105"/>
      <c r="G2163" s="105"/>
      <c r="H2163" s="61"/>
      <c r="I2163" s="61"/>
      <c r="J2163" s="62"/>
      <c r="K2163" s="63"/>
      <c r="L2163" s="61"/>
      <c r="M2163" s="61"/>
      <c r="N2163" s="111"/>
      <c r="O2163" s="112"/>
      <c r="P2163" s="113"/>
      <c r="Q2163" s="114"/>
      <c r="R2163" s="64"/>
      <c r="S2163" s="108"/>
      <c r="T2163" s="203">
        <f t="shared" si="1313"/>
        <v>43647</v>
      </c>
      <c r="U2163" s="204">
        <f t="shared" si="1314"/>
        <v>43677</v>
      </c>
      <c r="V2163" s="207">
        <f t="shared" ref="V2163:V2168" si="1338">IF(G2163-F2163+1-IF(G2163-U2163&gt;0,G2163-U2163,0)-IF(T2163-F2163&gt;0,T2163-F2163,0)&gt;0,G2163-F2163+1-IF(G2163-U2163&gt;0,G2163-U2163,0)-IF(T2163-F2163&gt;0,T2163-F2163,0),0)</f>
        <v>0</v>
      </c>
      <c r="W2163" s="206" t="str">
        <f t="shared" si="1335"/>
        <v/>
      </c>
      <c r="X2163" s="206">
        <f t="shared" si="1336"/>
        <v>0</v>
      </c>
      <c r="Y2163" s="209">
        <f t="shared" si="1337"/>
        <v>0</v>
      </c>
    </row>
    <row r="2164" spans="2:25" ht="16.5" hidden="1" thickTop="1" thickBot="1" x14ac:dyDescent="0.3">
      <c r="B2164" s="60">
        <f>B2162</f>
        <v>26</v>
      </c>
      <c r="C2164" s="102">
        <v>178</v>
      </c>
      <c r="D2164" s="192" t="str">
        <f t="shared" si="1308"/>
        <v>VII</v>
      </c>
      <c r="E2164" s="62"/>
      <c r="F2164" s="105"/>
      <c r="G2164" s="105"/>
      <c r="H2164" s="61"/>
      <c r="I2164" s="61"/>
      <c r="J2164" s="62"/>
      <c r="K2164" s="63"/>
      <c r="L2164" s="61"/>
      <c r="M2164" s="61"/>
      <c r="N2164" s="111"/>
      <c r="O2164" s="112"/>
      <c r="P2164" s="113"/>
      <c r="Q2164" s="114"/>
      <c r="R2164" s="64"/>
      <c r="S2164" s="108"/>
      <c r="T2164" s="203">
        <f t="shared" si="1313"/>
        <v>43647</v>
      </c>
      <c r="U2164" s="204">
        <f t="shared" si="1314"/>
        <v>43677</v>
      </c>
      <c r="V2164" s="207">
        <f t="shared" si="1338"/>
        <v>0</v>
      </c>
      <c r="W2164" s="206" t="str">
        <f t="shared" si="1335"/>
        <v/>
      </c>
      <c r="X2164" s="206">
        <f t="shared" si="1336"/>
        <v>0</v>
      </c>
      <c r="Y2164" s="209">
        <f t="shared" si="1337"/>
        <v>0</v>
      </c>
    </row>
    <row r="2165" spans="2:25" ht="16.5" hidden="1" thickTop="1" thickBot="1" x14ac:dyDescent="0.3">
      <c r="B2165" s="60">
        <f>B2162</f>
        <v>26</v>
      </c>
      <c r="C2165" s="102">
        <v>179</v>
      </c>
      <c r="D2165" s="192" t="str">
        <f t="shared" si="1308"/>
        <v>VII</v>
      </c>
      <c r="E2165" s="62"/>
      <c r="F2165" s="105"/>
      <c r="G2165" s="105"/>
      <c r="H2165" s="61"/>
      <c r="I2165" s="61"/>
      <c r="J2165" s="62"/>
      <c r="K2165" s="63"/>
      <c r="L2165" s="61"/>
      <c r="M2165" s="61"/>
      <c r="N2165" s="111"/>
      <c r="O2165" s="112"/>
      <c r="P2165" s="113"/>
      <c r="Q2165" s="114"/>
      <c r="R2165" s="64"/>
      <c r="S2165" s="108"/>
      <c r="T2165" s="203">
        <f t="shared" si="1313"/>
        <v>43647</v>
      </c>
      <c r="U2165" s="204">
        <f t="shared" si="1314"/>
        <v>43677</v>
      </c>
      <c r="V2165" s="207">
        <f t="shared" si="1338"/>
        <v>0</v>
      </c>
      <c r="W2165" s="206" t="str">
        <f t="shared" si="1335"/>
        <v/>
      </c>
      <c r="X2165" s="206">
        <f t="shared" si="1336"/>
        <v>0</v>
      </c>
      <c r="Y2165" s="209">
        <f t="shared" si="1337"/>
        <v>0</v>
      </c>
    </row>
    <row r="2166" spans="2:25" ht="16.5" hidden="1" thickTop="1" thickBot="1" x14ac:dyDescent="0.3">
      <c r="B2166" s="60">
        <f>B2162</f>
        <v>26</v>
      </c>
      <c r="C2166" s="102">
        <v>180</v>
      </c>
      <c r="D2166" s="192" t="str">
        <f t="shared" si="1308"/>
        <v>VII</v>
      </c>
      <c r="E2166" s="62"/>
      <c r="F2166" s="105"/>
      <c r="G2166" s="105"/>
      <c r="H2166" s="61"/>
      <c r="I2166" s="61"/>
      <c r="J2166" s="62"/>
      <c r="K2166" s="63"/>
      <c r="L2166" s="61"/>
      <c r="M2166" s="61"/>
      <c r="N2166" s="111"/>
      <c r="O2166" s="112"/>
      <c r="P2166" s="113"/>
      <c r="Q2166" s="114"/>
      <c r="R2166" s="64"/>
      <c r="S2166" s="108"/>
      <c r="T2166" s="203">
        <f t="shared" si="1313"/>
        <v>43647</v>
      </c>
      <c r="U2166" s="204">
        <f t="shared" si="1314"/>
        <v>43677</v>
      </c>
      <c r="V2166" s="207">
        <f t="shared" si="1338"/>
        <v>0</v>
      </c>
      <c r="W2166" s="206" t="str">
        <f t="shared" si="1335"/>
        <v/>
      </c>
      <c r="X2166" s="206">
        <f t="shared" si="1336"/>
        <v>0</v>
      </c>
      <c r="Y2166" s="209">
        <f t="shared" si="1337"/>
        <v>0</v>
      </c>
    </row>
    <row r="2167" spans="2:25" ht="16.5" hidden="1" thickTop="1" thickBot="1" x14ac:dyDescent="0.3">
      <c r="B2167" s="60">
        <f>B2162</f>
        <v>26</v>
      </c>
      <c r="C2167" s="102">
        <v>181</v>
      </c>
      <c r="D2167" s="192" t="str">
        <f t="shared" si="1308"/>
        <v>VII</v>
      </c>
      <c r="E2167" s="62"/>
      <c r="F2167" s="105"/>
      <c r="G2167" s="105"/>
      <c r="H2167" s="61"/>
      <c r="I2167" s="61"/>
      <c r="J2167" s="62"/>
      <c r="K2167" s="63"/>
      <c r="L2167" s="61"/>
      <c r="M2167" s="61"/>
      <c r="N2167" s="111"/>
      <c r="O2167" s="112"/>
      <c r="P2167" s="113"/>
      <c r="Q2167" s="114"/>
      <c r="R2167" s="64"/>
      <c r="S2167" s="108"/>
      <c r="T2167" s="203">
        <f t="shared" si="1313"/>
        <v>43647</v>
      </c>
      <c r="U2167" s="204">
        <f t="shared" si="1314"/>
        <v>43677</v>
      </c>
      <c r="V2167" s="207">
        <f t="shared" si="1338"/>
        <v>0</v>
      </c>
      <c r="W2167" s="206" t="str">
        <f t="shared" si="1335"/>
        <v/>
      </c>
      <c r="X2167" s="206">
        <f t="shared" si="1336"/>
        <v>0</v>
      </c>
      <c r="Y2167" s="209">
        <f t="shared" si="1337"/>
        <v>0</v>
      </c>
    </row>
    <row r="2168" spans="2:25" ht="16.5" hidden="1" thickTop="1" thickBot="1" x14ac:dyDescent="0.3">
      <c r="B2168" s="141">
        <f>B2162</f>
        <v>26</v>
      </c>
      <c r="C2168" s="142">
        <v>182</v>
      </c>
      <c r="D2168" s="194" t="str">
        <f t="shared" si="1308"/>
        <v>VII</v>
      </c>
      <c r="E2168" s="143"/>
      <c r="F2168" s="144"/>
      <c r="G2168" s="144"/>
      <c r="H2168" s="145"/>
      <c r="I2168" s="145"/>
      <c r="J2168" s="436" t="s">
        <v>181</v>
      </c>
      <c r="K2168" s="437"/>
      <c r="L2168" s="438"/>
      <c r="M2168" s="145"/>
      <c r="N2168" s="146"/>
      <c r="O2168" s="147"/>
      <c r="P2168" s="148"/>
      <c r="Q2168" s="149"/>
      <c r="R2168" s="150"/>
      <c r="S2168" s="151"/>
      <c r="T2168" s="213">
        <f t="shared" si="1313"/>
        <v>43647</v>
      </c>
      <c r="U2168" s="214">
        <f t="shared" si="1314"/>
        <v>43677</v>
      </c>
      <c r="V2168" s="210">
        <f t="shared" si="1338"/>
        <v>0</v>
      </c>
      <c r="W2168" s="211"/>
      <c r="X2168" s="211">
        <f>IF(AND($V2168&gt;0,$I2168=1),IF($E2168=10,P2168/10,P2168/$V2168),0)</f>
        <v>0</v>
      </c>
      <c r="Y2168" s="212">
        <f>IF(AND($V2162&gt;0,$I2168&lt;&gt;1),Q2168/E2162*V2162,0)</f>
        <v>0</v>
      </c>
    </row>
    <row r="2169" spans="2:25" ht="16.5" hidden="1" thickTop="1" thickBot="1" x14ac:dyDescent="0.3">
      <c r="B2169" s="129">
        <f>B2167+1</f>
        <v>27</v>
      </c>
      <c r="C2169" s="130">
        <v>183</v>
      </c>
      <c r="D2169" s="196" t="str">
        <f t="shared" si="1308"/>
        <v>VII</v>
      </c>
      <c r="E2169" s="152"/>
      <c r="F2169" s="153"/>
      <c r="G2169" s="153"/>
      <c r="H2169" s="154"/>
      <c r="I2169" s="154"/>
      <c r="J2169" s="152"/>
      <c r="K2169" s="155"/>
      <c r="L2169" s="154"/>
      <c r="M2169" s="154"/>
      <c r="N2169" s="156"/>
      <c r="O2169" s="157"/>
      <c r="P2169" s="158"/>
      <c r="Q2169" s="159"/>
      <c r="R2169" s="160"/>
      <c r="S2169" s="161"/>
      <c r="T2169" s="203">
        <f t="shared" si="1313"/>
        <v>43647</v>
      </c>
      <c r="U2169" s="204">
        <f t="shared" si="1314"/>
        <v>43677</v>
      </c>
      <c r="V2169" s="207">
        <f>IF(G2169-F2169+1-IF(G2169-U2169&gt;0,G2169-U2169,0)-IF(T2169-F2169&gt;0,T2169-F2169,0)&gt;0,G2169-F2169+1-IF(G2169-U2169&gt;0,G2169-U2169,0)-IF(T2169-F2169&gt;0,T2169-F2169,0),0)</f>
        <v>0</v>
      </c>
      <c r="W2169" s="206" t="str">
        <f t="shared" ref="W2169:W2174" si="1339">IF(V2169&gt;0,H2169,"")</f>
        <v/>
      </c>
      <c r="X2169" s="206">
        <f t="shared" ref="X2169:X2174" si="1340">IF(AND($V2169&gt;0,$I2169=1),P2169/$E2169*$V2169,0)</f>
        <v>0</v>
      </c>
      <c r="Y2169" s="209">
        <f t="shared" ref="Y2169:Y2174" si="1341">IF(AND($V2169&gt;0,$I2169&lt;&gt;1),Q2169/$E2169*$V2169,0)</f>
        <v>0</v>
      </c>
    </row>
    <row r="2170" spans="2:25" ht="16.5" hidden="1" thickTop="1" thickBot="1" x14ac:dyDescent="0.3">
      <c r="B2170" s="60">
        <f>B2169</f>
        <v>27</v>
      </c>
      <c r="C2170" s="102">
        <v>184</v>
      </c>
      <c r="D2170" s="192" t="str">
        <f t="shared" si="1308"/>
        <v>VII</v>
      </c>
      <c r="E2170" s="162"/>
      <c r="F2170" s="163"/>
      <c r="G2170" s="163"/>
      <c r="H2170" s="164"/>
      <c r="I2170" s="164"/>
      <c r="J2170" s="162"/>
      <c r="K2170" s="165"/>
      <c r="L2170" s="164"/>
      <c r="M2170" s="164"/>
      <c r="N2170" s="166"/>
      <c r="O2170" s="167"/>
      <c r="P2170" s="168"/>
      <c r="Q2170" s="169"/>
      <c r="R2170" s="170"/>
      <c r="S2170" s="171"/>
      <c r="T2170" s="203">
        <f t="shared" si="1313"/>
        <v>43647</v>
      </c>
      <c r="U2170" s="204">
        <f t="shared" si="1314"/>
        <v>43677</v>
      </c>
      <c r="V2170" s="207">
        <f t="shared" ref="V2170:V2175" si="1342">IF(G2170-F2170+1-IF(G2170-U2170&gt;0,G2170-U2170,0)-IF(T2170-F2170&gt;0,T2170-F2170,0)&gt;0,G2170-F2170+1-IF(G2170-U2170&gt;0,G2170-U2170,0)-IF(T2170-F2170&gt;0,T2170-F2170,0),0)</f>
        <v>0</v>
      </c>
      <c r="W2170" s="206" t="str">
        <f t="shared" si="1339"/>
        <v/>
      </c>
      <c r="X2170" s="206">
        <f t="shared" si="1340"/>
        <v>0</v>
      </c>
      <c r="Y2170" s="209">
        <f t="shared" si="1341"/>
        <v>0</v>
      </c>
    </row>
    <row r="2171" spans="2:25" ht="16.5" hidden="1" thickTop="1" thickBot="1" x14ac:dyDescent="0.3">
      <c r="B2171" s="60">
        <f>B2169</f>
        <v>27</v>
      </c>
      <c r="C2171" s="102">
        <v>185</v>
      </c>
      <c r="D2171" s="192" t="str">
        <f t="shared" si="1308"/>
        <v>VII</v>
      </c>
      <c r="E2171" s="162"/>
      <c r="F2171" s="163"/>
      <c r="G2171" s="163"/>
      <c r="H2171" s="164"/>
      <c r="I2171" s="164"/>
      <c r="J2171" s="162"/>
      <c r="K2171" s="165"/>
      <c r="L2171" s="164"/>
      <c r="M2171" s="164"/>
      <c r="N2171" s="166"/>
      <c r="O2171" s="167"/>
      <c r="P2171" s="168"/>
      <c r="Q2171" s="169"/>
      <c r="R2171" s="170"/>
      <c r="S2171" s="171"/>
      <c r="T2171" s="203">
        <f t="shared" si="1313"/>
        <v>43647</v>
      </c>
      <c r="U2171" s="204">
        <f t="shared" si="1314"/>
        <v>43677</v>
      </c>
      <c r="V2171" s="207">
        <f t="shared" si="1342"/>
        <v>0</v>
      </c>
      <c r="W2171" s="206" t="str">
        <f t="shared" si="1339"/>
        <v/>
      </c>
      <c r="X2171" s="206">
        <f t="shared" si="1340"/>
        <v>0</v>
      </c>
      <c r="Y2171" s="209">
        <f t="shared" si="1341"/>
        <v>0</v>
      </c>
    </row>
    <row r="2172" spans="2:25" ht="16.5" hidden="1" thickTop="1" thickBot="1" x14ac:dyDescent="0.3">
      <c r="B2172" s="60">
        <f>B2169</f>
        <v>27</v>
      </c>
      <c r="C2172" s="102">
        <v>186</v>
      </c>
      <c r="D2172" s="192" t="str">
        <f t="shared" si="1308"/>
        <v>VII</v>
      </c>
      <c r="E2172" s="162"/>
      <c r="F2172" s="163"/>
      <c r="G2172" s="163"/>
      <c r="H2172" s="164"/>
      <c r="I2172" s="164"/>
      <c r="J2172" s="162"/>
      <c r="K2172" s="165"/>
      <c r="L2172" s="164"/>
      <c r="M2172" s="164"/>
      <c r="N2172" s="166"/>
      <c r="O2172" s="167"/>
      <c r="P2172" s="168"/>
      <c r="Q2172" s="169"/>
      <c r="R2172" s="170"/>
      <c r="S2172" s="171"/>
      <c r="T2172" s="203">
        <f t="shared" si="1313"/>
        <v>43647</v>
      </c>
      <c r="U2172" s="204">
        <f t="shared" si="1314"/>
        <v>43677</v>
      </c>
      <c r="V2172" s="207">
        <f t="shared" si="1342"/>
        <v>0</v>
      </c>
      <c r="W2172" s="206" t="str">
        <f t="shared" si="1339"/>
        <v/>
      </c>
      <c r="X2172" s="206">
        <f t="shared" si="1340"/>
        <v>0</v>
      </c>
      <c r="Y2172" s="209">
        <f t="shared" si="1341"/>
        <v>0</v>
      </c>
    </row>
    <row r="2173" spans="2:25" ht="16.5" hidden="1" thickTop="1" thickBot="1" x14ac:dyDescent="0.3">
      <c r="B2173" s="60">
        <f>B2169</f>
        <v>27</v>
      </c>
      <c r="C2173" s="102">
        <v>187</v>
      </c>
      <c r="D2173" s="192" t="str">
        <f t="shared" si="1308"/>
        <v>VII</v>
      </c>
      <c r="E2173" s="162"/>
      <c r="F2173" s="163"/>
      <c r="G2173" s="163"/>
      <c r="H2173" s="164"/>
      <c r="I2173" s="164"/>
      <c r="J2173" s="162"/>
      <c r="K2173" s="165"/>
      <c r="L2173" s="164"/>
      <c r="M2173" s="164"/>
      <c r="N2173" s="166"/>
      <c r="O2173" s="167"/>
      <c r="P2173" s="168"/>
      <c r="Q2173" s="169"/>
      <c r="R2173" s="170"/>
      <c r="S2173" s="171"/>
      <c r="T2173" s="203">
        <f t="shared" si="1313"/>
        <v>43647</v>
      </c>
      <c r="U2173" s="204">
        <f t="shared" si="1314"/>
        <v>43677</v>
      </c>
      <c r="V2173" s="207">
        <f t="shared" si="1342"/>
        <v>0</v>
      </c>
      <c r="W2173" s="206" t="str">
        <f t="shared" si="1339"/>
        <v/>
      </c>
      <c r="X2173" s="206">
        <f t="shared" si="1340"/>
        <v>0</v>
      </c>
      <c r="Y2173" s="209">
        <f t="shared" si="1341"/>
        <v>0</v>
      </c>
    </row>
    <row r="2174" spans="2:25" ht="16.5" hidden="1" thickTop="1" thickBot="1" x14ac:dyDescent="0.3">
      <c r="B2174" s="60">
        <f>B2169</f>
        <v>27</v>
      </c>
      <c r="C2174" s="102">
        <v>188</v>
      </c>
      <c r="D2174" s="192" t="str">
        <f t="shared" si="1308"/>
        <v>VII</v>
      </c>
      <c r="E2174" s="172"/>
      <c r="F2174" s="173"/>
      <c r="G2174" s="173"/>
      <c r="H2174" s="174"/>
      <c r="I2174" s="174"/>
      <c r="J2174" s="172"/>
      <c r="K2174" s="175"/>
      <c r="L2174" s="174"/>
      <c r="M2174" s="174"/>
      <c r="N2174" s="176"/>
      <c r="O2174" s="177"/>
      <c r="P2174" s="178"/>
      <c r="Q2174" s="179"/>
      <c r="R2174" s="180"/>
      <c r="S2174" s="181"/>
      <c r="T2174" s="203">
        <f t="shared" si="1313"/>
        <v>43647</v>
      </c>
      <c r="U2174" s="204">
        <f t="shared" si="1314"/>
        <v>43677</v>
      </c>
      <c r="V2174" s="207">
        <f t="shared" si="1342"/>
        <v>0</v>
      </c>
      <c r="W2174" s="206" t="str">
        <f t="shared" si="1339"/>
        <v/>
      </c>
      <c r="X2174" s="206">
        <f t="shared" si="1340"/>
        <v>0</v>
      </c>
      <c r="Y2174" s="209">
        <f t="shared" si="1341"/>
        <v>0</v>
      </c>
    </row>
    <row r="2175" spans="2:25" ht="16.5" hidden="1" thickTop="1" thickBot="1" x14ac:dyDescent="0.3">
      <c r="B2175" s="141">
        <f>B2169</f>
        <v>27</v>
      </c>
      <c r="C2175" s="142">
        <v>189</v>
      </c>
      <c r="D2175" s="194" t="str">
        <f t="shared" si="1308"/>
        <v>VII</v>
      </c>
      <c r="E2175" s="189"/>
      <c r="F2175" s="190"/>
      <c r="G2175" s="190"/>
      <c r="H2175" s="182"/>
      <c r="I2175" s="182"/>
      <c r="J2175" s="436" t="s">
        <v>181</v>
      </c>
      <c r="K2175" s="437"/>
      <c r="L2175" s="438"/>
      <c r="M2175" s="182"/>
      <c r="N2175" s="183"/>
      <c r="O2175" s="184"/>
      <c r="P2175" s="185"/>
      <c r="Q2175" s="186"/>
      <c r="R2175" s="187"/>
      <c r="S2175" s="188"/>
      <c r="T2175" s="213">
        <f t="shared" si="1313"/>
        <v>43647</v>
      </c>
      <c r="U2175" s="214">
        <f t="shared" si="1314"/>
        <v>43677</v>
      </c>
      <c r="V2175" s="210">
        <f t="shared" si="1342"/>
        <v>0</v>
      </c>
      <c r="W2175" s="211"/>
      <c r="X2175" s="211">
        <f>IF(AND($V2175&gt;0,$I2175=1),IF($E2175=10,P2175/10,P2175/$V2175),0)</f>
        <v>0</v>
      </c>
      <c r="Y2175" s="212">
        <f>IF(AND($V2169&gt;0,$I2175&lt;&gt;1),Q2175/E2169*V2169,0)</f>
        <v>0</v>
      </c>
    </row>
    <row r="2176" spans="2:25" ht="16.5" hidden="1" thickTop="1" thickBot="1" x14ac:dyDescent="0.3">
      <c r="B2176" s="129">
        <f>B2174+1</f>
        <v>28</v>
      </c>
      <c r="C2176" s="130">
        <v>190</v>
      </c>
      <c r="D2176" s="196" t="str">
        <f t="shared" si="1308"/>
        <v>VII</v>
      </c>
      <c r="E2176" s="131"/>
      <c r="F2176" s="132"/>
      <c r="G2176" s="132"/>
      <c r="H2176" s="133"/>
      <c r="I2176" s="133"/>
      <c r="J2176" s="131"/>
      <c r="K2176" s="134"/>
      <c r="L2176" s="133"/>
      <c r="M2176" s="133"/>
      <c r="N2176" s="135"/>
      <c r="O2176" s="136"/>
      <c r="P2176" s="137"/>
      <c r="Q2176" s="138"/>
      <c r="R2176" s="139"/>
      <c r="S2176" s="140"/>
      <c r="T2176" s="203">
        <f t="shared" si="1313"/>
        <v>43647</v>
      </c>
      <c r="U2176" s="204">
        <f t="shared" si="1314"/>
        <v>43677</v>
      </c>
      <c r="V2176" s="207">
        <f>IF(G2176-F2176+1-IF(G2176-U2176&gt;0,G2176-U2176,0)-IF(T2176-F2176&gt;0,T2176-F2176,0)&gt;0,G2176-F2176+1-IF(G2176-U2176&gt;0,G2176-U2176,0)-IF(T2176-F2176&gt;0,T2176-F2176,0),0)</f>
        <v>0</v>
      </c>
      <c r="W2176" s="206" t="str">
        <f t="shared" ref="W2176:W2181" si="1343">IF(V2176&gt;0,H2176,"")</f>
        <v/>
      </c>
      <c r="X2176" s="206">
        <f t="shared" ref="X2176:X2181" si="1344">IF(AND($V2176&gt;0,$I2176=1),P2176/$E2176*$V2176,0)</f>
        <v>0</v>
      </c>
      <c r="Y2176" s="209">
        <f t="shared" ref="Y2176:Y2181" si="1345">IF(AND($V2176&gt;0,$I2176&lt;&gt;1),Q2176/$E2176*$V2176,0)</f>
        <v>0</v>
      </c>
    </row>
    <row r="2177" spans="2:25" ht="16.5" hidden="1" thickTop="1" thickBot="1" x14ac:dyDescent="0.3">
      <c r="B2177" s="60">
        <f>B2176</f>
        <v>28</v>
      </c>
      <c r="C2177" s="102">
        <v>191</v>
      </c>
      <c r="D2177" s="192" t="str">
        <f t="shared" si="1308"/>
        <v>VII</v>
      </c>
      <c r="E2177" s="62"/>
      <c r="F2177" s="105"/>
      <c r="G2177" s="105"/>
      <c r="H2177" s="61"/>
      <c r="I2177" s="61"/>
      <c r="J2177" s="62"/>
      <c r="K2177" s="63"/>
      <c r="L2177" s="61"/>
      <c r="M2177" s="61"/>
      <c r="N2177" s="111"/>
      <c r="O2177" s="112"/>
      <c r="P2177" s="113"/>
      <c r="Q2177" s="114"/>
      <c r="R2177" s="64"/>
      <c r="S2177" s="108"/>
      <c r="T2177" s="203">
        <f t="shared" si="1313"/>
        <v>43647</v>
      </c>
      <c r="U2177" s="204">
        <f t="shared" si="1314"/>
        <v>43677</v>
      </c>
      <c r="V2177" s="207">
        <f t="shared" ref="V2177:V2182" si="1346">IF(G2177-F2177+1-IF(G2177-U2177&gt;0,G2177-U2177,0)-IF(T2177-F2177&gt;0,T2177-F2177,0)&gt;0,G2177-F2177+1-IF(G2177-U2177&gt;0,G2177-U2177,0)-IF(T2177-F2177&gt;0,T2177-F2177,0),0)</f>
        <v>0</v>
      </c>
      <c r="W2177" s="206" t="str">
        <f t="shared" si="1343"/>
        <v/>
      </c>
      <c r="X2177" s="206">
        <f t="shared" si="1344"/>
        <v>0</v>
      </c>
      <c r="Y2177" s="209">
        <f t="shared" si="1345"/>
        <v>0</v>
      </c>
    </row>
    <row r="2178" spans="2:25" ht="16.5" hidden="1" thickTop="1" thickBot="1" x14ac:dyDescent="0.3">
      <c r="B2178" s="60">
        <f>B2176</f>
        <v>28</v>
      </c>
      <c r="C2178" s="102">
        <v>192</v>
      </c>
      <c r="D2178" s="192" t="str">
        <f t="shared" si="1308"/>
        <v>VII</v>
      </c>
      <c r="E2178" s="62"/>
      <c r="F2178" s="105"/>
      <c r="G2178" s="105"/>
      <c r="H2178" s="61"/>
      <c r="I2178" s="61"/>
      <c r="J2178" s="62"/>
      <c r="K2178" s="63"/>
      <c r="L2178" s="61"/>
      <c r="M2178" s="61"/>
      <c r="N2178" s="111"/>
      <c r="O2178" s="112"/>
      <c r="P2178" s="113"/>
      <c r="Q2178" s="114"/>
      <c r="R2178" s="64"/>
      <c r="S2178" s="108"/>
      <c r="T2178" s="203">
        <f t="shared" si="1313"/>
        <v>43647</v>
      </c>
      <c r="U2178" s="204">
        <f t="shared" si="1314"/>
        <v>43677</v>
      </c>
      <c r="V2178" s="207">
        <f t="shared" si="1346"/>
        <v>0</v>
      </c>
      <c r="W2178" s="206" t="str">
        <f t="shared" si="1343"/>
        <v/>
      </c>
      <c r="X2178" s="206">
        <f t="shared" si="1344"/>
        <v>0</v>
      </c>
      <c r="Y2178" s="209">
        <f t="shared" si="1345"/>
        <v>0</v>
      </c>
    </row>
    <row r="2179" spans="2:25" ht="16.5" hidden="1" thickTop="1" thickBot="1" x14ac:dyDescent="0.3">
      <c r="B2179" s="60">
        <f>B2176</f>
        <v>28</v>
      </c>
      <c r="C2179" s="102">
        <v>193</v>
      </c>
      <c r="D2179" s="192" t="str">
        <f t="shared" si="1308"/>
        <v>VII</v>
      </c>
      <c r="E2179" s="62"/>
      <c r="F2179" s="105"/>
      <c r="G2179" s="105"/>
      <c r="H2179" s="61"/>
      <c r="I2179" s="61"/>
      <c r="J2179" s="62"/>
      <c r="K2179" s="63"/>
      <c r="L2179" s="61"/>
      <c r="M2179" s="61"/>
      <c r="N2179" s="111"/>
      <c r="O2179" s="112"/>
      <c r="P2179" s="113"/>
      <c r="Q2179" s="114"/>
      <c r="R2179" s="64"/>
      <c r="S2179" s="108"/>
      <c r="T2179" s="203">
        <f t="shared" si="1313"/>
        <v>43647</v>
      </c>
      <c r="U2179" s="204">
        <f t="shared" si="1314"/>
        <v>43677</v>
      </c>
      <c r="V2179" s="207">
        <f t="shared" si="1346"/>
        <v>0</v>
      </c>
      <c r="W2179" s="206" t="str">
        <f t="shared" si="1343"/>
        <v/>
      </c>
      <c r="X2179" s="206">
        <f t="shared" si="1344"/>
        <v>0</v>
      </c>
      <c r="Y2179" s="209">
        <f t="shared" si="1345"/>
        <v>0</v>
      </c>
    </row>
    <row r="2180" spans="2:25" ht="16.5" hidden="1" thickTop="1" thickBot="1" x14ac:dyDescent="0.3">
      <c r="B2180" s="60">
        <f>B2176</f>
        <v>28</v>
      </c>
      <c r="C2180" s="102">
        <v>194</v>
      </c>
      <c r="D2180" s="192" t="str">
        <f t="shared" si="1308"/>
        <v>VII</v>
      </c>
      <c r="E2180" s="62"/>
      <c r="F2180" s="105"/>
      <c r="G2180" s="105"/>
      <c r="H2180" s="61"/>
      <c r="I2180" s="61"/>
      <c r="J2180" s="62"/>
      <c r="K2180" s="63"/>
      <c r="L2180" s="61"/>
      <c r="M2180" s="61"/>
      <c r="N2180" s="111"/>
      <c r="O2180" s="112"/>
      <c r="P2180" s="113"/>
      <c r="Q2180" s="114"/>
      <c r="R2180" s="64"/>
      <c r="S2180" s="108"/>
      <c r="T2180" s="203">
        <f t="shared" si="1313"/>
        <v>43647</v>
      </c>
      <c r="U2180" s="204">
        <f t="shared" si="1314"/>
        <v>43677</v>
      </c>
      <c r="V2180" s="207">
        <f t="shared" si="1346"/>
        <v>0</v>
      </c>
      <c r="W2180" s="206" t="str">
        <f t="shared" si="1343"/>
        <v/>
      </c>
      <c r="X2180" s="206">
        <f t="shared" si="1344"/>
        <v>0</v>
      </c>
      <c r="Y2180" s="209">
        <f t="shared" si="1345"/>
        <v>0</v>
      </c>
    </row>
    <row r="2181" spans="2:25" ht="16.5" hidden="1" thickTop="1" thickBot="1" x14ac:dyDescent="0.3">
      <c r="B2181" s="60">
        <f>B2176</f>
        <v>28</v>
      </c>
      <c r="C2181" s="102">
        <v>195</v>
      </c>
      <c r="D2181" s="192" t="str">
        <f t="shared" ref="D2181:D2244" si="1347">D2180</f>
        <v>VII</v>
      </c>
      <c r="E2181" s="62"/>
      <c r="F2181" s="105"/>
      <c r="G2181" s="105"/>
      <c r="H2181" s="61"/>
      <c r="I2181" s="61"/>
      <c r="J2181" s="62"/>
      <c r="K2181" s="63"/>
      <c r="L2181" s="61"/>
      <c r="M2181" s="61"/>
      <c r="N2181" s="111"/>
      <c r="O2181" s="112"/>
      <c r="P2181" s="113"/>
      <c r="Q2181" s="114"/>
      <c r="R2181" s="64"/>
      <c r="S2181" s="108"/>
      <c r="T2181" s="203">
        <f t="shared" si="1313"/>
        <v>43647</v>
      </c>
      <c r="U2181" s="204">
        <f t="shared" si="1314"/>
        <v>43677</v>
      </c>
      <c r="V2181" s="207">
        <f t="shared" si="1346"/>
        <v>0</v>
      </c>
      <c r="W2181" s="206" t="str">
        <f t="shared" si="1343"/>
        <v/>
      </c>
      <c r="X2181" s="206">
        <f t="shared" si="1344"/>
        <v>0</v>
      </c>
      <c r="Y2181" s="209">
        <f t="shared" si="1345"/>
        <v>0</v>
      </c>
    </row>
    <row r="2182" spans="2:25" ht="16.5" hidden="1" thickTop="1" thickBot="1" x14ac:dyDescent="0.3">
      <c r="B2182" s="141">
        <f>B2176</f>
        <v>28</v>
      </c>
      <c r="C2182" s="142">
        <v>196</v>
      </c>
      <c r="D2182" s="194" t="str">
        <f t="shared" si="1347"/>
        <v>VII</v>
      </c>
      <c r="E2182" s="143"/>
      <c r="F2182" s="144"/>
      <c r="G2182" s="144"/>
      <c r="H2182" s="145"/>
      <c r="I2182" s="145"/>
      <c r="J2182" s="436" t="s">
        <v>181</v>
      </c>
      <c r="K2182" s="437"/>
      <c r="L2182" s="438"/>
      <c r="M2182" s="145"/>
      <c r="N2182" s="146"/>
      <c r="O2182" s="147"/>
      <c r="P2182" s="148"/>
      <c r="Q2182" s="149"/>
      <c r="R2182" s="150"/>
      <c r="S2182" s="151"/>
      <c r="T2182" s="213">
        <f t="shared" si="1313"/>
        <v>43647</v>
      </c>
      <c r="U2182" s="214">
        <f t="shared" si="1314"/>
        <v>43677</v>
      </c>
      <c r="V2182" s="210">
        <f t="shared" si="1346"/>
        <v>0</v>
      </c>
      <c r="W2182" s="211"/>
      <c r="X2182" s="211">
        <f>IF(AND($V2182&gt;0,$I2182=1),IF($E2182=10,P2182/10,P2182/$V2182),0)</f>
        <v>0</v>
      </c>
      <c r="Y2182" s="212">
        <f>IF(AND($V2176&gt;0,$I2182&lt;&gt;1),Q2182/E2176*V2176,0)</f>
        <v>0</v>
      </c>
    </row>
    <row r="2183" spans="2:25" ht="16.5" hidden="1" thickTop="1" thickBot="1" x14ac:dyDescent="0.3">
      <c r="B2183" s="129">
        <f>B2181+1</f>
        <v>29</v>
      </c>
      <c r="C2183" s="130">
        <v>197</v>
      </c>
      <c r="D2183" s="196" t="str">
        <f t="shared" si="1347"/>
        <v>VII</v>
      </c>
      <c r="E2183" s="152"/>
      <c r="F2183" s="153"/>
      <c r="G2183" s="153"/>
      <c r="H2183" s="154"/>
      <c r="I2183" s="154"/>
      <c r="J2183" s="152"/>
      <c r="K2183" s="155"/>
      <c r="L2183" s="154"/>
      <c r="M2183" s="154"/>
      <c r="N2183" s="156"/>
      <c r="O2183" s="157"/>
      <c r="P2183" s="158"/>
      <c r="Q2183" s="159"/>
      <c r="R2183" s="160"/>
      <c r="S2183" s="161"/>
      <c r="T2183" s="203">
        <f t="shared" si="1313"/>
        <v>43647</v>
      </c>
      <c r="U2183" s="204">
        <f t="shared" si="1314"/>
        <v>43677</v>
      </c>
      <c r="V2183" s="207">
        <f>IF(G2183-F2183+1-IF(G2183-U2183&gt;0,G2183-U2183,0)-IF(T2183-F2183&gt;0,T2183-F2183,0)&gt;0,G2183-F2183+1-IF(G2183-U2183&gt;0,G2183-U2183,0)-IF(T2183-F2183&gt;0,T2183-F2183,0),0)</f>
        <v>0</v>
      </c>
      <c r="W2183" s="206" t="str">
        <f t="shared" ref="W2183:W2188" si="1348">IF(V2183&gt;0,H2183,"")</f>
        <v/>
      </c>
      <c r="X2183" s="206">
        <f t="shared" ref="X2183:X2188" si="1349">IF(AND($V2183&gt;0,$I2183=1),P2183/$E2183*$V2183,0)</f>
        <v>0</v>
      </c>
      <c r="Y2183" s="209">
        <f t="shared" ref="Y2183:Y2188" si="1350">IF(AND($V2183&gt;0,$I2183&lt;&gt;1),Q2183/$E2183*$V2183,0)</f>
        <v>0</v>
      </c>
    </row>
    <row r="2184" spans="2:25" ht="16.5" hidden="1" thickTop="1" thickBot="1" x14ac:dyDescent="0.3">
      <c r="B2184" s="60">
        <f>B2183</f>
        <v>29</v>
      </c>
      <c r="C2184" s="102">
        <v>198</v>
      </c>
      <c r="D2184" s="192" t="str">
        <f t="shared" si="1347"/>
        <v>VII</v>
      </c>
      <c r="E2184" s="162"/>
      <c r="F2184" s="163"/>
      <c r="G2184" s="163"/>
      <c r="H2184" s="164"/>
      <c r="I2184" s="164"/>
      <c r="J2184" s="162"/>
      <c r="K2184" s="165"/>
      <c r="L2184" s="164"/>
      <c r="M2184" s="164"/>
      <c r="N2184" s="166"/>
      <c r="O2184" s="167"/>
      <c r="P2184" s="168"/>
      <c r="Q2184" s="169"/>
      <c r="R2184" s="170"/>
      <c r="S2184" s="171"/>
      <c r="T2184" s="203">
        <f t="shared" si="1313"/>
        <v>43647</v>
      </c>
      <c r="U2184" s="204">
        <f t="shared" si="1314"/>
        <v>43677</v>
      </c>
      <c r="V2184" s="207">
        <f t="shared" ref="V2184:V2189" si="1351">IF(G2184-F2184+1-IF(G2184-U2184&gt;0,G2184-U2184,0)-IF(T2184-F2184&gt;0,T2184-F2184,0)&gt;0,G2184-F2184+1-IF(G2184-U2184&gt;0,G2184-U2184,0)-IF(T2184-F2184&gt;0,T2184-F2184,0),0)</f>
        <v>0</v>
      </c>
      <c r="W2184" s="206" t="str">
        <f t="shared" si="1348"/>
        <v/>
      </c>
      <c r="X2184" s="206">
        <f t="shared" si="1349"/>
        <v>0</v>
      </c>
      <c r="Y2184" s="209">
        <f t="shared" si="1350"/>
        <v>0</v>
      </c>
    </row>
    <row r="2185" spans="2:25" ht="16.5" hidden="1" thickTop="1" thickBot="1" x14ac:dyDescent="0.3">
      <c r="B2185" s="60">
        <f>B2183</f>
        <v>29</v>
      </c>
      <c r="C2185" s="102">
        <v>199</v>
      </c>
      <c r="D2185" s="192" t="str">
        <f t="shared" si="1347"/>
        <v>VII</v>
      </c>
      <c r="E2185" s="162"/>
      <c r="F2185" s="163"/>
      <c r="G2185" s="163"/>
      <c r="H2185" s="164"/>
      <c r="I2185" s="164"/>
      <c r="J2185" s="162"/>
      <c r="K2185" s="165"/>
      <c r="L2185" s="164"/>
      <c r="M2185" s="164"/>
      <c r="N2185" s="166"/>
      <c r="O2185" s="167"/>
      <c r="P2185" s="168"/>
      <c r="Q2185" s="169"/>
      <c r="R2185" s="170"/>
      <c r="S2185" s="171"/>
      <c r="T2185" s="203">
        <f t="shared" si="1313"/>
        <v>43647</v>
      </c>
      <c r="U2185" s="204">
        <f t="shared" si="1314"/>
        <v>43677</v>
      </c>
      <c r="V2185" s="207">
        <f t="shared" si="1351"/>
        <v>0</v>
      </c>
      <c r="W2185" s="206" t="str">
        <f t="shared" si="1348"/>
        <v/>
      </c>
      <c r="X2185" s="206">
        <f t="shared" si="1349"/>
        <v>0</v>
      </c>
      <c r="Y2185" s="209">
        <f t="shared" si="1350"/>
        <v>0</v>
      </c>
    </row>
    <row r="2186" spans="2:25" ht="16.5" hidden="1" thickTop="1" thickBot="1" x14ac:dyDescent="0.3">
      <c r="B2186" s="60">
        <f>B2183</f>
        <v>29</v>
      </c>
      <c r="C2186" s="102">
        <v>200</v>
      </c>
      <c r="D2186" s="192" t="str">
        <f t="shared" si="1347"/>
        <v>VII</v>
      </c>
      <c r="E2186" s="162"/>
      <c r="F2186" s="163"/>
      <c r="G2186" s="163"/>
      <c r="H2186" s="164"/>
      <c r="I2186" s="164"/>
      <c r="J2186" s="162"/>
      <c r="K2186" s="165"/>
      <c r="L2186" s="164"/>
      <c r="M2186" s="164"/>
      <c r="N2186" s="166"/>
      <c r="O2186" s="167"/>
      <c r="P2186" s="168"/>
      <c r="Q2186" s="169"/>
      <c r="R2186" s="170"/>
      <c r="S2186" s="171"/>
      <c r="T2186" s="203">
        <f t="shared" si="1313"/>
        <v>43647</v>
      </c>
      <c r="U2186" s="204">
        <f t="shared" si="1314"/>
        <v>43677</v>
      </c>
      <c r="V2186" s="207">
        <f t="shared" si="1351"/>
        <v>0</v>
      </c>
      <c r="W2186" s="206" t="str">
        <f t="shared" si="1348"/>
        <v/>
      </c>
      <c r="X2186" s="206">
        <f t="shared" si="1349"/>
        <v>0</v>
      </c>
      <c r="Y2186" s="209">
        <f t="shared" si="1350"/>
        <v>0</v>
      </c>
    </row>
    <row r="2187" spans="2:25" ht="16.5" hidden="1" thickTop="1" thickBot="1" x14ac:dyDescent="0.3">
      <c r="B2187" s="60">
        <f>B2183</f>
        <v>29</v>
      </c>
      <c r="C2187" s="102">
        <v>201</v>
      </c>
      <c r="D2187" s="192" t="str">
        <f t="shared" si="1347"/>
        <v>VII</v>
      </c>
      <c r="E2187" s="162"/>
      <c r="F2187" s="163"/>
      <c r="G2187" s="163"/>
      <c r="H2187" s="164"/>
      <c r="I2187" s="164"/>
      <c r="J2187" s="162"/>
      <c r="K2187" s="165"/>
      <c r="L2187" s="164"/>
      <c r="M2187" s="164"/>
      <c r="N2187" s="166"/>
      <c r="O2187" s="167"/>
      <c r="P2187" s="168"/>
      <c r="Q2187" s="169"/>
      <c r="R2187" s="170"/>
      <c r="S2187" s="171"/>
      <c r="T2187" s="203">
        <f t="shared" si="1313"/>
        <v>43647</v>
      </c>
      <c r="U2187" s="204">
        <f t="shared" si="1314"/>
        <v>43677</v>
      </c>
      <c r="V2187" s="207">
        <f t="shared" si="1351"/>
        <v>0</v>
      </c>
      <c r="W2187" s="206" t="str">
        <f t="shared" si="1348"/>
        <v/>
      </c>
      <c r="X2187" s="206">
        <f t="shared" si="1349"/>
        <v>0</v>
      </c>
      <c r="Y2187" s="209">
        <f t="shared" si="1350"/>
        <v>0</v>
      </c>
    </row>
    <row r="2188" spans="2:25" ht="16.5" hidden="1" thickTop="1" thickBot="1" x14ac:dyDescent="0.3">
      <c r="B2188" s="60">
        <f>B2183</f>
        <v>29</v>
      </c>
      <c r="C2188" s="102">
        <v>202</v>
      </c>
      <c r="D2188" s="192" t="str">
        <f t="shared" si="1347"/>
        <v>VII</v>
      </c>
      <c r="E2188" s="172"/>
      <c r="F2188" s="173"/>
      <c r="G2188" s="173"/>
      <c r="H2188" s="174"/>
      <c r="I2188" s="174"/>
      <c r="J2188" s="172"/>
      <c r="K2188" s="175"/>
      <c r="L2188" s="174"/>
      <c r="M2188" s="174"/>
      <c r="N2188" s="176"/>
      <c r="O2188" s="177"/>
      <c r="P2188" s="178"/>
      <c r="Q2188" s="179"/>
      <c r="R2188" s="180"/>
      <c r="S2188" s="181"/>
      <c r="T2188" s="203">
        <f t="shared" si="1313"/>
        <v>43647</v>
      </c>
      <c r="U2188" s="204">
        <f t="shared" si="1314"/>
        <v>43677</v>
      </c>
      <c r="V2188" s="207">
        <f t="shared" si="1351"/>
        <v>0</v>
      </c>
      <c r="W2188" s="206" t="str">
        <f t="shared" si="1348"/>
        <v/>
      </c>
      <c r="X2188" s="206">
        <f t="shared" si="1349"/>
        <v>0</v>
      </c>
      <c r="Y2188" s="209">
        <f t="shared" si="1350"/>
        <v>0</v>
      </c>
    </row>
    <row r="2189" spans="2:25" ht="16.5" hidden="1" thickTop="1" thickBot="1" x14ac:dyDescent="0.3">
      <c r="B2189" s="141">
        <f>B2183</f>
        <v>29</v>
      </c>
      <c r="C2189" s="142">
        <v>203</v>
      </c>
      <c r="D2189" s="194" t="str">
        <f t="shared" si="1347"/>
        <v>VII</v>
      </c>
      <c r="E2189" s="189"/>
      <c r="F2189" s="190"/>
      <c r="G2189" s="190"/>
      <c r="H2189" s="182"/>
      <c r="I2189" s="182"/>
      <c r="J2189" s="436" t="s">
        <v>181</v>
      </c>
      <c r="K2189" s="437"/>
      <c r="L2189" s="438"/>
      <c r="M2189" s="182"/>
      <c r="N2189" s="183"/>
      <c r="O2189" s="184"/>
      <c r="P2189" s="185"/>
      <c r="Q2189" s="186"/>
      <c r="R2189" s="187"/>
      <c r="S2189" s="188"/>
      <c r="T2189" s="213">
        <f t="shared" ref="T2189:T2252" si="1352">$F$4</f>
        <v>43647</v>
      </c>
      <c r="U2189" s="214">
        <f t="shared" ref="U2189:U2252" si="1353">$G$4</f>
        <v>43677</v>
      </c>
      <c r="V2189" s="210">
        <f t="shared" si="1351"/>
        <v>0</v>
      </c>
      <c r="W2189" s="211"/>
      <c r="X2189" s="211">
        <f>IF(AND($V2189&gt;0,$I2189=1),IF($E2189=10,P2189/10,P2189/$V2189),0)</f>
        <v>0</v>
      </c>
      <c r="Y2189" s="212">
        <f>IF(AND($V2183&gt;0,$I2189&lt;&gt;1),Q2189/E2183*V2183,0)</f>
        <v>0</v>
      </c>
    </row>
    <row r="2190" spans="2:25" ht="16.5" hidden="1" thickTop="1" thickBot="1" x14ac:dyDescent="0.3">
      <c r="B2190" s="129">
        <f>B2188+1</f>
        <v>30</v>
      </c>
      <c r="C2190" s="130">
        <v>204</v>
      </c>
      <c r="D2190" s="196" t="str">
        <f t="shared" si="1347"/>
        <v>VII</v>
      </c>
      <c r="E2190" s="131"/>
      <c r="F2190" s="132"/>
      <c r="G2190" s="132"/>
      <c r="H2190" s="133"/>
      <c r="I2190" s="133"/>
      <c r="J2190" s="131"/>
      <c r="K2190" s="134"/>
      <c r="L2190" s="133"/>
      <c r="M2190" s="133"/>
      <c r="N2190" s="135"/>
      <c r="O2190" s="136"/>
      <c r="P2190" s="137"/>
      <c r="Q2190" s="138"/>
      <c r="R2190" s="139"/>
      <c r="S2190" s="140"/>
      <c r="T2190" s="203">
        <f t="shared" si="1352"/>
        <v>43647</v>
      </c>
      <c r="U2190" s="204">
        <f t="shared" si="1353"/>
        <v>43677</v>
      </c>
      <c r="V2190" s="207">
        <f>IF(G2190-F2190+1-IF(G2190-U2190&gt;0,G2190-U2190,0)-IF(T2190-F2190&gt;0,T2190-F2190,0)&gt;0,G2190-F2190+1-IF(G2190-U2190&gt;0,G2190-U2190,0)-IF(T2190-F2190&gt;0,T2190-F2190,0),0)</f>
        <v>0</v>
      </c>
      <c r="W2190" s="206" t="str">
        <f t="shared" ref="W2190:W2195" si="1354">IF(V2190&gt;0,H2190,"")</f>
        <v/>
      </c>
      <c r="X2190" s="206">
        <f t="shared" ref="X2190:X2195" si="1355">IF(AND($V2190&gt;0,$I2190=1),P2190/$E2190*$V2190,0)</f>
        <v>0</v>
      </c>
      <c r="Y2190" s="209">
        <f t="shared" ref="Y2190:Y2195" si="1356">IF(AND($V2190&gt;0,$I2190&lt;&gt;1),Q2190/$E2190*$V2190,0)</f>
        <v>0</v>
      </c>
    </row>
    <row r="2191" spans="2:25" ht="16.5" hidden="1" thickTop="1" thickBot="1" x14ac:dyDescent="0.3">
      <c r="B2191" s="60">
        <f>B2190</f>
        <v>30</v>
      </c>
      <c r="C2191" s="102">
        <v>205</v>
      </c>
      <c r="D2191" s="192" t="str">
        <f t="shared" si="1347"/>
        <v>VII</v>
      </c>
      <c r="E2191" s="62"/>
      <c r="F2191" s="105"/>
      <c r="G2191" s="105"/>
      <c r="H2191" s="61"/>
      <c r="I2191" s="61"/>
      <c r="J2191" s="62"/>
      <c r="K2191" s="63"/>
      <c r="L2191" s="61"/>
      <c r="M2191" s="61"/>
      <c r="N2191" s="111"/>
      <c r="O2191" s="112"/>
      <c r="P2191" s="113"/>
      <c r="Q2191" s="114"/>
      <c r="R2191" s="64"/>
      <c r="S2191" s="108"/>
      <c r="T2191" s="203">
        <f t="shared" si="1352"/>
        <v>43647</v>
      </c>
      <c r="U2191" s="204">
        <f t="shared" si="1353"/>
        <v>43677</v>
      </c>
      <c r="V2191" s="207">
        <f t="shared" ref="V2191:V2196" si="1357">IF(G2191-F2191+1-IF(G2191-U2191&gt;0,G2191-U2191,0)-IF(T2191-F2191&gt;0,T2191-F2191,0)&gt;0,G2191-F2191+1-IF(G2191-U2191&gt;0,G2191-U2191,0)-IF(T2191-F2191&gt;0,T2191-F2191,0),0)</f>
        <v>0</v>
      </c>
      <c r="W2191" s="206" t="str">
        <f t="shared" si="1354"/>
        <v/>
      </c>
      <c r="X2191" s="206">
        <f t="shared" si="1355"/>
        <v>0</v>
      </c>
      <c r="Y2191" s="209">
        <f t="shared" si="1356"/>
        <v>0</v>
      </c>
    </row>
    <row r="2192" spans="2:25" ht="16.5" hidden="1" thickTop="1" thickBot="1" x14ac:dyDescent="0.3">
      <c r="B2192" s="60">
        <f>B2190</f>
        <v>30</v>
      </c>
      <c r="C2192" s="102">
        <v>206</v>
      </c>
      <c r="D2192" s="192" t="str">
        <f t="shared" si="1347"/>
        <v>VII</v>
      </c>
      <c r="E2192" s="62"/>
      <c r="F2192" s="105"/>
      <c r="G2192" s="105"/>
      <c r="H2192" s="61"/>
      <c r="I2192" s="61"/>
      <c r="J2192" s="62"/>
      <c r="K2192" s="63"/>
      <c r="L2192" s="61"/>
      <c r="M2192" s="61"/>
      <c r="N2192" s="111"/>
      <c r="O2192" s="112"/>
      <c r="P2192" s="113"/>
      <c r="Q2192" s="114"/>
      <c r="R2192" s="64"/>
      <c r="S2192" s="108"/>
      <c r="T2192" s="203">
        <f t="shared" si="1352"/>
        <v>43647</v>
      </c>
      <c r="U2192" s="204">
        <f t="shared" si="1353"/>
        <v>43677</v>
      </c>
      <c r="V2192" s="207">
        <f t="shared" si="1357"/>
        <v>0</v>
      </c>
      <c r="W2192" s="206" t="str">
        <f t="shared" si="1354"/>
        <v/>
      </c>
      <c r="X2192" s="206">
        <f t="shared" si="1355"/>
        <v>0</v>
      </c>
      <c r="Y2192" s="209">
        <f t="shared" si="1356"/>
        <v>0</v>
      </c>
    </row>
    <row r="2193" spans="2:25" ht="16.5" hidden="1" thickTop="1" thickBot="1" x14ac:dyDescent="0.3">
      <c r="B2193" s="60">
        <f>B2190</f>
        <v>30</v>
      </c>
      <c r="C2193" s="102">
        <v>207</v>
      </c>
      <c r="D2193" s="192" t="str">
        <f t="shared" si="1347"/>
        <v>VII</v>
      </c>
      <c r="E2193" s="62"/>
      <c r="F2193" s="105"/>
      <c r="G2193" s="105"/>
      <c r="H2193" s="61"/>
      <c r="I2193" s="61"/>
      <c r="J2193" s="62"/>
      <c r="K2193" s="63"/>
      <c r="L2193" s="61"/>
      <c r="M2193" s="61"/>
      <c r="N2193" s="111"/>
      <c r="O2193" s="112"/>
      <c r="P2193" s="113"/>
      <c r="Q2193" s="114"/>
      <c r="R2193" s="64"/>
      <c r="S2193" s="108"/>
      <c r="T2193" s="203">
        <f t="shared" si="1352"/>
        <v>43647</v>
      </c>
      <c r="U2193" s="204">
        <f t="shared" si="1353"/>
        <v>43677</v>
      </c>
      <c r="V2193" s="207">
        <f t="shared" si="1357"/>
        <v>0</v>
      </c>
      <c r="W2193" s="206" t="str">
        <f t="shared" si="1354"/>
        <v/>
      </c>
      <c r="X2193" s="206">
        <f t="shared" si="1355"/>
        <v>0</v>
      </c>
      <c r="Y2193" s="209">
        <f t="shared" si="1356"/>
        <v>0</v>
      </c>
    </row>
    <row r="2194" spans="2:25" ht="16.5" hidden="1" thickTop="1" thickBot="1" x14ac:dyDescent="0.3">
      <c r="B2194" s="60">
        <f>B2190</f>
        <v>30</v>
      </c>
      <c r="C2194" s="102">
        <v>208</v>
      </c>
      <c r="D2194" s="192" t="str">
        <f t="shared" si="1347"/>
        <v>VII</v>
      </c>
      <c r="E2194" s="62"/>
      <c r="F2194" s="105"/>
      <c r="G2194" s="105"/>
      <c r="H2194" s="61"/>
      <c r="I2194" s="61"/>
      <c r="J2194" s="62"/>
      <c r="K2194" s="63"/>
      <c r="L2194" s="61"/>
      <c r="M2194" s="61"/>
      <c r="N2194" s="111"/>
      <c r="O2194" s="112"/>
      <c r="P2194" s="113"/>
      <c r="Q2194" s="114"/>
      <c r="R2194" s="64"/>
      <c r="S2194" s="108"/>
      <c r="T2194" s="203">
        <f t="shared" si="1352"/>
        <v>43647</v>
      </c>
      <c r="U2194" s="204">
        <f t="shared" si="1353"/>
        <v>43677</v>
      </c>
      <c r="V2194" s="207">
        <f t="shared" si="1357"/>
        <v>0</v>
      </c>
      <c r="W2194" s="206" t="str">
        <f t="shared" si="1354"/>
        <v/>
      </c>
      <c r="X2194" s="206">
        <f t="shared" si="1355"/>
        <v>0</v>
      </c>
      <c r="Y2194" s="209">
        <f t="shared" si="1356"/>
        <v>0</v>
      </c>
    </row>
    <row r="2195" spans="2:25" ht="16.5" hidden="1" thickTop="1" thickBot="1" x14ac:dyDescent="0.3">
      <c r="B2195" s="60">
        <f>B2190</f>
        <v>30</v>
      </c>
      <c r="C2195" s="102">
        <v>209</v>
      </c>
      <c r="D2195" s="192" t="str">
        <f t="shared" si="1347"/>
        <v>VII</v>
      </c>
      <c r="E2195" s="62"/>
      <c r="F2195" s="105"/>
      <c r="G2195" s="105"/>
      <c r="H2195" s="61"/>
      <c r="I2195" s="61"/>
      <c r="J2195" s="62"/>
      <c r="K2195" s="63"/>
      <c r="L2195" s="61"/>
      <c r="M2195" s="61"/>
      <c r="N2195" s="111"/>
      <c r="O2195" s="112"/>
      <c r="P2195" s="113"/>
      <c r="Q2195" s="114"/>
      <c r="R2195" s="64"/>
      <c r="S2195" s="108"/>
      <c r="T2195" s="203">
        <f t="shared" si="1352"/>
        <v>43647</v>
      </c>
      <c r="U2195" s="204">
        <f t="shared" si="1353"/>
        <v>43677</v>
      </c>
      <c r="V2195" s="207">
        <f t="shared" si="1357"/>
        <v>0</v>
      </c>
      <c r="W2195" s="206" t="str">
        <f t="shared" si="1354"/>
        <v/>
      </c>
      <c r="X2195" s="206">
        <f t="shared" si="1355"/>
        <v>0</v>
      </c>
      <c r="Y2195" s="209">
        <f t="shared" si="1356"/>
        <v>0</v>
      </c>
    </row>
    <row r="2196" spans="2:25" ht="16.5" hidden="1" thickTop="1" thickBot="1" x14ac:dyDescent="0.3">
      <c r="B2196" s="141">
        <f>B2190</f>
        <v>30</v>
      </c>
      <c r="C2196" s="142">
        <v>210</v>
      </c>
      <c r="D2196" s="194" t="str">
        <f t="shared" si="1347"/>
        <v>VII</v>
      </c>
      <c r="E2196" s="143"/>
      <c r="F2196" s="144"/>
      <c r="G2196" s="144"/>
      <c r="H2196" s="145"/>
      <c r="I2196" s="145"/>
      <c r="J2196" s="436" t="s">
        <v>181</v>
      </c>
      <c r="K2196" s="437"/>
      <c r="L2196" s="438"/>
      <c r="M2196" s="145"/>
      <c r="N2196" s="146"/>
      <c r="O2196" s="147"/>
      <c r="P2196" s="148"/>
      <c r="Q2196" s="149"/>
      <c r="R2196" s="150"/>
      <c r="S2196" s="151"/>
      <c r="T2196" s="213">
        <f t="shared" si="1352"/>
        <v>43647</v>
      </c>
      <c r="U2196" s="214">
        <f t="shared" si="1353"/>
        <v>43677</v>
      </c>
      <c r="V2196" s="210">
        <f t="shared" si="1357"/>
        <v>0</v>
      </c>
      <c r="W2196" s="211"/>
      <c r="X2196" s="211">
        <f>IF(AND($V2196&gt;0,$I2196=1),IF($E2196=10,P2196/10,P2196/$V2196),0)</f>
        <v>0</v>
      </c>
      <c r="Y2196" s="212">
        <f>IF(AND($V2190&gt;0,$I2196&lt;&gt;1),Q2196/E2190*V2190,0)</f>
        <v>0</v>
      </c>
    </row>
    <row r="2197" spans="2:25" ht="15.75" thickTop="1" x14ac:dyDescent="0.25">
      <c r="B2197" s="129">
        <f>B2195+1</f>
        <v>31</v>
      </c>
      <c r="C2197" s="130">
        <v>211</v>
      </c>
      <c r="D2197" s="196" t="str">
        <f t="shared" si="1347"/>
        <v>VII</v>
      </c>
      <c r="E2197" s="152">
        <v>10</v>
      </c>
      <c r="F2197" s="153">
        <v>43697</v>
      </c>
      <c r="G2197" s="153">
        <v>43706</v>
      </c>
      <c r="H2197" s="154" t="s">
        <v>376</v>
      </c>
      <c r="I2197" s="154">
        <v>6</v>
      </c>
      <c r="J2197" s="152" t="s">
        <v>166</v>
      </c>
      <c r="K2197" s="155" t="s">
        <v>16</v>
      </c>
      <c r="L2197" s="154">
        <v>1</v>
      </c>
      <c r="M2197" s="154">
        <v>8</v>
      </c>
      <c r="N2197" s="156">
        <v>180</v>
      </c>
      <c r="O2197" s="157">
        <v>180</v>
      </c>
      <c r="P2197" s="158"/>
      <c r="Q2197" s="159">
        <v>180</v>
      </c>
      <c r="R2197" s="160" t="s">
        <v>4</v>
      </c>
      <c r="S2197" s="161">
        <v>43626</v>
      </c>
      <c r="T2197" s="203">
        <f t="shared" si="1352"/>
        <v>43647</v>
      </c>
      <c r="U2197" s="204">
        <f t="shared" si="1353"/>
        <v>43677</v>
      </c>
      <c r="V2197" s="207">
        <f>IF(G2197-F2197+1-IF(G2197-U2197&gt;0,G2197-U2197,0)-IF(T2197-F2197&gt;0,T2197-F2197,0)&gt;0,G2197-F2197+1-IF(G2197-U2197&gt;0,G2197-U2197,0)-IF(T2197-F2197&gt;0,T2197-F2197,0),0)</f>
        <v>0</v>
      </c>
      <c r="W2197" s="206" t="str">
        <f t="shared" ref="W2197:W2202" si="1358">IF(V2197&gt;0,H2197,"")</f>
        <v/>
      </c>
      <c r="X2197" s="206">
        <f t="shared" ref="X2197:X2202" si="1359">IF(AND($V2197&gt;0,$I2197=1),P2197/$E2197*$V2197,0)</f>
        <v>0</v>
      </c>
      <c r="Y2197" s="209">
        <f t="shared" ref="Y2197:Y2202" si="1360">IF(AND($V2197&gt;0,$I2197&lt;&gt;1),Q2197/$E2197*$V2197,0)</f>
        <v>0</v>
      </c>
    </row>
    <row r="2198" spans="2:25" x14ac:dyDescent="0.25">
      <c r="B2198" s="60">
        <f>B2197</f>
        <v>31</v>
      </c>
      <c r="C2198" s="102">
        <v>212</v>
      </c>
      <c r="D2198" s="192" t="str">
        <f t="shared" si="1347"/>
        <v>VII</v>
      </c>
      <c r="E2198" s="162">
        <v>10</v>
      </c>
      <c r="F2198" s="163">
        <v>43697</v>
      </c>
      <c r="G2198" s="163">
        <v>43706</v>
      </c>
      <c r="H2198" s="164" t="s">
        <v>377</v>
      </c>
      <c r="I2198" s="164">
        <v>6</v>
      </c>
      <c r="J2198" s="162" t="s">
        <v>166</v>
      </c>
      <c r="K2198" s="165" t="s">
        <v>16</v>
      </c>
      <c r="L2198" s="164">
        <v>1</v>
      </c>
      <c r="M2198" s="164">
        <v>8</v>
      </c>
      <c r="N2198" s="166">
        <v>180</v>
      </c>
      <c r="O2198" s="167">
        <v>180</v>
      </c>
      <c r="P2198" s="168"/>
      <c r="Q2198" s="169">
        <v>180</v>
      </c>
      <c r="R2198" s="170" t="s">
        <v>4</v>
      </c>
      <c r="S2198" s="171">
        <v>43626</v>
      </c>
      <c r="T2198" s="203">
        <f t="shared" si="1352"/>
        <v>43647</v>
      </c>
      <c r="U2198" s="204">
        <f t="shared" si="1353"/>
        <v>43677</v>
      </c>
      <c r="V2198" s="207">
        <f t="shared" ref="V2198:V2203" si="1361">IF(G2198-F2198+1-IF(G2198-U2198&gt;0,G2198-U2198,0)-IF(T2198-F2198&gt;0,T2198-F2198,0)&gt;0,G2198-F2198+1-IF(G2198-U2198&gt;0,G2198-U2198,0)-IF(T2198-F2198&gt;0,T2198-F2198,0),0)</f>
        <v>0</v>
      </c>
      <c r="W2198" s="206" t="str">
        <f t="shared" si="1358"/>
        <v/>
      </c>
      <c r="X2198" s="206">
        <f t="shared" si="1359"/>
        <v>0</v>
      </c>
      <c r="Y2198" s="209">
        <f t="shared" si="1360"/>
        <v>0</v>
      </c>
    </row>
    <row r="2199" spans="2:25" x14ac:dyDescent="0.25">
      <c r="B2199" s="60">
        <f>B2197</f>
        <v>31</v>
      </c>
      <c r="C2199" s="102">
        <v>213</v>
      </c>
      <c r="D2199" s="192" t="str">
        <f t="shared" si="1347"/>
        <v>VII</v>
      </c>
      <c r="E2199" s="162">
        <v>10</v>
      </c>
      <c r="F2199" s="163">
        <v>43697</v>
      </c>
      <c r="G2199" s="163">
        <v>43706</v>
      </c>
      <c r="H2199" s="164" t="s">
        <v>378</v>
      </c>
      <c r="I2199" s="164">
        <v>4</v>
      </c>
      <c r="J2199" s="162" t="s">
        <v>171</v>
      </c>
      <c r="K2199" s="165" t="s">
        <v>16</v>
      </c>
      <c r="L2199" s="164">
        <v>1</v>
      </c>
      <c r="M2199" s="164">
        <v>8</v>
      </c>
      <c r="N2199" s="166">
        <v>45</v>
      </c>
      <c r="O2199" s="167">
        <v>45</v>
      </c>
      <c r="P2199" s="168"/>
      <c r="Q2199" s="169">
        <v>45</v>
      </c>
      <c r="R2199" s="170" t="s">
        <v>4</v>
      </c>
      <c r="S2199" s="171">
        <v>43626</v>
      </c>
      <c r="T2199" s="203">
        <f t="shared" si="1352"/>
        <v>43647</v>
      </c>
      <c r="U2199" s="204">
        <f t="shared" si="1353"/>
        <v>43677</v>
      </c>
      <c r="V2199" s="207">
        <f t="shared" si="1361"/>
        <v>0</v>
      </c>
      <c r="W2199" s="206" t="str">
        <f t="shared" si="1358"/>
        <v/>
      </c>
      <c r="X2199" s="206">
        <f t="shared" si="1359"/>
        <v>0</v>
      </c>
      <c r="Y2199" s="209">
        <f t="shared" si="1360"/>
        <v>0</v>
      </c>
    </row>
    <row r="2200" spans="2:25" hidden="1" x14ac:dyDescent="0.25">
      <c r="B2200" s="60">
        <f>B2197</f>
        <v>31</v>
      </c>
      <c r="C2200" s="102">
        <v>214</v>
      </c>
      <c r="D2200" s="192" t="str">
        <f t="shared" si="1347"/>
        <v>VII</v>
      </c>
      <c r="E2200" s="162"/>
      <c r="F2200" s="163"/>
      <c r="G2200" s="163"/>
      <c r="H2200" s="164"/>
      <c r="I2200" s="164"/>
      <c r="J2200" s="162"/>
      <c r="K2200" s="165"/>
      <c r="L2200" s="164"/>
      <c r="M2200" s="164"/>
      <c r="N2200" s="166"/>
      <c r="O2200" s="167"/>
      <c r="P2200" s="168"/>
      <c r="Q2200" s="169"/>
      <c r="R2200" s="170"/>
      <c r="S2200" s="171"/>
      <c r="T2200" s="203">
        <f t="shared" si="1352"/>
        <v>43647</v>
      </c>
      <c r="U2200" s="204">
        <f t="shared" si="1353"/>
        <v>43677</v>
      </c>
      <c r="V2200" s="207">
        <f t="shared" si="1361"/>
        <v>0</v>
      </c>
      <c r="W2200" s="206" t="str">
        <f t="shared" si="1358"/>
        <v/>
      </c>
      <c r="X2200" s="206">
        <f t="shared" si="1359"/>
        <v>0</v>
      </c>
      <c r="Y2200" s="209">
        <f t="shared" si="1360"/>
        <v>0</v>
      </c>
    </row>
    <row r="2201" spans="2:25" hidden="1" x14ac:dyDescent="0.25">
      <c r="B2201" s="60">
        <f>B2197</f>
        <v>31</v>
      </c>
      <c r="C2201" s="102">
        <v>215</v>
      </c>
      <c r="D2201" s="192" t="str">
        <f t="shared" si="1347"/>
        <v>VII</v>
      </c>
      <c r="E2201" s="162"/>
      <c r="F2201" s="163"/>
      <c r="G2201" s="163"/>
      <c r="H2201" s="164"/>
      <c r="I2201" s="164"/>
      <c r="J2201" s="162"/>
      <c r="K2201" s="165"/>
      <c r="L2201" s="164"/>
      <c r="M2201" s="164"/>
      <c r="N2201" s="166"/>
      <c r="O2201" s="167"/>
      <c r="P2201" s="168"/>
      <c r="Q2201" s="169"/>
      <c r="R2201" s="170"/>
      <c r="S2201" s="171"/>
      <c r="T2201" s="203">
        <f t="shared" si="1352"/>
        <v>43647</v>
      </c>
      <c r="U2201" s="204">
        <f t="shared" si="1353"/>
        <v>43677</v>
      </c>
      <c r="V2201" s="207">
        <f t="shared" si="1361"/>
        <v>0</v>
      </c>
      <c r="W2201" s="206" t="str">
        <f t="shared" si="1358"/>
        <v/>
      </c>
      <c r="X2201" s="206">
        <f t="shared" si="1359"/>
        <v>0</v>
      </c>
      <c r="Y2201" s="209">
        <f t="shared" si="1360"/>
        <v>0</v>
      </c>
    </row>
    <row r="2202" spans="2:25" hidden="1" x14ac:dyDescent="0.25">
      <c r="B2202" s="60">
        <f>B2197</f>
        <v>31</v>
      </c>
      <c r="C2202" s="102">
        <v>216</v>
      </c>
      <c r="D2202" s="192" t="str">
        <f t="shared" si="1347"/>
        <v>VII</v>
      </c>
      <c r="E2202" s="172"/>
      <c r="F2202" s="173"/>
      <c r="G2202" s="173"/>
      <c r="H2202" s="174"/>
      <c r="I2202" s="174"/>
      <c r="J2202" s="172"/>
      <c r="K2202" s="175"/>
      <c r="L2202" s="174"/>
      <c r="M2202" s="174"/>
      <c r="N2202" s="176"/>
      <c r="O2202" s="177"/>
      <c r="P2202" s="178"/>
      <c r="Q2202" s="179"/>
      <c r="R2202" s="180"/>
      <c r="S2202" s="181"/>
      <c r="T2202" s="203">
        <f t="shared" si="1352"/>
        <v>43647</v>
      </c>
      <c r="U2202" s="204">
        <f t="shared" si="1353"/>
        <v>43677</v>
      </c>
      <c r="V2202" s="207">
        <f t="shared" si="1361"/>
        <v>0</v>
      </c>
      <c r="W2202" s="206" t="str">
        <f t="shared" si="1358"/>
        <v/>
      </c>
      <c r="X2202" s="206">
        <f t="shared" si="1359"/>
        <v>0</v>
      </c>
      <c r="Y2202" s="209">
        <f t="shared" si="1360"/>
        <v>0</v>
      </c>
    </row>
    <row r="2203" spans="2:25" ht="15.75" thickBot="1" x14ac:dyDescent="0.3">
      <c r="B2203" s="141">
        <f>B2197</f>
        <v>31</v>
      </c>
      <c r="C2203" s="142">
        <v>217</v>
      </c>
      <c r="D2203" s="194" t="str">
        <f t="shared" si="1347"/>
        <v>VII</v>
      </c>
      <c r="E2203" s="189"/>
      <c r="F2203" s="190"/>
      <c r="G2203" s="190"/>
      <c r="H2203" s="182"/>
      <c r="I2203" s="182"/>
      <c r="J2203" s="436" t="s">
        <v>181</v>
      </c>
      <c r="K2203" s="437"/>
      <c r="L2203" s="438"/>
      <c r="M2203" s="182"/>
      <c r="N2203" s="183">
        <v>10</v>
      </c>
      <c r="O2203" s="184">
        <v>10</v>
      </c>
      <c r="P2203" s="185"/>
      <c r="Q2203" s="186">
        <v>10</v>
      </c>
      <c r="R2203" s="187" t="s">
        <v>4</v>
      </c>
      <c r="S2203" s="188">
        <v>43626</v>
      </c>
      <c r="T2203" s="213">
        <f t="shared" si="1352"/>
        <v>43647</v>
      </c>
      <c r="U2203" s="214">
        <f t="shared" si="1353"/>
        <v>43677</v>
      </c>
      <c r="V2203" s="210">
        <f t="shared" si="1361"/>
        <v>0</v>
      </c>
      <c r="W2203" s="211"/>
      <c r="X2203" s="211">
        <f>IF(AND($V2203&gt;0,$I2203=1),IF($E2203=10,P2203/10,P2203/$V2203),0)</f>
        <v>0</v>
      </c>
      <c r="Y2203" s="212">
        <f>IF(AND($V2197&gt;0,$I2203&lt;&gt;1),Q2203/E2197*V2197,0)</f>
        <v>0</v>
      </c>
    </row>
    <row r="2204" spans="2:25" ht="16.5" hidden="1" thickTop="1" thickBot="1" x14ac:dyDescent="0.3">
      <c r="B2204" s="129">
        <f>B2202+1</f>
        <v>32</v>
      </c>
      <c r="C2204" s="130">
        <v>218</v>
      </c>
      <c r="D2204" s="196" t="str">
        <f t="shared" si="1347"/>
        <v>VII</v>
      </c>
      <c r="E2204" s="131"/>
      <c r="F2204" s="132"/>
      <c r="G2204" s="132"/>
      <c r="H2204" s="133"/>
      <c r="I2204" s="133"/>
      <c r="J2204" s="131"/>
      <c r="K2204" s="134"/>
      <c r="L2204" s="133"/>
      <c r="M2204" s="133"/>
      <c r="N2204" s="135"/>
      <c r="O2204" s="136"/>
      <c r="P2204" s="137"/>
      <c r="Q2204" s="138"/>
      <c r="R2204" s="139"/>
      <c r="S2204" s="140"/>
      <c r="T2204" s="203">
        <f t="shared" si="1352"/>
        <v>43647</v>
      </c>
      <c r="U2204" s="204">
        <f t="shared" si="1353"/>
        <v>43677</v>
      </c>
      <c r="V2204" s="207">
        <f>IF(G2204-F2204+1-IF(G2204-U2204&gt;0,G2204-U2204,0)-IF(T2204-F2204&gt;0,T2204-F2204,0)&gt;0,G2204-F2204+1-IF(G2204-U2204&gt;0,G2204-U2204,0)-IF(T2204-F2204&gt;0,T2204-F2204,0),0)</f>
        <v>0</v>
      </c>
      <c r="W2204" s="206" t="str">
        <f t="shared" ref="W2204:W2209" si="1362">IF(V2204&gt;0,H2204,"")</f>
        <v/>
      </c>
      <c r="X2204" s="206">
        <f t="shared" ref="X2204:X2209" si="1363">IF(AND($V2204&gt;0,$I2204=1),P2204/$E2204*$V2204,0)</f>
        <v>0</v>
      </c>
      <c r="Y2204" s="209">
        <f t="shared" ref="Y2204:Y2209" si="1364">IF(AND($V2204&gt;0,$I2204&lt;&gt;1),Q2204/$E2204*$V2204,0)</f>
        <v>0</v>
      </c>
    </row>
    <row r="2205" spans="2:25" ht="16.5" hidden="1" thickTop="1" thickBot="1" x14ac:dyDescent="0.3">
      <c r="B2205" s="60">
        <f>B2204</f>
        <v>32</v>
      </c>
      <c r="C2205" s="102">
        <v>219</v>
      </c>
      <c r="D2205" s="192" t="str">
        <f t="shared" si="1347"/>
        <v>VII</v>
      </c>
      <c r="E2205" s="62"/>
      <c r="F2205" s="105"/>
      <c r="G2205" s="105"/>
      <c r="H2205" s="61"/>
      <c r="I2205" s="61"/>
      <c r="J2205" s="62"/>
      <c r="K2205" s="63"/>
      <c r="L2205" s="61"/>
      <c r="M2205" s="61"/>
      <c r="N2205" s="111"/>
      <c r="O2205" s="112"/>
      <c r="P2205" s="113"/>
      <c r="Q2205" s="114"/>
      <c r="R2205" s="64"/>
      <c r="S2205" s="108"/>
      <c r="T2205" s="203">
        <f t="shared" si="1352"/>
        <v>43647</v>
      </c>
      <c r="U2205" s="204">
        <f t="shared" si="1353"/>
        <v>43677</v>
      </c>
      <c r="V2205" s="207">
        <f t="shared" ref="V2205:V2210" si="1365">IF(G2205-F2205+1-IF(G2205-U2205&gt;0,G2205-U2205,0)-IF(T2205-F2205&gt;0,T2205-F2205,0)&gt;0,G2205-F2205+1-IF(G2205-U2205&gt;0,G2205-U2205,0)-IF(T2205-F2205&gt;0,T2205-F2205,0),0)</f>
        <v>0</v>
      </c>
      <c r="W2205" s="206" t="str">
        <f t="shared" si="1362"/>
        <v/>
      </c>
      <c r="X2205" s="206">
        <f t="shared" si="1363"/>
        <v>0</v>
      </c>
      <c r="Y2205" s="209">
        <f t="shared" si="1364"/>
        <v>0</v>
      </c>
    </row>
    <row r="2206" spans="2:25" ht="16.5" hidden="1" thickTop="1" thickBot="1" x14ac:dyDescent="0.3">
      <c r="B2206" s="60">
        <f>B2204</f>
        <v>32</v>
      </c>
      <c r="C2206" s="102">
        <v>220</v>
      </c>
      <c r="D2206" s="192" t="str">
        <f t="shared" si="1347"/>
        <v>VII</v>
      </c>
      <c r="E2206" s="62"/>
      <c r="F2206" s="105"/>
      <c r="G2206" s="105"/>
      <c r="H2206" s="61"/>
      <c r="I2206" s="61"/>
      <c r="J2206" s="62"/>
      <c r="K2206" s="63"/>
      <c r="L2206" s="61"/>
      <c r="M2206" s="61"/>
      <c r="N2206" s="111"/>
      <c r="O2206" s="112"/>
      <c r="P2206" s="113"/>
      <c r="Q2206" s="114"/>
      <c r="R2206" s="64"/>
      <c r="S2206" s="108"/>
      <c r="T2206" s="203">
        <f t="shared" si="1352"/>
        <v>43647</v>
      </c>
      <c r="U2206" s="204">
        <f t="shared" si="1353"/>
        <v>43677</v>
      </c>
      <c r="V2206" s="207">
        <f t="shared" si="1365"/>
        <v>0</v>
      </c>
      <c r="W2206" s="206" t="str">
        <f t="shared" si="1362"/>
        <v/>
      </c>
      <c r="X2206" s="206">
        <f t="shared" si="1363"/>
        <v>0</v>
      </c>
      <c r="Y2206" s="209">
        <f t="shared" si="1364"/>
        <v>0</v>
      </c>
    </row>
    <row r="2207" spans="2:25" ht="16.5" hidden="1" thickTop="1" thickBot="1" x14ac:dyDescent="0.3">
      <c r="B2207" s="60">
        <f>B2204</f>
        <v>32</v>
      </c>
      <c r="C2207" s="102">
        <v>221</v>
      </c>
      <c r="D2207" s="192" t="str">
        <f t="shared" si="1347"/>
        <v>VII</v>
      </c>
      <c r="E2207" s="62"/>
      <c r="F2207" s="105"/>
      <c r="G2207" s="105"/>
      <c r="H2207" s="61"/>
      <c r="I2207" s="61"/>
      <c r="J2207" s="62"/>
      <c r="K2207" s="63"/>
      <c r="L2207" s="61"/>
      <c r="M2207" s="61"/>
      <c r="N2207" s="111"/>
      <c r="O2207" s="112"/>
      <c r="P2207" s="113"/>
      <c r="Q2207" s="114"/>
      <c r="R2207" s="64"/>
      <c r="S2207" s="108"/>
      <c r="T2207" s="203">
        <f t="shared" si="1352"/>
        <v>43647</v>
      </c>
      <c r="U2207" s="204">
        <f t="shared" si="1353"/>
        <v>43677</v>
      </c>
      <c r="V2207" s="207">
        <f t="shared" si="1365"/>
        <v>0</v>
      </c>
      <c r="W2207" s="206" t="str">
        <f t="shared" si="1362"/>
        <v/>
      </c>
      <c r="X2207" s="206">
        <f t="shared" si="1363"/>
        <v>0</v>
      </c>
      <c r="Y2207" s="209">
        <f t="shared" si="1364"/>
        <v>0</v>
      </c>
    </row>
    <row r="2208" spans="2:25" ht="16.5" hidden="1" thickTop="1" thickBot="1" x14ac:dyDescent="0.3">
      <c r="B2208" s="60">
        <f>B2204</f>
        <v>32</v>
      </c>
      <c r="C2208" s="102">
        <v>222</v>
      </c>
      <c r="D2208" s="192" t="str">
        <f t="shared" si="1347"/>
        <v>VII</v>
      </c>
      <c r="E2208" s="62"/>
      <c r="F2208" s="105"/>
      <c r="G2208" s="105"/>
      <c r="H2208" s="61"/>
      <c r="I2208" s="61"/>
      <c r="J2208" s="62"/>
      <c r="K2208" s="63"/>
      <c r="L2208" s="61"/>
      <c r="M2208" s="61"/>
      <c r="N2208" s="111"/>
      <c r="O2208" s="112"/>
      <c r="P2208" s="113"/>
      <c r="Q2208" s="114"/>
      <c r="R2208" s="64"/>
      <c r="S2208" s="108"/>
      <c r="T2208" s="203">
        <f t="shared" si="1352"/>
        <v>43647</v>
      </c>
      <c r="U2208" s="204">
        <f t="shared" si="1353"/>
        <v>43677</v>
      </c>
      <c r="V2208" s="207">
        <f t="shared" si="1365"/>
        <v>0</v>
      </c>
      <c r="W2208" s="206" t="str">
        <f t="shared" si="1362"/>
        <v/>
      </c>
      <c r="X2208" s="206">
        <f t="shared" si="1363"/>
        <v>0</v>
      </c>
      <c r="Y2208" s="209">
        <f t="shared" si="1364"/>
        <v>0</v>
      </c>
    </row>
    <row r="2209" spans="2:25" ht="16.5" hidden="1" thickTop="1" thickBot="1" x14ac:dyDescent="0.3">
      <c r="B2209" s="60">
        <f>B2204</f>
        <v>32</v>
      </c>
      <c r="C2209" s="102">
        <v>223</v>
      </c>
      <c r="D2209" s="192" t="str">
        <f t="shared" si="1347"/>
        <v>VII</v>
      </c>
      <c r="E2209" s="62"/>
      <c r="F2209" s="105"/>
      <c r="G2209" s="105"/>
      <c r="H2209" s="61"/>
      <c r="I2209" s="61"/>
      <c r="J2209" s="62"/>
      <c r="K2209" s="63"/>
      <c r="L2209" s="61"/>
      <c r="M2209" s="61"/>
      <c r="N2209" s="111"/>
      <c r="O2209" s="112"/>
      <c r="P2209" s="113"/>
      <c r="Q2209" s="114"/>
      <c r="R2209" s="64"/>
      <c r="S2209" s="108"/>
      <c r="T2209" s="203">
        <f t="shared" si="1352"/>
        <v>43647</v>
      </c>
      <c r="U2209" s="204">
        <f t="shared" si="1353"/>
        <v>43677</v>
      </c>
      <c r="V2209" s="207">
        <f t="shared" si="1365"/>
        <v>0</v>
      </c>
      <c r="W2209" s="206" t="str">
        <f t="shared" si="1362"/>
        <v/>
      </c>
      <c r="X2209" s="206">
        <f t="shared" si="1363"/>
        <v>0</v>
      </c>
      <c r="Y2209" s="209">
        <f t="shared" si="1364"/>
        <v>0</v>
      </c>
    </row>
    <row r="2210" spans="2:25" ht="16.5" hidden="1" thickTop="1" thickBot="1" x14ac:dyDescent="0.3">
      <c r="B2210" s="141">
        <f>B2204</f>
        <v>32</v>
      </c>
      <c r="C2210" s="142">
        <v>224</v>
      </c>
      <c r="D2210" s="194" t="str">
        <f t="shared" si="1347"/>
        <v>VII</v>
      </c>
      <c r="E2210" s="143"/>
      <c r="F2210" s="144"/>
      <c r="G2210" s="144"/>
      <c r="H2210" s="145"/>
      <c r="I2210" s="145"/>
      <c r="J2210" s="436" t="s">
        <v>181</v>
      </c>
      <c r="K2210" s="437"/>
      <c r="L2210" s="438"/>
      <c r="M2210" s="145"/>
      <c r="N2210" s="146"/>
      <c r="O2210" s="147"/>
      <c r="P2210" s="148"/>
      <c r="Q2210" s="149"/>
      <c r="R2210" s="150"/>
      <c r="S2210" s="151"/>
      <c r="T2210" s="213">
        <f t="shared" si="1352"/>
        <v>43647</v>
      </c>
      <c r="U2210" s="214">
        <f t="shared" si="1353"/>
        <v>43677</v>
      </c>
      <c r="V2210" s="210">
        <f t="shared" si="1365"/>
        <v>0</v>
      </c>
      <c r="W2210" s="211"/>
      <c r="X2210" s="211">
        <f>IF(AND($V2210&gt;0,$I2210=1),IF($E2210=10,P2210/10,P2210/$V2210),0)</f>
        <v>0</v>
      </c>
      <c r="Y2210" s="212">
        <f>IF(AND($V2204&gt;0,$I2210&lt;&gt;1),Q2210/E2204*V2204,0)</f>
        <v>0</v>
      </c>
    </row>
    <row r="2211" spans="2:25" ht="30.75" thickTop="1" x14ac:dyDescent="0.25">
      <c r="B2211" s="129">
        <f>B2209+1</f>
        <v>33</v>
      </c>
      <c r="C2211" s="130">
        <v>225</v>
      </c>
      <c r="D2211" s="196" t="str">
        <f t="shared" si="1347"/>
        <v>VII</v>
      </c>
      <c r="E2211" s="152">
        <v>10</v>
      </c>
      <c r="F2211" s="153">
        <v>43697</v>
      </c>
      <c r="G2211" s="153">
        <v>43706</v>
      </c>
      <c r="H2211" s="154" t="s">
        <v>396</v>
      </c>
      <c r="I2211" s="154">
        <v>1</v>
      </c>
      <c r="J2211" s="152" t="s">
        <v>168</v>
      </c>
      <c r="K2211" s="155" t="s">
        <v>16</v>
      </c>
      <c r="L2211" s="154">
        <v>1</v>
      </c>
      <c r="M2211" s="154">
        <v>8</v>
      </c>
      <c r="N2211" s="156">
        <v>75</v>
      </c>
      <c r="O2211" s="157">
        <v>75</v>
      </c>
      <c r="P2211" s="158">
        <v>75</v>
      </c>
      <c r="Q2211" s="159"/>
      <c r="R2211" s="160" t="s">
        <v>4</v>
      </c>
      <c r="S2211" s="161">
        <v>43675</v>
      </c>
      <c r="T2211" s="203">
        <f t="shared" si="1352"/>
        <v>43647</v>
      </c>
      <c r="U2211" s="204">
        <f t="shared" si="1353"/>
        <v>43677</v>
      </c>
      <c r="V2211" s="207">
        <f>IF(G2211-F2211+1-IF(G2211-U2211&gt;0,G2211-U2211,0)-IF(T2211-F2211&gt;0,T2211-F2211,0)&gt;0,G2211-F2211+1-IF(G2211-U2211&gt;0,G2211-U2211,0)-IF(T2211-F2211&gt;0,T2211-F2211,0),0)</f>
        <v>0</v>
      </c>
      <c r="W2211" s="206" t="str">
        <f t="shared" ref="W2211:W2216" si="1366">IF(V2211&gt;0,H2211,"")</f>
        <v/>
      </c>
      <c r="X2211" s="206">
        <f t="shared" ref="X2211:X2216" si="1367">IF(AND($V2211&gt;0,$I2211=1),P2211/$E2211*$V2211,0)</f>
        <v>0</v>
      </c>
      <c r="Y2211" s="209">
        <f t="shared" ref="Y2211:Y2216" si="1368">IF(AND($V2211&gt;0,$I2211&lt;&gt;1),Q2211/$E2211*$V2211,0)</f>
        <v>0</v>
      </c>
    </row>
    <row r="2212" spans="2:25" ht="45" x14ac:dyDescent="0.25">
      <c r="B2212" s="60">
        <f>B2211</f>
        <v>33</v>
      </c>
      <c r="C2212" s="102">
        <v>226</v>
      </c>
      <c r="D2212" s="192" t="str">
        <f t="shared" si="1347"/>
        <v>VII</v>
      </c>
      <c r="E2212" s="162">
        <v>10</v>
      </c>
      <c r="F2212" s="163">
        <v>43697</v>
      </c>
      <c r="G2212" s="163">
        <v>43706</v>
      </c>
      <c r="H2212" s="164" t="s">
        <v>397</v>
      </c>
      <c r="I2212" s="164">
        <v>2</v>
      </c>
      <c r="J2212" s="162" t="s">
        <v>167</v>
      </c>
      <c r="K2212" s="165" t="s">
        <v>16</v>
      </c>
      <c r="L2212" s="164">
        <v>1</v>
      </c>
      <c r="M2212" s="164">
        <v>8</v>
      </c>
      <c r="N2212" s="166">
        <v>90</v>
      </c>
      <c r="O2212" s="167">
        <v>90</v>
      </c>
      <c r="P2212" s="168"/>
      <c r="Q2212" s="169">
        <v>90</v>
      </c>
      <c r="R2212" s="170" t="s">
        <v>4</v>
      </c>
      <c r="S2212" s="171">
        <v>43675</v>
      </c>
      <c r="T2212" s="203">
        <f t="shared" si="1352"/>
        <v>43647</v>
      </c>
      <c r="U2212" s="204">
        <f t="shared" si="1353"/>
        <v>43677</v>
      </c>
      <c r="V2212" s="207">
        <f t="shared" ref="V2212:V2217" si="1369">IF(G2212-F2212+1-IF(G2212-U2212&gt;0,G2212-U2212,0)-IF(T2212-F2212&gt;0,T2212-F2212,0)&gt;0,G2212-F2212+1-IF(G2212-U2212&gt;0,G2212-U2212,0)-IF(T2212-F2212&gt;0,T2212-F2212,0),0)</f>
        <v>0</v>
      </c>
      <c r="W2212" s="206" t="str">
        <f t="shared" si="1366"/>
        <v/>
      </c>
      <c r="X2212" s="206">
        <f t="shared" si="1367"/>
        <v>0</v>
      </c>
      <c r="Y2212" s="209">
        <f t="shared" si="1368"/>
        <v>0</v>
      </c>
    </row>
    <row r="2213" spans="2:25" x14ac:dyDescent="0.25">
      <c r="B2213" s="60">
        <f>B2211</f>
        <v>33</v>
      </c>
      <c r="C2213" s="102">
        <v>227</v>
      </c>
      <c r="D2213" s="192" t="str">
        <f t="shared" si="1347"/>
        <v>VII</v>
      </c>
      <c r="E2213" s="162">
        <v>10</v>
      </c>
      <c r="F2213" s="163">
        <v>43697</v>
      </c>
      <c r="G2213" s="163">
        <v>43706</v>
      </c>
      <c r="H2213" s="164" t="s">
        <v>398</v>
      </c>
      <c r="I2213" s="164">
        <v>5</v>
      </c>
      <c r="J2213" s="162" t="s">
        <v>172</v>
      </c>
      <c r="K2213" s="165" t="s">
        <v>16</v>
      </c>
      <c r="L2213" s="164">
        <v>1</v>
      </c>
      <c r="M2213" s="164">
        <v>8</v>
      </c>
      <c r="N2213" s="166">
        <v>90</v>
      </c>
      <c r="O2213" s="167">
        <v>90</v>
      </c>
      <c r="P2213" s="168"/>
      <c r="Q2213" s="169">
        <v>90</v>
      </c>
      <c r="R2213" s="170" t="s">
        <v>4</v>
      </c>
      <c r="S2213" s="171">
        <v>43675</v>
      </c>
      <c r="T2213" s="203">
        <f t="shared" si="1352"/>
        <v>43647</v>
      </c>
      <c r="U2213" s="204">
        <f t="shared" si="1353"/>
        <v>43677</v>
      </c>
      <c r="V2213" s="207">
        <f t="shared" si="1369"/>
        <v>0</v>
      </c>
      <c r="W2213" s="206" t="str">
        <f t="shared" si="1366"/>
        <v/>
      </c>
      <c r="X2213" s="206">
        <f t="shared" si="1367"/>
        <v>0</v>
      </c>
      <c r="Y2213" s="209">
        <f t="shared" si="1368"/>
        <v>0</v>
      </c>
    </row>
    <row r="2214" spans="2:25" hidden="1" x14ac:dyDescent="0.25">
      <c r="B2214" s="60">
        <f>B2211</f>
        <v>33</v>
      </c>
      <c r="C2214" s="102">
        <v>228</v>
      </c>
      <c r="D2214" s="192" t="str">
        <f t="shared" si="1347"/>
        <v>VII</v>
      </c>
      <c r="E2214" s="162"/>
      <c r="F2214" s="163"/>
      <c r="G2214" s="163"/>
      <c r="H2214" s="164"/>
      <c r="I2214" s="164"/>
      <c r="J2214" s="162"/>
      <c r="K2214" s="165"/>
      <c r="L2214" s="164"/>
      <c r="M2214" s="164"/>
      <c r="N2214" s="166"/>
      <c r="O2214" s="167"/>
      <c r="P2214" s="168"/>
      <c r="Q2214" s="169"/>
      <c r="R2214" s="170"/>
      <c r="S2214" s="171"/>
      <c r="T2214" s="203">
        <f t="shared" si="1352"/>
        <v>43647</v>
      </c>
      <c r="U2214" s="204">
        <f t="shared" si="1353"/>
        <v>43677</v>
      </c>
      <c r="V2214" s="207">
        <f t="shared" si="1369"/>
        <v>0</v>
      </c>
      <c r="W2214" s="206" t="str">
        <f t="shared" si="1366"/>
        <v/>
      </c>
      <c r="X2214" s="206">
        <f t="shared" si="1367"/>
        <v>0</v>
      </c>
      <c r="Y2214" s="209">
        <f t="shared" si="1368"/>
        <v>0</v>
      </c>
    </row>
    <row r="2215" spans="2:25" hidden="1" x14ac:dyDescent="0.25">
      <c r="B2215" s="60">
        <f>B2211</f>
        <v>33</v>
      </c>
      <c r="C2215" s="102">
        <v>229</v>
      </c>
      <c r="D2215" s="192" t="str">
        <f t="shared" si="1347"/>
        <v>VII</v>
      </c>
      <c r="E2215" s="162"/>
      <c r="F2215" s="163"/>
      <c r="G2215" s="163"/>
      <c r="H2215" s="164"/>
      <c r="I2215" s="164"/>
      <c r="J2215" s="162"/>
      <c r="K2215" s="165"/>
      <c r="L2215" s="164"/>
      <c r="M2215" s="164"/>
      <c r="N2215" s="166"/>
      <c r="O2215" s="167"/>
      <c r="P2215" s="168"/>
      <c r="Q2215" s="169"/>
      <c r="R2215" s="170"/>
      <c r="S2215" s="171"/>
      <c r="T2215" s="203">
        <f t="shared" si="1352"/>
        <v>43647</v>
      </c>
      <c r="U2215" s="204">
        <f t="shared" si="1353"/>
        <v>43677</v>
      </c>
      <c r="V2215" s="207">
        <f t="shared" si="1369"/>
        <v>0</v>
      </c>
      <c r="W2215" s="206" t="str">
        <f t="shared" si="1366"/>
        <v/>
      </c>
      <c r="X2215" s="206">
        <f t="shared" si="1367"/>
        <v>0</v>
      </c>
      <c r="Y2215" s="209">
        <f t="shared" si="1368"/>
        <v>0</v>
      </c>
    </row>
    <row r="2216" spans="2:25" hidden="1" x14ac:dyDescent="0.25">
      <c r="B2216" s="60">
        <f>B2211</f>
        <v>33</v>
      </c>
      <c r="C2216" s="102">
        <v>230</v>
      </c>
      <c r="D2216" s="192" t="str">
        <f t="shared" si="1347"/>
        <v>VII</v>
      </c>
      <c r="E2216" s="172"/>
      <c r="F2216" s="173"/>
      <c r="G2216" s="173"/>
      <c r="H2216" s="174"/>
      <c r="I2216" s="174"/>
      <c r="J2216" s="172"/>
      <c r="K2216" s="175"/>
      <c r="L2216" s="174"/>
      <c r="M2216" s="174"/>
      <c r="N2216" s="176"/>
      <c r="O2216" s="177"/>
      <c r="P2216" s="178"/>
      <c r="Q2216" s="179"/>
      <c r="R2216" s="180"/>
      <c r="S2216" s="181"/>
      <c r="T2216" s="203">
        <f t="shared" si="1352"/>
        <v>43647</v>
      </c>
      <c r="U2216" s="204">
        <f t="shared" si="1353"/>
        <v>43677</v>
      </c>
      <c r="V2216" s="207">
        <f t="shared" si="1369"/>
        <v>0</v>
      </c>
      <c r="W2216" s="206" t="str">
        <f t="shared" si="1366"/>
        <v/>
      </c>
      <c r="X2216" s="206">
        <f t="shared" si="1367"/>
        <v>0</v>
      </c>
      <c r="Y2216" s="209">
        <f t="shared" si="1368"/>
        <v>0</v>
      </c>
    </row>
    <row r="2217" spans="2:25" ht="15.75" thickBot="1" x14ac:dyDescent="0.3">
      <c r="B2217" s="141">
        <f>B2211</f>
        <v>33</v>
      </c>
      <c r="C2217" s="142">
        <v>231</v>
      </c>
      <c r="D2217" s="194" t="str">
        <f t="shared" si="1347"/>
        <v>VII</v>
      </c>
      <c r="E2217" s="189"/>
      <c r="F2217" s="190"/>
      <c r="G2217" s="190"/>
      <c r="H2217" s="182"/>
      <c r="I2217" s="182"/>
      <c r="J2217" s="436" t="s">
        <v>181</v>
      </c>
      <c r="K2217" s="437"/>
      <c r="L2217" s="438"/>
      <c r="M2217" s="182"/>
      <c r="N2217" s="183">
        <v>10</v>
      </c>
      <c r="O2217" s="184">
        <v>10</v>
      </c>
      <c r="P2217" s="185"/>
      <c r="Q2217" s="186">
        <v>10</v>
      </c>
      <c r="R2217" s="187" t="s">
        <v>4</v>
      </c>
      <c r="S2217" s="188">
        <v>43675</v>
      </c>
      <c r="T2217" s="213">
        <f t="shared" si="1352"/>
        <v>43647</v>
      </c>
      <c r="U2217" s="214">
        <f t="shared" si="1353"/>
        <v>43677</v>
      </c>
      <c r="V2217" s="210">
        <f t="shared" si="1369"/>
        <v>0</v>
      </c>
      <c r="W2217" s="211"/>
      <c r="X2217" s="211">
        <f>IF(AND($V2217&gt;0,$I2217=1),IF($E2217=10,P2217/10,P2217/$V2217),0)</f>
        <v>0</v>
      </c>
      <c r="Y2217" s="212">
        <f>IF(AND($V2211&gt;0,$I2217&lt;&gt;1),Q2217/E2211*V2211,0)</f>
        <v>0</v>
      </c>
    </row>
    <row r="2218" spans="2:25" ht="16.5" hidden="1" thickTop="1" thickBot="1" x14ac:dyDescent="0.3">
      <c r="B2218" s="129">
        <f>B2216+1</f>
        <v>34</v>
      </c>
      <c r="C2218" s="130">
        <v>232</v>
      </c>
      <c r="D2218" s="196" t="str">
        <f t="shared" si="1347"/>
        <v>VII</v>
      </c>
      <c r="E2218" s="131"/>
      <c r="F2218" s="132"/>
      <c r="G2218" s="132"/>
      <c r="H2218" s="133"/>
      <c r="I2218" s="133"/>
      <c r="J2218" s="131"/>
      <c r="K2218" s="134"/>
      <c r="L2218" s="133"/>
      <c r="M2218" s="133"/>
      <c r="N2218" s="135"/>
      <c r="O2218" s="136"/>
      <c r="P2218" s="137"/>
      <c r="Q2218" s="138"/>
      <c r="R2218" s="139"/>
      <c r="S2218" s="140"/>
      <c r="T2218" s="203">
        <f t="shared" si="1352"/>
        <v>43647</v>
      </c>
      <c r="U2218" s="204">
        <f t="shared" si="1353"/>
        <v>43677</v>
      </c>
      <c r="V2218" s="207">
        <f>IF(G2218-F2218+1-IF(G2218-U2218&gt;0,G2218-U2218,0)-IF(T2218-F2218&gt;0,T2218-F2218,0)&gt;0,G2218-F2218+1-IF(G2218-U2218&gt;0,G2218-U2218,0)-IF(T2218-F2218&gt;0,T2218-F2218,0),0)</f>
        <v>0</v>
      </c>
      <c r="W2218" s="206" t="str">
        <f t="shared" ref="W2218:W2223" si="1370">IF(V2218&gt;0,H2218,"")</f>
        <v/>
      </c>
      <c r="X2218" s="206">
        <f t="shared" ref="X2218:X2223" si="1371">IF(AND($V2218&gt;0,$I2218=1),P2218/$E2218*$V2218,0)</f>
        <v>0</v>
      </c>
      <c r="Y2218" s="209">
        <f t="shared" ref="Y2218:Y2223" si="1372">IF(AND($V2218&gt;0,$I2218&lt;&gt;1),Q2218/$E2218*$V2218,0)</f>
        <v>0</v>
      </c>
    </row>
    <row r="2219" spans="2:25" ht="16.5" hidden="1" thickTop="1" thickBot="1" x14ac:dyDescent="0.3">
      <c r="B2219" s="60">
        <f>B2218</f>
        <v>34</v>
      </c>
      <c r="C2219" s="102">
        <v>233</v>
      </c>
      <c r="D2219" s="192" t="str">
        <f t="shared" si="1347"/>
        <v>VII</v>
      </c>
      <c r="E2219" s="62"/>
      <c r="F2219" s="105"/>
      <c r="G2219" s="105"/>
      <c r="H2219" s="61"/>
      <c r="I2219" s="61"/>
      <c r="J2219" s="62"/>
      <c r="K2219" s="63"/>
      <c r="L2219" s="61"/>
      <c r="M2219" s="61"/>
      <c r="N2219" s="111"/>
      <c r="O2219" s="112"/>
      <c r="P2219" s="113"/>
      <c r="Q2219" s="114"/>
      <c r="R2219" s="64"/>
      <c r="S2219" s="108"/>
      <c r="T2219" s="203">
        <f t="shared" si="1352"/>
        <v>43647</v>
      </c>
      <c r="U2219" s="204">
        <f t="shared" si="1353"/>
        <v>43677</v>
      </c>
      <c r="V2219" s="207">
        <f t="shared" ref="V2219:V2224" si="1373">IF(G2219-F2219+1-IF(G2219-U2219&gt;0,G2219-U2219,0)-IF(T2219-F2219&gt;0,T2219-F2219,0)&gt;0,G2219-F2219+1-IF(G2219-U2219&gt;0,G2219-U2219,0)-IF(T2219-F2219&gt;0,T2219-F2219,0),0)</f>
        <v>0</v>
      </c>
      <c r="W2219" s="206" t="str">
        <f t="shared" si="1370"/>
        <v/>
      </c>
      <c r="X2219" s="206">
        <f t="shared" si="1371"/>
        <v>0</v>
      </c>
      <c r="Y2219" s="209">
        <f t="shared" si="1372"/>
        <v>0</v>
      </c>
    </row>
    <row r="2220" spans="2:25" ht="16.5" hidden="1" thickTop="1" thickBot="1" x14ac:dyDescent="0.3">
      <c r="B2220" s="60">
        <f>B2218</f>
        <v>34</v>
      </c>
      <c r="C2220" s="102">
        <v>234</v>
      </c>
      <c r="D2220" s="192" t="str">
        <f t="shared" si="1347"/>
        <v>VII</v>
      </c>
      <c r="E2220" s="62"/>
      <c r="F2220" s="105"/>
      <c r="G2220" s="105"/>
      <c r="H2220" s="61"/>
      <c r="I2220" s="61"/>
      <c r="J2220" s="62"/>
      <c r="K2220" s="63"/>
      <c r="L2220" s="61"/>
      <c r="M2220" s="61"/>
      <c r="N2220" s="111"/>
      <c r="O2220" s="112"/>
      <c r="P2220" s="113"/>
      <c r="Q2220" s="114"/>
      <c r="R2220" s="64"/>
      <c r="S2220" s="108"/>
      <c r="T2220" s="203">
        <f t="shared" si="1352"/>
        <v>43647</v>
      </c>
      <c r="U2220" s="204">
        <f t="shared" si="1353"/>
        <v>43677</v>
      </c>
      <c r="V2220" s="207">
        <f t="shared" si="1373"/>
        <v>0</v>
      </c>
      <c r="W2220" s="206" t="str">
        <f t="shared" si="1370"/>
        <v/>
      </c>
      <c r="X2220" s="206">
        <f t="shared" si="1371"/>
        <v>0</v>
      </c>
      <c r="Y2220" s="209">
        <f t="shared" si="1372"/>
        <v>0</v>
      </c>
    </row>
    <row r="2221" spans="2:25" ht="16.5" hidden="1" thickTop="1" thickBot="1" x14ac:dyDescent="0.3">
      <c r="B2221" s="60">
        <f>B2218</f>
        <v>34</v>
      </c>
      <c r="C2221" s="102">
        <v>235</v>
      </c>
      <c r="D2221" s="192" t="str">
        <f t="shared" si="1347"/>
        <v>VII</v>
      </c>
      <c r="E2221" s="62"/>
      <c r="F2221" s="105"/>
      <c r="G2221" s="105"/>
      <c r="H2221" s="61"/>
      <c r="I2221" s="61"/>
      <c r="J2221" s="62"/>
      <c r="K2221" s="63"/>
      <c r="L2221" s="61"/>
      <c r="M2221" s="61"/>
      <c r="N2221" s="111"/>
      <c r="O2221" s="112"/>
      <c r="P2221" s="113"/>
      <c r="Q2221" s="114"/>
      <c r="R2221" s="64"/>
      <c r="S2221" s="108"/>
      <c r="T2221" s="203">
        <f t="shared" si="1352"/>
        <v>43647</v>
      </c>
      <c r="U2221" s="204">
        <f t="shared" si="1353"/>
        <v>43677</v>
      </c>
      <c r="V2221" s="207">
        <f t="shared" si="1373"/>
        <v>0</v>
      </c>
      <c r="W2221" s="206" t="str">
        <f t="shared" si="1370"/>
        <v/>
      </c>
      <c r="X2221" s="206">
        <f t="shared" si="1371"/>
        <v>0</v>
      </c>
      <c r="Y2221" s="209">
        <f t="shared" si="1372"/>
        <v>0</v>
      </c>
    </row>
    <row r="2222" spans="2:25" ht="16.5" hidden="1" thickTop="1" thickBot="1" x14ac:dyDescent="0.3">
      <c r="B2222" s="60">
        <f>B2218</f>
        <v>34</v>
      </c>
      <c r="C2222" s="102">
        <v>236</v>
      </c>
      <c r="D2222" s="192" t="str">
        <f t="shared" si="1347"/>
        <v>VII</v>
      </c>
      <c r="E2222" s="62"/>
      <c r="F2222" s="105"/>
      <c r="G2222" s="105"/>
      <c r="H2222" s="61"/>
      <c r="I2222" s="61"/>
      <c r="J2222" s="62"/>
      <c r="K2222" s="63"/>
      <c r="L2222" s="61"/>
      <c r="M2222" s="61"/>
      <c r="N2222" s="111"/>
      <c r="O2222" s="112"/>
      <c r="P2222" s="113"/>
      <c r="Q2222" s="114"/>
      <c r="R2222" s="64"/>
      <c r="S2222" s="108"/>
      <c r="T2222" s="203">
        <f t="shared" si="1352"/>
        <v>43647</v>
      </c>
      <c r="U2222" s="204">
        <f t="shared" si="1353"/>
        <v>43677</v>
      </c>
      <c r="V2222" s="207">
        <f t="shared" si="1373"/>
        <v>0</v>
      </c>
      <c r="W2222" s="206" t="str">
        <f t="shared" si="1370"/>
        <v/>
      </c>
      <c r="X2222" s="206">
        <f t="shared" si="1371"/>
        <v>0</v>
      </c>
      <c r="Y2222" s="209">
        <f t="shared" si="1372"/>
        <v>0</v>
      </c>
    </row>
    <row r="2223" spans="2:25" ht="16.5" hidden="1" thickTop="1" thickBot="1" x14ac:dyDescent="0.3">
      <c r="B2223" s="60">
        <f>B2218</f>
        <v>34</v>
      </c>
      <c r="C2223" s="102">
        <v>237</v>
      </c>
      <c r="D2223" s="192" t="str">
        <f t="shared" si="1347"/>
        <v>VII</v>
      </c>
      <c r="E2223" s="62"/>
      <c r="F2223" s="105"/>
      <c r="G2223" s="105"/>
      <c r="H2223" s="61"/>
      <c r="I2223" s="61"/>
      <c r="J2223" s="62"/>
      <c r="K2223" s="63"/>
      <c r="L2223" s="61"/>
      <c r="M2223" s="61"/>
      <c r="N2223" s="111"/>
      <c r="O2223" s="112"/>
      <c r="P2223" s="113"/>
      <c r="Q2223" s="114"/>
      <c r="R2223" s="64"/>
      <c r="S2223" s="108"/>
      <c r="T2223" s="203">
        <f t="shared" si="1352"/>
        <v>43647</v>
      </c>
      <c r="U2223" s="204">
        <f t="shared" si="1353"/>
        <v>43677</v>
      </c>
      <c r="V2223" s="207">
        <f t="shared" si="1373"/>
        <v>0</v>
      </c>
      <c r="W2223" s="206" t="str">
        <f t="shared" si="1370"/>
        <v/>
      </c>
      <c r="X2223" s="206">
        <f t="shared" si="1371"/>
        <v>0</v>
      </c>
      <c r="Y2223" s="209">
        <f t="shared" si="1372"/>
        <v>0</v>
      </c>
    </row>
    <row r="2224" spans="2:25" ht="16.5" hidden="1" thickTop="1" thickBot="1" x14ac:dyDescent="0.3">
      <c r="B2224" s="141">
        <f>B2218</f>
        <v>34</v>
      </c>
      <c r="C2224" s="142">
        <v>238</v>
      </c>
      <c r="D2224" s="194" t="str">
        <f t="shared" si="1347"/>
        <v>VII</v>
      </c>
      <c r="E2224" s="143"/>
      <c r="F2224" s="144"/>
      <c r="G2224" s="144"/>
      <c r="H2224" s="145"/>
      <c r="I2224" s="145"/>
      <c r="J2224" s="436" t="s">
        <v>181</v>
      </c>
      <c r="K2224" s="437"/>
      <c r="L2224" s="438"/>
      <c r="M2224" s="145"/>
      <c r="N2224" s="146"/>
      <c r="O2224" s="147"/>
      <c r="P2224" s="148"/>
      <c r="Q2224" s="149"/>
      <c r="R2224" s="150"/>
      <c r="S2224" s="151"/>
      <c r="T2224" s="213">
        <f t="shared" si="1352"/>
        <v>43647</v>
      </c>
      <c r="U2224" s="214">
        <f t="shared" si="1353"/>
        <v>43677</v>
      </c>
      <c r="V2224" s="210">
        <f t="shared" si="1373"/>
        <v>0</v>
      </c>
      <c r="W2224" s="211"/>
      <c r="X2224" s="211">
        <f>IF(AND($V2224&gt;0,$I2224=1),IF($E2224=10,P2224/10,P2224/$V2224),0)</f>
        <v>0</v>
      </c>
      <c r="Y2224" s="212">
        <f>IF(AND($V2218&gt;0,$I2224&lt;&gt;1),Q2224/E2218*V2218,0)</f>
        <v>0</v>
      </c>
    </row>
    <row r="2225" spans="2:25" ht="16.5" hidden="1" thickTop="1" thickBot="1" x14ac:dyDescent="0.3">
      <c r="B2225" s="129">
        <f>B2223+1</f>
        <v>35</v>
      </c>
      <c r="C2225" s="130">
        <v>239</v>
      </c>
      <c r="D2225" s="196" t="str">
        <f t="shared" si="1347"/>
        <v>VII</v>
      </c>
      <c r="E2225" s="152"/>
      <c r="F2225" s="153"/>
      <c r="G2225" s="153"/>
      <c r="H2225" s="154"/>
      <c r="I2225" s="154"/>
      <c r="J2225" s="152"/>
      <c r="K2225" s="155"/>
      <c r="L2225" s="154"/>
      <c r="M2225" s="154"/>
      <c r="N2225" s="156"/>
      <c r="O2225" s="157"/>
      <c r="P2225" s="158"/>
      <c r="Q2225" s="159"/>
      <c r="R2225" s="160"/>
      <c r="S2225" s="161"/>
      <c r="T2225" s="203">
        <f t="shared" si="1352"/>
        <v>43647</v>
      </c>
      <c r="U2225" s="204">
        <f t="shared" si="1353"/>
        <v>43677</v>
      </c>
      <c r="V2225" s="207">
        <f>IF(G2225-F2225+1-IF(G2225-U2225&gt;0,G2225-U2225,0)-IF(T2225-F2225&gt;0,T2225-F2225,0)&gt;0,G2225-F2225+1-IF(G2225-U2225&gt;0,G2225-U2225,0)-IF(T2225-F2225&gt;0,T2225-F2225,0),0)</f>
        <v>0</v>
      </c>
      <c r="W2225" s="206" t="str">
        <f t="shared" ref="W2225:W2230" si="1374">IF(V2225&gt;0,H2225,"")</f>
        <v/>
      </c>
      <c r="X2225" s="206">
        <f t="shared" ref="X2225:X2230" si="1375">IF(AND($V2225&gt;0,$I2225=1),P2225/$E2225*$V2225,0)</f>
        <v>0</v>
      </c>
      <c r="Y2225" s="209">
        <f t="shared" ref="Y2225:Y2230" si="1376">IF(AND($V2225&gt;0,$I2225&lt;&gt;1),Q2225/$E2225*$V2225,0)</f>
        <v>0</v>
      </c>
    </row>
    <row r="2226" spans="2:25" ht="16.5" hidden="1" thickTop="1" thickBot="1" x14ac:dyDescent="0.3">
      <c r="B2226" s="60">
        <f>B2225</f>
        <v>35</v>
      </c>
      <c r="C2226" s="102">
        <v>240</v>
      </c>
      <c r="D2226" s="192" t="str">
        <f t="shared" si="1347"/>
        <v>VII</v>
      </c>
      <c r="E2226" s="162"/>
      <c r="F2226" s="163"/>
      <c r="G2226" s="163"/>
      <c r="H2226" s="164"/>
      <c r="I2226" s="164"/>
      <c r="J2226" s="162"/>
      <c r="K2226" s="165"/>
      <c r="L2226" s="164"/>
      <c r="M2226" s="164"/>
      <c r="N2226" s="166"/>
      <c r="O2226" s="167"/>
      <c r="P2226" s="168"/>
      <c r="Q2226" s="169"/>
      <c r="R2226" s="170"/>
      <c r="S2226" s="171"/>
      <c r="T2226" s="203">
        <f t="shared" si="1352"/>
        <v>43647</v>
      </c>
      <c r="U2226" s="204">
        <f t="shared" si="1353"/>
        <v>43677</v>
      </c>
      <c r="V2226" s="207">
        <f t="shared" ref="V2226:V2231" si="1377">IF(G2226-F2226+1-IF(G2226-U2226&gt;0,G2226-U2226,0)-IF(T2226-F2226&gt;0,T2226-F2226,0)&gt;0,G2226-F2226+1-IF(G2226-U2226&gt;0,G2226-U2226,0)-IF(T2226-F2226&gt;0,T2226-F2226,0),0)</f>
        <v>0</v>
      </c>
      <c r="W2226" s="206" t="str">
        <f t="shared" si="1374"/>
        <v/>
      </c>
      <c r="X2226" s="206">
        <f t="shared" si="1375"/>
        <v>0</v>
      </c>
      <c r="Y2226" s="209">
        <f t="shared" si="1376"/>
        <v>0</v>
      </c>
    </row>
    <row r="2227" spans="2:25" ht="16.5" hidden="1" thickTop="1" thickBot="1" x14ac:dyDescent="0.3">
      <c r="B2227" s="60">
        <f>B2225</f>
        <v>35</v>
      </c>
      <c r="C2227" s="102">
        <v>241</v>
      </c>
      <c r="D2227" s="192" t="str">
        <f t="shared" si="1347"/>
        <v>VII</v>
      </c>
      <c r="E2227" s="162"/>
      <c r="F2227" s="163"/>
      <c r="G2227" s="163"/>
      <c r="H2227" s="164"/>
      <c r="I2227" s="164"/>
      <c r="J2227" s="162"/>
      <c r="K2227" s="165"/>
      <c r="L2227" s="164"/>
      <c r="M2227" s="164"/>
      <c r="N2227" s="166"/>
      <c r="O2227" s="167"/>
      <c r="P2227" s="168"/>
      <c r="Q2227" s="169"/>
      <c r="R2227" s="170"/>
      <c r="S2227" s="171"/>
      <c r="T2227" s="203">
        <f t="shared" si="1352"/>
        <v>43647</v>
      </c>
      <c r="U2227" s="204">
        <f t="shared" si="1353"/>
        <v>43677</v>
      </c>
      <c r="V2227" s="207">
        <f t="shared" si="1377"/>
        <v>0</v>
      </c>
      <c r="W2227" s="206" t="str">
        <f t="shared" si="1374"/>
        <v/>
      </c>
      <c r="X2227" s="206">
        <f t="shared" si="1375"/>
        <v>0</v>
      </c>
      <c r="Y2227" s="209">
        <f t="shared" si="1376"/>
        <v>0</v>
      </c>
    </row>
    <row r="2228" spans="2:25" ht="16.5" hidden="1" thickTop="1" thickBot="1" x14ac:dyDescent="0.3">
      <c r="B2228" s="60">
        <f>B2225</f>
        <v>35</v>
      </c>
      <c r="C2228" s="102">
        <v>242</v>
      </c>
      <c r="D2228" s="192" t="str">
        <f t="shared" si="1347"/>
        <v>VII</v>
      </c>
      <c r="E2228" s="162"/>
      <c r="F2228" s="163"/>
      <c r="G2228" s="163"/>
      <c r="H2228" s="164"/>
      <c r="I2228" s="164"/>
      <c r="J2228" s="162"/>
      <c r="K2228" s="165"/>
      <c r="L2228" s="164"/>
      <c r="M2228" s="164"/>
      <c r="N2228" s="166"/>
      <c r="O2228" s="167"/>
      <c r="P2228" s="168"/>
      <c r="Q2228" s="169"/>
      <c r="R2228" s="170"/>
      <c r="S2228" s="171"/>
      <c r="T2228" s="203">
        <f t="shared" si="1352"/>
        <v>43647</v>
      </c>
      <c r="U2228" s="204">
        <f t="shared" si="1353"/>
        <v>43677</v>
      </c>
      <c r="V2228" s="207">
        <f t="shared" si="1377"/>
        <v>0</v>
      </c>
      <c r="W2228" s="206" t="str">
        <f t="shared" si="1374"/>
        <v/>
      </c>
      <c r="X2228" s="206">
        <f t="shared" si="1375"/>
        <v>0</v>
      </c>
      <c r="Y2228" s="209">
        <f t="shared" si="1376"/>
        <v>0</v>
      </c>
    </row>
    <row r="2229" spans="2:25" ht="16.5" hidden="1" thickTop="1" thickBot="1" x14ac:dyDescent="0.3">
      <c r="B2229" s="60">
        <f>B2225</f>
        <v>35</v>
      </c>
      <c r="C2229" s="102">
        <v>243</v>
      </c>
      <c r="D2229" s="192" t="str">
        <f t="shared" si="1347"/>
        <v>VII</v>
      </c>
      <c r="E2229" s="162"/>
      <c r="F2229" s="163"/>
      <c r="G2229" s="163"/>
      <c r="H2229" s="164"/>
      <c r="I2229" s="164"/>
      <c r="J2229" s="162"/>
      <c r="K2229" s="165"/>
      <c r="L2229" s="164"/>
      <c r="M2229" s="164"/>
      <c r="N2229" s="166"/>
      <c r="O2229" s="167"/>
      <c r="P2229" s="168"/>
      <c r="Q2229" s="169"/>
      <c r="R2229" s="170"/>
      <c r="S2229" s="171"/>
      <c r="T2229" s="203">
        <f t="shared" si="1352"/>
        <v>43647</v>
      </c>
      <c r="U2229" s="204">
        <f t="shared" si="1353"/>
        <v>43677</v>
      </c>
      <c r="V2229" s="207">
        <f t="shared" si="1377"/>
        <v>0</v>
      </c>
      <c r="W2229" s="206" t="str">
        <f t="shared" si="1374"/>
        <v/>
      </c>
      <c r="X2229" s="206">
        <f t="shared" si="1375"/>
        <v>0</v>
      </c>
      <c r="Y2229" s="209">
        <f t="shared" si="1376"/>
        <v>0</v>
      </c>
    </row>
    <row r="2230" spans="2:25" ht="16.5" hidden="1" thickTop="1" thickBot="1" x14ac:dyDescent="0.3">
      <c r="B2230" s="60">
        <f>B2225</f>
        <v>35</v>
      </c>
      <c r="C2230" s="102">
        <v>244</v>
      </c>
      <c r="D2230" s="192" t="str">
        <f t="shared" si="1347"/>
        <v>VII</v>
      </c>
      <c r="E2230" s="172"/>
      <c r="F2230" s="173"/>
      <c r="G2230" s="173"/>
      <c r="H2230" s="174"/>
      <c r="I2230" s="174"/>
      <c r="J2230" s="172"/>
      <c r="K2230" s="175"/>
      <c r="L2230" s="174"/>
      <c r="M2230" s="174"/>
      <c r="N2230" s="176"/>
      <c r="O2230" s="177"/>
      <c r="P2230" s="178"/>
      <c r="Q2230" s="179"/>
      <c r="R2230" s="180"/>
      <c r="S2230" s="181"/>
      <c r="T2230" s="203">
        <f t="shared" si="1352"/>
        <v>43647</v>
      </c>
      <c r="U2230" s="204">
        <f t="shared" si="1353"/>
        <v>43677</v>
      </c>
      <c r="V2230" s="207">
        <f t="shared" si="1377"/>
        <v>0</v>
      </c>
      <c r="W2230" s="206" t="str">
        <f t="shared" si="1374"/>
        <v/>
      </c>
      <c r="X2230" s="206">
        <f t="shared" si="1375"/>
        <v>0</v>
      </c>
      <c r="Y2230" s="209">
        <f t="shared" si="1376"/>
        <v>0</v>
      </c>
    </row>
    <row r="2231" spans="2:25" ht="16.5" hidden="1" thickTop="1" thickBot="1" x14ac:dyDescent="0.3">
      <c r="B2231" s="141">
        <f>B2225</f>
        <v>35</v>
      </c>
      <c r="C2231" s="142">
        <v>245</v>
      </c>
      <c r="D2231" s="194" t="str">
        <f t="shared" si="1347"/>
        <v>VII</v>
      </c>
      <c r="E2231" s="189"/>
      <c r="F2231" s="190"/>
      <c r="G2231" s="190"/>
      <c r="H2231" s="182"/>
      <c r="I2231" s="182"/>
      <c r="J2231" s="436" t="s">
        <v>181</v>
      </c>
      <c r="K2231" s="437"/>
      <c r="L2231" s="438"/>
      <c r="M2231" s="182"/>
      <c r="N2231" s="183"/>
      <c r="O2231" s="184"/>
      <c r="P2231" s="185"/>
      <c r="Q2231" s="186"/>
      <c r="R2231" s="187"/>
      <c r="S2231" s="188"/>
      <c r="T2231" s="213">
        <f t="shared" si="1352"/>
        <v>43647</v>
      </c>
      <c r="U2231" s="214">
        <f t="shared" si="1353"/>
        <v>43677</v>
      </c>
      <c r="V2231" s="210">
        <f t="shared" si="1377"/>
        <v>0</v>
      </c>
      <c r="W2231" s="211"/>
      <c r="X2231" s="211">
        <f>IF(AND($V2231&gt;0,$I2231=1),IF($E2231=10,P2231/10,P2231/$V2231),0)</f>
        <v>0</v>
      </c>
      <c r="Y2231" s="212">
        <f>IF(AND($V2225&gt;0,$I2231&lt;&gt;1),Q2231/E2225*V2225,0)</f>
        <v>0</v>
      </c>
    </row>
    <row r="2232" spans="2:25" ht="16.5" hidden="1" thickTop="1" thickBot="1" x14ac:dyDescent="0.3">
      <c r="B2232" s="129">
        <f>B2230+1</f>
        <v>36</v>
      </c>
      <c r="C2232" s="130">
        <v>246</v>
      </c>
      <c r="D2232" s="196" t="str">
        <f t="shared" si="1347"/>
        <v>VII</v>
      </c>
      <c r="E2232" s="131"/>
      <c r="F2232" s="132"/>
      <c r="G2232" s="132"/>
      <c r="H2232" s="133"/>
      <c r="I2232" s="133"/>
      <c r="J2232" s="131"/>
      <c r="K2232" s="134"/>
      <c r="L2232" s="133"/>
      <c r="M2232" s="133"/>
      <c r="N2232" s="135"/>
      <c r="O2232" s="136"/>
      <c r="P2232" s="137"/>
      <c r="Q2232" s="138"/>
      <c r="R2232" s="139"/>
      <c r="S2232" s="140"/>
      <c r="T2232" s="203">
        <f t="shared" si="1352"/>
        <v>43647</v>
      </c>
      <c r="U2232" s="204">
        <f t="shared" si="1353"/>
        <v>43677</v>
      </c>
      <c r="V2232" s="207">
        <f>IF(G2232-F2232+1-IF(G2232-U2232&gt;0,G2232-U2232,0)-IF(T2232-F2232&gt;0,T2232-F2232,0)&gt;0,G2232-F2232+1-IF(G2232-U2232&gt;0,G2232-U2232,0)-IF(T2232-F2232&gt;0,T2232-F2232,0),0)</f>
        <v>0</v>
      </c>
      <c r="W2232" s="206" t="str">
        <f t="shared" ref="W2232:W2237" si="1378">IF(V2232&gt;0,H2232,"")</f>
        <v/>
      </c>
      <c r="X2232" s="206">
        <f t="shared" ref="X2232:X2237" si="1379">IF(AND($V2232&gt;0,$I2232=1),P2232/$E2232*$V2232,0)</f>
        <v>0</v>
      </c>
      <c r="Y2232" s="209">
        <f t="shared" ref="Y2232:Y2237" si="1380">IF(AND($V2232&gt;0,$I2232&lt;&gt;1),Q2232/$E2232*$V2232,0)</f>
        <v>0</v>
      </c>
    </row>
    <row r="2233" spans="2:25" ht="16.5" hidden="1" thickTop="1" thickBot="1" x14ac:dyDescent="0.3">
      <c r="B2233" s="60">
        <f>B2232</f>
        <v>36</v>
      </c>
      <c r="C2233" s="102">
        <v>247</v>
      </c>
      <c r="D2233" s="192" t="str">
        <f t="shared" si="1347"/>
        <v>VII</v>
      </c>
      <c r="E2233" s="62"/>
      <c r="F2233" s="105"/>
      <c r="G2233" s="105"/>
      <c r="H2233" s="61"/>
      <c r="I2233" s="61"/>
      <c r="J2233" s="62"/>
      <c r="K2233" s="63"/>
      <c r="L2233" s="61"/>
      <c r="M2233" s="61"/>
      <c r="N2233" s="111"/>
      <c r="O2233" s="112"/>
      <c r="P2233" s="113"/>
      <c r="Q2233" s="114"/>
      <c r="R2233" s="64"/>
      <c r="S2233" s="108"/>
      <c r="T2233" s="203">
        <f t="shared" si="1352"/>
        <v>43647</v>
      </c>
      <c r="U2233" s="204">
        <f t="shared" si="1353"/>
        <v>43677</v>
      </c>
      <c r="V2233" s="207">
        <f t="shared" ref="V2233:V2238" si="1381">IF(G2233-F2233+1-IF(G2233-U2233&gt;0,G2233-U2233,0)-IF(T2233-F2233&gt;0,T2233-F2233,0)&gt;0,G2233-F2233+1-IF(G2233-U2233&gt;0,G2233-U2233,0)-IF(T2233-F2233&gt;0,T2233-F2233,0),0)</f>
        <v>0</v>
      </c>
      <c r="W2233" s="206" t="str">
        <f t="shared" si="1378"/>
        <v/>
      </c>
      <c r="X2233" s="206">
        <f t="shared" si="1379"/>
        <v>0</v>
      </c>
      <c r="Y2233" s="209">
        <f t="shared" si="1380"/>
        <v>0</v>
      </c>
    </row>
    <row r="2234" spans="2:25" ht="16.5" hidden="1" thickTop="1" thickBot="1" x14ac:dyDescent="0.3">
      <c r="B2234" s="60">
        <f>B2232</f>
        <v>36</v>
      </c>
      <c r="C2234" s="102">
        <v>248</v>
      </c>
      <c r="D2234" s="192" t="str">
        <f t="shared" si="1347"/>
        <v>VII</v>
      </c>
      <c r="E2234" s="62"/>
      <c r="F2234" s="105"/>
      <c r="G2234" s="105"/>
      <c r="H2234" s="61"/>
      <c r="I2234" s="61"/>
      <c r="J2234" s="62"/>
      <c r="K2234" s="63"/>
      <c r="L2234" s="61"/>
      <c r="M2234" s="61"/>
      <c r="N2234" s="111"/>
      <c r="O2234" s="112"/>
      <c r="P2234" s="113"/>
      <c r="Q2234" s="114"/>
      <c r="R2234" s="64"/>
      <c r="S2234" s="108"/>
      <c r="T2234" s="203">
        <f t="shared" si="1352"/>
        <v>43647</v>
      </c>
      <c r="U2234" s="204">
        <f t="shared" si="1353"/>
        <v>43677</v>
      </c>
      <c r="V2234" s="207">
        <f t="shared" si="1381"/>
        <v>0</v>
      </c>
      <c r="W2234" s="206" t="str">
        <f t="shared" si="1378"/>
        <v/>
      </c>
      <c r="X2234" s="206">
        <f t="shared" si="1379"/>
        <v>0</v>
      </c>
      <c r="Y2234" s="209">
        <f t="shared" si="1380"/>
        <v>0</v>
      </c>
    </row>
    <row r="2235" spans="2:25" ht="16.5" hidden="1" thickTop="1" thickBot="1" x14ac:dyDescent="0.3">
      <c r="B2235" s="60">
        <f>B2232</f>
        <v>36</v>
      </c>
      <c r="C2235" s="102">
        <v>249</v>
      </c>
      <c r="D2235" s="192" t="str">
        <f t="shared" si="1347"/>
        <v>VII</v>
      </c>
      <c r="E2235" s="62"/>
      <c r="F2235" s="105"/>
      <c r="G2235" s="105"/>
      <c r="H2235" s="61"/>
      <c r="I2235" s="61"/>
      <c r="J2235" s="62"/>
      <c r="K2235" s="63"/>
      <c r="L2235" s="61"/>
      <c r="M2235" s="61"/>
      <c r="N2235" s="111"/>
      <c r="O2235" s="112"/>
      <c r="P2235" s="113"/>
      <c r="Q2235" s="114"/>
      <c r="R2235" s="64"/>
      <c r="S2235" s="108"/>
      <c r="T2235" s="203">
        <f t="shared" si="1352"/>
        <v>43647</v>
      </c>
      <c r="U2235" s="204">
        <f t="shared" si="1353"/>
        <v>43677</v>
      </c>
      <c r="V2235" s="207">
        <f t="shared" si="1381"/>
        <v>0</v>
      </c>
      <c r="W2235" s="206" t="str">
        <f t="shared" si="1378"/>
        <v/>
      </c>
      <c r="X2235" s="206">
        <f t="shared" si="1379"/>
        <v>0</v>
      </c>
      <c r="Y2235" s="209">
        <f t="shared" si="1380"/>
        <v>0</v>
      </c>
    </row>
    <row r="2236" spans="2:25" ht="16.5" hidden="1" thickTop="1" thickBot="1" x14ac:dyDescent="0.3">
      <c r="B2236" s="60">
        <f>B2232</f>
        <v>36</v>
      </c>
      <c r="C2236" s="102">
        <v>250</v>
      </c>
      <c r="D2236" s="192" t="str">
        <f t="shared" si="1347"/>
        <v>VII</v>
      </c>
      <c r="E2236" s="62"/>
      <c r="F2236" s="105"/>
      <c r="G2236" s="105"/>
      <c r="H2236" s="61"/>
      <c r="I2236" s="61"/>
      <c r="J2236" s="62"/>
      <c r="K2236" s="63"/>
      <c r="L2236" s="61"/>
      <c r="M2236" s="61"/>
      <c r="N2236" s="111"/>
      <c r="O2236" s="112"/>
      <c r="P2236" s="113"/>
      <c r="Q2236" s="114"/>
      <c r="R2236" s="64"/>
      <c r="S2236" s="108"/>
      <c r="T2236" s="203">
        <f t="shared" si="1352"/>
        <v>43647</v>
      </c>
      <c r="U2236" s="204">
        <f t="shared" si="1353"/>
        <v>43677</v>
      </c>
      <c r="V2236" s="207">
        <f t="shared" si="1381"/>
        <v>0</v>
      </c>
      <c r="W2236" s="206" t="str">
        <f t="shared" si="1378"/>
        <v/>
      </c>
      <c r="X2236" s="206">
        <f t="shared" si="1379"/>
        <v>0</v>
      </c>
      <c r="Y2236" s="209">
        <f t="shared" si="1380"/>
        <v>0</v>
      </c>
    </row>
    <row r="2237" spans="2:25" ht="16.5" hidden="1" thickTop="1" thickBot="1" x14ac:dyDescent="0.3">
      <c r="B2237" s="60">
        <f>B2232</f>
        <v>36</v>
      </c>
      <c r="C2237" s="102">
        <v>251</v>
      </c>
      <c r="D2237" s="192" t="str">
        <f t="shared" si="1347"/>
        <v>VII</v>
      </c>
      <c r="E2237" s="62"/>
      <c r="F2237" s="105"/>
      <c r="G2237" s="105"/>
      <c r="H2237" s="61"/>
      <c r="I2237" s="61"/>
      <c r="J2237" s="62"/>
      <c r="K2237" s="63"/>
      <c r="L2237" s="61"/>
      <c r="M2237" s="61"/>
      <c r="N2237" s="111"/>
      <c r="O2237" s="112"/>
      <c r="P2237" s="113"/>
      <c r="Q2237" s="114"/>
      <c r="R2237" s="64"/>
      <c r="S2237" s="108"/>
      <c r="T2237" s="203">
        <f t="shared" si="1352"/>
        <v>43647</v>
      </c>
      <c r="U2237" s="204">
        <f t="shared" si="1353"/>
        <v>43677</v>
      </c>
      <c r="V2237" s="207">
        <f t="shared" si="1381"/>
        <v>0</v>
      </c>
      <c r="W2237" s="206" t="str">
        <f t="shared" si="1378"/>
        <v/>
      </c>
      <c r="X2237" s="206">
        <f t="shared" si="1379"/>
        <v>0</v>
      </c>
      <c r="Y2237" s="209">
        <f t="shared" si="1380"/>
        <v>0</v>
      </c>
    </row>
    <row r="2238" spans="2:25" ht="16.5" hidden="1" thickTop="1" thickBot="1" x14ac:dyDescent="0.3">
      <c r="B2238" s="141">
        <f>B2232</f>
        <v>36</v>
      </c>
      <c r="C2238" s="142">
        <v>252</v>
      </c>
      <c r="D2238" s="194" t="str">
        <f t="shared" si="1347"/>
        <v>VII</v>
      </c>
      <c r="E2238" s="143"/>
      <c r="F2238" s="144"/>
      <c r="G2238" s="144"/>
      <c r="H2238" s="145"/>
      <c r="I2238" s="145"/>
      <c r="J2238" s="436" t="s">
        <v>181</v>
      </c>
      <c r="K2238" s="437"/>
      <c r="L2238" s="438"/>
      <c r="M2238" s="145"/>
      <c r="N2238" s="146"/>
      <c r="O2238" s="147"/>
      <c r="P2238" s="148"/>
      <c r="Q2238" s="149"/>
      <c r="R2238" s="150"/>
      <c r="S2238" s="151"/>
      <c r="T2238" s="213">
        <f t="shared" si="1352"/>
        <v>43647</v>
      </c>
      <c r="U2238" s="214">
        <f t="shared" si="1353"/>
        <v>43677</v>
      </c>
      <c r="V2238" s="210">
        <f t="shared" si="1381"/>
        <v>0</v>
      </c>
      <c r="W2238" s="211"/>
      <c r="X2238" s="211">
        <f>IF(AND($V2238&gt;0,$I2238=1),IF($E2238=10,P2238/10,P2238/$V2238),0)</f>
        <v>0</v>
      </c>
      <c r="Y2238" s="212">
        <f>IF(AND($V2232&gt;0,$I2238&lt;&gt;1),Q2238/E2232*V2232,0)</f>
        <v>0</v>
      </c>
    </row>
    <row r="2239" spans="2:25" ht="30.75" thickTop="1" x14ac:dyDescent="0.25">
      <c r="B2239" s="129">
        <f>B2237+1</f>
        <v>37</v>
      </c>
      <c r="C2239" s="130">
        <v>253</v>
      </c>
      <c r="D2239" s="196" t="str">
        <f t="shared" si="1347"/>
        <v>VII</v>
      </c>
      <c r="E2239" s="152">
        <v>10</v>
      </c>
      <c r="F2239" s="153">
        <v>43697</v>
      </c>
      <c r="G2239" s="153">
        <v>43706</v>
      </c>
      <c r="H2239" s="154" t="s">
        <v>379</v>
      </c>
      <c r="I2239" s="154">
        <v>1</v>
      </c>
      <c r="J2239" s="152" t="s">
        <v>168</v>
      </c>
      <c r="K2239" s="155" t="s">
        <v>16</v>
      </c>
      <c r="L2239" s="154">
        <v>1</v>
      </c>
      <c r="M2239" s="154">
        <v>8</v>
      </c>
      <c r="N2239" s="156">
        <v>75</v>
      </c>
      <c r="O2239" s="157">
        <v>75</v>
      </c>
      <c r="P2239" s="158">
        <v>75</v>
      </c>
      <c r="Q2239" s="159"/>
      <c r="R2239" s="160" t="s">
        <v>4</v>
      </c>
      <c r="S2239" s="161">
        <v>43621</v>
      </c>
      <c r="T2239" s="203">
        <f t="shared" si="1352"/>
        <v>43647</v>
      </c>
      <c r="U2239" s="204">
        <f t="shared" si="1353"/>
        <v>43677</v>
      </c>
      <c r="V2239" s="207">
        <f>IF(G2239-F2239+1-IF(G2239-U2239&gt;0,G2239-U2239,0)-IF(T2239-F2239&gt;0,T2239-F2239,0)&gt;0,G2239-F2239+1-IF(G2239-U2239&gt;0,G2239-U2239,0)-IF(T2239-F2239&gt;0,T2239-F2239,0),0)</f>
        <v>0</v>
      </c>
      <c r="W2239" s="206" t="str">
        <f t="shared" ref="W2239:W2244" si="1382">IF(V2239&gt;0,H2239,"")</f>
        <v/>
      </c>
      <c r="X2239" s="206">
        <f t="shared" ref="X2239:X2244" si="1383">IF(AND($V2239&gt;0,$I2239=1),P2239/$E2239*$V2239,0)</f>
        <v>0</v>
      </c>
      <c r="Y2239" s="209">
        <f t="shared" ref="Y2239:Y2244" si="1384">IF(AND($V2239&gt;0,$I2239&lt;&gt;1),Q2239/$E2239*$V2239,0)</f>
        <v>0</v>
      </c>
    </row>
    <row r="2240" spans="2:25" ht="45" x14ac:dyDescent="0.25">
      <c r="B2240" s="60">
        <f>B2239</f>
        <v>37</v>
      </c>
      <c r="C2240" s="102">
        <v>254</v>
      </c>
      <c r="D2240" s="192" t="str">
        <f t="shared" si="1347"/>
        <v>VII</v>
      </c>
      <c r="E2240" s="162">
        <v>10</v>
      </c>
      <c r="F2240" s="163">
        <v>43697</v>
      </c>
      <c r="G2240" s="163">
        <v>43706</v>
      </c>
      <c r="H2240" s="164" t="s">
        <v>380</v>
      </c>
      <c r="I2240" s="164">
        <v>2</v>
      </c>
      <c r="J2240" s="162" t="s">
        <v>167</v>
      </c>
      <c r="K2240" s="165" t="s">
        <v>16</v>
      </c>
      <c r="L2240" s="164">
        <v>1</v>
      </c>
      <c r="M2240" s="164">
        <v>8</v>
      </c>
      <c r="N2240" s="166">
        <v>90</v>
      </c>
      <c r="O2240" s="167">
        <v>90</v>
      </c>
      <c r="P2240" s="168"/>
      <c r="Q2240" s="169">
        <v>90</v>
      </c>
      <c r="R2240" s="170" t="s">
        <v>4</v>
      </c>
      <c r="S2240" s="171">
        <v>43621</v>
      </c>
      <c r="T2240" s="203">
        <f t="shared" si="1352"/>
        <v>43647</v>
      </c>
      <c r="U2240" s="204">
        <f t="shared" si="1353"/>
        <v>43677</v>
      </c>
      <c r="V2240" s="207">
        <f t="shared" ref="V2240:V2245" si="1385">IF(G2240-F2240+1-IF(G2240-U2240&gt;0,G2240-U2240,0)-IF(T2240-F2240&gt;0,T2240-F2240,0)&gt;0,G2240-F2240+1-IF(G2240-U2240&gt;0,G2240-U2240,0)-IF(T2240-F2240&gt;0,T2240-F2240,0),0)</f>
        <v>0</v>
      </c>
      <c r="W2240" s="206" t="str">
        <f t="shared" si="1382"/>
        <v/>
      </c>
      <c r="X2240" s="206">
        <f t="shared" si="1383"/>
        <v>0</v>
      </c>
      <c r="Y2240" s="209">
        <f t="shared" si="1384"/>
        <v>0</v>
      </c>
    </row>
    <row r="2241" spans="2:25" hidden="1" x14ac:dyDescent="0.25">
      <c r="B2241" s="60">
        <f>B2239</f>
        <v>37</v>
      </c>
      <c r="C2241" s="102">
        <v>255</v>
      </c>
      <c r="D2241" s="192" t="str">
        <f t="shared" si="1347"/>
        <v>VII</v>
      </c>
      <c r="E2241" s="162"/>
      <c r="F2241" s="163"/>
      <c r="G2241" s="163"/>
      <c r="H2241" s="164"/>
      <c r="I2241" s="164"/>
      <c r="J2241" s="162"/>
      <c r="K2241" s="165"/>
      <c r="L2241" s="164"/>
      <c r="M2241" s="164"/>
      <c r="N2241" s="166"/>
      <c r="O2241" s="167"/>
      <c r="P2241" s="168"/>
      <c r="Q2241" s="169"/>
      <c r="R2241" s="170"/>
      <c r="S2241" s="171"/>
      <c r="T2241" s="203">
        <f t="shared" si="1352"/>
        <v>43647</v>
      </c>
      <c r="U2241" s="204">
        <f t="shared" si="1353"/>
        <v>43677</v>
      </c>
      <c r="V2241" s="207">
        <f t="shared" si="1385"/>
        <v>0</v>
      </c>
      <c r="W2241" s="206" t="str">
        <f t="shared" si="1382"/>
        <v/>
      </c>
      <c r="X2241" s="206">
        <f t="shared" si="1383"/>
        <v>0</v>
      </c>
      <c r="Y2241" s="209">
        <f t="shared" si="1384"/>
        <v>0</v>
      </c>
    </row>
    <row r="2242" spans="2:25" hidden="1" x14ac:dyDescent="0.25">
      <c r="B2242" s="60">
        <f>B2239</f>
        <v>37</v>
      </c>
      <c r="C2242" s="102">
        <v>256</v>
      </c>
      <c r="D2242" s="192" t="str">
        <f t="shared" si="1347"/>
        <v>VII</v>
      </c>
      <c r="E2242" s="162"/>
      <c r="F2242" s="163"/>
      <c r="G2242" s="163"/>
      <c r="H2242" s="164"/>
      <c r="I2242" s="164"/>
      <c r="J2242" s="162"/>
      <c r="K2242" s="165"/>
      <c r="L2242" s="164"/>
      <c r="M2242" s="164"/>
      <c r="N2242" s="166"/>
      <c r="O2242" s="167"/>
      <c r="P2242" s="168"/>
      <c r="Q2242" s="169"/>
      <c r="R2242" s="170"/>
      <c r="S2242" s="171"/>
      <c r="T2242" s="203">
        <f t="shared" si="1352"/>
        <v>43647</v>
      </c>
      <c r="U2242" s="204">
        <f t="shared" si="1353"/>
        <v>43677</v>
      </c>
      <c r="V2242" s="207">
        <f t="shared" si="1385"/>
        <v>0</v>
      </c>
      <c r="W2242" s="206" t="str">
        <f t="shared" si="1382"/>
        <v/>
      </c>
      <c r="X2242" s="206">
        <f t="shared" si="1383"/>
        <v>0</v>
      </c>
      <c r="Y2242" s="209">
        <f t="shared" si="1384"/>
        <v>0</v>
      </c>
    </row>
    <row r="2243" spans="2:25" hidden="1" x14ac:dyDescent="0.25">
      <c r="B2243" s="60">
        <f>B2239</f>
        <v>37</v>
      </c>
      <c r="C2243" s="102">
        <v>257</v>
      </c>
      <c r="D2243" s="192" t="str">
        <f t="shared" si="1347"/>
        <v>VII</v>
      </c>
      <c r="E2243" s="162"/>
      <c r="F2243" s="163"/>
      <c r="G2243" s="163"/>
      <c r="H2243" s="164"/>
      <c r="I2243" s="164"/>
      <c r="J2243" s="162"/>
      <c r="K2243" s="165"/>
      <c r="L2243" s="164"/>
      <c r="M2243" s="164"/>
      <c r="N2243" s="166"/>
      <c r="O2243" s="167"/>
      <c r="P2243" s="168"/>
      <c r="Q2243" s="169"/>
      <c r="R2243" s="170"/>
      <c r="S2243" s="171"/>
      <c r="T2243" s="203">
        <f t="shared" si="1352"/>
        <v>43647</v>
      </c>
      <c r="U2243" s="204">
        <f t="shared" si="1353"/>
        <v>43677</v>
      </c>
      <c r="V2243" s="207">
        <f t="shared" si="1385"/>
        <v>0</v>
      </c>
      <c r="W2243" s="206" t="str">
        <f t="shared" si="1382"/>
        <v/>
      </c>
      <c r="X2243" s="206">
        <f t="shared" si="1383"/>
        <v>0</v>
      </c>
      <c r="Y2243" s="209">
        <f t="shared" si="1384"/>
        <v>0</v>
      </c>
    </row>
    <row r="2244" spans="2:25" hidden="1" x14ac:dyDescent="0.25">
      <c r="B2244" s="60">
        <f>B2239</f>
        <v>37</v>
      </c>
      <c r="C2244" s="102">
        <v>258</v>
      </c>
      <c r="D2244" s="192" t="str">
        <f t="shared" si="1347"/>
        <v>VII</v>
      </c>
      <c r="E2244" s="172"/>
      <c r="F2244" s="173"/>
      <c r="G2244" s="173"/>
      <c r="H2244" s="174"/>
      <c r="I2244" s="174"/>
      <c r="J2244" s="172"/>
      <c r="K2244" s="175"/>
      <c r="L2244" s="174"/>
      <c r="M2244" s="174"/>
      <c r="N2244" s="176"/>
      <c r="O2244" s="177"/>
      <c r="P2244" s="178"/>
      <c r="Q2244" s="179"/>
      <c r="R2244" s="180"/>
      <c r="S2244" s="181"/>
      <c r="T2244" s="203">
        <f t="shared" si="1352"/>
        <v>43647</v>
      </c>
      <c r="U2244" s="204">
        <f t="shared" si="1353"/>
        <v>43677</v>
      </c>
      <c r="V2244" s="207">
        <f t="shared" si="1385"/>
        <v>0</v>
      </c>
      <c r="W2244" s="206" t="str">
        <f t="shared" si="1382"/>
        <v/>
      </c>
      <c r="X2244" s="206">
        <f t="shared" si="1383"/>
        <v>0</v>
      </c>
      <c r="Y2244" s="209">
        <f t="shared" si="1384"/>
        <v>0</v>
      </c>
    </row>
    <row r="2245" spans="2:25" ht="15.75" thickBot="1" x14ac:dyDescent="0.3">
      <c r="B2245" s="141">
        <f>B2239</f>
        <v>37</v>
      </c>
      <c r="C2245" s="142">
        <v>259</v>
      </c>
      <c r="D2245" s="194" t="str">
        <f t="shared" ref="D2245:D2308" si="1386">D2244</f>
        <v>VII</v>
      </c>
      <c r="E2245" s="189"/>
      <c r="F2245" s="190"/>
      <c r="G2245" s="190"/>
      <c r="H2245" s="182"/>
      <c r="I2245" s="182"/>
      <c r="J2245" s="436" t="s">
        <v>181</v>
      </c>
      <c r="K2245" s="437"/>
      <c r="L2245" s="438"/>
      <c r="M2245" s="182"/>
      <c r="N2245" s="183">
        <v>10</v>
      </c>
      <c r="O2245" s="184">
        <v>10</v>
      </c>
      <c r="P2245" s="185"/>
      <c r="Q2245" s="186">
        <v>10</v>
      </c>
      <c r="R2245" s="187" t="s">
        <v>4</v>
      </c>
      <c r="S2245" s="188">
        <v>43621</v>
      </c>
      <c r="T2245" s="213">
        <f t="shared" si="1352"/>
        <v>43647</v>
      </c>
      <c r="U2245" s="214">
        <f t="shared" si="1353"/>
        <v>43677</v>
      </c>
      <c r="V2245" s="210">
        <f t="shared" si="1385"/>
        <v>0</v>
      </c>
      <c r="W2245" s="211"/>
      <c r="X2245" s="211">
        <f>IF(AND($V2245&gt;0,$I2245=1),IF($E2245=10,P2245/10,P2245/$V2245),0)</f>
        <v>0</v>
      </c>
      <c r="Y2245" s="212">
        <f>IF(AND($V2239&gt;0,$I2245&lt;&gt;1),Q2245/E2239*V2239,0)</f>
        <v>0</v>
      </c>
    </row>
    <row r="2246" spans="2:25" ht="30.75" thickTop="1" x14ac:dyDescent="0.25">
      <c r="B2246" s="129">
        <f>B2244+1</f>
        <v>38</v>
      </c>
      <c r="C2246" s="130">
        <v>260</v>
      </c>
      <c r="D2246" s="196" t="str">
        <f t="shared" si="1386"/>
        <v>VII</v>
      </c>
      <c r="E2246" s="131">
        <v>10</v>
      </c>
      <c r="F2246" s="132">
        <v>43697</v>
      </c>
      <c r="G2246" s="132">
        <v>43706</v>
      </c>
      <c r="H2246" s="133" t="s">
        <v>381</v>
      </c>
      <c r="I2246" s="133">
        <v>1</v>
      </c>
      <c r="J2246" s="131" t="s">
        <v>168</v>
      </c>
      <c r="K2246" s="134" t="s">
        <v>61</v>
      </c>
      <c r="L2246" s="133">
        <v>1.5</v>
      </c>
      <c r="M2246" s="133">
        <v>8</v>
      </c>
      <c r="N2246" s="135">
        <v>112.5</v>
      </c>
      <c r="O2246" s="136">
        <v>112.5</v>
      </c>
      <c r="P2246" s="137">
        <v>112.5</v>
      </c>
      <c r="Q2246" s="138"/>
      <c r="R2246" s="139" t="s">
        <v>4</v>
      </c>
      <c r="S2246" s="140">
        <v>43620</v>
      </c>
      <c r="T2246" s="203">
        <f t="shared" si="1352"/>
        <v>43647</v>
      </c>
      <c r="U2246" s="204">
        <f t="shared" si="1353"/>
        <v>43677</v>
      </c>
      <c r="V2246" s="207">
        <f>IF(G2246-F2246+1-IF(G2246-U2246&gt;0,G2246-U2246,0)-IF(T2246-F2246&gt;0,T2246-F2246,0)&gt;0,G2246-F2246+1-IF(G2246-U2246&gt;0,G2246-U2246,0)-IF(T2246-F2246&gt;0,T2246-F2246,0),0)</f>
        <v>0</v>
      </c>
      <c r="W2246" s="206" t="str">
        <f t="shared" ref="W2246:W2251" si="1387">IF(V2246&gt;0,H2246,"")</f>
        <v/>
      </c>
      <c r="X2246" s="206">
        <f t="shared" ref="X2246:X2251" si="1388">IF(AND($V2246&gt;0,$I2246=1),P2246/$E2246*$V2246,0)</f>
        <v>0</v>
      </c>
      <c r="Y2246" s="209">
        <f t="shared" ref="Y2246:Y2251" si="1389">IF(AND($V2246&gt;0,$I2246&lt;&gt;1),Q2246/$E2246*$V2246,0)</f>
        <v>0</v>
      </c>
    </row>
    <row r="2247" spans="2:25" ht="45" x14ac:dyDescent="0.25">
      <c r="B2247" s="60">
        <f>B2246</f>
        <v>38</v>
      </c>
      <c r="C2247" s="102">
        <v>261</v>
      </c>
      <c r="D2247" s="192" t="str">
        <f t="shared" si="1386"/>
        <v>VII</v>
      </c>
      <c r="E2247" s="62">
        <v>10</v>
      </c>
      <c r="F2247" s="105">
        <v>43697</v>
      </c>
      <c r="G2247" s="105">
        <v>43706</v>
      </c>
      <c r="H2247" s="61" t="s">
        <v>382</v>
      </c>
      <c r="I2247" s="61">
        <v>2</v>
      </c>
      <c r="J2247" s="62" t="s">
        <v>167</v>
      </c>
      <c r="K2247" s="63" t="s">
        <v>61</v>
      </c>
      <c r="L2247" s="61">
        <v>1.5</v>
      </c>
      <c r="M2247" s="61">
        <v>8</v>
      </c>
      <c r="N2247" s="111">
        <v>135</v>
      </c>
      <c r="O2247" s="112">
        <v>135</v>
      </c>
      <c r="P2247" s="113"/>
      <c r="Q2247" s="114">
        <v>135</v>
      </c>
      <c r="R2247" s="64" t="s">
        <v>4</v>
      </c>
      <c r="S2247" s="108">
        <v>43620</v>
      </c>
      <c r="T2247" s="203">
        <f t="shared" si="1352"/>
        <v>43647</v>
      </c>
      <c r="U2247" s="204">
        <f t="shared" si="1353"/>
        <v>43677</v>
      </c>
      <c r="V2247" s="207">
        <f t="shared" ref="V2247:V2252" si="1390">IF(G2247-F2247+1-IF(G2247-U2247&gt;0,G2247-U2247,0)-IF(T2247-F2247&gt;0,T2247-F2247,0)&gt;0,G2247-F2247+1-IF(G2247-U2247&gt;0,G2247-U2247,0)-IF(T2247-F2247&gt;0,T2247-F2247,0),0)</f>
        <v>0</v>
      </c>
      <c r="W2247" s="206" t="str">
        <f t="shared" si="1387"/>
        <v/>
      </c>
      <c r="X2247" s="206">
        <f t="shared" si="1388"/>
        <v>0</v>
      </c>
      <c r="Y2247" s="209">
        <f t="shared" si="1389"/>
        <v>0</v>
      </c>
    </row>
    <row r="2248" spans="2:25" hidden="1" x14ac:dyDescent="0.25">
      <c r="B2248" s="60">
        <f>B2246</f>
        <v>38</v>
      </c>
      <c r="C2248" s="102">
        <v>262</v>
      </c>
      <c r="D2248" s="192" t="str">
        <f t="shared" si="1386"/>
        <v>VII</v>
      </c>
      <c r="E2248" s="62">
        <v>10</v>
      </c>
      <c r="F2248" s="105">
        <v>43697</v>
      </c>
      <c r="G2248" s="105">
        <v>43706</v>
      </c>
      <c r="H2248" s="61" t="s">
        <v>383</v>
      </c>
      <c r="I2248" s="61"/>
      <c r="J2248" s="62"/>
      <c r="K2248" s="63"/>
      <c r="L2248" s="61"/>
      <c r="M2248" s="61"/>
      <c r="N2248" s="111"/>
      <c r="O2248" s="112"/>
      <c r="P2248" s="113"/>
      <c r="Q2248" s="114"/>
      <c r="R2248" s="64" t="s">
        <v>4</v>
      </c>
      <c r="S2248" s="108">
        <v>43620</v>
      </c>
      <c r="T2248" s="203">
        <f t="shared" si="1352"/>
        <v>43647</v>
      </c>
      <c r="U2248" s="204">
        <f t="shared" si="1353"/>
        <v>43677</v>
      </c>
      <c r="V2248" s="207">
        <f t="shared" si="1390"/>
        <v>0</v>
      </c>
      <c r="W2248" s="206" t="str">
        <f t="shared" si="1387"/>
        <v/>
      </c>
      <c r="X2248" s="206">
        <f t="shared" si="1388"/>
        <v>0</v>
      </c>
      <c r="Y2248" s="209">
        <f t="shared" si="1389"/>
        <v>0</v>
      </c>
    </row>
    <row r="2249" spans="2:25" hidden="1" x14ac:dyDescent="0.25">
      <c r="B2249" s="60">
        <f>B2246</f>
        <v>38</v>
      </c>
      <c r="C2249" s="102">
        <v>263</v>
      </c>
      <c r="D2249" s="192" t="str">
        <f t="shared" si="1386"/>
        <v>VII</v>
      </c>
      <c r="E2249" s="62"/>
      <c r="F2249" s="105"/>
      <c r="G2249" s="105"/>
      <c r="H2249" s="61"/>
      <c r="I2249" s="61"/>
      <c r="J2249" s="62"/>
      <c r="K2249" s="63"/>
      <c r="L2249" s="61"/>
      <c r="M2249" s="61"/>
      <c r="N2249" s="111"/>
      <c r="O2249" s="112"/>
      <c r="P2249" s="113"/>
      <c r="Q2249" s="114"/>
      <c r="R2249" s="64"/>
      <c r="S2249" s="108"/>
      <c r="T2249" s="203">
        <f t="shared" si="1352"/>
        <v>43647</v>
      </c>
      <c r="U2249" s="204">
        <f t="shared" si="1353"/>
        <v>43677</v>
      </c>
      <c r="V2249" s="207">
        <f t="shared" si="1390"/>
        <v>0</v>
      </c>
      <c r="W2249" s="206" t="str">
        <f t="shared" si="1387"/>
        <v/>
      </c>
      <c r="X2249" s="206">
        <f t="shared" si="1388"/>
        <v>0</v>
      </c>
      <c r="Y2249" s="209">
        <f t="shared" si="1389"/>
        <v>0</v>
      </c>
    </row>
    <row r="2250" spans="2:25" hidden="1" x14ac:dyDescent="0.25">
      <c r="B2250" s="60">
        <f>B2246</f>
        <v>38</v>
      </c>
      <c r="C2250" s="102">
        <v>264</v>
      </c>
      <c r="D2250" s="192" t="str">
        <f t="shared" si="1386"/>
        <v>VII</v>
      </c>
      <c r="E2250" s="62"/>
      <c r="F2250" s="105"/>
      <c r="G2250" s="105"/>
      <c r="H2250" s="61"/>
      <c r="I2250" s="61"/>
      <c r="J2250" s="62"/>
      <c r="K2250" s="63"/>
      <c r="L2250" s="61"/>
      <c r="M2250" s="61"/>
      <c r="N2250" s="111"/>
      <c r="O2250" s="112"/>
      <c r="P2250" s="113"/>
      <c r="Q2250" s="114"/>
      <c r="R2250" s="64"/>
      <c r="S2250" s="108"/>
      <c r="T2250" s="203">
        <f t="shared" si="1352"/>
        <v>43647</v>
      </c>
      <c r="U2250" s="204">
        <f t="shared" si="1353"/>
        <v>43677</v>
      </c>
      <c r="V2250" s="207">
        <f t="shared" si="1390"/>
        <v>0</v>
      </c>
      <c r="W2250" s="206" t="str">
        <f t="shared" si="1387"/>
        <v/>
      </c>
      <c r="X2250" s="206">
        <f t="shared" si="1388"/>
        <v>0</v>
      </c>
      <c r="Y2250" s="209">
        <f t="shared" si="1389"/>
        <v>0</v>
      </c>
    </row>
    <row r="2251" spans="2:25" hidden="1" x14ac:dyDescent="0.25">
      <c r="B2251" s="60">
        <f>B2246</f>
        <v>38</v>
      </c>
      <c r="C2251" s="102">
        <v>265</v>
      </c>
      <c r="D2251" s="192" t="str">
        <f t="shared" si="1386"/>
        <v>VII</v>
      </c>
      <c r="E2251" s="62"/>
      <c r="F2251" s="105"/>
      <c r="G2251" s="105"/>
      <c r="H2251" s="61"/>
      <c r="I2251" s="61"/>
      <c r="J2251" s="62"/>
      <c r="K2251" s="63"/>
      <c r="L2251" s="61"/>
      <c r="M2251" s="61"/>
      <c r="N2251" s="111"/>
      <c r="O2251" s="112"/>
      <c r="P2251" s="113"/>
      <c r="Q2251" s="114"/>
      <c r="R2251" s="64"/>
      <c r="S2251" s="108"/>
      <c r="T2251" s="203">
        <f t="shared" si="1352"/>
        <v>43647</v>
      </c>
      <c r="U2251" s="204">
        <f t="shared" si="1353"/>
        <v>43677</v>
      </c>
      <c r="V2251" s="207">
        <f t="shared" si="1390"/>
        <v>0</v>
      </c>
      <c r="W2251" s="206" t="str">
        <f t="shared" si="1387"/>
        <v/>
      </c>
      <c r="X2251" s="206">
        <f t="shared" si="1388"/>
        <v>0</v>
      </c>
      <c r="Y2251" s="209">
        <f t="shared" si="1389"/>
        <v>0</v>
      </c>
    </row>
    <row r="2252" spans="2:25" ht="15.75" thickBot="1" x14ac:dyDescent="0.3">
      <c r="B2252" s="141">
        <f>B2246</f>
        <v>38</v>
      </c>
      <c r="C2252" s="142">
        <v>266</v>
      </c>
      <c r="D2252" s="194" t="str">
        <f t="shared" si="1386"/>
        <v>VII</v>
      </c>
      <c r="E2252" s="143"/>
      <c r="F2252" s="144"/>
      <c r="G2252" s="144"/>
      <c r="H2252" s="145"/>
      <c r="I2252" s="145"/>
      <c r="J2252" s="436" t="s">
        <v>181</v>
      </c>
      <c r="K2252" s="437"/>
      <c r="L2252" s="438"/>
      <c r="M2252" s="145"/>
      <c r="N2252" s="146">
        <v>10</v>
      </c>
      <c r="O2252" s="147">
        <v>10</v>
      </c>
      <c r="P2252" s="148"/>
      <c r="Q2252" s="149">
        <v>10</v>
      </c>
      <c r="R2252" s="150" t="s">
        <v>4</v>
      </c>
      <c r="S2252" s="151">
        <v>43620</v>
      </c>
      <c r="T2252" s="213">
        <f t="shared" si="1352"/>
        <v>43647</v>
      </c>
      <c r="U2252" s="214">
        <f t="shared" si="1353"/>
        <v>43677</v>
      </c>
      <c r="V2252" s="210">
        <f t="shared" si="1390"/>
        <v>0</v>
      </c>
      <c r="W2252" s="211"/>
      <c r="X2252" s="211">
        <f>IF(AND($V2252&gt;0,$I2252=1),IF($E2252=10,P2252/10,P2252/$V2252),0)</f>
        <v>0</v>
      </c>
      <c r="Y2252" s="212">
        <f>IF(AND($V2246&gt;0,$I2252&lt;&gt;1),Q2252/E2246*V2246,0)</f>
        <v>0</v>
      </c>
    </row>
    <row r="2253" spans="2:25" ht="45.75" thickTop="1" x14ac:dyDescent="0.25">
      <c r="B2253" s="129">
        <f>B2251+1</f>
        <v>39</v>
      </c>
      <c r="C2253" s="130">
        <v>267</v>
      </c>
      <c r="D2253" s="196" t="str">
        <f t="shared" si="1386"/>
        <v>VII</v>
      </c>
      <c r="E2253" s="152">
        <v>10</v>
      </c>
      <c r="F2253" s="153">
        <v>43697</v>
      </c>
      <c r="G2253" s="153">
        <v>43706</v>
      </c>
      <c r="H2253" s="154" t="s">
        <v>384</v>
      </c>
      <c r="I2253" s="154">
        <v>2</v>
      </c>
      <c r="J2253" s="152" t="s">
        <v>167</v>
      </c>
      <c r="K2253" s="155" t="s">
        <v>16</v>
      </c>
      <c r="L2253" s="154">
        <v>1</v>
      </c>
      <c r="M2253" s="154">
        <v>8</v>
      </c>
      <c r="N2253" s="156">
        <v>90</v>
      </c>
      <c r="O2253" s="157">
        <v>90</v>
      </c>
      <c r="P2253" s="158"/>
      <c r="Q2253" s="159">
        <v>90</v>
      </c>
      <c r="R2253" s="160" t="s">
        <v>4</v>
      </c>
      <c r="S2253" s="161">
        <v>43621</v>
      </c>
      <c r="T2253" s="203">
        <f t="shared" ref="T2253:T2316" si="1391">$F$4</f>
        <v>43647</v>
      </c>
      <c r="U2253" s="204">
        <f t="shared" ref="U2253:U2316" si="1392">$G$4</f>
        <v>43677</v>
      </c>
      <c r="V2253" s="207">
        <f>IF(G2253-F2253+1-IF(G2253-U2253&gt;0,G2253-U2253,0)-IF(T2253-F2253&gt;0,T2253-F2253,0)&gt;0,G2253-F2253+1-IF(G2253-U2253&gt;0,G2253-U2253,0)-IF(T2253-F2253&gt;0,T2253-F2253,0),0)</f>
        <v>0</v>
      </c>
      <c r="W2253" s="206" t="str">
        <f t="shared" ref="W2253:W2258" si="1393">IF(V2253&gt;0,H2253,"")</f>
        <v/>
      </c>
      <c r="X2253" s="206">
        <f t="shared" ref="X2253:X2258" si="1394">IF(AND($V2253&gt;0,$I2253=1),P2253/$E2253*$V2253,0)</f>
        <v>0</v>
      </c>
      <c r="Y2253" s="209">
        <f t="shared" ref="Y2253:Y2258" si="1395">IF(AND($V2253&gt;0,$I2253&lt;&gt;1),Q2253/$E2253*$V2253,0)</f>
        <v>0</v>
      </c>
    </row>
    <row r="2254" spans="2:25" ht="45" x14ac:dyDescent="0.25">
      <c r="B2254" s="60">
        <f>B2253</f>
        <v>39</v>
      </c>
      <c r="C2254" s="102">
        <v>268</v>
      </c>
      <c r="D2254" s="192" t="str">
        <f t="shared" si="1386"/>
        <v>VII</v>
      </c>
      <c r="E2254" s="162">
        <v>10</v>
      </c>
      <c r="F2254" s="163">
        <v>43697</v>
      </c>
      <c r="G2254" s="163">
        <v>43706</v>
      </c>
      <c r="H2254" s="164" t="s">
        <v>385</v>
      </c>
      <c r="I2254" s="164">
        <v>2</v>
      </c>
      <c r="J2254" s="162" t="s">
        <v>167</v>
      </c>
      <c r="K2254" s="165" t="s">
        <v>16</v>
      </c>
      <c r="L2254" s="164">
        <v>1</v>
      </c>
      <c r="M2254" s="164">
        <v>8</v>
      </c>
      <c r="N2254" s="166">
        <v>90</v>
      </c>
      <c r="O2254" s="167">
        <v>90</v>
      </c>
      <c r="P2254" s="168"/>
      <c r="Q2254" s="169">
        <v>90</v>
      </c>
      <c r="R2254" s="170" t="s">
        <v>4</v>
      </c>
      <c r="S2254" s="171">
        <v>43621</v>
      </c>
      <c r="T2254" s="203">
        <f t="shared" si="1391"/>
        <v>43647</v>
      </c>
      <c r="U2254" s="204">
        <f t="shared" si="1392"/>
        <v>43677</v>
      </c>
      <c r="V2254" s="207">
        <f t="shared" ref="V2254:V2259" si="1396">IF(G2254-F2254+1-IF(G2254-U2254&gt;0,G2254-U2254,0)-IF(T2254-F2254&gt;0,T2254-F2254,0)&gt;0,G2254-F2254+1-IF(G2254-U2254&gt;0,G2254-U2254,0)-IF(T2254-F2254&gt;0,T2254-F2254,0),0)</f>
        <v>0</v>
      </c>
      <c r="W2254" s="206" t="str">
        <f t="shared" si="1393"/>
        <v/>
      </c>
      <c r="X2254" s="206">
        <f t="shared" si="1394"/>
        <v>0</v>
      </c>
      <c r="Y2254" s="209">
        <f t="shared" si="1395"/>
        <v>0</v>
      </c>
    </row>
    <row r="2255" spans="2:25" hidden="1" x14ac:dyDescent="0.25">
      <c r="B2255" s="60">
        <f>B2253</f>
        <v>39</v>
      </c>
      <c r="C2255" s="102">
        <v>269</v>
      </c>
      <c r="D2255" s="192" t="str">
        <f t="shared" si="1386"/>
        <v>VII</v>
      </c>
      <c r="E2255" s="162"/>
      <c r="F2255" s="163"/>
      <c r="G2255" s="163"/>
      <c r="H2255" s="164"/>
      <c r="I2255" s="164"/>
      <c r="J2255" s="162"/>
      <c r="K2255" s="165"/>
      <c r="L2255" s="164"/>
      <c r="M2255" s="164"/>
      <c r="N2255" s="166"/>
      <c r="O2255" s="167"/>
      <c r="P2255" s="168"/>
      <c r="Q2255" s="169"/>
      <c r="R2255" s="170"/>
      <c r="S2255" s="171"/>
      <c r="T2255" s="203">
        <f t="shared" si="1391"/>
        <v>43647</v>
      </c>
      <c r="U2255" s="204">
        <f t="shared" si="1392"/>
        <v>43677</v>
      </c>
      <c r="V2255" s="207">
        <f t="shared" si="1396"/>
        <v>0</v>
      </c>
      <c r="W2255" s="206" t="str">
        <f t="shared" si="1393"/>
        <v/>
      </c>
      <c r="X2255" s="206">
        <f t="shared" si="1394"/>
        <v>0</v>
      </c>
      <c r="Y2255" s="209">
        <f t="shared" si="1395"/>
        <v>0</v>
      </c>
    </row>
    <row r="2256" spans="2:25" hidden="1" x14ac:dyDescent="0.25">
      <c r="B2256" s="60">
        <f>B2253</f>
        <v>39</v>
      </c>
      <c r="C2256" s="102">
        <v>270</v>
      </c>
      <c r="D2256" s="192" t="str">
        <f t="shared" si="1386"/>
        <v>VII</v>
      </c>
      <c r="E2256" s="162"/>
      <c r="F2256" s="163"/>
      <c r="G2256" s="163"/>
      <c r="H2256" s="164"/>
      <c r="I2256" s="164"/>
      <c r="J2256" s="162"/>
      <c r="K2256" s="165"/>
      <c r="L2256" s="164"/>
      <c r="M2256" s="164"/>
      <c r="N2256" s="166"/>
      <c r="O2256" s="167"/>
      <c r="P2256" s="168"/>
      <c r="Q2256" s="169"/>
      <c r="R2256" s="170"/>
      <c r="S2256" s="171"/>
      <c r="T2256" s="203">
        <f t="shared" si="1391"/>
        <v>43647</v>
      </c>
      <c r="U2256" s="204">
        <f t="shared" si="1392"/>
        <v>43677</v>
      </c>
      <c r="V2256" s="207">
        <f t="shared" si="1396"/>
        <v>0</v>
      </c>
      <c r="W2256" s="206" t="str">
        <f t="shared" si="1393"/>
        <v/>
      </c>
      <c r="X2256" s="206">
        <f t="shared" si="1394"/>
        <v>0</v>
      </c>
      <c r="Y2256" s="209">
        <f t="shared" si="1395"/>
        <v>0</v>
      </c>
    </row>
    <row r="2257" spans="2:25" hidden="1" x14ac:dyDescent="0.25">
      <c r="B2257" s="60">
        <f>B2253</f>
        <v>39</v>
      </c>
      <c r="C2257" s="102">
        <v>271</v>
      </c>
      <c r="D2257" s="192" t="str">
        <f t="shared" si="1386"/>
        <v>VII</v>
      </c>
      <c r="E2257" s="162"/>
      <c r="F2257" s="163"/>
      <c r="G2257" s="163"/>
      <c r="H2257" s="164"/>
      <c r="I2257" s="164"/>
      <c r="J2257" s="162"/>
      <c r="K2257" s="165"/>
      <c r="L2257" s="164"/>
      <c r="M2257" s="164"/>
      <c r="N2257" s="166"/>
      <c r="O2257" s="167"/>
      <c r="P2257" s="168"/>
      <c r="Q2257" s="169"/>
      <c r="R2257" s="170"/>
      <c r="S2257" s="171"/>
      <c r="T2257" s="203">
        <f t="shared" si="1391"/>
        <v>43647</v>
      </c>
      <c r="U2257" s="204">
        <f t="shared" si="1392"/>
        <v>43677</v>
      </c>
      <c r="V2257" s="207">
        <f t="shared" si="1396"/>
        <v>0</v>
      </c>
      <c r="W2257" s="206" t="str">
        <f t="shared" si="1393"/>
        <v/>
      </c>
      <c r="X2257" s="206">
        <f t="shared" si="1394"/>
        <v>0</v>
      </c>
      <c r="Y2257" s="209">
        <f t="shared" si="1395"/>
        <v>0</v>
      </c>
    </row>
    <row r="2258" spans="2:25" hidden="1" x14ac:dyDescent="0.25">
      <c r="B2258" s="60">
        <f>B2253</f>
        <v>39</v>
      </c>
      <c r="C2258" s="102">
        <v>272</v>
      </c>
      <c r="D2258" s="192" t="str">
        <f t="shared" si="1386"/>
        <v>VII</v>
      </c>
      <c r="E2258" s="172"/>
      <c r="F2258" s="173"/>
      <c r="G2258" s="173"/>
      <c r="H2258" s="174"/>
      <c r="I2258" s="174"/>
      <c r="J2258" s="172"/>
      <c r="K2258" s="175"/>
      <c r="L2258" s="174"/>
      <c r="M2258" s="174"/>
      <c r="N2258" s="176"/>
      <c r="O2258" s="177"/>
      <c r="P2258" s="178"/>
      <c r="Q2258" s="179"/>
      <c r="R2258" s="180"/>
      <c r="S2258" s="181"/>
      <c r="T2258" s="203">
        <f t="shared" si="1391"/>
        <v>43647</v>
      </c>
      <c r="U2258" s="204">
        <f t="shared" si="1392"/>
        <v>43677</v>
      </c>
      <c r="V2258" s="207">
        <f t="shared" si="1396"/>
        <v>0</v>
      </c>
      <c r="W2258" s="206" t="str">
        <f t="shared" si="1393"/>
        <v/>
      </c>
      <c r="X2258" s="206">
        <f t="shared" si="1394"/>
        <v>0</v>
      </c>
      <c r="Y2258" s="209">
        <f t="shared" si="1395"/>
        <v>0</v>
      </c>
    </row>
    <row r="2259" spans="2:25" ht="15.75" thickBot="1" x14ac:dyDescent="0.3">
      <c r="B2259" s="141">
        <f>B2253</f>
        <v>39</v>
      </c>
      <c r="C2259" s="142">
        <v>273</v>
      </c>
      <c r="D2259" s="194" t="str">
        <f t="shared" si="1386"/>
        <v>VII</v>
      </c>
      <c r="E2259" s="189"/>
      <c r="F2259" s="190"/>
      <c r="G2259" s="190"/>
      <c r="H2259" s="182"/>
      <c r="I2259" s="182"/>
      <c r="J2259" s="436" t="s">
        <v>181</v>
      </c>
      <c r="K2259" s="437"/>
      <c r="L2259" s="438"/>
      <c r="M2259" s="182"/>
      <c r="N2259" s="183">
        <v>10</v>
      </c>
      <c r="O2259" s="184">
        <v>10</v>
      </c>
      <c r="P2259" s="185"/>
      <c r="Q2259" s="186">
        <v>10</v>
      </c>
      <c r="R2259" s="187" t="s">
        <v>4</v>
      </c>
      <c r="S2259" s="188">
        <v>43621</v>
      </c>
      <c r="T2259" s="213">
        <f t="shared" si="1391"/>
        <v>43647</v>
      </c>
      <c r="U2259" s="214">
        <f t="shared" si="1392"/>
        <v>43677</v>
      </c>
      <c r="V2259" s="210">
        <f t="shared" si="1396"/>
        <v>0</v>
      </c>
      <c r="W2259" s="211"/>
      <c r="X2259" s="211">
        <f>IF(AND($V2259&gt;0,$I2259=1),IF($E2259=10,P2259/10,P2259/$V2259),0)</f>
        <v>0</v>
      </c>
      <c r="Y2259" s="212">
        <f>IF(AND($V2253&gt;0,$I2259&lt;&gt;1),Q2259/E2253*V2253,0)</f>
        <v>0</v>
      </c>
    </row>
    <row r="2260" spans="2:25" ht="16.5" hidden="1" thickTop="1" thickBot="1" x14ac:dyDescent="0.3">
      <c r="B2260" s="129">
        <f>B2258+1</f>
        <v>40</v>
      </c>
      <c r="C2260" s="130">
        <v>274</v>
      </c>
      <c r="D2260" s="196" t="str">
        <f t="shared" si="1386"/>
        <v>VII</v>
      </c>
      <c r="E2260" s="131"/>
      <c r="F2260" s="132"/>
      <c r="G2260" s="132"/>
      <c r="H2260" s="133"/>
      <c r="I2260" s="133"/>
      <c r="J2260" s="131"/>
      <c r="K2260" s="134"/>
      <c r="L2260" s="133"/>
      <c r="M2260" s="133"/>
      <c r="N2260" s="135"/>
      <c r="O2260" s="136"/>
      <c r="P2260" s="137"/>
      <c r="Q2260" s="138"/>
      <c r="R2260" s="139"/>
      <c r="S2260" s="140"/>
      <c r="T2260" s="203">
        <f t="shared" si="1391"/>
        <v>43647</v>
      </c>
      <c r="U2260" s="204">
        <f t="shared" si="1392"/>
        <v>43677</v>
      </c>
      <c r="V2260" s="207">
        <f>IF(G2260-F2260+1-IF(G2260-U2260&gt;0,G2260-U2260,0)-IF(T2260-F2260&gt;0,T2260-F2260,0)&gt;0,G2260-F2260+1-IF(G2260-U2260&gt;0,G2260-U2260,0)-IF(T2260-F2260&gt;0,T2260-F2260,0),0)</f>
        <v>0</v>
      </c>
      <c r="W2260" s="206" t="str">
        <f t="shared" ref="W2260:W2265" si="1397">IF(V2260&gt;0,H2260,"")</f>
        <v/>
      </c>
      <c r="X2260" s="206">
        <f t="shared" ref="X2260:X2265" si="1398">IF(AND($V2260&gt;0,$I2260=1),P2260/$E2260*$V2260,0)</f>
        <v>0</v>
      </c>
      <c r="Y2260" s="209">
        <f t="shared" ref="Y2260:Y2265" si="1399">IF(AND($V2260&gt;0,$I2260&lt;&gt;1),Q2260/$E2260*$V2260,0)</f>
        <v>0</v>
      </c>
    </row>
    <row r="2261" spans="2:25" ht="16.5" hidden="1" thickTop="1" thickBot="1" x14ac:dyDescent="0.3">
      <c r="B2261" s="60">
        <f>B2260</f>
        <v>40</v>
      </c>
      <c r="C2261" s="102">
        <v>275</v>
      </c>
      <c r="D2261" s="192" t="str">
        <f t="shared" si="1386"/>
        <v>VII</v>
      </c>
      <c r="E2261" s="62"/>
      <c r="F2261" s="105"/>
      <c r="G2261" s="105"/>
      <c r="H2261" s="61"/>
      <c r="I2261" s="61"/>
      <c r="J2261" s="62"/>
      <c r="K2261" s="63"/>
      <c r="L2261" s="61"/>
      <c r="M2261" s="61"/>
      <c r="N2261" s="111"/>
      <c r="O2261" s="112"/>
      <c r="P2261" s="113"/>
      <c r="Q2261" s="114"/>
      <c r="R2261" s="64"/>
      <c r="S2261" s="108"/>
      <c r="T2261" s="203">
        <f t="shared" si="1391"/>
        <v>43647</v>
      </c>
      <c r="U2261" s="204">
        <f t="shared" si="1392"/>
        <v>43677</v>
      </c>
      <c r="V2261" s="207">
        <f t="shared" ref="V2261:V2266" si="1400">IF(G2261-F2261+1-IF(G2261-U2261&gt;0,G2261-U2261,0)-IF(T2261-F2261&gt;0,T2261-F2261,0)&gt;0,G2261-F2261+1-IF(G2261-U2261&gt;0,G2261-U2261,0)-IF(T2261-F2261&gt;0,T2261-F2261,0),0)</f>
        <v>0</v>
      </c>
      <c r="W2261" s="206" t="str">
        <f t="shared" si="1397"/>
        <v/>
      </c>
      <c r="X2261" s="206">
        <f t="shared" si="1398"/>
        <v>0</v>
      </c>
      <c r="Y2261" s="209">
        <f t="shared" si="1399"/>
        <v>0</v>
      </c>
    </row>
    <row r="2262" spans="2:25" ht="16.5" hidden="1" thickTop="1" thickBot="1" x14ac:dyDescent="0.3">
      <c r="B2262" s="60">
        <f>B2260</f>
        <v>40</v>
      </c>
      <c r="C2262" s="102">
        <v>276</v>
      </c>
      <c r="D2262" s="192" t="str">
        <f t="shared" si="1386"/>
        <v>VII</v>
      </c>
      <c r="E2262" s="62"/>
      <c r="F2262" s="105"/>
      <c r="G2262" s="105"/>
      <c r="H2262" s="61"/>
      <c r="I2262" s="61"/>
      <c r="J2262" s="62"/>
      <c r="K2262" s="63"/>
      <c r="L2262" s="61"/>
      <c r="M2262" s="61"/>
      <c r="N2262" s="111"/>
      <c r="O2262" s="112"/>
      <c r="P2262" s="113"/>
      <c r="Q2262" s="114"/>
      <c r="R2262" s="64"/>
      <c r="S2262" s="108"/>
      <c r="T2262" s="203">
        <f t="shared" si="1391"/>
        <v>43647</v>
      </c>
      <c r="U2262" s="204">
        <f t="shared" si="1392"/>
        <v>43677</v>
      </c>
      <c r="V2262" s="207">
        <f t="shared" si="1400"/>
        <v>0</v>
      </c>
      <c r="W2262" s="206" t="str">
        <f t="shared" si="1397"/>
        <v/>
      </c>
      <c r="X2262" s="206">
        <f t="shared" si="1398"/>
        <v>0</v>
      </c>
      <c r="Y2262" s="209">
        <f t="shared" si="1399"/>
        <v>0</v>
      </c>
    </row>
    <row r="2263" spans="2:25" ht="16.5" hidden="1" thickTop="1" thickBot="1" x14ac:dyDescent="0.3">
      <c r="B2263" s="60">
        <f>B2260</f>
        <v>40</v>
      </c>
      <c r="C2263" s="102">
        <v>277</v>
      </c>
      <c r="D2263" s="192" t="str">
        <f t="shared" si="1386"/>
        <v>VII</v>
      </c>
      <c r="E2263" s="62"/>
      <c r="F2263" s="105"/>
      <c r="G2263" s="105"/>
      <c r="H2263" s="61"/>
      <c r="I2263" s="61"/>
      <c r="J2263" s="62"/>
      <c r="K2263" s="63"/>
      <c r="L2263" s="61"/>
      <c r="M2263" s="61"/>
      <c r="N2263" s="111"/>
      <c r="O2263" s="112"/>
      <c r="P2263" s="113"/>
      <c r="Q2263" s="114"/>
      <c r="R2263" s="64"/>
      <c r="S2263" s="108"/>
      <c r="T2263" s="203">
        <f t="shared" si="1391"/>
        <v>43647</v>
      </c>
      <c r="U2263" s="204">
        <f t="shared" si="1392"/>
        <v>43677</v>
      </c>
      <c r="V2263" s="207">
        <f t="shared" si="1400"/>
        <v>0</v>
      </c>
      <c r="W2263" s="206" t="str">
        <f t="shared" si="1397"/>
        <v/>
      </c>
      <c r="X2263" s="206">
        <f t="shared" si="1398"/>
        <v>0</v>
      </c>
      <c r="Y2263" s="209">
        <f t="shared" si="1399"/>
        <v>0</v>
      </c>
    </row>
    <row r="2264" spans="2:25" ht="16.5" hidden="1" thickTop="1" thickBot="1" x14ac:dyDescent="0.3">
      <c r="B2264" s="60">
        <f>B2260</f>
        <v>40</v>
      </c>
      <c r="C2264" s="102">
        <v>278</v>
      </c>
      <c r="D2264" s="192" t="str">
        <f t="shared" si="1386"/>
        <v>VII</v>
      </c>
      <c r="E2264" s="62"/>
      <c r="F2264" s="105"/>
      <c r="G2264" s="105"/>
      <c r="H2264" s="61"/>
      <c r="I2264" s="61"/>
      <c r="J2264" s="62"/>
      <c r="K2264" s="63"/>
      <c r="L2264" s="61"/>
      <c r="M2264" s="61"/>
      <c r="N2264" s="111"/>
      <c r="O2264" s="112"/>
      <c r="P2264" s="113"/>
      <c r="Q2264" s="114"/>
      <c r="R2264" s="64"/>
      <c r="S2264" s="108"/>
      <c r="T2264" s="203">
        <f t="shared" si="1391"/>
        <v>43647</v>
      </c>
      <c r="U2264" s="204">
        <f t="shared" si="1392"/>
        <v>43677</v>
      </c>
      <c r="V2264" s="207">
        <f t="shared" si="1400"/>
        <v>0</v>
      </c>
      <c r="W2264" s="206" t="str">
        <f t="shared" si="1397"/>
        <v/>
      </c>
      <c r="X2264" s="206">
        <f t="shared" si="1398"/>
        <v>0</v>
      </c>
      <c r="Y2264" s="209">
        <f t="shared" si="1399"/>
        <v>0</v>
      </c>
    </row>
    <row r="2265" spans="2:25" ht="16.5" hidden="1" thickTop="1" thickBot="1" x14ac:dyDescent="0.3">
      <c r="B2265" s="60">
        <f>B2260</f>
        <v>40</v>
      </c>
      <c r="C2265" s="102">
        <v>279</v>
      </c>
      <c r="D2265" s="192" t="str">
        <f t="shared" si="1386"/>
        <v>VII</v>
      </c>
      <c r="E2265" s="62"/>
      <c r="F2265" s="105"/>
      <c r="G2265" s="105"/>
      <c r="H2265" s="61"/>
      <c r="I2265" s="61"/>
      <c r="J2265" s="62"/>
      <c r="K2265" s="63"/>
      <c r="L2265" s="61"/>
      <c r="M2265" s="61"/>
      <c r="N2265" s="111"/>
      <c r="O2265" s="112"/>
      <c r="P2265" s="113"/>
      <c r="Q2265" s="114"/>
      <c r="R2265" s="64"/>
      <c r="S2265" s="108"/>
      <c r="T2265" s="203">
        <f t="shared" si="1391"/>
        <v>43647</v>
      </c>
      <c r="U2265" s="204">
        <f t="shared" si="1392"/>
        <v>43677</v>
      </c>
      <c r="V2265" s="207">
        <f t="shared" si="1400"/>
        <v>0</v>
      </c>
      <c r="W2265" s="206" t="str">
        <f t="shared" si="1397"/>
        <v/>
      </c>
      <c r="X2265" s="206">
        <f t="shared" si="1398"/>
        <v>0</v>
      </c>
      <c r="Y2265" s="209">
        <f t="shared" si="1399"/>
        <v>0</v>
      </c>
    </row>
    <row r="2266" spans="2:25" ht="16.5" hidden="1" thickTop="1" thickBot="1" x14ac:dyDescent="0.3">
      <c r="B2266" s="141">
        <f>B2260</f>
        <v>40</v>
      </c>
      <c r="C2266" s="142">
        <v>280</v>
      </c>
      <c r="D2266" s="194" t="str">
        <f t="shared" si="1386"/>
        <v>VII</v>
      </c>
      <c r="E2266" s="143"/>
      <c r="F2266" s="144"/>
      <c r="G2266" s="144"/>
      <c r="H2266" s="145"/>
      <c r="I2266" s="145"/>
      <c r="J2266" s="436" t="s">
        <v>181</v>
      </c>
      <c r="K2266" s="437"/>
      <c r="L2266" s="438"/>
      <c r="M2266" s="145"/>
      <c r="N2266" s="146"/>
      <c r="O2266" s="147"/>
      <c r="P2266" s="148"/>
      <c r="Q2266" s="149"/>
      <c r="R2266" s="150"/>
      <c r="S2266" s="151"/>
      <c r="T2266" s="213">
        <f t="shared" si="1391"/>
        <v>43647</v>
      </c>
      <c r="U2266" s="214">
        <f t="shared" si="1392"/>
        <v>43677</v>
      </c>
      <c r="V2266" s="210">
        <f t="shared" si="1400"/>
        <v>0</v>
      </c>
      <c r="W2266" s="211"/>
      <c r="X2266" s="211">
        <f>IF(AND($V2266&gt;0,$I2266=1),IF($E2266=10,P2266/10,P2266/$V2266),0)</f>
        <v>0</v>
      </c>
      <c r="Y2266" s="212">
        <f>IF(AND($V2260&gt;0,$I2266&lt;&gt;1),Q2266/E2260*V2260,0)</f>
        <v>0</v>
      </c>
    </row>
    <row r="2267" spans="2:25" ht="16.5" hidden="1" thickTop="1" thickBot="1" x14ac:dyDescent="0.3">
      <c r="B2267" s="129">
        <f>B2265+1</f>
        <v>41</v>
      </c>
      <c r="C2267" s="130">
        <v>281</v>
      </c>
      <c r="D2267" s="196" t="str">
        <f t="shared" si="1386"/>
        <v>VII</v>
      </c>
      <c r="E2267" s="152"/>
      <c r="F2267" s="153"/>
      <c r="G2267" s="153"/>
      <c r="H2267" s="154"/>
      <c r="I2267" s="154"/>
      <c r="J2267" s="152"/>
      <c r="K2267" s="155"/>
      <c r="L2267" s="154"/>
      <c r="M2267" s="154"/>
      <c r="N2267" s="156"/>
      <c r="O2267" s="157"/>
      <c r="P2267" s="158"/>
      <c r="Q2267" s="159"/>
      <c r="R2267" s="160"/>
      <c r="S2267" s="161"/>
      <c r="T2267" s="203">
        <f t="shared" si="1391"/>
        <v>43647</v>
      </c>
      <c r="U2267" s="204">
        <f t="shared" si="1392"/>
        <v>43677</v>
      </c>
      <c r="V2267" s="207">
        <f>IF(G2267-F2267+1-IF(G2267-U2267&gt;0,G2267-U2267,0)-IF(T2267-F2267&gt;0,T2267-F2267,0)&gt;0,G2267-F2267+1-IF(G2267-U2267&gt;0,G2267-U2267,0)-IF(T2267-F2267&gt;0,T2267-F2267,0),0)</f>
        <v>0</v>
      </c>
      <c r="W2267" s="206" t="str">
        <f t="shared" ref="W2267:W2272" si="1401">IF(V2267&gt;0,H2267,"")</f>
        <v/>
      </c>
      <c r="X2267" s="206">
        <f t="shared" ref="X2267:X2272" si="1402">IF(AND($V2267&gt;0,$I2267=1),P2267/$E2267*$V2267,0)</f>
        <v>0</v>
      </c>
      <c r="Y2267" s="209">
        <f t="shared" ref="Y2267:Y2272" si="1403">IF(AND($V2267&gt;0,$I2267&lt;&gt;1),Q2267/$E2267*$V2267,0)</f>
        <v>0</v>
      </c>
    </row>
    <row r="2268" spans="2:25" ht="16.5" hidden="1" thickTop="1" thickBot="1" x14ac:dyDescent="0.3">
      <c r="B2268" s="60">
        <f>B2267</f>
        <v>41</v>
      </c>
      <c r="C2268" s="102">
        <v>282</v>
      </c>
      <c r="D2268" s="192" t="str">
        <f t="shared" si="1386"/>
        <v>VII</v>
      </c>
      <c r="E2268" s="162"/>
      <c r="F2268" s="163"/>
      <c r="G2268" s="163"/>
      <c r="H2268" s="164"/>
      <c r="I2268" s="164"/>
      <c r="J2268" s="162"/>
      <c r="K2268" s="165"/>
      <c r="L2268" s="164"/>
      <c r="M2268" s="164"/>
      <c r="N2268" s="166"/>
      <c r="O2268" s="167"/>
      <c r="P2268" s="168"/>
      <c r="Q2268" s="169"/>
      <c r="R2268" s="170"/>
      <c r="S2268" s="171"/>
      <c r="T2268" s="203">
        <f t="shared" si="1391"/>
        <v>43647</v>
      </c>
      <c r="U2268" s="204">
        <f t="shared" si="1392"/>
        <v>43677</v>
      </c>
      <c r="V2268" s="207">
        <f t="shared" ref="V2268:V2273" si="1404">IF(G2268-F2268+1-IF(G2268-U2268&gt;0,G2268-U2268,0)-IF(T2268-F2268&gt;0,T2268-F2268,0)&gt;0,G2268-F2268+1-IF(G2268-U2268&gt;0,G2268-U2268,0)-IF(T2268-F2268&gt;0,T2268-F2268,0),0)</f>
        <v>0</v>
      </c>
      <c r="W2268" s="206" t="str">
        <f t="shared" si="1401"/>
        <v/>
      </c>
      <c r="X2268" s="206">
        <f t="shared" si="1402"/>
        <v>0</v>
      </c>
      <c r="Y2268" s="209">
        <f t="shared" si="1403"/>
        <v>0</v>
      </c>
    </row>
    <row r="2269" spans="2:25" ht="16.5" hidden="1" thickTop="1" thickBot="1" x14ac:dyDescent="0.3">
      <c r="B2269" s="60">
        <f>B2267</f>
        <v>41</v>
      </c>
      <c r="C2269" s="102">
        <v>283</v>
      </c>
      <c r="D2269" s="192" t="str">
        <f t="shared" si="1386"/>
        <v>VII</v>
      </c>
      <c r="E2269" s="162"/>
      <c r="F2269" s="163"/>
      <c r="G2269" s="163"/>
      <c r="H2269" s="164"/>
      <c r="I2269" s="164"/>
      <c r="J2269" s="162"/>
      <c r="K2269" s="165"/>
      <c r="L2269" s="164"/>
      <c r="M2269" s="164"/>
      <c r="N2269" s="166"/>
      <c r="O2269" s="167"/>
      <c r="P2269" s="168"/>
      <c r="Q2269" s="169"/>
      <c r="R2269" s="170"/>
      <c r="S2269" s="171"/>
      <c r="T2269" s="203">
        <f t="shared" si="1391"/>
        <v>43647</v>
      </c>
      <c r="U2269" s="204">
        <f t="shared" si="1392"/>
        <v>43677</v>
      </c>
      <c r="V2269" s="207">
        <f t="shared" si="1404"/>
        <v>0</v>
      </c>
      <c r="W2269" s="206" t="str">
        <f t="shared" si="1401"/>
        <v/>
      </c>
      <c r="X2269" s="206">
        <f t="shared" si="1402"/>
        <v>0</v>
      </c>
      <c r="Y2269" s="209">
        <f t="shared" si="1403"/>
        <v>0</v>
      </c>
    </row>
    <row r="2270" spans="2:25" ht="16.5" hidden="1" thickTop="1" thickBot="1" x14ac:dyDescent="0.3">
      <c r="B2270" s="60">
        <f>B2267</f>
        <v>41</v>
      </c>
      <c r="C2270" s="102">
        <v>284</v>
      </c>
      <c r="D2270" s="192" t="str">
        <f t="shared" si="1386"/>
        <v>VII</v>
      </c>
      <c r="E2270" s="162"/>
      <c r="F2270" s="163"/>
      <c r="G2270" s="163"/>
      <c r="H2270" s="164"/>
      <c r="I2270" s="164"/>
      <c r="J2270" s="162"/>
      <c r="K2270" s="165"/>
      <c r="L2270" s="164"/>
      <c r="M2270" s="164"/>
      <c r="N2270" s="166"/>
      <c r="O2270" s="167"/>
      <c r="P2270" s="168"/>
      <c r="Q2270" s="169"/>
      <c r="R2270" s="170"/>
      <c r="S2270" s="171"/>
      <c r="T2270" s="203">
        <f t="shared" si="1391"/>
        <v>43647</v>
      </c>
      <c r="U2270" s="204">
        <f t="shared" si="1392"/>
        <v>43677</v>
      </c>
      <c r="V2270" s="207">
        <f t="shared" si="1404"/>
        <v>0</v>
      </c>
      <c r="W2270" s="206" t="str">
        <f t="shared" si="1401"/>
        <v/>
      </c>
      <c r="X2270" s="206">
        <f t="shared" si="1402"/>
        <v>0</v>
      </c>
      <c r="Y2270" s="209">
        <f t="shared" si="1403"/>
        <v>0</v>
      </c>
    </row>
    <row r="2271" spans="2:25" ht="16.5" hidden="1" thickTop="1" thickBot="1" x14ac:dyDescent="0.3">
      <c r="B2271" s="60">
        <f>B2267</f>
        <v>41</v>
      </c>
      <c r="C2271" s="102">
        <v>285</v>
      </c>
      <c r="D2271" s="192" t="str">
        <f t="shared" si="1386"/>
        <v>VII</v>
      </c>
      <c r="E2271" s="162"/>
      <c r="F2271" s="163"/>
      <c r="G2271" s="163"/>
      <c r="H2271" s="164"/>
      <c r="I2271" s="164"/>
      <c r="J2271" s="162"/>
      <c r="K2271" s="165"/>
      <c r="L2271" s="164"/>
      <c r="M2271" s="164"/>
      <c r="N2271" s="166"/>
      <c r="O2271" s="167"/>
      <c r="P2271" s="168"/>
      <c r="Q2271" s="169"/>
      <c r="R2271" s="170"/>
      <c r="S2271" s="171"/>
      <c r="T2271" s="203">
        <f t="shared" si="1391"/>
        <v>43647</v>
      </c>
      <c r="U2271" s="204">
        <f t="shared" si="1392"/>
        <v>43677</v>
      </c>
      <c r="V2271" s="207">
        <f t="shared" si="1404"/>
        <v>0</v>
      </c>
      <c r="W2271" s="206" t="str">
        <f t="shared" si="1401"/>
        <v/>
      </c>
      <c r="X2271" s="206">
        <f t="shared" si="1402"/>
        <v>0</v>
      </c>
      <c r="Y2271" s="209">
        <f t="shared" si="1403"/>
        <v>0</v>
      </c>
    </row>
    <row r="2272" spans="2:25" ht="16.5" hidden="1" thickTop="1" thickBot="1" x14ac:dyDescent="0.3">
      <c r="B2272" s="60">
        <f>B2267</f>
        <v>41</v>
      </c>
      <c r="C2272" s="102">
        <v>286</v>
      </c>
      <c r="D2272" s="192" t="str">
        <f t="shared" si="1386"/>
        <v>VII</v>
      </c>
      <c r="E2272" s="172"/>
      <c r="F2272" s="173"/>
      <c r="G2272" s="173"/>
      <c r="H2272" s="174"/>
      <c r="I2272" s="174"/>
      <c r="J2272" s="172"/>
      <c r="K2272" s="175"/>
      <c r="L2272" s="174"/>
      <c r="M2272" s="174"/>
      <c r="N2272" s="176"/>
      <c r="O2272" s="177"/>
      <c r="P2272" s="178"/>
      <c r="Q2272" s="179"/>
      <c r="R2272" s="180"/>
      <c r="S2272" s="181"/>
      <c r="T2272" s="203">
        <f t="shared" si="1391"/>
        <v>43647</v>
      </c>
      <c r="U2272" s="204">
        <f t="shared" si="1392"/>
        <v>43677</v>
      </c>
      <c r="V2272" s="207">
        <f t="shared" si="1404"/>
        <v>0</v>
      </c>
      <c r="W2272" s="206" t="str">
        <f t="shared" si="1401"/>
        <v/>
      </c>
      <c r="X2272" s="206">
        <f t="shared" si="1402"/>
        <v>0</v>
      </c>
      <c r="Y2272" s="209">
        <f t="shared" si="1403"/>
        <v>0</v>
      </c>
    </row>
    <row r="2273" spans="2:25" ht="16.5" hidden="1" thickTop="1" thickBot="1" x14ac:dyDescent="0.3">
      <c r="B2273" s="141">
        <f>B2267</f>
        <v>41</v>
      </c>
      <c r="C2273" s="142">
        <v>287</v>
      </c>
      <c r="D2273" s="194" t="str">
        <f t="shared" si="1386"/>
        <v>VII</v>
      </c>
      <c r="E2273" s="189"/>
      <c r="F2273" s="190"/>
      <c r="G2273" s="190"/>
      <c r="H2273" s="182"/>
      <c r="I2273" s="182"/>
      <c r="J2273" s="436" t="s">
        <v>181</v>
      </c>
      <c r="K2273" s="437"/>
      <c r="L2273" s="438"/>
      <c r="M2273" s="182"/>
      <c r="N2273" s="183"/>
      <c r="O2273" s="184"/>
      <c r="P2273" s="185"/>
      <c r="Q2273" s="186"/>
      <c r="R2273" s="187"/>
      <c r="S2273" s="188"/>
      <c r="T2273" s="213">
        <f t="shared" si="1391"/>
        <v>43647</v>
      </c>
      <c r="U2273" s="214">
        <f t="shared" si="1392"/>
        <v>43677</v>
      </c>
      <c r="V2273" s="210">
        <f t="shared" si="1404"/>
        <v>0</v>
      </c>
      <c r="W2273" s="211"/>
      <c r="X2273" s="211">
        <f>IF(AND($V2273&gt;0,$I2273=1),IF($E2273=10,P2273/10,P2273/$V2273),0)</f>
        <v>0</v>
      </c>
      <c r="Y2273" s="212">
        <f>IF(AND($V2267&gt;0,$I2273&lt;&gt;1),Q2273/E2267*V2267,0)</f>
        <v>0</v>
      </c>
    </row>
    <row r="2274" spans="2:25" ht="16.5" hidden="1" thickTop="1" thickBot="1" x14ac:dyDescent="0.3">
      <c r="B2274" s="129">
        <f>B2272+1</f>
        <v>42</v>
      </c>
      <c r="C2274" s="130">
        <v>288</v>
      </c>
      <c r="D2274" s="196" t="str">
        <f t="shared" si="1386"/>
        <v>VII</v>
      </c>
      <c r="E2274" s="131"/>
      <c r="F2274" s="132"/>
      <c r="G2274" s="132"/>
      <c r="H2274" s="133"/>
      <c r="I2274" s="133"/>
      <c r="J2274" s="131"/>
      <c r="K2274" s="134"/>
      <c r="L2274" s="133"/>
      <c r="M2274" s="133"/>
      <c r="N2274" s="135"/>
      <c r="O2274" s="136"/>
      <c r="P2274" s="137"/>
      <c r="Q2274" s="138"/>
      <c r="R2274" s="139"/>
      <c r="S2274" s="140"/>
      <c r="T2274" s="203">
        <f t="shared" si="1391"/>
        <v>43647</v>
      </c>
      <c r="U2274" s="204">
        <f t="shared" si="1392"/>
        <v>43677</v>
      </c>
      <c r="V2274" s="207">
        <f>IF(G2274-F2274+1-IF(G2274-U2274&gt;0,G2274-U2274,0)-IF(T2274-F2274&gt;0,T2274-F2274,0)&gt;0,G2274-F2274+1-IF(G2274-U2274&gt;0,G2274-U2274,0)-IF(T2274-F2274&gt;0,T2274-F2274,0),0)</f>
        <v>0</v>
      </c>
      <c r="W2274" s="206" t="str">
        <f t="shared" ref="W2274:W2279" si="1405">IF(V2274&gt;0,H2274,"")</f>
        <v/>
      </c>
      <c r="X2274" s="206">
        <f t="shared" ref="X2274:X2279" si="1406">IF(AND($V2274&gt;0,$I2274=1),P2274/$E2274*$V2274,0)</f>
        <v>0</v>
      </c>
      <c r="Y2274" s="209">
        <f t="shared" ref="Y2274:Y2279" si="1407">IF(AND($V2274&gt;0,$I2274&lt;&gt;1),Q2274/$E2274*$V2274,0)</f>
        <v>0</v>
      </c>
    </row>
    <row r="2275" spans="2:25" ht="16.5" hidden="1" thickTop="1" thickBot="1" x14ac:dyDescent="0.3">
      <c r="B2275" s="60">
        <f>B2274</f>
        <v>42</v>
      </c>
      <c r="C2275" s="102">
        <v>289</v>
      </c>
      <c r="D2275" s="192" t="str">
        <f t="shared" si="1386"/>
        <v>VII</v>
      </c>
      <c r="E2275" s="62"/>
      <c r="F2275" s="105"/>
      <c r="G2275" s="105"/>
      <c r="H2275" s="61"/>
      <c r="I2275" s="61"/>
      <c r="J2275" s="62"/>
      <c r="K2275" s="63"/>
      <c r="L2275" s="61"/>
      <c r="M2275" s="61"/>
      <c r="N2275" s="111"/>
      <c r="O2275" s="112"/>
      <c r="P2275" s="113"/>
      <c r="Q2275" s="114"/>
      <c r="R2275" s="64"/>
      <c r="S2275" s="108"/>
      <c r="T2275" s="203">
        <f t="shared" si="1391"/>
        <v>43647</v>
      </c>
      <c r="U2275" s="204">
        <f t="shared" si="1392"/>
        <v>43677</v>
      </c>
      <c r="V2275" s="207">
        <f t="shared" ref="V2275:V2280" si="1408">IF(G2275-F2275+1-IF(G2275-U2275&gt;0,G2275-U2275,0)-IF(T2275-F2275&gt;0,T2275-F2275,0)&gt;0,G2275-F2275+1-IF(G2275-U2275&gt;0,G2275-U2275,0)-IF(T2275-F2275&gt;0,T2275-F2275,0),0)</f>
        <v>0</v>
      </c>
      <c r="W2275" s="206" t="str">
        <f t="shared" si="1405"/>
        <v/>
      </c>
      <c r="X2275" s="206">
        <f t="shared" si="1406"/>
        <v>0</v>
      </c>
      <c r="Y2275" s="209">
        <f t="shared" si="1407"/>
        <v>0</v>
      </c>
    </row>
    <row r="2276" spans="2:25" ht="16.5" hidden="1" thickTop="1" thickBot="1" x14ac:dyDescent="0.3">
      <c r="B2276" s="60">
        <f>B2274</f>
        <v>42</v>
      </c>
      <c r="C2276" s="102">
        <v>290</v>
      </c>
      <c r="D2276" s="192" t="str">
        <f t="shared" si="1386"/>
        <v>VII</v>
      </c>
      <c r="E2276" s="62"/>
      <c r="F2276" s="105"/>
      <c r="G2276" s="105"/>
      <c r="H2276" s="61"/>
      <c r="I2276" s="61"/>
      <c r="J2276" s="62"/>
      <c r="K2276" s="63"/>
      <c r="L2276" s="61"/>
      <c r="M2276" s="61"/>
      <c r="N2276" s="111"/>
      <c r="O2276" s="112"/>
      <c r="P2276" s="113"/>
      <c r="Q2276" s="114"/>
      <c r="R2276" s="64"/>
      <c r="S2276" s="108"/>
      <c r="T2276" s="203">
        <f t="shared" si="1391"/>
        <v>43647</v>
      </c>
      <c r="U2276" s="204">
        <f t="shared" si="1392"/>
        <v>43677</v>
      </c>
      <c r="V2276" s="207">
        <f t="shared" si="1408"/>
        <v>0</v>
      </c>
      <c r="W2276" s="206" t="str">
        <f t="shared" si="1405"/>
        <v/>
      </c>
      <c r="X2276" s="206">
        <f t="shared" si="1406"/>
        <v>0</v>
      </c>
      <c r="Y2276" s="209">
        <f t="shared" si="1407"/>
        <v>0</v>
      </c>
    </row>
    <row r="2277" spans="2:25" ht="16.5" hidden="1" thickTop="1" thickBot="1" x14ac:dyDescent="0.3">
      <c r="B2277" s="60">
        <f>B2274</f>
        <v>42</v>
      </c>
      <c r="C2277" s="102">
        <v>291</v>
      </c>
      <c r="D2277" s="192" t="str">
        <f t="shared" si="1386"/>
        <v>VII</v>
      </c>
      <c r="E2277" s="62"/>
      <c r="F2277" s="105"/>
      <c r="G2277" s="105"/>
      <c r="H2277" s="61"/>
      <c r="I2277" s="61"/>
      <c r="J2277" s="62"/>
      <c r="K2277" s="63"/>
      <c r="L2277" s="61"/>
      <c r="M2277" s="61"/>
      <c r="N2277" s="111"/>
      <c r="O2277" s="112"/>
      <c r="P2277" s="113"/>
      <c r="Q2277" s="114"/>
      <c r="R2277" s="64"/>
      <c r="S2277" s="108"/>
      <c r="T2277" s="203">
        <f t="shared" si="1391"/>
        <v>43647</v>
      </c>
      <c r="U2277" s="204">
        <f t="shared" si="1392"/>
        <v>43677</v>
      </c>
      <c r="V2277" s="207">
        <f t="shared" si="1408"/>
        <v>0</v>
      </c>
      <c r="W2277" s="206" t="str">
        <f t="shared" si="1405"/>
        <v/>
      </c>
      <c r="X2277" s="206">
        <f t="shared" si="1406"/>
        <v>0</v>
      </c>
      <c r="Y2277" s="209">
        <f t="shared" si="1407"/>
        <v>0</v>
      </c>
    </row>
    <row r="2278" spans="2:25" ht="16.5" hidden="1" thickTop="1" thickBot="1" x14ac:dyDescent="0.3">
      <c r="B2278" s="60">
        <f>B2274</f>
        <v>42</v>
      </c>
      <c r="C2278" s="102">
        <v>292</v>
      </c>
      <c r="D2278" s="192" t="str">
        <f t="shared" si="1386"/>
        <v>VII</v>
      </c>
      <c r="E2278" s="62"/>
      <c r="F2278" s="105"/>
      <c r="G2278" s="105"/>
      <c r="H2278" s="61"/>
      <c r="I2278" s="61"/>
      <c r="J2278" s="62"/>
      <c r="K2278" s="63"/>
      <c r="L2278" s="61"/>
      <c r="M2278" s="61"/>
      <c r="N2278" s="111"/>
      <c r="O2278" s="112"/>
      <c r="P2278" s="113"/>
      <c r="Q2278" s="114"/>
      <c r="R2278" s="64"/>
      <c r="S2278" s="108"/>
      <c r="T2278" s="203">
        <f t="shared" si="1391"/>
        <v>43647</v>
      </c>
      <c r="U2278" s="204">
        <f t="shared" si="1392"/>
        <v>43677</v>
      </c>
      <c r="V2278" s="207">
        <f t="shared" si="1408"/>
        <v>0</v>
      </c>
      <c r="W2278" s="206" t="str">
        <f t="shared" si="1405"/>
        <v/>
      </c>
      <c r="X2278" s="206">
        <f t="shared" si="1406"/>
        <v>0</v>
      </c>
      <c r="Y2278" s="209">
        <f t="shared" si="1407"/>
        <v>0</v>
      </c>
    </row>
    <row r="2279" spans="2:25" ht="16.5" hidden="1" thickTop="1" thickBot="1" x14ac:dyDescent="0.3">
      <c r="B2279" s="60">
        <f>B2274</f>
        <v>42</v>
      </c>
      <c r="C2279" s="102">
        <v>293</v>
      </c>
      <c r="D2279" s="192" t="str">
        <f t="shared" si="1386"/>
        <v>VII</v>
      </c>
      <c r="E2279" s="62"/>
      <c r="F2279" s="105"/>
      <c r="G2279" s="105"/>
      <c r="H2279" s="61"/>
      <c r="I2279" s="61"/>
      <c r="J2279" s="62"/>
      <c r="K2279" s="63"/>
      <c r="L2279" s="61"/>
      <c r="M2279" s="61"/>
      <c r="N2279" s="111"/>
      <c r="O2279" s="112"/>
      <c r="P2279" s="113"/>
      <c r="Q2279" s="114"/>
      <c r="R2279" s="64"/>
      <c r="S2279" s="108"/>
      <c r="T2279" s="203">
        <f t="shared" si="1391"/>
        <v>43647</v>
      </c>
      <c r="U2279" s="204">
        <f t="shared" si="1392"/>
        <v>43677</v>
      </c>
      <c r="V2279" s="207">
        <f t="shared" si="1408"/>
        <v>0</v>
      </c>
      <c r="W2279" s="206" t="str">
        <f t="shared" si="1405"/>
        <v/>
      </c>
      <c r="X2279" s="206">
        <f t="shared" si="1406"/>
        <v>0</v>
      </c>
      <c r="Y2279" s="209">
        <f t="shared" si="1407"/>
        <v>0</v>
      </c>
    </row>
    <row r="2280" spans="2:25" ht="16.5" hidden="1" thickTop="1" thickBot="1" x14ac:dyDescent="0.3">
      <c r="B2280" s="141">
        <f>B2274</f>
        <v>42</v>
      </c>
      <c r="C2280" s="142">
        <v>294</v>
      </c>
      <c r="D2280" s="194" t="str">
        <f t="shared" si="1386"/>
        <v>VII</v>
      </c>
      <c r="E2280" s="143"/>
      <c r="F2280" s="144"/>
      <c r="G2280" s="144"/>
      <c r="H2280" s="145"/>
      <c r="I2280" s="145"/>
      <c r="J2280" s="436" t="s">
        <v>181</v>
      </c>
      <c r="K2280" s="437"/>
      <c r="L2280" s="438"/>
      <c r="M2280" s="145"/>
      <c r="N2280" s="146"/>
      <c r="O2280" s="147"/>
      <c r="P2280" s="148"/>
      <c r="Q2280" s="149"/>
      <c r="R2280" s="150"/>
      <c r="S2280" s="151"/>
      <c r="T2280" s="213">
        <f t="shared" si="1391"/>
        <v>43647</v>
      </c>
      <c r="U2280" s="214">
        <f t="shared" si="1392"/>
        <v>43677</v>
      </c>
      <c r="V2280" s="210">
        <f t="shared" si="1408"/>
        <v>0</v>
      </c>
      <c r="W2280" s="211"/>
      <c r="X2280" s="211">
        <f>IF(AND($V2280&gt;0,$I2280=1),IF($E2280=10,P2280/10,P2280/$V2280),0)</f>
        <v>0</v>
      </c>
      <c r="Y2280" s="212">
        <f>IF(AND($V2274&gt;0,$I2280&lt;&gt;1),Q2280/E2274*V2274,0)</f>
        <v>0</v>
      </c>
    </row>
    <row r="2281" spans="2:25" ht="16.5" hidden="1" thickTop="1" thickBot="1" x14ac:dyDescent="0.3">
      <c r="B2281" s="129">
        <f>B2279+1</f>
        <v>43</v>
      </c>
      <c r="C2281" s="130">
        <v>295</v>
      </c>
      <c r="D2281" s="196" t="str">
        <f t="shared" si="1386"/>
        <v>VII</v>
      </c>
      <c r="E2281" s="152"/>
      <c r="F2281" s="153"/>
      <c r="G2281" s="153"/>
      <c r="H2281" s="154"/>
      <c r="I2281" s="154"/>
      <c r="J2281" s="152"/>
      <c r="K2281" s="155"/>
      <c r="L2281" s="154"/>
      <c r="M2281" s="154"/>
      <c r="N2281" s="156"/>
      <c r="O2281" s="157"/>
      <c r="P2281" s="158"/>
      <c r="Q2281" s="159"/>
      <c r="R2281" s="160"/>
      <c r="S2281" s="161"/>
      <c r="T2281" s="203">
        <f t="shared" si="1391"/>
        <v>43647</v>
      </c>
      <c r="U2281" s="204">
        <f t="shared" si="1392"/>
        <v>43677</v>
      </c>
      <c r="V2281" s="207">
        <f>IF(G2281-F2281+1-IF(G2281-U2281&gt;0,G2281-U2281,0)-IF(T2281-F2281&gt;0,T2281-F2281,0)&gt;0,G2281-F2281+1-IF(G2281-U2281&gt;0,G2281-U2281,0)-IF(T2281-F2281&gt;0,T2281-F2281,0),0)</f>
        <v>0</v>
      </c>
      <c r="W2281" s="206" t="str">
        <f t="shared" ref="W2281:W2286" si="1409">IF(V2281&gt;0,H2281,"")</f>
        <v/>
      </c>
      <c r="X2281" s="206">
        <f t="shared" ref="X2281:X2286" si="1410">IF(AND($V2281&gt;0,$I2281=1),P2281/$E2281*$V2281,0)</f>
        <v>0</v>
      </c>
      <c r="Y2281" s="209">
        <f t="shared" ref="Y2281:Y2286" si="1411">IF(AND($V2281&gt;0,$I2281&lt;&gt;1),Q2281/$E2281*$V2281,0)</f>
        <v>0</v>
      </c>
    </row>
    <row r="2282" spans="2:25" ht="16.5" hidden="1" thickTop="1" thickBot="1" x14ac:dyDescent="0.3">
      <c r="B2282" s="60">
        <f>B2281</f>
        <v>43</v>
      </c>
      <c r="C2282" s="102">
        <v>296</v>
      </c>
      <c r="D2282" s="192" t="str">
        <f t="shared" si="1386"/>
        <v>VII</v>
      </c>
      <c r="E2282" s="162"/>
      <c r="F2282" s="163"/>
      <c r="G2282" s="163"/>
      <c r="H2282" s="164"/>
      <c r="I2282" s="164"/>
      <c r="J2282" s="162"/>
      <c r="K2282" s="165"/>
      <c r="L2282" s="164"/>
      <c r="M2282" s="164"/>
      <c r="N2282" s="166"/>
      <c r="O2282" s="167"/>
      <c r="P2282" s="168"/>
      <c r="Q2282" s="169"/>
      <c r="R2282" s="170"/>
      <c r="S2282" s="171"/>
      <c r="T2282" s="203">
        <f t="shared" si="1391"/>
        <v>43647</v>
      </c>
      <c r="U2282" s="204">
        <f t="shared" si="1392"/>
        <v>43677</v>
      </c>
      <c r="V2282" s="207">
        <f t="shared" ref="V2282:V2287" si="1412">IF(G2282-F2282+1-IF(G2282-U2282&gt;0,G2282-U2282,0)-IF(T2282-F2282&gt;0,T2282-F2282,0)&gt;0,G2282-F2282+1-IF(G2282-U2282&gt;0,G2282-U2282,0)-IF(T2282-F2282&gt;0,T2282-F2282,0),0)</f>
        <v>0</v>
      </c>
      <c r="W2282" s="206" t="str">
        <f t="shared" si="1409"/>
        <v/>
      </c>
      <c r="X2282" s="206">
        <f t="shared" si="1410"/>
        <v>0</v>
      </c>
      <c r="Y2282" s="209">
        <f t="shared" si="1411"/>
        <v>0</v>
      </c>
    </row>
    <row r="2283" spans="2:25" ht="16.5" hidden="1" thickTop="1" thickBot="1" x14ac:dyDescent="0.3">
      <c r="B2283" s="60">
        <f>B2281</f>
        <v>43</v>
      </c>
      <c r="C2283" s="102">
        <v>297</v>
      </c>
      <c r="D2283" s="192" t="str">
        <f t="shared" si="1386"/>
        <v>VII</v>
      </c>
      <c r="E2283" s="162"/>
      <c r="F2283" s="163"/>
      <c r="G2283" s="163"/>
      <c r="H2283" s="164"/>
      <c r="I2283" s="164"/>
      <c r="J2283" s="162"/>
      <c r="K2283" s="165"/>
      <c r="L2283" s="164"/>
      <c r="M2283" s="164"/>
      <c r="N2283" s="166"/>
      <c r="O2283" s="167"/>
      <c r="P2283" s="168"/>
      <c r="Q2283" s="169"/>
      <c r="R2283" s="170"/>
      <c r="S2283" s="171"/>
      <c r="T2283" s="203">
        <f t="shared" si="1391"/>
        <v>43647</v>
      </c>
      <c r="U2283" s="204">
        <f t="shared" si="1392"/>
        <v>43677</v>
      </c>
      <c r="V2283" s="207">
        <f t="shared" si="1412"/>
        <v>0</v>
      </c>
      <c r="W2283" s="206" t="str">
        <f t="shared" si="1409"/>
        <v/>
      </c>
      <c r="X2283" s="206">
        <f t="shared" si="1410"/>
        <v>0</v>
      </c>
      <c r="Y2283" s="209">
        <f t="shared" si="1411"/>
        <v>0</v>
      </c>
    </row>
    <row r="2284" spans="2:25" ht="16.5" hidden="1" thickTop="1" thickBot="1" x14ac:dyDescent="0.3">
      <c r="B2284" s="60">
        <f>B2281</f>
        <v>43</v>
      </c>
      <c r="C2284" s="102">
        <v>298</v>
      </c>
      <c r="D2284" s="192" t="str">
        <f t="shared" si="1386"/>
        <v>VII</v>
      </c>
      <c r="E2284" s="162"/>
      <c r="F2284" s="163"/>
      <c r="G2284" s="163"/>
      <c r="H2284" s="164"/>
      <c r="I2284" s="164"/>
      <c r="J2284" s="162"/>
      <c r="K2284" s="165"/>
      <c r="L2284" s="164"/>
      <c r="M2284" s="164"/>
      <c r="N2284" s="166"/>
      <c r="O2284" s="167"/>
      <c r="P2284" s="168"/>
      <c r="Q2284" s="169"/>
      <c r="R2284" s="170"/>
      <c r="S2284" s="171"/>
      <c r="T2284" s="203">
        <f t="shared" si="1391"/>
        <v>43647</v>
      </c>
      <c r="U2284" s="204">
        <f t="shared" si="1392"/>
        <v>43677</v>
      </c>
      <c r="V2284" s="207">
        <f t="shared" si="1412"/>
        <v>0</v>
      </c>
      <c r="W2284" s="206" t="str">
        <f t="shared" si="1409"/>
        <v/>
      </c>
      <c r="X2284" s="206">
        <f t="shared" si="1410"/>
        <v>0</v>
      </c>
      <c r="Y2284" s="209">
        <f t="shared" si="1411"/>
        <v>0</v>
      </c>
    </row>
    <row r="2285" spans="2:25" ht="16.5" hidden="1" thickTop="1" thickBot="1" x14ac:dyDescent="0.3">
      <c r="B2285" s="60">
        <f>B2281</f>
        <v>43</v>
      </c>
      <c r="C2285" s="102">
        <v>299</v>
      </c>
      <c r="D2285" s="192" t="str">
        <f t="shared" si="1386"/>
        <v>VII</v>
      </c>
      <c r="E2285" s="162"/>
      <c r="F2285" s="163"/>
      <c r="G2285" s="163"/>
      <c r="H2285" s="164"/>
      <c r="I2285" s="164"/>
      <c r="J2285" s="162"/>
      <c r="K2285" s="165"/>
      <c r="L2285" s="164"/>
      <c r="M2285" s="164"/>
      <c r="N2285" s="166"/>
      <c r="O2285" s="167"/>
      <c r="P2285" s="168"/>
      <c r="Q2285" s="169"/>
      <c r="R2285" s="170"/>
      <c r="S2285" s="171"/>
      <c r="T2285" s="203">
        <f t="shared" si="1391"/>
        <v>43647</v>
      </c>
      <c r="U2285" s="204">
        <f t="shared" si="1392"/>
        <v>43677</v>
      </c>
      <c r="V2285" s="207">
        <f t="shared" si="1412"/>
        <v>0</v>
      </c>
      <c r="W2285" s="206" t="str">
        <f t="shared" si="1409"/>
        <v/>
      </c>
      <c r="X2285" s="206">
        <f t="shared" si="1410"/>
        <v>0</v>
      </c>
      <c r="Y2285" s="209">
        <f t="shared" si="1411"/>
        <v>0</v>
      </c>
    </row>
    <row r="2286" spans="2:25" ht="16.5" hidden="1" thickTop="1" thickBot="1" x14ac:dyDescent="0.3">
      <c r="B2286" s="60">
        <f>B2281</f>
        <v>43</v>
      </c>
      <c r="C2286" s="102">
        <v>300</v>
      </c>
      <c r="D2286" s="192" t="str">
        <f t="shared" si="1386"/>
        <v>VII</v>
      </c>
      <c r="E2286" s="172"/>
      <c r="F2286" s="173"/>
      <c r="G2286" s="173"/>
      <c r="H2286" s="174"/>
      <c r="I2286" s="174"/>
      <c r="J2286" s="172"/>
      <c r="K2286" s="175"/>
      <c r="L2286" s="174"/>
      <c r="M2286" s="174"/>
      <c r="N2286" s="176"/>
      <c r="O2286" s="177"/>
      <c r="P2286" s="178"/>
      <c r="Q2286" s="179"/>
      <c r="R2286" s="180"/>
      <c r="S2286" s="181"/>
      <c r="T2286" s="203">
        <f t="shared" si="1391"/>
        <v>43647</v>
      </c>
      <c r="U2286" s="204">
        <f t="shared" si="1392"/>
        <v>43677</v>
      </c>
      <c r="V2286" s="207">
        <f t="shared" si="1412"/>
        <v>0</v>
      </c>
      <c r="W2286" s="206" t="str">
        <f t="shared" si="1409"/>
        <v/>
      </c>
      <c r="X2286" s="206">
        <f t="shared" si="1410"/>
        <v>0</v>
      </c>
      <c r="Y2286" s="209">
        <f t="shared" si="1411"/>
        <v>0</v>
      </c>
    </row>
    <row r="2287" spans="2:25" ht="16.5" hidden="1" thickTop="1" thickBot="1" x14ac:dyDescent="0.3">
      <c r="B2287" s="141">
        <f>B2281</f>
        <v>43</v>
      </c>
      <c r="C2287" s="142">
        <v>301</v>
      </c>
      <c r="D2287" s="194" t="str">
        <f t="shared" si="1386"/>
        <v>VII</v>
      </c>
      <c r="E2287" s="189"/>
      <c r="F2287" s="190"/>
      <c r="G2287" s="190"/>
      <c r="H2287" s="182"/>
      <c r="I2287" s="182"/>
      <c r="J2287" s="436" t="s">
        <v>181</v>
      </c>
      <c r="K2287" s="437"/>
      <c r="L2287" s="438"/>
      <c r="M2287" s="182"/>
      <c r="N2287" s="183"/>
      <c r="O2287" s="184"/>
      <c r="P2287" s="185"/>
      <c r="Q2287" s="186"/>
      <c r="R2287" s="187"/>
      <c r="S2287" s="188"/>
      <c r="T2287" s="213">
        <f t="shared" si="1391"/>
        <v>43647</v>
      </c>
      <c r="U2287" s="214">
        <f t="shared" si="1392"/>
        <v>43677</v>
      </c>
      <c r="V2287" s="210">
        <f t="shared" si="1412"/>
        <v>0</v>
      </c>
      <c r="W2287" s="211"/>
      <c r="X2287" s="211">
        <f>IF(AND($V2287&gt;0,$I2287=1),IF($E2287=10,P2287/10,P2287/$V2287),0)</f>
        <v>0</v>
      </c>
      <c r="Y2287" s="212">
        <f>IF(AND($V2281&gt;0,$I2287&lt;&gt;1),Q2287/E2281*V2281,0)</f>
        <v>0</v>
      </c>
    </row>
    <row r="2288" spans="2:25" ht="16.5" hidden="1" thickTop="1" thickBot="1" x14ac:dyDescent="0.3">
      <c r="B2288" s="129">
        <f>B2286+1</f>
        <v>44</v>
      </c>
      <c r="C2288" s="130">
        <v>302</v>
      </c>
      <c r="D2288" s="196" t="str">
        <f t="shared" si="1386"/>
        <v>VII</v>
      </c>
      <c r="E2288" s="131"/>
      <c r="F2288" s="132"/>
      <c r="G2288" s="132"/>
      <c r="H2288" s="133"/>
      <c r="I2288" s="133"/>
      <c r="J2288" s="131"/>
      <c r="K2288" s="134"/>
      <c r="L2288" s="133"/>
      <c r="M2288" s="133"/>
      <c r="N2288" s="135"/>
      <c r="O2288" s="136"/>
      <c r="P2288" s="137"/>
      <c r="Q2288" s="138"/>
      <c r="R2288" s="139"/>
      <c r="S2288" s="140"/>
      <c r="T2288" s="203">
        <f t="shared" si="1391"/>
        <v>43647</v>
      </c>
      <c r="U2288" s="204">
        <f t="shared" si="1392"/>
        <v>43677</v>
      </c>
      <c r="V2288" s="207">
        <f>IF(G2288-F2288+1-IF(G2288-U2288&gt;0,G2288-U2288,0)-IF(T2288-F2288&gt;0,T2288-F2288,0)&gt;0,G2288-F2288+1-IF(G2288-U2288&gt;0,G2288-U2288,0)-IF(T2288-F2288&gt;0,T2288-F2288,0),0)</f>
        <v>0</v>
      </c>
      <c r="W2288" s="206" t="str">
        <f t="shared" ref="W2288:W2293" si="1413">IF(V2288&gt;0,H2288,"")</f>
        <v/>
      </c>
      <c r="X2288" s="206">
        <f t="shared" ref="X2288:X2293" si="1414">IF(AND($V2288&gt;0,$I2288=1),P2288/$E2288*$V2288,0)</f>
        <v>0</v>
      </c>
      <c r="Y2288" s="209">
        <f t="shared" ref="Y2288:Y2293" si="1415">IF(AND($V2288&gt;0,$I2288&lt;&gt;1),Q2288/$E2288*$V2288,0)</f>
        <v>0</v>
      </c>
    </row>
    <row r="2289" spans="2:25" ht="16.5" hidden="1" thickTop="1" thickBot="1" x14ac:dyDescent="0.3">
      <c r="B2289" s="60">
        <f>B2288</f>
        <v>44</v>
      </c>
      <c r="C2289" s="102">
        <v>303</v>
      </c>
      <c r="D2289" s="192" t="str">
        <f t="shared" si="1386"/>
        <v>VII</v>
      </c>
      <c r="E2289" s="62"/>
      <c r="F2289" s="105"/>
      <c r="G2289" s="105"/>
      <c r="H2289" s="61"/>
      <c r="I2289" s="61"/>
      <c r="J2289" s="62"/>
      <c r="K2289" s="63"/>
      <c r="L2289" s="61"/>
      <c r="M2289" s="61"/>
      <c r="N2289" s="111"/>
      <c r="O2289" s="112"/>
      <c r="P2289" s="113"/>
      <c r="Q2289" s="114"/>
      <c r="R2289" s="64"/>
      <c r="S2289" s="108"/>
      <c r="T2289" s="203">
        <f t="shared" si="1391"/>
        <v>43647</v>
      </c>
      <c r="U2289" s="204">
        <f t="shared" si="1392"/>
        <v>43677</v>
      </c>
      <c r="V2289" s="207">
        <f t="shared" ref="V2289:V2294" si="1416">IF(G2289-F2289+1-IF(G2289-U2289&gt;0,G2289-U2289,0)-IF(T2289-F2289&gt;0,T2289-F2289,0)&gt;0,G2289-F2289+1-IF(G2289-U2289&gt;0,G2289-U2289,0)-IF(T2289-F2289&gt;0,T2289-F2289,0),0)</f>
        <v>0</v>
      </c>
      <c r="W2289" s="206" t="str">
        <f t="shared" si="1413"/>
        <v/>
      </c>
      <c r="X2289" s="206">
        <f t="shared" si="1414"/>
        <v>0</v>
      </c>
      <c r="Y2289" s="209">
        <f t="shared" si="1415"/>
        <v>0</v>
      </c>
    </row>
    <row r="2290" spans="2:25" ht="16.5" hidden="1" thickTop="1" thickBot="1" x14ac:dyDescent="0.3">
      <c r="B2290" s="60">
        <f>B2288</f>
        <v>44</v>
      </c>
      <c r="C2290" s="102">
        <v>304</v>
      </c>
      <c r="D2290" s="192" t="str">
        <f t="shared" si="1386"/>
        <v>VII</v>
      </c>
      <c r="E2290" s="62"/>
      <c r="F2290" s="105"/>
      <c r="G2290" s="105"/>
      <c r="H2290" s="61"/>
      <c r="I2290" s="61"/>
      <c r="J2290" s="62"/>
      <c r="K2290" s="63"/>
      <c r="L2290" s="61"/>
      <c r="M2290" s="61"/>
      <c r="N2290" s="111"/>
      <c r="O2290" s="112"/>
      <c r="P2290" s="113"/>
      <c r="Q2290" s="114"/>
      <c r="R2290" s="64"/>
      <c r="S2290" s="108"/>
      <c r="T2290" s="203">
        <f t="shared" si="1391"/>
        <v>43647</v>
      </c>
      <c r="U2290" s="204">
        <f t="shared" si="1392"/>
        <v>43677</v>
      </c>
      <c r="V2290" s="207">
        <f t="shared" si="1416"/>
        <v>0</v>
      </c>
      <c r="W2290" s="206" t="str">
        <f t="shared" si="1413"/>
        <v/>
      </c>
      <c r="X2290" s="206">
        <f t="shared" si="1414"/>
        <v>0</v>
      </c>
      <c r="Y2290" s="209">
        <f t="shared" si="1415"/>
        <v>0</v>
      </c>
    </row>
    <row r="2291" spans="2:25" ht="16.5" hidden="1" thickTop="1" thickBot="1" x14ac:dyDescent="0.3">
      <c r="B2291" s="60">
        <f>B2288</f>
        <v>44</v>
      </c>
      <c r="C2291" s="102">
        <v>305</v>
      </c>
      <c r="D2291" s="192" t="str">
        <f t="shared" si="1386"/>
        <v>VII</v>
      </c>
      <c r="E2291" s="62"/>
      <c r="F2291" s="105"/>
      <c r="G2291" s="105"/>
      <c r="H2291" s="61"/>
      <c r="I2291" s="61"/>
      <c r="J2291" s="62"/>
      <c r="K2291" s="63"/>
      <c r="L2291" s="61"/>
      <c r="M2291" s="61"/>
      <c r="N2291" s="111"/>
      <c r="O2291" s="112"/>
      <c r="P2291" s="113"/>
      <c r="Q2291" s="114"/>
      <c r="R2291" s="64"/>
      <c r="S2291" s="108"/>
      <c r="T2291" s="203">
        <f t="shared" si="1391"/>
        <v>43647</v>
      </c>
      <c r="U2291" s="204">
        <f t="shared" si="1392"/>
        <v>43677</v>
      </c>
      <c r="V2291" s="207">
        <f t="shared" si="1416"/>
        <v>0</v>
      </c>
      <c r="W2291" s="206" t="str">
        <f t="shared" si="1413"/>
        <v/>
      </c>
      <c r="X2291" s="206">
        <f t="shared" si="1414"/>
        <v>0</v>
      </c>
      <c r="Y2291" s="209">
        <f t="shared" si="1415"/>
        <v>0</v>
      </c>
    </row>
    <row r="2292" spans="2:25" ht="16.5" hidden="1" thickTop="1" thickBot="1" x14ac:dyDescent="0.3">
      <c r="B2292" s="60">
        <f>B2288</f>
        <v>44</v>
      </c>
      <c r="C2292" s="102">
        <v>306</v>
      </c>
      <c r="D2292" s="192" t="str">
        <f t="shared" si="1386"/>
        <v>VII</v>
      </c>
      <c r="E2292" s="62"/>
      <c r="F2292" s="105"/>
      <c r="G2292" s="105"/>
      <c r="H2292" s="61"/>
      <c r="I2292" s="61"/>
      <c r="J2292" s="62"/>
      <c r="K2292" s="63"/>
      <c r="L2292" s="61"/>
      <c r="M2292" s="61"/>
      <c r="N2292" s="111"/>
      <c r="O2292" s="112"/>
      <c r="P2292" s="113"/>
      <c r="Q2292" s="114"/>
      <c r="R2292" s="64"/>
      <c r="S2292" s="108"/>
      <c r="T2292" s="203">
        <f t="shared" si="1391"/>
        <v>43647</v>
      </c>
      <c r="U2292" s="204">
        <f t="shared" si="1392"/>
        <v>43677</v>
      </c>
      <c r="V2292" s="207">
        <f t="shared" si="1416"/>
        <v>0</v>
      </c>
      <c r="W2292" s="206" t="str">
        <f t="shared" si="1413"/>
        <v/>
      </c>
      <c r="X2292" s="206">
        <f t="shared" si="1414"/>
        <v>0</v>
      </c>
      <c r="Y2292" s="209">
        <f t="shared" si="1415"/>
        <v>0</v>
      </c>
    </row>
    <row r="2293" spans="2:25" ht="16.5" hidden="1" thickTop="1" thickBot="1" x14ac:dyDescent="0.3">
      <c r="B2293" s="60">
        <f>B2288</f>
        <v>44</v>
      </c>
      <c r="C2293" s="102">
        <v>307</v>
      </c>
      <c r="D2293" s="192" t="str">
        <f t="shared" si="1386"/>
        <v>VII</v>
      </c>
      <c r="E2293" s="62"/>
      <c r="F2293" s="105"/>
      <c r="G2293" s="105"/>
      <c r="H2293" s="61"/>
      <c r="I2293" s="61"/>
      <c r="J2293" s="62"/>
      <c r="K2293" s="63"/>
      <c r="L2293" s="61"/>
      <c r="M2293" s="61"/>
      <c r="N2293" s="111"/>
      <c r="O2293" s="112"/>
      <c r="P2293" s="113"/>
      <c r="Q2293" s="114"/>
      <c r="R2293" s="64"/>
      <c r="S2293" s="108"/>
      <c r="T2293" s="203">
        <f t="shared" si="1391"/>
        <v>43647</v>
      </c>
      <c r="U2293" s="204">
        <f t="shared" si="1392"/>
        <v>43677</v>
      </c>
      <c r="V2293" s="207">
        <f t="shared" si="1416"/>
        <v>0</v>
      </c>
      <c r="W2293" s="206" t="str">
        <f t="shared" si="1413"/>
        <v/>
      </c>
      <c r="X2293" s="206">
        <f t="shared" si="1414"/>
        <v>0</v>
      </c>
      <c r="Y2293" s="209">
        <f t="shared" si="1415"/>
        <v>0</v>
      </c>
    </row>
    <row r="2294" spans="2:25" ht="16.5" hidden="1" thickTop="1" thickBot="1" x14ac:dyDescent="0.3">
      <c r="B2294" s="141">
        <f>B2288</f>
        <v>44</v>
      </c>
      <c r="C2294" s="142">
        <v>308</v>
      </c>
      <c r="D2294" s="194" t="str">
        <f t="shared" si="1386"/>
        <v>VII</v>
      </c>
      <c r="E2294" s="143"/>
      <c r="F2294" s="144"/>
      <c r="G2294" s="144"/>
      <c r="H2294" s="145"/>
      <c r="I2294" s="145"/>
      <c r="J2294" s="436" t="s">
        <v>181</v>
      </c>
      <c r="K2294" s="437"/>
      <c r="L2294" s="438"/>
      <c r="M2294" s="145"/>
      <c r="N2294" s="146"/>
      <c r="O2294" s="147"/>
      <c r="P2294" s="148"/>
      <c r="Q2294" s="149"/>
      <c r="R2294" s="150"/>
      <c r="S2294" s="151"/>
      <c r="T2294" s="213">
        <f t="shared" si="1391"/>
        <v>43647</v>
      </c>
      <c r="U2294" s="214">
        <f t="shared" si="1392"/>
        <v>43677</v>
      </c>
      <c r="V2294" s="210">
        <f t="shared" si="1416"/>
        <v>0</v>
      </c>
      <c r="W2294" s="211"/>
      <c r="X2294" s="211">
        <f>IF(AND($V2294&gt;0,$I2294=1),IF($E2294=10,P2294/10,P2294/$V2294),0)</f>
        <v>0</v>
      </c>
      <c r="Y2294" s="212">
        <f>IF(AND($V2288&gt;0,$I2294&lt;&gt;1),Q2294/E2288*V2288,0)</f>
        <v>0</v>
      </c>
    </row>
    <row r="2295" spans="2:25" ht="45.75" thickTop="1" x14ac:dyDescent="0.25">
      <c r="B2295" s="129">
        <f>B2293+1</f>
        <v>45</v>
      </c>
      <c r="C2295" s="130">
        <v>309</v>
      </c>
      <c r="D2295" s="196" t="str">
        <f t="shared" si="1386"/>
        <v>VII</v>
      </c>
      <c r="E2295" s="152">
        <v>10</v>
      </c>
      <c r="F2295" s="153">
        <v>43697</v>
      </c>
      <c r="G2295" s="153">
        <v>43706</v>
      </c>
      <c r="H2295" s="154" t="s">
        <v>386</v>
      </c>
      <c r="I2295" s="154">
        <v>2</v>
      </c>
      <c r="J2295" s="152" t="s">
        <v>167</v>
      </c>
      <c r="K2295" s="155" t="s">
        <v>16</v>
      </c>
      <c r="L2295" s="154">
        <v>1</v>
      </c>
      <c r="M2295" s="154">
        <v>8</v>
      </c>
      <c r="N2295" s="156">
        <v>90</v>
      </c>
      <c r="O2295" s="157">
        <v>90</v>
      </c>
      <c r="P2295" s="158"/>
      <c r="Q2295" s="159">
        <v>90</v>
      </c>
      <c r="R2295" s="160" t="s">
        <v>4</v>
      </c>
      <c r="S2295" s="161">
        <v>43626</v>
      </c>
      <c r="T2295" s="203">
        <f t="shared" si="1391"/>
        <v>43647</v>
      </c>
      <c r="U2295" s="204">
        <f t="shared" si="1392"/>
        <v>43677</v>
      </c>
      <c r="V2295" s="207">
        <f>IF(G2295-F2295+1-IF(G2295-U2295&gt;0,G2295-U2295,0)-IF(T2295-F2295&gt;0,T2295-F2295,0)&gt;0,G2295-F2295+1-IF(G2295-U2295&gt;0,G2295-U2295,0)-IF(T2295-F2295&gt;0,T2295-F2295,0),0)</f>
        <v>0</v>
      </c>
      <c r="W2295" s="206" t="str">
        <f t="shared" ref="W2295:W2300" si="1417">IF(V2295&gt;0,H2295,"")</f>
        <v/>
      </c>
      <c r="X2295" s="206">
        <f t="shared" ref="X2295:X2300" si="1418">IF(AND($V2295&gt;0,$I2295=1),P2295/$E2295*$V2295,0)</f>
        <v>0</v>
      </c>
      <c r="Y2295" s="209">
        <f t="shared" ref="Y2295:Y2300" si="1419">IF(AND($V2295&gt;0,$I2295&lt;&gt;1),Q2295/$E2295*$V2295,0)</f>
        <v>0</v>
      </c>
    </row>
    <row r="2296" spans="2:25" ht="45" x14ac:dyDescent="0.25">
      <c r="B2296" s="60">
        <f>B2295</f>
        <v>45</v>
      </c>
      <c r="C2296" s="102">
        <v>310</v>
      </c>
      <c r="D2296" s="192" t="str">
        <f t="shared" si="1386"/>
        <v>VII</v>
      </c>
      <c r="E2296" s="162">
        <v>10</v>
      </c>
      <c r="F2296" s="163">
        <v>43697</v>
      </c>
      <c r="G2296" s="163">
        <v>43706</v>
      </c>
      <c r="H2296" s="164" t="s">
        <v>387</v>
      </c>
      <c r="I2296" s="164">
        <v>2</v>
      </c>
      <c r="J2296" s="162" t="s">
        <v>167</v>
      </c>
      <c r="K2296" s="165" t="s">
        <v>16</v>
      </c>
      <c r="L2296" s="164">
        <v>1</v>
      </c>
      <c r="M2296" s="164">
        <v>8</v>
      </c>
      <c r="N2296" s="166">
        <v>90</v>
      </c>
      <c r="O2296" s="167">
        <v>90</v>
      </c>
      <c r="P2296" s="168"/>
      <c r="Q2296" s="169">
        <v>90</v>
      </c>
      <c r="R2296" s="170" t="s">
        <v>4</v>
      </c>
      <c r="S2296" s="171">
        <v>43626</v>
      </c>
      <c r="T2296" s="203">
        <f t="shared" si="1391"/>
        <v>43647</v>
      </c>
      <c r="U2296" s="204">
        <f t="shared" si="1392"/>
        <v>43677</v>
      </c>
      <c r="V2296" s="207">
        <f t="shared" ref="V2296:V2301" si="1420">IF(G2296-F2296+1-IF(G2296-U2296&gt;0,G2296-U2296,0)-IF(T2296-F2296&gt;0,T2296-F2296,0)&gt;0,G2296-F2296+1-IF(G2296-U2296&gt;0,G2296-U2296,0)-IF(T2296-F2296&gt;0,T2296-F2296,0),0)</f>
        <v>0</v>
      </c>
      <c r="W2296" s="206" t="str">
        <f t="shared" si="1417"/>
        <v/>
      </c>
      <c r="X2296" s="206">
        <f t="shared" si="1418"/>
        <v>0</v>
      </c>
      <c r="Y2296" s="209">
        <f t="shared" si="1419"/>
        <v>0</v>
      </c>
    </row>
    <row r="2297" spans="2:25" hidden="1" x14ac:dyDescent="0.25">
      <c r="B2297" s="60">
        <f>B2295</f>
        <v>45</v>
      </c>
      <c r="C2297" s="102">
        <v>311</v>
      </c>
      <c r="D2297" s="192" t="str">
        <f t="shared" si="1386"/>
        <v>VII</v>
      </c>
      <c r="E2297" s="162"/>
      <c r="F2297" s="163"/>
      <c r="G2297" s="163"/>
      <c r="H2297" s="164"/>
      <c r="I2297" s="164"/>
      <c r="J2297" s="162"/>
      <c r="K2297" s="165"/>
      <c r="L2297" s="164"/>
      <c r="M2297" s="164"/>
      <c r="N2297" s="166"/>
      <c r="O2297" s="167"/>
      <c r="P2297" s="168"/>
      <c r="Q2297" s="169"/>
      <c r="R2297" s="170"/>
      <c r="S2297" s="171"/>
      <c r="T2297" s="203">
        <f t="shared" si="1391"/>
        <v>43647</v>
      </c>
      <c r="U2297" s="204">
        <f t="shared" si="1392"/>
        <v>43677</v>
      </c>
      <c r="V2297" s="207">
        <f t="shared" si="1420"/>
        <v>0</v>
      </c>
      <c r="W2297" s="206" t="str">
        <f t="shared" si="1417"/>
        <v/>
      </c>
      <c r="X2297" s="206">
        <f t="shared" si="1418"/>
        <v>0</v>
      </c>
      <c r="Y2297" s="209">
        <f t="shared" si="1419"/>
        <v>0</v>
      </c>
    </row>
    <row r="2298" spans="2:25" hidden="1" x14ac:dyDescent="0.25">
      <c r="B2298" s="60">
        <f>B2295</f>
        <v>45</v>
      </c>
      <c r="C2298" s="102">
        <v>312</v>
      </c>
      <c r="D2298" s="192" t="str">
        <f t="shared" si="1386"/>
        <v>VII</v>
      </c>
      <c r="E2298" s="162"/>
      <c r="F2298" s="163"/>
      <c r="G2298" s="163"/>
      <c r="H2298" s="164"/>
      <c r="I2298" s="164"/>
      <c r="J2298" s="162"/>
      <c r="K2298" s="165"/>
      <c r="L2298" s="164"/>
      <c r="M2298" s="164"/>
      <c r="N2298" s="166"/>
      <c r="O2298" s="167"/>
      <c r="P2298" s="168"/>
      <c r="Q2298" s="169"/>
      <c r="R2298" s="170"/>
      <c r="S2298" s="171"/>
      <c r="T2298" s="203">
        <f t="shared" si="1391"/>
        <v>43647</v>
      </c>
      <c r="U2298" s="204">
        <f t="shared" si="1392"/>
        <v>43677</v>
      </c>
      <c r="V2298" s="207">
        <f t="shared" si="1420"/>
        <v>0</v>
      </c>
      <c r="W2298" s="206" t="str">
        <f t="shared" si="1417"/>
        <v/>
      </c>
      <c r="X2298" s="206">
        <f t="shared" si="1418"/>
        <v>0</v>
      </c>
      <c r="Y2298" s="209">
        <f t="shared" si="1419"/>
        <v>0</v>
      </c>
    </row>
    <row r="2299" spans="2:25" hidden="1" x14ac:dyDescent="0.25">
      <c r="B2299" s="60">
        <f>B2295</f>
        <v>45</v>
      </c>
      <c r="C2299" s="102">
        <v>313</v>
      </c>
      <c r="D2299" s="192" t="str">
        <f t="shared" si="1386"/>
        <v>VII</v>
      </c>
      <c r="E2299" s="162"/>
      <c r="F2299" s="163"/>
      <c r="G2299" s="163"/>
      <c r="H2299" s="164"/>
      <c r="I2299" s="164"/>
      <c r="J2299" s="162"/>
      <c r="K2299" s="165"/>
      <c r="L2299" s="164"/>
      <c r="M2299" s="164"/>
      <c r="N2299" s="166"/>
      <c r="O2299" s="167"/>
      <c r="P2299" s="168"/>
      <c r="Q2299" s="169"/>
      <c r="R2299" s="170"/>
      <c r="S2299" s="171"/>
      <c r="T2299" s="203">
        <f t="shared" si="1391"/>
        <v>43647</v>
      </c>
      <c r="U2299" s="204">
        <f t="shared" si="1392"/>
        <v>43677</v>
      </c>
      <c r="V2299" s="207">
        <f t="shared" si="1420"/>
        <v>0</v>
      </c>
      <c r="W2299" s="206" t="str">
        <f t="shared" si="1417"/>
        <v/>
      </c>
      <c r="X2299" s="206">
        <f t="shared" si="1418"/>
        <v>0</v>
      </c>
      <c r="Y2299" s="209">
        <f t="shared" si="1419"/>
        <v>0</v>
      </c>
    </row>
    <row r="2300" spans="2:25" hidden="1" x14ac:dyDescent="0.25">
      <c r="B2300" s="60">
        <f>B2295</f>
        <v>45</v>
      </c>
      <c r="C2300" s="102">
        <v>314</v>
      </c>
      <c r="D2300" s="192" t="str">
        <f t="shared" si="1386"/>
        <v>VII</v>
      </c>
      <c r="E2300" s="172"/>
      <c r="F2300" s="173"/>
      <c r="G2300" s="173"/>
      <c r="H2300" s="174"/>
      <c r="I2300" s="174"/>
      <c r="J2300" s="172"/>
      <c r="K2300" s="175"/>
      <c r="L2300" s="174"/>
      <c r="M2300" s="174"/>
      <c r="N2300" s="176"/>
      <c r="O2300" s="177"/>
      <c r="P2300" s="178"/>
      <c r="Q2300" s="179"/>
      <c r="R2300" s="180"/>
      <c r="S2300" s="181"/>
      <c r="T2300" s="203">
        <f t="shared" si="1391"/>
        <v>43647</v>
      </c>
      <c r="U2300" s="204">
        <f t="shared" si="1392"/>
        <v>43677</v>
      </c>
      <c r="V2300" s="207">
        <f t="shared" si="1420"/>
        <v>0</v>
      </c>
      <c r="W2300" s="206" t="str">
        <f t="shared" si="1417"/>
        <v/>
      </c>
      <c r="X2300" s="206">
        <f t="shared" si="1418"/>
        <v>0</v>
      </c>
      <c r="Y2300" s="209">
        <f t="shared" si="1419"/>
        <v>0</v>
      </c>
    </row>
    <row r="2301" spans="2:25" ht="15.75" thickBot="1" x14ac:dyDescent="0.3">
      <c r="B2301" s="141">
        <f>B2295</f>
        <v>45</v>
      </c>
      <c r="C2301" s="142">
        <v>315</v>
      </c>
      <c r="D2301" s="194" t="str">
        <f t="shared" si="1386"/>
        <v>VII</v>
      </c>
      <c r="E2301" s="189"/>
      <c r="F2301" s="190"/>
      <c r="G2301" s="190"/>
      <c r="H2301" s="182"/>
      <c r="I2301" s="182"/>
      <c r="J2301" s="436" t="s">
        <v>181</v>
      </c>
      <c r="K2301" s="437"/>
      <c r="L2301" s="438"/>
      <c r="M2301" s="182"/>
      <c r="N2301" s="183">
        <v>10</v>
      </c>
      <c r="O2301" s="184">
        <v>10</v>
      </c>
      <c r="P2301" s="185"/>
      <c r="Q2301" s="186">
        <v>10</v>
      </c>
      <c r="R2301" s="187" t="s">
        <v>4</v>
      </c>
      <c r="S2301" s="188">
        <v>43626</v>
      </c>
      <c r="T2301" s="213">
        <f t="shared" si="1391"/>
        <v>43647</v>
      </c>
      <c r="U2301" s="214">
        <f t="shared" si="1392"/>
        <v>43677</v>
      </c>
      <c r="V2301" s="210">
        <f t="shared" si="1420"/>
        <v>0</v>
      </c>
      <c r="W2301" s="211"/>
      <c r="X2301" s="211">
        <f>IF(AND($V2301&gt;0,$I2301=1),IF($E2301=10,P2301/10,P2301/$V2301),0)</f>
        <v>0</v>
      </c>
      <c r="Y2301" s="212">
        <f>IF(AND($V2295&gt;0,$I2301&lt;&gt;1),Q2301/E2295*V2295,0)</f>
        <v>0</v>
      </c>
    </row>
    <row r="2302" spans="2:25" ht="16.5" hidden="1" thickTop="1" thickBot="1" x14ac:dyDescent="0.3">
      <c r="B2302" s="129">
        <f>B2300+1</f>
        <v>46</v>
      </c>
      <c r="C2302" s="130">
        <v>316</v>
      </c>
      <c r="D2302" s="196" t="str">
        <f t="shared" si="1386"/>
        <v>VII</v>
      </c>
      <c r="E2302" s="131"/>
      <c r="F2302" s="132"/>
      <c r="G2302" s="132"/>
      <c r="H2302" s="133"/>
      <c r="I2302" s="133"/>
      <c r="J2302" s="131"/>
      <c r="K2302" s="134"/>
      <c r="L2302" s="133"/>
      <c r="M2302" s="133"/>
      <c r="N2302" s="135"/>
      <c r="O2302" s="136"/>
      <c r="P2302" s="137"/>
      <c r="Q2302" s="138"/>
      <c r="R2302" s="139"/>
      <c r="S2302" s="140"/>
      <c r="T2302" s="203">
        <f t="shared" si="1391"/>
        <v>43647</v>
      </c>
      <c r="U2302" s="204">
        <f t="shared" si="1392"/>
        <v>43677</v>
      </c>
      <c r="V2302" s="207">
        <f>IF(G2302-F2302+1-IF(G2302-U2302&gt;0,G2302-U2302,0)-IF(T2302-F2302&gt;0,T2302-F2302,0)&gt;0,G2302-F2302+1-IF(G2302-U2302&gt;0,G2302-U2302,0)-IF(T2302-F2302&gt;0,T2302-F2302,0),0)</f>
        <v>0</v>
      </c>
      <c r="W2302" s="206" t="str">
        <f t="shared" ref="W2302:W2307" si="1421">IF(V2302&gt;0,H2302,"")</f>
        <v/>
      </c>
      <c r="X2302" s="206">
        <f t="shared" ref="X2302:X2307" si="1422">IF(AND($V2302&gt;0,$I2302=1),P2302/$E2302*$V2302,0)</f>
        <v>0</v>
      </c>
      <c r="Y2302" s="209">
        <f t="shared" ref="Y2302:Y2307" si="1423">IF(AND($V2302&gt;0,$I2302&lt;&gt;1),Q2302/$E2302*$V2302,0)</f>
        <v>0</v>
      </c>
    </row>
    <row r="2303" spans="2:25" ht="16.5" hidden="1" thickTop="1" thickBot="1" x14ac:dyDescent="0.3">
      <c r="B2303" s="60">
        <f>B2302</f>
        <v>46</v>
      </c>
      <c r="C2303" s="102">
        <v>317</v>
      </c>
      <c r="D2303" s="192" t="str">
        <f t="shared" si="1386"/>
        <v>VII</v>
      </c>
      <c r="E2303" s="62"/>
      <c r="F2303" s="105"/>
      <c r="G2303" s="105"/>
      <c r="H2303" s="61"/>
      <c r="I2303" s="61"/>
      <c r="J2303" s="62"/>
      <c r="K2303" s="63"/>
      <c r="L2303" s="61"/>
      <c r="M2303" s="61"/>
      <c r="N2303" s="111"/>
      <c r="O2303" s="112"/>
      <c r="P2303" s="113"/>
      <c r="Q2303" s="114"/>
      <c r="R2303" s="64"/>
      <c r="S2303" s="108"/>
      <c r="T2303" s="203">
        <f t="shared" si="1391"/>
        <v>43647</v>
      </c>
      <c r="U2303" s="204">
        <f t="shared" si="1392"/>
        <v>43677</v>
      </c>
      <c r="V2303" s="207">
        <f t="shared" ref="V2303:V2308" si="1424">IF(G2303-F2303+1-IF(G2303-U2303&gt;0,G2303-U2303,0)-IF(T2303-F2303&gt;0,T2303-F2303,0)&gt;0,G2303-F2303+1-IF(G2303-U2303&gt;0,G2303-U2303,0)-IF(T2303-F2303&gt;0,T2303-F2303,0),0)</f>
        <v>0</v>
      </c>
      <c r="W2303" s="206" t="str">
        <f t="shared" si="1421"/>
        <v/>
      </c>
      <c r="X2303" s="206">
        <f t="shared" si="1422"/>
        <v>0</v>
      </c>
      <c r="Y2303" s="209">
        <f t="shared" si="1423"/>
        <v>0</v>
      </c>
    </row>
    <row r="2304" spans="2:25" ht="16.5" hidden="1" thickTop="1" thickBot="1" x14ac:dyDescent="0.3">
      <c r="B2304" s="60">
        <f>B2302</f>
        <v>46</v>
      </c>
      <c r="C2304" s="102">
        <v>318</v>
      </c>
      <c r="D2304" s="192" t="str">
        <f t="shared" si="1386"/>
        <v>VII</v>
      </c>
      <c r="E2304" s="62"/>
      <c r="F2304" s="105"/>
      <c r="G2304" s="105"/>
      <c r="H2304" s="61"/>
      <c r="I2304" s="61"/>
      <c r="J2304" s="62"/>
      <c r="K2304" s="63"/>
      <c r="L2304" s="61"/>
      <c r="M2304" s="61"/>
      <c r="N2304" s="111"/>
      <c r="O2304" s="112"/>
      <c r="P2304" s="113"/>
      <c r="Q2304" s="114"/>
      <c r="R2304" s="64"/>
      <c r="S2304" s="108"/>
      <c r="T2304" s="203">
        <f t="shared" si="1391"/>
        <v>43647</v>
      </c>
      <c r="U2304" s="204">
        <f t="shared" si="1392"/>
        <v>43677</v>
      </c>
      <c r="V2304" s="207">
        <f t="shared" si="1424"/>
        <v>0</v>
      </c>
      <c r="W2304" s="206" t="str">
        <f t="shared" si="1421"/>
        <v/>
      </c>
      <c r="X2304" s="206">
        <f t="shared" si="1422"/>
        <v>0</v>
      </c>
      <c r="Y2304" s="209">
        <f t="shared" si="1423"/>
        <v>0</v>
      </c>
    </row>
    <row r="2305" spans="2:25" ht="16.5" hidden="1" thickTop="1" thickBot="1" x14ac:dyDescent="0.3">
      <c r="B2305" s="60">
        <f>B2302</f>
        <v>46</v>
      </c>
      <c r="C2305" s="102">
        <v>319</v>
      </c>
      <c r="D2305" s="192" t="str">
        <f t="shared" si="1386"/>
        <v>VII</v>
      </c>
      <c r="E2305" s="62"/>
      <c r="F2305" s="105"/>
      <c r="G2305" s="105"/>
      <c r="H2305" s="61"/>
      <c r="I2305" s="61"/>
      <c r="J2305" s="62"/>
      <c r="K2305" s="63"/>
      <c r="L2305" s="61"/>
      <c r="M2305" s="61"/>
      <c r="N2305" s="111"/>
      <c r="O2305" s="112"/>
      <c r="P2305" s="113"/>
      <c r="Q2305" s="114"/>
      <c r="R2305" s="64"/>
      <c r="S2305" s="108"/>
      <c r="T2305" s="203">
        <f t="shared" si="1391"/>
        <v>43647</v>
      </c>
      <c r="U2305" s="204">
        <f t="shared" si="1392"/>
        <v>43677</v>
      </c>
      <c r="V2305" s="207">
        <f t="shared" si="1424"/>
        <v>0</v>
      </c>
      <c r="W2305" s="206" t="str">
        <f t="shared" si="1421"/>
        <v/>
      </c>
      <c r="X2305" s="206">
        <f t="shared" si="1422"/>
        <v>0</v>
      </c>
      <c r="Y2305" s="209">
        <f t="shared" si="1423"/>
        <v>0</v>
      </c>
    </row>
    <row r="2306" spans="2:25" ht="16.5" hidden="1" thickTop="1" thickBot="1" x14ac:dyDescent="0.3">
      <c r="B2306" s="60">
        <f>B2302</f>
        <v>46</v>
      </c>
      <c r="C2306" s="102">
        <v>320</v>
      </c>
      <c r="D2306" s="192" t="str">
        <f t="shared" si="1386"/>
        <v>VII</v>
      </c>
      <c r="E2306" s="62"/>
      <c r="F2306" s="105"/>
      <c r="G2306" s="105"/>
      <c r="H2306" s="61"/>
      <c r="I2306" s="61"/>
      <c r="J2306" s="62"/>
      <c r="K2306" s="63"/>
      <c r="L2306" s="61"/>
      <c r="M2306" s="61"/>
      <c r="N2306" s="111"/>
      <c r="O2306" s="112"/>
      <c r="P2306" s="113"/>
      <c r="Q2306" s="114"/>
      <c r="R2306" s="64"/>
      <c r="S2306" s="108"/>
      <c r="T2306" s="203">
        <f t="shared" si="1391"/>
        <v>43647</v>
      </c>
      <c r="U2306" s="204">
        <f t="shared" si="1392"/>
        <v>43677</v>
      </c>
      <c r="V2306" s="207">
        <f t="shared" si="1424"/>
        <v>0</v>
      </c>
      <c r="W2306" s="206" t="str">
        <f t="shared" si="1421"/>
        <v/>
      </c>
      <c r="X2306" s="206">
        <f t="shared" si="1422"/>
        <v>0</v>
      </c>
      <c r="Y2306" s="209">
        <f t="shared" si="1423"/>
        <v>0</v>
      </c>
    </row>
    <row r="2307" spans="2:25" ht="16.5" hidden="1" thickTop="1" thickBot="1" x14ac:dyDescent="0.3">
      <c r="B2307" s="60">
        <f>B2302</f>
        <v>46</v>
      </c>
      <c r="C2307" s="102">
        <v>321</v>
      </c>
      <c r="D2307" s="192" t="str">
        <f t="shared" si="1386"/>
        <v>VII</v>
      </c>
      <c r="E2307" s="62"/>
      <c r="F2307" s="105"/>
      <c r="G2307" s="105"/>
      <c r="H2307" s="61"/>
      <c r="I2307" s="61"/>
      <c r="J2307" s="62"/>
      <c r="K2307" s="63"/>
      <c r="L2307" s="61"/>
      <c r="M2307" s="61"/>
      <c r="N2307" s="111"/>
      <c r="O2307" s="112"/>
      <c r="P2307" s="113"/>
      <c r="Q2307" s="114"/>
      <c r="R2307" s="64"/>
      <c r="S2307" s="108"/>
      <c r="T2307" s="203">
        <f t="shared" si="1391"/>
        <v>43647</v>
      </c>
      <c r="U2307" s="204">
        <f t="shared" si="1392"/>
        <v>43677</v>
      </c>
      <c r="V2307" s="207">
        <f t="shared" si="1424"/>
        <v>0</v>
      </c>
      <c r="W2307" s="206" t="str">
        <f t="shared" si="1421"/>
        <v/>
      </c>
      <c r="X2307" s="206">
        <f t="shared" si="1422"/>
        <v>0</v>
      </c>
      <c r="Y2307" s="209">
        <f t="shared" si="1423"/>
        <v>0</v>
      </c>
    </row>
    <row r="2308" spans="2:25" ht="16.5" hidden="1" thickTop="1" thickBot="1" x14ac:dyDescent="0.3">
      <c r="B2308" s="141">
        <f>B2302</f>
        <v>46</v>
      </c>
      <c r="C2308" s="142">
        <v>322</v>
      </c>
      <c r="D2308" s="194" t="str">
        <f t="shared" si="1386"/>
        <v>VII</v>
      </c>
      <c r="E2308" s="143"/>
      <c r="F2308" s="144"/>
      <c r="G2308" s="144"/>
      <c r="H2308" s="145"/>
      <c r="I2308" s="145"/>
      <c r="J2308" s="436" t="s">
        <v>181</v>
      </c>
      <c r="K2308" s="437"/>
      <c r="L2308" s="438"/>
      <c r="M2308" s="145"/>
      <c r="N2308" s="146"/>
      <c r="O2308" s="147"/>
      <c r="P2308" s="148"/>
      <c r="Q2308" s="149"/>
      <c r="R2308" s="150"/>
      <c r="S2308" s="151"/>
      <c r="T2308" s="213">
        <f t="shared" si="1391"/>
        <v>43647</v>
      </c>
      <c r="U2308" s="214">
        <f t="shared" si="1392"/>
        <v>43677</v>
      </c>
      <c r="V2308" s="210">
        <f t="shared" si="1424"/>
        <v>0</v>
      </c>
      <c r="W2308" s="211"/>
      <c r="X2308" s="211">
        <f>IF(AND($V2308&gt;0,$I2308=1),IF($E2308=10,P2308/10,P2308/$V2308),0)</f>
        <v>0</v>
      </c>
      <c r="Y2308" s="212">
        <f>IF(AND($V2302&gt;0,$I2308&lt;&gt;1),Q2308/E2302*V2302,0)</f>
        <v>0</v>
      </c>
    </row>
    <row r="2309" spans="2:25" ht="16.5" hidden="1" thickTop="1" thickBot="1" x14ac:dyDescent="0.3">
      <c r="B2309" s="129">
        <f>B2307+1</f>
        <v>47</v>
      </c>
      <c r="C2309" s="130">
        <v>323</v>
      </c>
      <c r="D2309" s="196" t="str">
        <f t="shared" ref="D2309:D2315" si="1425">D2308</f>
        <v>VII</v>
      </c>
      <c r="E2309" s="152"/>
      <c r="F2309" s="153"/>
      <c r="G2309" s="153"/>
      <c r="H2309" s="154"/>
      <c r="I2309" s="154"/>
      <c r="J2309" s="152"/>
      <c r="K2309" s="155"/>
      <c r="L2309" s="154"/>
      <c r="M2309" s="154"/>
      <c r="N2309" s="156"/>
      <c r="O2309" s="157"/>
      <c r="P2309" s="158"/>
      <c r="Q2309" s="159"/>
      <c r="R2309" s="160"/>
      <c r="S2309" s="161"/>
      <c r="T2309" s="215">
        <f t="shared" si="1391"/>
        <v>43647</v>
      </c>
      <c r="U2309" s="216">
        <f t="shared" si="1392"/>
        <v>43677</v>
      </c>
      <c r="V2309" s="217">
        <f>IF(G2309-F2309+1-IF(G2309-U2309&gt;0,G2309-U2309,0)-IF(T2309-F2309&gt;0,T2309-F2309,0)&gt;0,G2309-F2309+1-IF(G2309-U2309&gt;0,G2309-U2309,0)-IF(T2309-F2309&gt;0,T2309-F2309,0),0)</f>
        <v>0</v>
      </c>
      <c r="W2309" s="218" t="str">
        <f t="shared" ref="W2309:W2314" si="1426">IF(V2309&gt;0,H2309,"")</f>
        <v/>
      </c>
      <c r="X2309" s="218">
        <f t="shared" ref="X2309:X2314" si="1427">IF(AND($V2309&gt;0,$I2309=1),P2309/$E2309*$V2309,0)</f>
        <v>0</v>
      </c>
      <c r="Y2309" s="219">
        <f t="shared" ref="Y2309:Y2314" si="1428">IF(AND($V2309&gt;0,$I2309&lt;&gt;1),Q2309/$E2309*$V2309,0)</f>
        <v>0</v>
      </c>
    </row>
    <row r="2310" spans="2:25" ht="16.5" hidden="1" thickTop="1" thickBot="1" x14ac:dyDescent="0.3">
      <c r="B2310" s="60">
        <f>B2309</f>
        <v>47</v>
      </c>
      <c r="C2310" s="102">
        <v>324</v>
      </c>
      <c r="D2310" s="192" t="str">
        <f t="shared" si="1425"/>
        <v>VII</v>
      </c>
      <c r="E2310" s="162"/>
      <c r="F2310" s="163"/>
      <c r="G2310" s="163"/>
      <c r="H2310" s="164"/>
      <c r="I2310" s="164"/>
      <c r="J2310" s="162"/>
      <c r="K2310" s="165"/>
      <c r="L2310" s="164"/>
      <c r="M2310" s="164"/>
      <c r="N2310" s="166"/>
      <c r="O2310" s="167"/>
      <c r="P2310" s="168"/>
      <c r="Q2310" s="169"/>
      <c r="R2310" s="170"/>
      <c r="S2310" s="171"/>
      <c r="T2310" s="203">
        <f t="shared" si="1391"/>
        <v>43647</v>
      </c>
      <c r="U2310" s="205">
        <f t="shared" si="1392"/>
        <v>43677</v>
      </c>
      <c r="V2310" s="207">
        <f t="shared" ref="V2310:V2315" si="1429">IF(G2310-F2310+1-IF(G2310-U2310&gt;0,G2310-U2310,0)-IF(T2310-F2310&gt;0,T2310-F2310,0)&gt;0,G2310-F2310+1-IF(G2310-U2310&gt;0,G2310-U2310,0)-IF(T2310-F2310&gt;0,T2310-F2310,0),0)</f>
        <v>0</v>
      </c>
      <c r="W2310" s="206" t="str">
        <f t="shared" si="1426"/>
        <v/>
      </c>
      <c r="X2310" s="206">
        <f t="shared" si="1427"/>
        <v>0</v>
      </c>
      <c r="Y2310" s="208">
        <f t="shared" si="1428"/>
        <v>0</v>
      </c>
    </row>
    <row r="2311" spans="2:25" ht="16.5" hidden="1" thickTop="1" thickBot="1" x14ac:dyDescent="0.3">
      <c r="B2311" s="60">
        <f>B2309</f>
        <v>47</v>
      </c>
      <c r="C2311" s="102">
        <v>325</v>
      </c>
      <c r="D2311" s="192" t="str">
        <f t="shared" si="1425"/>
        <v>VII</v>
      </c>
      <c r="E2311" s="162"/>
      <c r="F2311" s="163"/>
      <c r="G2311" s="163"/>
      <c r="H2311" s="164"/>
      <c r="I2311" s="164"/>
      <c r="J2311" s="162"/>
      <c r="K2311" s="165"/>
      <c r="L2311" s="164"/>
      <c r="M2311" s="164"/>
      <c r="N2311" s="166"/>
      <c r="O2311" s="167"/>
      <c r="P2311" s="168"/>
      <c r="Q2311" s="169"/>
      <c r="R2311" s="170"/>
      <c r="S2311" s="171"/>
      <c r="T2311" s="203">
        <f t="shared" si="1391"/>
        <v>43647</v>
      </c>
      <c r="U2311" s="205">
        <f t="shared" si="1392"/>
        <v>43677</v>
      </c>
      <c r="V2311" s="207">
        <f t="shared" si="1429"/>
        <v>0</v>
      </c>
      <c r="W2311" s="206" t="str">
        <f t="shared" si="1426"/>
        <v/>
      </c>
      <c r="X2311" s="206">
        <f t="shared" si="1427"/>
        <v>0</v>
      </c>
      <c r="Y2311" s="208">
        <f t="shared" si="1428"/>
        <v>0</v>
      </c>
    </row>
    <row r="2312" spans="2:25" ht="16.5" hidden="1" thickTop="1" thickBot="1" x14ac:dyDescent="0.3">
      <c r="B2312" s="60">
        <f>B2309</f>
        <v>47</v>
      </c>
      <c r="C2312" s="102">
        <v>326</v>
      </c>
      <c r="D2312" s="192" t="str">
        <f t="shared" si="1425"/>
        <v>VII</v>
      </c>
      <c r="E2312" s="162"/>
      <c r="F2312" s="163"/>
      <c r="G2312" s="163"/>
      <c r="H2312" s="164"/>
      <c r="I2312" s="164"/>
      <c r="J2312" s="162"/>
      <c r="K2312" s="165"/>
      <c r="L2312" s="164"/>
      <c r="M2312" s="164"/>
      <c r="N2312" s="166"/>
      <c r="O2312" s="167"/>
      <c r="P2312" s="168"/>
      <c r="Q2312" s="169"/>
      <c r="R2312" s="170"/>
      <c r="S2312" s="171"/>
      <c r="T2312" s="203">
        <f t="shared" si="1391"/>
        <v>43647</v>
      </c>
      <c r="U2312" s="205">
        <f t="shared" si="1392"/>
        <v>43677</v>
      </c>
      <c r="V2312" s="207">
        <f t="shared" si="1429"/>
        <v>0</v>
      </c>
      <c r="W2312" s="206" t="str">
        <f t="shared" si="1426"/>
        <v/>
      </c>
      <c r="X2312" s="206">
        <f t="shared" si="1427"/>
        <v>0</v>
      </c>
      <c r="Y2312" s="208">
        <f t="shared" si="1428"/>
        <v>0</v>
      </c>
    </row>
    <row r="2313" spans="2:25" ht="16.5" hidden="1" thickTop="1" thickBot="1" x14ac:dyDescent="0.3">
      <c r="B2313" s="60">
        <f>B2309</f>
        <v>47</v>
      </c>
      <c r="C2313" s="102">
        <v>327</v>
      </c>
      <c r="D2313" s="192" t="str">
        <f t="shared" si="1425"/>
        <v>VII</v>
      </c>
      <c r="E2313" s="162"/>
      <c r="F2313" s="163"/>
      <c r="G2313" s="163"/>
      <c r="H2313" s="164"/>
      <c r="I2313" s="164"/>
      <c r="J2313" s="162"/>
      <c r="K2313" s="165"/>
      <c r="L2313" s="164"/>
      <c r="M2313" s="164"/>
      <c r="N2313" s="166"/>
      <c r="O2313" s="167"/>
      <c r="P2313" s="168"/>
      <c r="Q2313" s="169"/>
      <c r="R2313" s="170"/>
      <c r="S2313" s="171"/>
      <c r="T2313" s="203">
        <f t="shared" si="1391"/>
        <v>43647</v>
      </c>
      <c r="U2313" s="205">
        <f t="shared" si="1392"/>
        <v>43677</v>
      </c>
      <c r="V2313" s="207">
        <f t="shared" si="1429"/>
        <v>0</v>
      </c>
      <c r="W2313" s="206" t="str">
        <f t="shared" si="1426"/>
        <v/>
      </c>
      <c r="X2313" s="206">
        <f t="shared" si="1427"/>
        <v>0</v>
      </c>
      <c r="Y2313" s="208">
        <f t="shared" si="1428"/>
        <v>0</v>
      </c>
    </row>
    <row r="2314" spans="2:25" ht="16.5" hidden="1" thickTop="1" thickBot="1" x14ac:dyDescent="0.3">
      <c r="B2314" s="60">
        <f>B2309</f>
        <v>47</v>
      </c>
      <c r="C2314" s="102">
        <v>328</v>
      </c>
      <c r="D2314" s="192" t="str">
        <f t="shared" si="1425"/>
        <v>VII</v>
      </c>
      <c r="E2314" s="172"/>
      <c r="F2314" s="173"/>
      <c r="G2314" s="173"/>
      <c r="H2314" s="174"/>
      <c r="I2314" s="174"/>
      <c r="J2314" s="172"/>
      <c r="K2314" s="175"/>
      <c r="L2314" s="174"/>
      <c r="M2314" s="174"/>
      <c r="N2314" s="176"/>
      <c r="O2314" s="177"/>
      <c r="P2314" s="178"/>
      <c r="Q2314" s="179"/>
      <c r="R2314" s="180"/>
      <c r="S2314" s="181"/>
      <c r="T2314" s="203">
        <f t="shared" si="1391"/>
        <v>43647</v>
      </c>
      <c r="U2314" s="205">
        <f t="shared" si="1392"/>
        <v>43677</v>
      </c>
      <c r="V2314" s="207">
        <f t="shared" si="1429"/>
        <v>0</v>
      </c>
      <c r="W2314" s="206" t="str">
        <f t="shared" si="1426"/>
        <v/>
      </c>
      <c r="X2314" s="206">
        <f t="shared" si="1427"/>
        <v>0</v>
      </c>
      <c r="Y2314" s="208">
        <f t="shared" si="1428"/>
        <v>0</v>
      </c>
    </row>
    <row r="2315" spans="2:25" ht="16.5" hidden="1" thickTop="1" thickBot="1" x14ac:dyDescent="0.3">
      <c r="B2315" s="141">
        <f>B2309</f>
        <v>47</v>
      </c>
      <c r="C2315" s="142">
        <v>329</v>
      </c>
      <c r="D2315" s="194" t="str">
        <f t="shared" si="1425"/>
        <v>VII</v>
      </c>
      <c r="E2315" s="189"/>
      <c r="F2315" s="190"/>
      <c r="G2315" s="190"/>
      <c r="H2315" s="182"/>
      <c r="I2315" s="182"/>
      <c r="J2315" s="436" t="s">
        <v>181</v>
      </c>
      <c r="K2315" s="437"/>
      <c r="L2315" s="438"/>
      <c r="M2315" s="182"/>
      <c r="N2315" s="183"/>
      <c r="O2315" s="184"/>
      <c r="P2315" s="185"/>
      <c r="Q2315" s="186"/>
      <c r="R2315" s="187"/>
      <c r="S2315" s="188"/>
      <c r="T2315" s="213">
        <f t="shared" si="1391"/>
        <v>43647</v>
      </c>
      <c r="U2315" s="214">
        <f t="shared" si="1392"/>
        <v>43677</v>
      </c>
      <c r="V2315" s="210">
        <f t="shared" si="1429"/>
        <v>0</v>
      </c>
      <c r="W2315" s="211"/>
      <c r="X2315" s="211">
        <f>IF(AND($V2315&gt;0,$I2315=1),IF($E2315=10,P2315/10,P2315/$V2315),0)</f>
        <v>0</v>
      </c>
      <c r="Y2315" s="212">
        <f>IF(AND($V2309&gt;0,$I2315&lt;&gt;1),Q2315/E2309*V2309,0)</f>
        <v>0</v>
      </c>
    </row>
    <row r="2316" spans="2:25" ht="16.5" hidden="1" thickTop="1" thickBot="1" x14ac:dyDescent="0.3">
      <c r="B2316" s="129">
        <v>1</v>
      </c>
      <c r="C2316" s="130">
        <v>1</v>
      </c>
      <c r="D2316" s="191" t="s">
        <v>63</v>
      </c>
      <c r="E2316" s="152"/>
      <c r="F2316" s="153"/>
      <c r="G2316" s="153"/>
      <c r="H2316" s="154"/>
      <c r="I2316" s="154"/>
      <c r="J2316" s="152"/>
      <c r="K2316" s="155"/>
      <c r="L2316" s="154"/>
      <c r="M2316" s="154"/>
      <c r="N2316" s="156"/>
      <c r="O2316" s="157"/>
      <c r="P2316" s="158"/>
      <c r="Q2316" s="159"/>
      <c r="R2316" s="160"/>
      <c r="S2316" s="161"/>
      <c r="T2316" s="215">
        <f t="shared" si="1391"/>
        <v>43647</v>
      </c>
      <c r="U2316" s="216">
        <f t="shared" si="1392"/>
        <v>43677</v>
      </c>
      <c r="V2316" s="217">
        <f>IF(G2316-F2316+1-IF(G2316-U2316&gt;0,G2316-U2316,0)-IF(T2316-F2316&gt;0,T2316-F2316,0)&gt;0,G2316-F2316+1-IF(G2316-U2316&gt;0,G2316-U2316,0)-IF(T2316-F2316&gt;0,T2316-F2316,0),0)</f>
        <v>0</v>
      </c>
      <c r="W2316" s="206" t="str">
        <f t="shared" ref="W2316:W2321" si="1430">IF(V2316&gt;0,H2316,"")</f>
        <v/>
      </c>
      <c r="X2316" s="218">
        <f t="shared" ref="X2316:X2321" si="1431">IF(AND($V2316&gt;0,$I2316=1),P2316/$E2316*$V2316,0)</f>
        <v>0</v>
      </c>
      <c r="Y2316" s="219">
        <f t="shared" ref="Y2316:Y2321" si="1432">IF(AND($V2316&gt;0,$I2316&lt;&gt;1),Q2316/$E2316*$V2316,0)</f>
        <v>0</v>
      </c>
    </row>
    <row r="2317" spans="2:25" ht="16.5" hidden="1" thickTop="1" thickBot="1" x14ac:dyDescent="0.3">
      <c r="B2317" s="60">
        <f>B2316</f>
        <v>1</v>
      </c>
      <c r="C2317" s="102">
        <v>2</v>
      </c>
      <c r="D2317" s="192" t="str">
        <f>D2316</f>
        <v>VIII</v>
      </c>
      <c r="E2317" s="162"/>
      <c r="F2317" s="163"/>
      <c r="G2317" s="163"/>
      <c r="H2317" s="164"/>
      <c r="I2317" s="164"/>
      <c r="J2317" s="162"/>
      <c r="K2317" s="165"/>
      <c r="L2317" s="164"/>
      <c r="M2317" s="164"/>
      <c r="N2317" s="166"/>
      <c r="O2317" s="167"/>
      <c r="P2317" s="168"/>
      <c r="Q2317" s="169"/>
      <c r="R2317" s="170"/>
      <c r="S2317" s="171"/>
      <c r="T2317" s="203">
        <f t="shared" ref="T2317:T2380" si="1433">$F$4</f>
        <v>43647</v>
      </c>
      <c r="U2317" s="205">
        <f t="shared" ref="U2317:U2380" si="1434">$G$4</f>
        <v>43677</v>
      </c>
      <c r="V2317" s="207">
        <f t="shared" ref="V2317:V2322" si="1435">IF(G2317-F2317+1-IF(G2317-U2317&gt;0,G2317-U2317,0)-IF(T2317-F2317&gt;0,T2317-F2317,0)&gt;0,G2317-F2317+1-IF(G2317-U2317&gt;0,G2317-U2317,0)-IF(T2317-F2317&gt;0,T2317-F2317,0),0)</f>
        <v>0</v>
      </c>
      <c r="W2317" s="206" t="str">
        <f t="shared" si="1430"/>
        <v/>
      </c>
      <c r="X2317" s="206">
        <f t="shared" si="1431"/>
        <v>0</v>
      </c>
      <c r="Y2317" s="208">
        <f t="shared" si="1432"/>
        <v>0</v>
      </c>
    </row>
    <row r="2318" spans="2:25" ht="16.5" hidden="1" thickTop="1" thickBot="1" x14ac:dyDescent="0.3">
      <c r="B2318" s="60">
        <f>B2316</f>
        <v>1</v>
      </c>
      <c r="C2318" s="102">
        <v>3</v>
      </c>
      <c r="D2318" s="192" t="str">
        <f t="shared" ref="D2318:D2381" si="1436">D2317</f>
        <v>VIII</v>
      </c>
      <c r="E2318" s="162"/>
      <c r="F2318" s="163"/>
      <c r="G2318" s="163"/>
      <c r="H2318" s="164"/>
      <c r="I2318" s="164"/>
      <c r="J2318" s="162"/>
      <c r="K2318" s="165"/>
      <c r="L2318" s="164"/>
      <c r="M2318" s="164"/>
      <c r="N2318" s="166"/>
      <c r="O2318" s="167"/>
      <c r="P2318" s="168"/>
      <c r="Q2318" s="169"/>
      <c r="R2318" s="170"/>
      <c r="S2318" s="171"/>
      <c r="T2318" s="203">
        <f t="shared" si="1433"/>
        <v>43647</v>
      </c>
      <c r="U2318" s="205">
        <f t="shared" si="1434"/>
        <v>43677</v>
      </c>
      <c r="V2318" s="207">
        <f t="shared" si="1435"/>
        <v>0</v>
      </c>
      <c r="W2318" s="206" t="str">
        <f t="shared" si="1430"/>
        <v/>
      </c>
      <c r="X2318" s="206">
        <f t="shared" si="1431"/>
        <v>0</v>
      </c>
      <c r="Y2318" s="208">
        <f t="shared" si="1432"/>
        <v>0</v>
      </c>
    </row>
    <row r="2319" spans="2:25" ht="16.5" hidden="1" thickTop="1" thickBot="1" x14ac:dyDescent="0.3">
      <c r="B2319" s="60">
        <f>B2316</f>
        <v>1</v>
      </c>
      <c r="C2319" s="102">
        <v>4</v>
      </c>
      <c r="D2319" s="192" t="str">
        <f t="shared" si="1436"/>
        <v>VIII</v>
      </c>
      <c r="E2319" s="162"/>
      <c r="F2319" s="163"/>
      <c r="G2319" s="163"/>
      <c r="H2319" s="164"/>
      <c r="I2319" s="164"/>
      <c r="J2319" s="162"/>
      <c r="K2319" s="165"/>
      <c r="L2319" s="164"/>
      <c r="M2319" s="164"/>
      <c r="N2319" s="166"/>
      <c r="O2319" s="167"/>
      <c r="P2319" s="168"/>
      <c r="Q2319" s="169"/>
      <c r="R2319" s="170"/>
      <c r="S2319" s="171"/>
      <c r="T2319" s="203">
        <f t="shared" si="1433"/>
        <v>43647</v>
      </c>
      <c r="U2319" s="205">
        <f t="shared" si="1434"/>
        <v>43677</v>
      </c>
      <c r="V2319" s="207">
        <f t="shared" si="1435"/>
        <v>0</v>
      </c>
      <c r="W2319" s="206" t="str">
        <f t="shared" si="1430"/>
        <v/>
      </c>
      <c r="X2319" s="206">
        <f t="shared" si="1431"/>
        <v>0</v>
      </c>
      <c r="Y2319" s="208">
        <f t="shared" si="1432"/>
        <v>0</v>
      </c>
    </row>
    <row r="2320" spans="2:25" ht="16.5" hidden="1" thickTop="1" thickBot="1" x14ac:dyDescent="0.3">
      <c r="B2320" s="60">
        <f>B2316</f>
        <v>1</v>
      </c>
      <c r="C2320" s="102">
        <v>5</v>
      </c>
      <c r="D2320" s="192" t="str">
        <f t="shared" si="1436"/>
        <v>VIII</v>
      </c>
      <c r="E2320" s="162"/>
      <c r="F2320" s="163"/>
      <c r="G2320" s="163"/>
      <c r="H2320" s="164"/>
      <c r="I2320" s="164"/>
      <c r="J2320" s="162"/>
      <c r="K2320" s="165"/>
      <c r="L2320" s="164"/>
      <c r="M2320" s="164"/>
      <c r="N2320" s="166"/>
      <c r="O2320" s="167"/>
      <c r="P2320" s="168"/>
      <c r="Q2320" s="169"/>
      <c r="R2320" s="170"/>
      <c r="S2320" s="171"/>
      <c r="T2320" s="203">
        <f t="shared" si="1433"/>
        <v>43647</v>
      </c>
      <c r="U2320" s="205">
        <f t="shared" si="1434"/>
        <v>43677</v>
      </c>
      <c r="V2320" s="207">
        <f t="shared" si="1435"/>
        <v>0</v>
      </c>
      <c r="W2320" s="206" t="str">
        <f t="shared" si="1430"/>
        <v/>
      </c>
      <c r="X2320" s="206">
        <f t="shared" si="1431"/>
        <v>0</v>
      </c>
      <c r="Y2320" s="208">
        <f t="shared" si="1432"/>
        <v>0</v>
      </c>
    </row>
    <row r="2321" spans="2:25" ht="16.5" hidden="1" thickTop="1" thickBot="1" x14ac:dyDescent="0.3">
      <c r="B2321" s="86">
        <f>B2320</f>
        <v>1</v>
      </c>
      <c r="C2321" s="103">
        <v>6</v>
      </c>
      <c r="D2321" s="193" t="str">
        <f t="shared" si="1436"/>
        <v>VIII</v>
      </c>
      <c r="E2321" s="172"/>
      <c r="F2321" s="173"/>
      <c r="G2321" s="173"/>
      <c r="H2321" s="174"/>
      <c r="I2321" s="174"/>
      <c r="J2321" s="172"/>
      <c r="K2321" s="175"/>
      <c r="L2321" s="174"/>
      <c r="M2321" s="174"/>
      <c r="N2321" s="176"/>
      <c r="O2321" s="177"/>
      <c r="P2321" s="178"/>
      <c r="Q2321" s="179"/>
      <c r="R2321" s="180"/>
      <c r="S2321" s="181"/>
      <c r="T2321" s="203">
        <f t="shared" si="1433"/>
        <v>43647</v>
      </c>
      <c r="U2321" s="205">
        <f t="shared" si="1434"/>
        <v>43677</v>
      </c>
      <c r="V2321" s="207">
        <f t="shared" si="1435"/>
        <v>0</v>
      </c>
      <c r="W2321" s="206" t="str">
        <f t="shared" si="1430"/>
        <v/>
      </c>
      <c r="X2321" s="206">
        <f t="shared" si="1431"/>
        <v>0</v>
      </c>
      <c r="Y2321" s="208">
        <f t="shared" si="1432"/>
        <v>0</v>
      </c>
    </row>
    <row r="2322" spans="2:25" ht="16.5" hidden="1" thickTop="1" thickBot="1" x14ac:dyDescent="0.3">
      <c r="B2322" s="141">
        <f>B2316</f>
        <v>1</v>
      </c>
      <c r="C2322" s="142">
        <v>7</v>
      </c>
      <c r="D2322" s="194" t="str">
        <f t="shared" si="1436"/>
        <v>VIII</v>
      </c>
      <c r="E2322" s="189"/>
      <c r="F2322" s="190"/>
      <c r="G2322" s="190"/>
      <c r="H2322" s="182"/>
      <c r="I2322" s="182"/>
      <c r="J2322" s="436" t="s">
        <v>181</v>
      </c>
      <c r="K2322" s="437"/>
      <c r="L2322" s="438"/>
      <c r="M2322" s="182"/>
      <c r="N2322" s="183"/>
      <c r="O2322" s="184"/>
      <c r="P2322" s="185"/>
      <c r="Q2322" s="186"/>
      <c r="R2322" s="187"/>
      <c r="S2322" s="188"/>
      <c r="T2322" s="213">
        <f t="shared" si="1433"/>
        <v>43647</v>
      </c>
      <c r="U2322" s="214">
        <f t="shared" si="1434"/>
        <v>43677</v>
      </c>
      <c r="V2322" s="210">
        <f t="shared" si="1435"/>
        <v>0</v>
      </c>
      <c r="W2322" s="211"/>
      <c r="X2322" s="211">
        <f>IF(AND($V2322&gt;0,$I2322=1),IF($E2322=10,P2322/10,P2322/$V2322),0)</f>
        <v>0</v>
      </c>
      <c r="Y2322" s="212">
        <f>IF(AND($V2316&gt;0,$I2322&lt;&gt;1),Q2322/E2316*V2316,0)</f>
        <v>0</v>
      </c>
    </row>
    <row r="2323" spans="2:25" ht="16.5" hidden="1" thickTop="1" thickBot="1" x14ac:dyDescent="0.3">
      <c r="B2323" s="91">
        <f>B2322+1</f>
        <v>2</v>
      </c>
      <c r="C2323" s="104">
        <v>8</v>
      </c>
      <c r="D2323" s="195" t="str">
        <f t="shared" si="1436"/>
        <v>VIII</v>
      </c>
      <c r="E2323" s="92"/>
      <c r="F2323" s="107"/>
      <c r="G2323" s="107"/>
      <c r="H2323" s="93"/>
      <c r="I2323" s="93"/>
      <c r="J2323" s="92"/>
      <c r="K2323" s="94"/>
      <c r="L2323" s="93"/>
      <c r="M2323" s="93"/>
      <c r="N2323" s="119"/>
      <c r="O2323" s="120"/>
      <c r="P2323" s="121"/>
      <c r="Q2323" s="122"/>
      <c r="R2323" s="95"/>
      <c r="S2323" s="110"/>
      <c r="T2323" s="201">
        <f t="shared" si="1433"/>
        <v>43647</v>
      </c>
      <c r="U2323" s="202">
        <f t="shared" si="1434"/>
        <v>43677</v>
      </c>
      <c r="V2323" s="207">
        <f>IF(G2323-F2323+1-IF(G2323-U2323&gt;0,G2323-U2323,0)-IF(T2323-F2323&gt;0,T2323-F2323,0)&gt;0,G2323-F2323+1-IF(G2323-U2323&gt;0,G2323-U2323,0)-IF(T2323-F2323&gt;0,T2323-F2323,0),0)</f>
        <v>0</v>
      </c>
      <c r="W2323" s="206" t="str">
        <f t="shared" ref="W2323:W2328" si="1437">IF(V2323&gt;0,H2323,"")</f>
        <v/>
      </c>
      <c r="X2323" s="206">
        <f t="shared" ref="X2323:X2328" si="1438">IF(AND($V2323&gt;0,$I2323=1),P2323/$E2323*$V2323,0)</f>
        <v>0</v>
      </c>
      <c r="Y2323" s="209">
        <f t="shared" ref="Y2323:Y2328" si="1439">IF(AND($V2323&gt;0,$I2323&lt;&gt;1),Q2323/$E2323*$V2323,0)</f>
        <v>0</v>
      </c>
    </row>
    <row r="2324" spans="2:25" ht="16.5" hidden="1" thickTop="1" thickBot="1" x14ac:dyDescent="0.3">
      <c r="B2324" s="60">
        <f>B2323</f>
        <v>2</v>
      </c>
      <c r="C2324" s="102">
        <v>9</v>
      </c>
      <c r="D2324" s="192" t="str">
        <f t="shared" si="1436"/>
        <v>VIII</v>
      </c>
      <c r="E2324" s="62"/>
      <c r="F2324" s="105"/>
      <c r="G2324" s="105"/>
      <c r="H2324" s="61"/>
      <c r="I2324" s="61"/>
      <c r="J2324" s="62"/>
      <c r="K2324" s="63"/>
      <c r="L2324" s="61"/>
      <c r="M2324" s="61"/>
      <c r="N2324" s="111"/>
      <c r="O2324" s="112"/>
      <c r="P2324" s="113"/>
      <c r="Q2324" s="114"/>
      <c r="R2324" s="64"/>
      <c r="S2324" s="108"/>
      <c r="T2324" s="203">
        <f t="shared" si="1433"/>
        <v>43647</v>
      </c>
      <c r="U2324" s="204">
        <f t="shared" si="1434"/>
        <v>43677</v>
      </c>
      <c r="V2324" s="207">
        <f t="shared" ref="V2324:V2329" si="1440">IF(G2324-F2324+1-IF(G2324-U2324&gt;0,G2324-U2324,0)-IF(T2324-F2324&gt;0,T2324-F2324,0)&gt;0,G2324-F2324+1-IF(G2324-U2324&gt;0,G2324-U2324,0)-IF(T2324-F2324&gt;0,T2324-F2324,0),0)</f>
        <v>0</v>
      </c>
      <c r="W2324" s="206" t="str">
        <f t="shared" si="1437"/>
        <v/>
      </c>
      <c r="X2324" s="206">
        <f t="shared" si="1438"/>
        <v>0</v>
      </c>
      <c r="Y2324" s="209">
        <f t="shared" si="1439"/>
        <v>0</v>
      </c>
    </row>
    <row r="2325" spans="2:25" ht="16.5" hidden="1" thickTop="1" thickBot="1" x14ac:dyDescent="0.3">
      <c r="B2325" s="60">
        <f>B2323</f>
        <v>2</v>
      </c>
      <c r="C2325" s="102">
        <v>10</v>
      </c>
      <c r="D2325" s="192" t="str">
        <f t="shared" si="1436"/>
        <v>VIII</v>
      </c>
      <c r="E2325" s="62"/>
      <c r="F2325" s="105"/>
      <c r="G2325" s="105"/>
      <c r="H2325" s="61"/>
      <c r="I2325" s="61"/>
      <c r="J2325" s="62"/>
      <c r="K2325" s="63"/>
      <c r="L2325" s="61"/>
      <c r="M2325" s="61"/>
      <c r="N2325" s="111"/>
      <c r="O2325" s="112"/>
      <c r="P2325" s="113"/>
      <c r="Q2325" s="114"/>
      <c r="R2325" s="64"/>
      <c r="S2325" s="108"/>
      <c r="T2325" s="203">
        <f t="shared" si="1433"/>
        <v>43647</v>
      </c>
      <c r="U2325" s="204">
        <f t="shared" si="1434"/>
        <v>43677</v>
      </c>
      <c r="V2325" s="207">
        <f t="shared" si="1440"/>
        <v>0</v>
      </c>
      <c r="W2325" s="206" t="str">
        <f t="shared" si="1437"/>
        <v/>
      </c>
      <c r="X2325" s="206">
        <f t="shared" si="1438"/>
        <v>0</v>
      </c>
      <c r="Y2325" s="209">
        <f t="shared" si="1439"/>
        <v>0</v>
      </c>
    </row>
    <row r="2326" spans="2:25" ht="16.5" hidden="1" thickTop="1" thickBot="1" x14ac:dyDescent="0.3">
      <c r="B2326" s="60">
        <f>B2323</f>
        <v>2</v>
      </c>
      <c r="C2326" s="102">
        <v>11</v>
      </c>
      <c r="D2326" s="192" t="str">
        <f t="shared" si="1436"/>
        <v>VIII</v>
      </c>
      <c r="E2326" s="62"/>
      <c r="F2326" s="105"/>
      <c r="G2326" s="105"/>
      <c r="H2326" s="61"/>
      <c r="I2326" s="61"/>
      <c r="J2326" s="62"/>
      <c r="K2326" s="63"/>
      <c r="L2326" s="61"/>
      <c r="M2326" s="61"/>
      <c r="N2326" s="111"/>
      <c r="O2326" s="112"/>
      <c r="P2326" s="113"/>
      <c r="Q2326" s="114"/>
      <c r="R2326" s="64"/>
      <c r="S2326" s="108"/>
      <c r="T2326" s="203">
        <f t="shared" si="1433"/>
        <v>43647</v>
      </c>
      <c r="U2326" s="204">
        <f t="shared" si="1434"/>
        <v>43677</v>
      </c>
      <c r="V2326" s="207">
        <f t="shared" si="1440"/>
        <v>0</v>
      </c>
      <c r="W2326" s="206" t="str">
        <f t="shared" si="1437"/>
        <v/>
      </c>
      <c r="X2326" s="206">
        <f t="shared" si="1438"/>
        <v>0</v>
      </c>
      <c r="Y2326" s="209">
        <f t="shared" si="1439"/>
        <v>0</v>
      </c>
    </row>
    <row r="2327" spans="2:25" ht="16.5" hidden="1" thickTop="1" thickBot="1" x14ac:dyDescent="0.3">
      <c r="B2327" s="60">
        <f>B2323</f>
        <v>2</v>
      </c>
      <c r="C2327" s="102">
        <v>12</v>
      </c>
      <c r="D2327" s="192" t="str">
        <f t="shared" si="1436"/>
        <v>VIII</v>
      </c>
      <c r="E2327" s="62"/>
      <c r="F2327" s="105"/>
      <c r="G2327" s="105"/>
      <c r="H2327" s="61"/>
      <c r="I2327" s="61"/>
      <c r="J2327" s="62"/>
      <c r="K2327" s="63"/>
      <c r="L2327" s="61"/>
      <c r="M2327" s="61"/>
      <c r="N2327" s="111"/>
      <c r="O2327" s="112"/>
      <c r="P2327" s="113"/>
      <c r="Q2327" s="114"/>
      <c r="R2327" s="64"/>
      <c r="S2327" s="108"/>
      <c r="T2327" s="203">
        <f t="shared" si="1433"/>
        <v>43647</v>
      </c>
      <c r="U2327" s="204">
        <f t="shared" si="1434"/>
        <v>43677</v>
      </c>
      <c r="V2327" s="207">
        <f t="shared" si="1440"/>
        <v>0</v>
      </c>
      <c r="W2327" s="206" t="str">
        <f t="shared" si="1437"/>
        <v/>
      </c>
      <c r="X2327" s="206">
        <f t="shared" si="1438"/>
        <v>0</v>
      </c>
      <c r="Y2327" s="209">
        <f t="shared" si="1439"/>
        <v>0</v>
      </c>
    </row>
    <row r="2328" spans="2:25" ht="16.5" hidden="1" thickTop="1" thickBot="1" x14ac:dyDescent="0.3">
      <c r="B2328" s="86">
        <f>B2323</f>
        <v>2</v>
      </c>
      <c r="C2328" s="103">
        <v>13</v>
      </c>
      <c r="D2328" s="193" t="str">
        <f t="shared" si="1436"/>
        <v>VIII</v>
      </c>
      <c r="E2328" s="87"/>
      <c r="F2328" s="106"/>
      <c r="G2328" s="106"/>
      <c r="H2328" s="88"/>
      <c r="I2328" s="88"/>
      <c r="J2328" s="87"/>
      <c r="K2328" s="89"/>
      <c r="L2328" s="88"/>
      <c r="M2328" s="88"/>
      <c r="N2328" s="115"/>
      <c r="O2328" s="116"/>
      <c r="P2328" s="117"/>
      <c r="Q2328" s="118"/>
      <c r="R2328" s="90"/>
      <c r="S2328" s="109"/>
      <c r="T2328" s="203">
        <f t="shared" si="1433"/>
        <v>43647</v>
      </c>
      <c r="U2328" s="204">
        <f t="shared" si="1434"/>
        <v>43677</v>
      </c>
      <c r="V2328" s="207">
        <f t="shared" si="1440"/>
        <v>0</v>
      </c>
      <c r="W2328" s="206" t="str">
        <f t="shared" si="1437"/>
        <v/>
      </c>
      <c r="X2328" s="206">
        <f t="shared" si="1438"/>
        <v>0</v>
      </c>
      <c r="Y2328" s="209">
        <f t="shared" si="1439"/>
        <v>0</v>
      </c>
    </row>
    <row r="2329" spans="2:25" ht="16.5" hidden="1" thickTop="1" thickBot="1" x14ac:dyDescent="0.3">
      <c r="B2329" s="141">
        <f>B2323</f>
        <v>2</v>
      </c>
      <c r="C2329" s="142">
        <v>14</v>
      </c>
      <c r="D2329" s="194" t="str">
        <f t="shared" si="1436"/>
        <v>VIII</v>
      </c>
      <c r="E2329" s="143"/>
      <c r="F2329" s="144"/>
      <c r="G2329" s="144"/>
      <c r="H2329" s="145"/>
      <c r="I2329" s="145"/>
      <c r="J2329" s="436" t="s">
        <v>181</v>
      </c>
      <c r="K2329" s="437"/>
      <c r="L2329" s="438"/>
      <c r="M2329" s="145"/>
      <c r="N2329" s="146"/>
      <c r="O2329" s="147"/>
      <c r="P2329" s="148"/>
      <c r="Q2329" s="149"/>
      <c r="R2329" s="150"/>
      <c r="S2329" s="151"/>
      <c r="T2329" s="213">
        <f t="shared" si="1433"/>
        <v>43647</v>
      </c>
      <c r="U2329" s="214">
        <f t="shared" si="1434"/>
        <v>43677</v>
      </c>
      <c r="V2329" s="210">
        <f t="shared" si="1440"/>
        <v>0</v>
      </c>
      <c r="W2329" s="211"/>
      <c r="X2329" s="211">
        <f>IF(AND($V2329&gt;0,$I2329=1),IF($E2329=10,P2329/10,P2329/$V2329),0)</f>
        <v>0</v>
      </c>
      <c r="Y2329" s="212">
        <f>IF(AND($V2323&gt;0,$I2329&lt;&gt;1),Q2329/E2323*V2323,0)</f>
        <v>0</v>
      </c>
    </row>
    <row r="2330" spans="2:25" ht="16.5" hidden="1" thickTop="1" thickBot="1" x14ac:dyDescent="0.3">
      <c r="B2330" s="129">
        <f>B2328+1</f>
        <v>3</v>
      </c>
      <c r="C2330" s="130">
        <v>15</v>
      </c>
      <c r="D2330" s="196" t="str">
        <f t="shared" si="1436"/>
        <v>VIII</v>
      </c>
      <c r="E2330" s="152"/>
      <c r="F2330" s="153"/>
      <c r="G2330" s="153"/>
      <c r="H2330" s="154"/>
      <c r="I2330" s="154"/>
      <c r="J2330" s="152"/>
      <c r="K2330" s="155"/>
      <c r="L2330" s="154"/>
      <c r="M2330" s="154"/>
      <c r="N2330" s="156"/>
      <c r="O2330" s="157"/>
      <c r="P2330" s="158"/>
      <c r="Q2330" s="159"/>
      <c r="R2330" s="160"/>
      <c r="S2330" s="161"/>
      <c r="T2330" s="203">
        <f t="shared" si="1433"/>
        <v>43647</v>
      </c>
      <c r="U2330" s="204">
        <f t="shared" si="1434"/>
        <v>43677</v>
      </c>
      <c r="V2330" s="207">
        <f>IF(G2330-F2330+1-IF(G2330-U2330&gt;0,G2330-U2330,0)-IF(T2330-F2330&gt;0,T2330-F2330,0)&gt;0,G2330-F2330+1-IF(G2330-U2330&gt;0,G2330-U2330,0)-IF(T2330-F2330&gt;0,T2330-F2330,0),0)</f>
        <v>0</v>
      </c>
      <c r="W2330" s="206" t="str">
        <f t="shared" ref="W2330:W2335" si="1441">IF(V2330&gt;0,H2330,"")</f>
        <v/>
      </c>
      <c r="X2330" s="206">
        <f t="shared" ref="X2330:X2335" si="1442">IF(AND($V2330&gt;0,$I2330=1),P2330/$E2330*$V2330,0)</f>
        <v>0</v>
      </c>
      <c r="Y2330" s="209">
        <f t="shared" ref="Y2330:Y2335" si="1443">IF(AND($V2330&gt;0,$I2330&lt;&gt;1),Q2330/$E2330*$V2330,0)</f>
        <v>0</v>
      </c>
    </row>
    <row r="2331" spans="2:25" ht="16.5" hidden="1" thickTop="1" thickBot="1" x14ac:dyDescent="0.3">
      <c r="B2331" s="60">
        <f>B2330</f>
        <v>3</v>
      </c>
      <c r="C2331" s="102">
        <v>16</v>
      </c>
      <c r="D2331" s="192" t="str">
        <f t="shared" si="1436"/>
        <v>VIII</v>
      </c>
      <c r="E2331" s="162"/>
      <c r="F2331" s="163"/>
      <c r="G2331" s="163"/>
      <c r="H2331" s="164"/>
      <c r="I2331" s="164"/>
      <c r="J2331" s="162"/>
      <c r="K2331" s="165"/>
      <c r="L2331" s="164"/>
      <c r="M2331" s="164"/>
      <c r="N2331" s="166"/>
      <c r="O2331" s="167"/>
      <c r="P2331" s="168"/>
      <c r="Q2331" s="169"/>
      <c r="R2331" s="170"/>
      <c r="S2331" s="171"/>
      <c r="T2331" s="203">
        <f t="shared" si="1433"/>
        <v>43647</v>
      </c>
      <c r="U2331" s="204">
        <f t="shared" si="1434"/>
        <v>43677</v>
      </c>
      <c r="V2331" s="207">
        <f t="shared" ref="V2331:V2336" si="1444">IF(G2331-F2331+1-IF(G2331-U2331&gt;0,G2331-U2331,0)-IF(T2331-F2331&gt;0,T2331-F2331,0)&gt;0,G2331-F2331+1-IF(G2331-U2331&gt;0,G2331-U2331,0)-IF(T2331-F2331&gt;0,T2331-F2331,0),0)</f>
        <v>0</v>
      </c>
      <c r="W2331" s="206" t="str">
        <f t="shared" si="1441"/>
        <v/>
      </c>
      <c r="X2331" s="206">
        <f t="shared" si="1442"/>
        <v>0</v>
      </c>
      <c r="Y2331" s="209">
        <f t="shared" si="1443"/>
        <v>0</v>
      </c>
    </row>
    <row r="2332" spans="2:25" ht="16.5" hidden="1" thickTop="1" thickBot="1" x14ac:dyDescent="0.3">
      <c r="B2332" s="60">
        <f>B2330</f>
        <v>3</v>
      </c>
      <c r="C2332" s="102">
        <v>17</v>
      </c>
      <c r="D2332" s="192" t="str">
        <f t="shared" si="1436"/>
        <v>VIII</v>
      </c>
      <c r="E2332" s="162"/>
      <c r="F2332" s="163"/>
      <c r="G2332" s="163"/>
      <c r="H2332" s="164"/>
      <c r="I2332" s="164"/>
      <c r="J2332" s="162"/>
      <c r="K2332" s="165"/>
      <c r="L2332" s="164"/>
      <c r="M2332" s="164"/>
      <c r="N2332" s="166"/>
      <c r="O2332" s="167"/>
      <c r="P2332" s="168"/>
      <c r="Q2332" s="169"/>
      <c r="R2332" s="170"/>
      <c r="S2332" s="171"/>
      <c r="T2332" s="203">
        <f t="shared" si="1433"/>
        <v>43647</v>
      </c>
      <c r="U2332" s="204">
        <f t="shared" si="1434"/>
        <v>43677</v>
      </c>
      <c r="V2332" s="207">
        <f t="shared" si="1444"/>
        <v>0</v>
      </c>
      <c r="W2332" s="206" t="str">
        <f t="shared" si="1441"/>
        <v/>
      </c>
      <c r="X2332" s="206">
        <f t="shared" si="1442"/>
        <v>0</v>
      </c>
      <c r="Y2332" s="209">
        <f t="shared" si="1443"/>
        <v>0</v>
      </c>
    </row>
    <row r="2333" spans="2:25" ht="16.5" hidden="1" thickTop="1" thickBot="1" x14ac:dyDescent="0.3">
      <c r="B2333" s="60">
        <f>B2330</f>
        <v>3</v>
      </c>
      <c r="C2333" s="102">
        <v>18</v>
      </c>
      <c r="D2333" s="192" t="str">
        <f t="shared" si="1436"/>
        <v>VIII</v>
      </c>
      <c r="E2333" s="162"/>
      <c r="F2333" s="163"/>
      <c r="G2333" s="163"/>
      <c r="H2333" s="164"/>
      <c r="I2333" s="164"/>
      <c r="J2333" s="162"/>
      <c r="K2333" s="165"/>
      <c r="L2333" s="164"/>
      <c r="M2333" s="164"/>
      <c r="N2333" s="166"/>
      <c r="O2333" s="167"/>
      <c r="P2333" s="168"/>
      <c r="Q2333" s="169"/>
      <c r="R2333" s="170"/>
      <c r="S2333" s="171"/>
      <c r="T2333" s="203">
        <f t="shared" si="1433"/>
        <v>43647</v>
      </c>
      <c r="U2333" s="204">
        <f t="shared" si="1434"/>
        <v>43677</v>
      </c>
      <c r="V2333" s="207">
        <f t="shared" si="1444"/>
        <v>0</v>
      </c>
      <c r="W2333" s="206" t="str">
        <f t="shared" si="1441"/>
        <v/>
      </c>
      <c r="X2333" s="206">
        <f t="shared" si="1442"/>
        <v>0</v>
      </c>
      <c r="Y2333" s="209">
        <f t="shared" si="1443"/>
        <v>0</v>
      </c>
    </row>
    <row r="2334" spans="2:25" ht="16.5" hidden="1" thickTop="1" thickBot="1" x14ac:dyDescent="0.3">
      <c r="B2334" s="60">
        <f>B2330</f>
        <v>3</v>
      </c>
      <c r="C2334" s="102">
        <v>19</v>
      </c>
      <c r="D2334" s="192" t="str">
        <f t="shared" si="1436"/>
        <v>VIII</v>
      </c>
      <c r="E2334" s="162"/>
      <c r="F2334" s="163"/>
      <c r="G2334" s="163"/>
      <c r="H2334" s="164"/>
      <c r="I2334" s="164"/>
      <c r="J2334" s="162"/>
      <c r="K2334" s="165"/>
      <c r="L2334" s="164"/>
      <c r="M2334" s="164"/>
      <c r="N2334" s="166"/>
      <c r="O2334" s="167"/>
      <c r="P2334" s="168"/>
      <c r="Q2334" s="169"/>
      <c r="R2334" s="170"/>
      <c r="S2334" s="171"/>
      <c r="T2334" s="203">
        <f t="shared" si="1433"/>
        <v>43647</v>
      </c>
      <c r="U2334" s="204">
        <f t="shared" si="1434"/>
        <v>43677</v>
      </c>
      <c r="V2334" s="207">
        <f t="shared" si="1444"/>
        <v>0</v>
      </c>
      <c r="W2334" s="206" t="str">
        <f t="shared" si="1441"/>
        <v/>
      </c>
      <c r="X2334" s="206">
        <f t="shared" si="1442"/>
        <v>0</v>
      </c>
      <c r="Y2334" s="209">
        <f t="shared" si="1443"/>
        <v>0</v>
      </c>
    </row>
    <row r="2335" spans="2:25" ht="16.5" hidden="1" thickTop="1" thickBot="1" x14ac:dyDescent="0.3">
      <c r="B2335" s="60">
        <f>B2330</f>
        <v>3</v>
      </c>
      <c r="C2335" s="102">
        <v>20</v>
      </c>
      <c r="D2335" s="192" t="str">
        <f t="shared" si="1436"/>
        <v>VIII</v>
      </c>
      <c r="E2335" s="172"/>
      <c r="F2335" s="173"/>
      <c r="G2335" s="173"/>
      <c r="H2335" s="174"/>
      <c r="I2335" s="174"/>
      <c r="J2335" s="172"/>
      <c r="K2335" s="175"/>
      <c r="L2335" s="174"/>
      <c r="M2335" s="174"/>
      <c r="N2335" s="176"/>
      <c r="O2335" s="177"/>
      <c r="P2335" s="178"/>
      <c r="Q2335" s="179"/>
      <c r="R2335" s="180"/>
      <c r="S2335" s="181"/>
      <c r="T2335" s="203">
        <f t="shared" si="1433"/>
        <v>43647</v>
      </c>
      <c r="U2335" s="204">
        <f t="shared" si="1434"/>
        <v>43677</v>
      </c>
      <c r="V2335" s="207">
        <f t="shared" si="1444"/>
        <v>0</v>
      </c>
      <c r="W2335" s="206" t="str">
        <f t="shared" si="1441"/>
        <v/>
      </c>
      <c r="X2335" s="206">
        <f t="shared" si="1442"/>
        <v>0</v>
      </c>
      <c r="Y2335" s="209">
        <f t="shared" si="1443"/>
        <v>0</v>
      </c>
    </row>
    <row r="2336" spans="2:25" ht="16.5" hidden="1" thickTop="1" thickBot="1" x14ac:dyDescent="0.3">
      <c r="B2336" s="141">
        <f>B2330</f>
        <v>3</v>
      </c>
      <c r="C2336" s="142">
        <v>21</v>
      </c>
      <c r="D2336" s="194" t="str">
        <f t="shared" si="1436"/>
        <v>VIII</v>
      </c>
      <c r="E2336" s="189"/>
      <c r="F2336" s="190"/>
      <c r="G2336" s="190"/>
      <c r="H2336" s="182"/>
      <c r="I2336" s="182"/>
      <c r="J2336" s="436" t="s">
        <v>181</v>
      </c>
      <c r="K2336" s="437"/>
      <c r="L2336" s="438"/>
      <c r="M2336" s="182"/>
      <c r="N2336" s="183"/>
      <c r="O2336" s="184"/>
      <c r="P2336" s="185"/>
      <c r="Q2336" s="186"/>
      <c r="R2336" s="187"/>
      <c r="S2336" s="188"/>
      <c r="T2336" s="213">
        <f t="shared" si="1433"/>
        <v>43647</v>
      </c>
      <c r="U2336" s="214">
        <f t="shared" si="1434"/>
        <v>43677</v>
      </c>
      <c r="V2336" s="210">
        <f t="shared" si="1444"/>
        <v>0</v>
      </c>
      <c r="W2336" s="211"/>
      <c r="X2336" s="211">
        <f>IF(AND($V2336&gt;0,$I2336=1),IF($E2336=10,P2336/10,P2336/$V2336),0)</f>
        <v>0</v>
      </c>
      <c r="Y2336" s="212">
        <f>IF(AND($V2330&gt;0,$I2336&lt;&gt;1),Q2336/E2330*V2330,0)</f>
        <v>0</v>
      </c>
    </row>
    <row r="2337" spans="2:25" ht="45.75" thickTop="1" x14ac:dyDescent="0.25">
      <c r="B2337" s="129">
        <f>B2335+1</f>
        <v>4</v>
      </c>
      <c r="C2337" s="130">
        <v>22</v>
      </c>
      <c r="D2337" s="196" t="str">
        <f t="shared" si="1436"/>
        <v>VIII</v>
      </c>
      <c r="E2337" s="131">
        <v>10</v>
      </c>
      <c r="F2337" s="132">
        <v>43708</v>
      </c>
      <c r="G2337" s="132">
        <v>43717</v>
      </c>
      <c r="H2337" s="133" t="s">
        <v>388</v>
      </c>
      <c r="I2337" s="133">
        <v>2</v>
      </c>
      <c r="J2337" s="131" t="s">
        <v>167</v>
      </c>
      <c r="K2337" s="134" t="s">
        <v>16</v>
      </c>
      <c r="L2337" s="133">
        <v>1</v>
      </c>
      <c r="M2337" s="133">
        <v>3</v>
      </c>
      <c r="N2337" s="135">
        <v>33</v>
      </c>
      <c r="O2337" s="136">
        <v>33</v>
      </c>
      <c r="P2337" s="137"/>
      <c r="Q2337" s="138">
        <v>33</v>
      </c>
      <c r="R2337" s="139" t="s">
        <v>4</v>
      </c>
      <c r="S2337" s="140">
        <v>43626</v>
      </c>
      <c r="T2337" s="203">
        <f t="shared" si="1433"/>
        <v>43647</v>
      </c>
      <c r="U2337" s="204">
        <f t="shared" si="1434"/>
        <v>43677</v>
      </c>
      <c r="V2337" s="207">
        <f>IF(G2337-F2337+1-IF(G2337-U2337&gt;0,G2337-U2337,0)-IF(T2337-F2337&gt;0,T2337-F2337,0)&gt;0,G2337-F2337+1-IF(G2337-U2337&gt;0,G2337-U2337,0)-IF(T2337-F2337&gt;0,T2337-F2337,0),0)</f>
        <v>0</v>
      </c>
      <c r="W2337" s="206" t="str">
        <f t="shared" ref="W2337:W2342" si="1445">IF(V2337&gt;0,H2337,"")</f>
        <v/>
      </c>
      <c r="X2337" s="206">
        <f t="shared" ref="X2337:X2342" si="1446">IF(AND($V2337&gt;0,$I2337=1),P2337/$E2337*$V2337,0)</f>
        <v>0</v>
      </c>
      <c r="Y2337" s="209">
        <f t="shared" ref="Y2337:Y2342" si="1447">IF(AND($V2337&gt;0,$I2337&lt;&gt;1),Q2337/$E2337*$V2337,0)</f>
        <v>0</v>
      </c>
    </row>
    <row r="2338" spans="2:25" ht="45" x14ac:dyDescent="0.25">
      <c r="B2338" s="60">
        <f>B2337</f>
        <v>4</v>
      </c>
      <c r="C2338" s="102">
        <v>23</v>
      </c>
      <c r="D2338" s="192" t="str">
        <f t="shared" si="1436"/>
        <v>VIII</v>
      </c>
      <c r="E2338" s="62">
        <v>10</v>
      </c>
      <c r="F2338" s="105">
        <v>43708</v>
      </c>
      <c r="G2338" s="105">
        <v>43717</v>
      </c>
      <c r="H2338" s="61" t="s">
        <v>389</v>
      </c>
      <c r="I2338" s="61">
        <v>2</v>
      </c>
      <c r="J2338" s="62" t="s">
        <v>167</v>
      </c>
      <c r="K2338" s="63" t="s">
        <v>16</v>
      </c>
      <c r="L2338" s="61">
        <v>1</v>
      </c>
      <c r="M2338" s="61">
        <v>3</v>
      </c>
      <c r="N2338" s="111">
        <v>33</v>
      </c>
      <c r="O2338" s="112">
        <v>33</v>
      </c>
      <c r="P2338" s="113"/>
      <c r="Q2338" s="114">
        <v>33</v>
      </c>
      <c r="R2338" s="64" t="s">
        <v>4</v>
      </c>
      <c r="S2338" s="108">
        <v>43626</v>
      </c>
      <c r="T2338" s="203">
        <f t="shared" si="1433"/>
        <v>43647</v>
      </c>
      <c r="U2338" s="204">
        <f t="shared" si="1434"/>
        <v>43677</v>
      </c>
      <c r="V2338" s="207">
        <f t="shared" ref="V2338:V2343" si="1448">IF(G2338-F2338+1-IF(G2338-U2338&gt;0,G2338-U2338,0)-IF(T2338-F2338&gt;0,T2338-F2338,0)&gt;0,G2338-F2338+1-IF(G2338-U2338&gt;0,G2338-U2338,0)-IF(T2338-F2338&gt;0,T2338-F2338,0),0)</f>
        <v>0</v>
      </c>
      <c r="W2338" s="206" t="str">
        <f t="shared" si="1445"/>
        <v/>
      </c>
      <c r="X2338" s="206">
        <f t="shared" si="1446"/>
        <v>0</v>
      </c>
      <c r="Y2338" s="209">
        <f t="shared" si="1447"/>
        <v>0</v>
      </c>
    </row>
    <row r="2339" spans="2:25" hidden="1" x14ac:dyDescent="0.25">
      <c r="B2339" s="60">
        <f>B2337</f>
        <v>4</v>
      </c>
      <c r="C2339" s="102">
        <v>24</v>
      </c>
      <c r="D2339" s="192" t="str">
        <f t="shared" si="1436"/>
        <v>VIII</v>
      </c>
      <c r="E2339" s="62"/>
      <c r="F2339" s="105"/>
      <c r="G2339" s="105"/>
      <c r="H2339" s="61"/>
      <c r="I2339" s="61"/>
      <c r="J2339" s="62"/>
      <c r="K2339" s="63"/>
      <c r="L2339" s="61"/>
      <c r="M2339" s="61"/>
      <c r="N2339" s="111"/>
      <c r="O2339" s="112"/>
      <c r="P2339" s="113"/>
      <c r="Q2339" s="114"/>
      <c r="R2339" s="64"/>
      <c r="S2339" s="108"/>
      <c r="T2339" s="203">
        <f t="shared" si="1433"/>
        <v>43647</v>
      </c>
      <c r="U2339" s="204">
        <f t="shared" si="1434"/>
        <v>43677</v>
      </c>
      <c r="V2339" s="207">
        <f t="shared" si="1448"/>
        <v>0</v>
      </c>
      <c r="W2339" s="206" t="str">
        <f t="shared" si="1445"/>
        <v/>
      </c>
      <c r="X2339" s="206">
        <f t="shared" si="1446"/>
        <v>0</v>
      </c>
      <c r="Y2339" s="209">
        <f t="shared" si="1447"/>
        <v>0</v>
      </c>
    </row>
    <row r="2340" spans="2:25" hidden="1" x14ac:dyDescent="0.25">
      <c r="B2340" s="60">
        <f>B2337</f>
        <v>4</v>
      </c>
      <c r="C2340" s="102">
        <v>25</v>
      </c>
      <c r="D2340" s="192" t="str">
        <f t="shared" si="1436"/>
        <v>VIII</v>
      </c>
      <c r="E2340" s="62"/>
      <c r="F2340" s="105"/>
      <c r="G2340" s="105"/>
      <c r="H2340" s="61"/>
      <c r="I2340" s="61"/>
      <c r="J2340" s="62"/>
      <c r="K2340" s="63"/>
      <c r="L2340" s="61"/>
      <c r="M2340" s="61"/>
      <c r="N2340" s="111"/>
      <c r="O2340" s="112"/>
      <c r="P2340" s="113"/>
      <c r="Q2340" s="114"/>
      <c r="R2340" s="64"/>
      <c r="S2340" s="108"/>
      <c r="T2340" s="203">
        <f t="shared" si="1433"/>
        <v>43647</v>
      </c>
      <c r="U2340" s="204">
        <f t="shared" si="1434"/>
        <v>43677</v>
      </c>
      <c r="V2340" s="207">
        <f t="shared" si="1448"/>
        <v>0</v>
      </c>
      <c r="W2340" s="206" t="str">
        <f t="shared" si="1445"/>
        <v/>
      </c>
      <c r="X2340" s="206">
        <f t="shared" si="1446"/>
        <v>0</v>
      </c>
      <c r="Y2340" s="209">
        <f t="shared" si="1447"/>
        <v>0</v>
      </c>
    </row>
    <row r="2341" spans="2:25" hidden="1" x14ac:dyDescent="0.25">
      <c r="B2341" s="60">
        <f>B2337</f>
        <v>4</v>
      </c>
      <c r="C2341" s="102">
        <v>26</v>
      </c>
      <c r="D2341" s="192" t="str">
        <f t="shared" si="1436"/>
        <v>VIII</v>
      </c>
      <c r="E2341" s="62"/>
      <c r="F2341" s="105"/>
      <c r="G2341" s="105"/>
      <c r="H2341" s="61"/>
      <c r="I2341" s="61"/>
      <c r="J2341" s="62"/>
      <c r="K2341" s="63"/>
      <c r="L2341" s="61"/>
      <c r="M2341" s="61"/>
      <c r="N2341" s="111"/>
      <c r="O2341" s="112"/>
      <c r="P2341" s="113"/>
      <c r="Q2341" s="114"/>
      <c r="R2341" s="64"/>
      <c r="S2341" s="108"/>
      <c r="T2341" s="203">
        <f t="shared" si="1433"/>
        <v>43647</v>
      </c>
      <c r="U2341" s="204">
        <f t="shared" si="1434"/>
        <v>43677</v>
      </c>
      <c r="V2341" s="207">
        <f t="shared" si="1448"/>
        <v>0</v>
      </c>
      <c r="W2341" s="206" t="str">
        <f t="shared" si="1445"/>
        <v/>
      </c>
      <c r="X2341" s="206">
        <f t="shared" si="1446"/>
        <v>0</v>
      </c>
      <c r="Y2341" s="209">
        <f t="shared" si="1447"/>
        <v>0</v>
      </c>
    </row>
    <row r="2342" spans="2:25" hidden="1" x14ac:dyDescent="0.25">
      <c r="B2342" s="60">
        <f>B2337</f>
        <v>4</v>
      </c>
      <c r="C2342" s="102">
        <v>27</v>
      </c>
      <c r="D2342" s="192" t="str">
        <f t="shared" si="1436"/>
        <v>VIII</v>
      </c>
      <c r="E2342" s="62"/>
      <c r="F2342" s="105"/>
      <c r="G2342" s="105"/>
      <c r="H2342" s="61"/>
      <c r="I2342" s="61"/>
      <c r="J2342" s="62"/>
      <c r="K2342" s="63"/>
      <c r="L2342" s="61"/>
      <c r="M2342" s="61"/>
      <c r="N2342" s="111"/>
      <c r="O2342" s="112"/>
      <c r="P2342" s="113"/>
      <c r="Q2342" s="114"/>
      <c r="R2342" s="64"/>
      <c r="S2342" s="108"/>
      <c r="T2342" s="203">
        <f t="shared" si="1433"/>
        <v>43647</v>
      </c>
      <c r="U2342" s="204">
        <f t="shared" si="1434"/>
        <v>43677</v>
      </c>
      <c r="V2342" s="207">
        <f t="shared" si="1448"/>
        <v>0</v>
      </c>
      <c r="W2342" s="206" t="str">
        <f t="shared" si="1445"/>
        <v/>
      </c>
      <c r="X2342" s="206">
        <f t="shared" si="1446"/>
        <v>0</v>
      </c>
      <c r="Y2342" s="209">
        <f t="shared" si="1447"/>
        <v>0</v>
      </c>
    </row>
    <row r="2343" spans="2:25" ht="15.75" thickBot="1" x14ac:dyDescent="0.3">
      <c r="B2343" s="141">
        <f>B2337</f>
        <v>4</v>
      </c>
      <c r="C2343" s="142">
        <v>28</v>
      </c>
      <c r="D2343" s="194" t="str">
        <f t="shared" si="1436"/>
        <v>VIII</v>
      </c>
      <c r="E2343" s="143"/>
      <c r="F2343" s="144"/>
      <c r="G2343" s="144"/>
      <c r="H2343" s="145"/>
      <c r="I2343" s="145"/>
      <c r="J2343" s="436" t="s">
        <v>181</v>
      </c>
      <c r="K2343" s="437"/>
      <c r="L2343" s="438"/>
      <c r="M2343" s="145"/>
      <c r="N2343" s="146">
        <v>10</v>
      </c>
      <c r="O2343" s="147">
        <v>10</v>
      </c>
      <c r="P2343" s="148"/>
      <c r="Q2343" s="149">
        <v>10</v>
      </c>
      <c r="R2343" s="150" t="s">
        <v>4</v>
      </c>
      <c r="S2343" s="151">
        <v>43626</v>
      </c>
      <c r="T2343" s="213">
        <f t="shared" si="1433"/>
        <v>43647</v>
      </c>
      <c r="U2343" s="214">
        <f t="shared" si="1434"/>
        <v>43677</v>
      </c>
      <c r="V2343" s="210">
        <f t="shared" si="1448"/>
        <v>0</v>
      </c>
      <c r="W2343" s="211"/>
      <c r="X2343" s="211">
        <f>IF(AND($V2343&gt;0,$I2343=1),IF($E2343=10,P2343/10,P2343/$V2343),0)</f>
        <v>0</v>
      </c>
      <c r="Y2343" s="212">
        <f>IF(AND($V2337&gt;0,$I2343&lt;&gt;1),Q2343/E2337*V2337,0)</f>
        <v>0</v>
      </c>
    </row>
    <row r="2344" spans="2:25" ht="16.5" hidden="1" thickTop="1" thickBot="1" x14ac:dyDescent="0.3">
      <c r="B2344" s="129">
        <f>B2342+1</f>
        <v>5</v>
      </c>
      <c r="C2344" s="130">
        <v>29</v>
      </c>
      <c r="D2344" s="196" t="str">
        <f t="shared" si="1436"/>
        <v>VIII</v>
      </c>
      <c r="E2344" s="152"/>
      <c r="F2344" s="153"/>
      <c r="G2344" s="153"/>
      <c r="H2344" s="154"/>
      <c r="I2344" s="154"/>
      <c r="J2344" s="152"/>
      <c r="K2344" s="155"/>
      <c r="L2344" s="154"/>
      <c r="M2344" s="154"/>
      <c r="N2344" s="156"/>
      <c r="O2344" s="157"/>
      <c r="P2344" s="158"/>
      <c r="Q2344" s="159"/>
      <c r="R2344" s="160"/>
      <c r="S2344" s="161"/>
      <c r="T2344" s="203">
        <f t="shared" si="1433"/>
        <v>43647</v>
      </c>
      <c r="U2344" s="204">
        <f t="shared" si="1434"/>
        <v>43677</v>
      </c>
      <c r="V2344" s="207">
        <f>IF(G2344-F2344+1-IF(G2344-U2344&gt;0,G2344-U2344,0)-IF(T2344-F2344&gt;0,T2344-F2344,0)&gt;0,G2344-F2344+1-IF(G2344-U2344&gt;0,G2344-U2344,0)-IF(T2344-F2344&gt;0,T2344-F2344,0),0)</f>
        <v>0</v>
      </c>
      <c r="W2344" s="206" t="str">
        <f t="shared" ref="W2344:W2349" si="1449">IF(V2344&gt;0,H2344,"")</f>
        <v/>
      </c>
      <c r="X2344" s="206">
        <f t="shared" ref="X2344:X2349" si="1450">IF(AND($V2344&gt;0,$I2344=1),P2344/$E2344*$V2344,0)</f>
        <v>0</v>
      </c>
      <c r="Y2344" s="209">
        <f t="shared" ref="Y2344:Y2349" si="1451">IF(AND($V2344&gt;0,$I2344&lt;&gt;1),Q2344/$E2344*$V2344,0)</f>
        <v>0</v>
      </c>
    </row>
    <row r="2345" spans="2:25" ht="16.5" hidden="1" thickTop="1" thickBot="1" x14ac:dyDescent="0.3">
      <c r="B2345" s="60">
        <f>B2344</f>
        <v>5</v>
      </c>
      <c r="C2345" s="102">
        <v>30</v>
      </c>
      <c r="D2345" s="192" t="str">
        <f t="shared" si="1436"/>
        <v>VIII</v>
      </c>
      <c r="E2345" s="162"/>
      <c r="F2345" s="163"/>
      <c r="G2345" s="163"/>
      <c r="H2345" s="164"/>
      <c r="I2345" s="164"/>
      <c r="J2345" s="162"/>
      <c r="K2345" s="165"/>
      <c r="L2345" s="164"/>
      <c r="M2345" s="164"/>
      <c r="N2345" s="166"/>
      <c r="O2345" s="167"/>
      <c r="P2345" s="168"/>
      <c r="Q2345" s="169"/>
      <c r="R2345" s="170"/>
      <c r="S2345" s="171"/>
      <c r="T2345" s="203">
        <f t="shared" si="1433"/>
        <v>43647</v>
      </c>
      <c r="U2345" s="204">
        <f t="shared" si="1434"/>
        <v>43677</v>
      </c>
      <c r="V2345" s="207">
        <f t="shared" ref="V2345:V2350" si="1452">IF(G2345-F2345+1-IF(G2345-U2345&gt;0,G2345-U2345,0)-IF(T2345-F2345&gt;0,T2345-F2345,0)&gt;0,G2345-F2345+1-IF(G2345-U2345&gt;0,G2345-U2345,0)-IF(T2345-F2345&gt;0,T2345-F2345,0),0)</f>
        <v>0</v>
      </c>
      <c r="W2345" s="206" t="str">
        <f t="shared" si="1449"/>
        <v/>
      </c>
      <c r="X2345" s="206">
        <f t="shared" si="1450"/>
        <v>0</v>
      </c>
      <c r="Y2345" s="209">
        <f t="shared" si="1451"/>
        <v>0</v>
      </c>
    </row>
    <row r="2346" spans="2:25" ht="16.5" hidden="1" thickTop="1" thickBot="1" x14ac:dyDescent="0.3">
      <c r="B2346" s="60">
        <f>B2344</f>
        <v>5</v>
      </c>
      <c r="C2346" s="102">
        <v>31</v>
      </c>
      <c r="D2346" s="192" t="str">
        <f t="shared" si="1436"/>
        <v>VIII</v>
      </c>
      <c r="E2346" s="162"/>
      <c r="F2346" s="163"/>
      <c r="G2346" s="163"/>
      <c r="H2346" s="164"/>
      <c r="I2346" s="164"/>
      <c r="J2346" s="162"/>
      <c r="K2346" s="165"/>
      <c r="L2346" s="164"/>
      <c r="M2346" s="164"/>
      <c r="N2346" s="166"/>
      <c r="O2346" s="167"/>
      <c r="P2346" s="168"/>
      <c r="Q2346" s="169"/>
      <c r="R2346" s="170"/>
      <c r="S2346" s="171"/>
      <c r="T2346" s="203">
        <f t="shared" si="1433"/>
        <v>43647</v>
      </c>
      <c r="U2346" s="204">
        <f t="shared" si="1434"/>
        <v>43677</v>
      </c>
      <c r="V2346" s="207">
        <f t="shared" si="1452"/>
        <v>0</v>
      </c>
      <c r="W2346" s="206" t="str">
        <f t="shared" si="1449"/>
        <v/>
      </c>
      <c r="X2346" s="206">
        <f t="shared" si="1450"/>
        <v>0</v>
      </c>
      <c r="Y2346" s="209">
        <f t="shared" si="1451"/>
        <v>0</v>
      </c>
    </row>
    <row r="2347" spans="2:25" ht="16.5" hidden="1" thickTop="1" thickBot="1" x14ac:dyDescent="0.3">
      <c r="B2347" s="60">
        <f>B2344</f>
        <v>5</v>
      </c>
      <c r="C2347" s="102">
        <v>32</v>
      </c>
      <c r="D2347" s="192" t="str">
        <f t="shared" si="1436"/>
        <v>VIII</v>
      </c>
      <c r="E2347" s="162"/>
      <c r="F2347" s="163"/>
      <c r="G2347" s="163"/>
      <c r="H2347" s="164"/>
      <c r="I2347" s="164"/>
      <c r="J2347" s="162"/>
      <c r="K2347" s="165"/>
      <c r="L2347" s="164"/>
      <c r="M2347" s="164"/>
      <c r="N2347" s="166"/>
      <c r="O2347" s="167"/>
      <c r="P2347" s="168"/>
      <c r="Q2347" s="169"/>
      <c r="R2347" s="170"/>
      <c r="S2347" s="171"/>
      <c r="T2347" s="203">
        <f t="shared" si="1433"/>
        <v>43647</v>
      </c>
      <c r="U2347" s="204">
        <f t="shared" si="1434"/>
        <v>43677</v>
      </c>
      <c r="V2347" s="207">
        <f t="shared" si="1452"/>
        <v>0</v>
      </c>
      <c r="W2347" s="206" t="str">
        <f t="shared" si="1449"/>
        <v/>
      </c>
      <c r="X2347" s="206">
        <f t="shared" si="1450"/>
        <v>0</v>
      </c>
      <c r="Y2347" s="209">
        <f t="shared" si="1451"/>
        <v>0</v>
      </c>
    </row>
    <row r="2348" spans="2:25" ht="16.5" hidden="1" thickTop="1" thickBot="1" x14ac:dyDescent="0.3">
      <c r="B2348" s="60">
        <f>B2344</f>
        <v>5</v>
      </c>
      <c r="C2348" s="102">
        <v>33</v>
      </c>
      <c r="D2348" s="192" t="str">
        <f t="shared" si="1436"/>
        <v>VIII</v>
      </c>
      <c r="E2348" s="162"/>
      <c r="F2348" s="163"/>
      <c r="G2348" s="163"/>
      <c r="H2348" s="164"/>
      <c r="I2348" s="164"/>
      <c r="J2348" s="162"/>
      <c r="K2348" s="165"/>
      <c r="L2348" s="164"/>
      <c r="M2348" s="164"/>
      <c r="N2348" s="166"/>
      <c r="O2348" s="167"/>
      <c r="P2348" s="168"/>
      <c r="Q2348" s="169"/>
      <c r="R2348" s="170"/>
      <c r="S2348" s="171"/>
      <c r="T2348" s="203">
        <f t="shared" si="1433"/>
        <v>43647</v>
      </c>
      <c r="U2348" s="204">
        <f t="shared" si="1434"/>
        <v>43677</v>
      </c>
      <c r="V2348" s="207">
        <f t="shared" si="1452"/>
        <v>0</v>
      </c>
      <c r="W2348" s="206" t="str">
        <f t="shared" si="1449"/>
        <v/>
      </c>
      <c r="X2348" s="206">
        <f t="shared" si="1450"/>
        <v>0</v>
      </c>
      <c r="Y2348" s="209">
        <f t="shared" si="1451"/>
        <v>0</v>
      </c>
    </row>
    <row r="2349" spans="2:25" ht="16.5" hidden="1" thickTop="1" thickBot="1" x14ac:dyDescent="0.3">
      <c r="B2349" s="60">
        <f>B2344</f>
        <v>5</v>
      </c>
      <c r="C2349" s="102">
        <v>34</v>
      </c>
      <c r="D2349" s="192" t="str">
        <f t="shared" si="1436"/>
        <v>VIII</v>
      </c>
      <c r="E2349" s="172"/>
      <c r="F2349" s="173"/>
      <c r="G2349" s="173"/>
      <c r="H2349" s="174"/>
      <c r="I2349" s="174"/>
      <c r="J2349" s="172"/>
      <c r="K2349" s="175"/>
      <c r="L2349" s="174"/>
      <c r="M2349" s="174"/>
      <c r="N2349" s="176"/>
      <c r="O2349" s="177"/>
      <c r="P2349" s="178"/>
      <c r="Q2349" s="179"/>
      <c r="R2349" s="180"/>
      <c r="S2349" s="181"/>
      <c r="T2349" s="203">
        <f t="shared" si="1433"/>
        <v>43647</v>
      </c>
      <c r="U2349" s="204">
        <f t="shared" si="1434"/>
        <v>43677</v>
      </c>
      <c r="V2349" s="207">
        <f t="shared" si="1452"/>
        <v>0</v>
      </c>
      <c r="W2349" s="206" t="str">
        <f t="shared" si="1449"/>
        <v/>
      </c>
      <c r="X2349" s="206">
        <f t="shared" si="1450"/>
        <v>0</v>
      </c>
      <c r="Y2349" s="209">
        <f t="shared" si="1451"/>
        <v>0</v>
      </c>
    </row>
    <row r="2350" spans="2:25" ht="16.5" hidden="1" thickTop="1" thickBot="1" x14ac:dyDescent="0.3">
      <c r="B2350" s="141">
        <f>B2344</f>
        <v>5</v>
      </c>
      <c r="C2350" s="142">
        <v>35</v>
      </c>
      <c r="D2350" s="194" t="str">
        <f t="shared" si="1436"/>
        <v>VIII</v>
      </c>
      <c r="E2350" s="189"/>
      <c r="F2350" s="190"/>
      <c r="G2350" s="190"/>
      <c r="H2350" s="182"/>
      <c r="I2350" s="182"/>
      <c r="J2350" s="436" t="s">
        <v>181</v>
      </c>
      <c r="K2350" s="437"/>
      <c r="L2350" s="438"/>
      <c r="M2350" s="182"/>
      <c r="N2350" s="183"/>
      <c r="O2350" s="184"/>
      <c r="P2350" s="185"/>
      <c r="Q2350" s="186"/>
      <c r="R2350" s="187"/>
      <c r="S2350" s="188"/>
      <c r="T2350" s="213">
        <f t="shared" si="1433"/>
        <v>43647</v>
      </c>
      <c r="U2350" s="214">
        <f t="shared" si="1434"/>
        <v>43677</v>
      </c>
      <c r="V2350" s="210">
        <f t="shared" si="1452"/>
        <v>0</v>
      </c>
      <c r="W2350" s="211"/>
      <c r="X2350" s="211">
        <f>IF(AND($V2350&gt;0,$I2350=1),IF($E2350=10,P2350/10,P2350/$V2350),0)</f>
        <v>0</v>
      </c>
      <c r="Y2350" s="212">
        <f>IF(AND($V2344&gt;0,$I2350&lt;&gt;1),Q2350/E2344*V2344,0)</f>
        <v>0</v>
      </c>
    </row>
    <row r="2351" spans="2:25" ht="16.5" hidden="1" thickTop="1" thickBot="1" x14ac:dyDescent="0.3">
      <c r="B2351" s="129">
        <f>B2349+1</f>
        <v>6</v>
      </c>
      <c r="C2351" s="130">
        <v>36</v>
      </c>
      <c r="D2351" s="196" t="str">
        <f t="shared" si="1436"/>
        <v>VIII</v>
      </c>
      <c r="E2351" s="131"/>
      <c r="F2351" s="132"/>
      <c r="G2351" s="132"/>
      <c r="H2351" s="133"/>
      <c r="I2351" s="133"/>
      <c r="J2351" s="131"/>
      <c r="K2351" s="134"/>
      <c r="L2351" s="133"/>
      <c r="M2351" s="133"/>
      <c r="N2351" s="135"/>
      <c r="O2351" s="136"/>
      <c r="P2351" s="137"/>
      <c r="Q2351" s="138"/>
      <c r="R2351" s="139"/>
      <c r="S2351" s="140"/>
      <c r="T2351" s="203">
        <f t="shared" si="1433"/>
        <v>43647</v>
      </c>
      <c r="U2351" s="204">
        <f t="shared" si="1434"/>
        <v>43677</v>
      </c>
      <c r="V2351" s="207">
        <f>IF(G2351-F2351+1-IF(G2351-U2351&gt;0,G2351-U2351,0)-IF(T2351-F2351&gt;0,T2351-F2351,0)&gt;0,G2351-F2351+1-IF(G2351-U2351&gt;0,G2351-U2351,0)-IF(T2351-F2351&gt;0,T2351-F2351,0),0)</f>
        <v>0</v>
      </c>
      <c r="W2351" s="206" t="str">
        <f t="shared" ref="W2351:W2356" si="1453">IF(V2351&gt;0,H2351,"")</f>
        <v/>
      </c>
      <c r="X2351" s="206">
        <f t="shared" ref="X2351:X2356" si="1454">IF(AND($V2351&gt;0,$I2351=1),P2351/$E2351*$V2351,0)</f>
        <v>0</v>
      </c>
      <c r="Y2351" s="209">
        <f t="shared" ref="Y2351:Y2356" si="1455">IF(AND($V2351&gt;0,$I2351&lt;&gt;1),Q2351/$E2351*$V2351,0)</f>
        <v>0</v>
      </c>
    </row>
    <row r="2352" spans="2:25" ht="16.5" hidden="1" thickTop="1" thickBot="1" x14ac:dyDescent="0.3">
      <c r="B2352" s="60">
        <f>B2351</f>
        <v>6</v>
      </c>
      <c r="C2352" s="102">
        <v>37</v>
      </c>
      <c r="D2352" s="192" t="str">
        <f t="shared" si="1436"/>
        <v>VIII</v>
      </c>
      <c r="E2352" s="62"/>
      <c r="F2352" s="105"/>
      <c r="G2352" s="105"/>
      <c r="H2352" s="61"/>
      <c r="I2352" s="61"/>
      <c r="J2352" s="62"/>
      <c r="K2352" s="63"/>
      <c r="L2352" s="61"/>
      <c r="M2352" s="61"/>
      <c r="N2352" s="111"/>
      <c r="O2352" s="112"/>
      <c r="P2352" s="113"/>
      <c r="Q2352" s="114"/>
      <c r="R2352" s="64"/>
      <c r="S2352" s="108"/>
      <c r="T2352" s="203">
        <f t="shared" si="1433"/>
        <v>43647</v>
      </c>
      <c r="U2352" s="204">
        <f t="shared" si="1434"/>
        <v>43677</v>
      </c>
      <c r="V2352" s="207">
        <f t="shared" ref="V2352:V2357" si="1456">IF(G2352-F2352+1-IF(G2352-U2352&gt;0,G2352-U2352,0)-IF(T2352-F2352&gt;0,T2352-F2352,0)&gt;0,G2352-F2352+1-IF(G2352-U2352&gt;0,G2352-U2352,0)-IF(T2352-F2352&gt;0,T2352-F2352,0),0)</f>
        <v>0</v>
      </c>
      <c r="W2352" s="206" t="str">
        <f t="shared" si="1453"/>
        <v/>
      </c>
      <c r="X2352" s="206">
        <f t="shared" si="1454"/>
        <v>0</v>
      </c>
      <c r="Y2352" s="209">
        <f t="shared" si="1455"/>
        <v>0</v>
      </c>
    </row>
    <row r="2353" spans="2:25" ht="16.5" hidden="1" thickTop="1" thickBot="1" x14ac:dyDescent="0.3">
      <c r="B2353" s="60">
        <f>B2351</f>
        <v>6</v>
      </c>
      <c r="C2353" s="102">
        <v>38</v>
      </c>
      <c r="D2353" s="192" t="str">
        <f t="shared" si="1436"/>
        <v>VIII</v>
      </c>
      <c r="E2353" s="62"/>
      <c r="F2353" s="105"/>
      <c r="G2353" s="105"/>
      <c r="H2353" s="61"/>
      <c r="I2353" s="61"/>
      <c r="J2353" s="62"/>
      <c r="K2353" s="63"/>
      <c r="L2353" s="61"/>
      <c r="M2353" s="61"/>
      <c r="N2353" s="111"/>
      <c r="O2353" s="112"/>
      <c r="P2353" s="113"/>
      <c r="Q2353" s="114"/>
      <c r="R2353" s="64"/>
      <c r="S2353" s="108"/>
      <c r="T2353" s="203">
        <f t="shared" si="1433"/>
        <v>43647</v>
      </c>
      <c r="U2353" s="204">
        <f t="shared" si="1434"/>
        <v>43677</v>
      </c>
      <c r="V2353" s="207">
        <f t="shared" si="1456"/>
        <v>0</v>
      </c>
      <c r="W2353" s="206" t="str">
        <f t="shared" si="1453"/>
        <v/>
      </c>
      <c r="X2353" s="206">
        <f t="shared" si="1454"/>
        <v>0</v>
      </c>
      <c r="Y2353" s="209">
        <f t="shared" si="1455"/>
        <v>0</v>
      </c>
    </row>
    <row r="2354" spans="2:25" ht="16.5" hidden="1" thickTop="1" thickBot="1" x14ac:dyDescent="0.3">
      <c r="B2354" s="60">
        <f>B2351</f>
        <v>6</v>
      </c>
      <c r="C2354" s="102">
        <v>39</v>
      </c>
      <c r="D2354" s="192" t="str">
        <f t="shared" si="1436"/>
        <v>VIII</v>
      </c>
      <c r="E2354" s="62"/>
      <c r="F2354" s="105"/>
      <c r="G2354" s="105"/>
      <c r="H2354" s="61"/>
      <c r="I2354" s="61"/>
      <c r="J2354" s="62"/>
      <c r="K2354" s="63"/>
      <c r="L2354" s="61"/>
      <c r="M2354" s="61"/>
      <c r="N2354" s="111"/>
      <c r="O2354" s="112"/>
      <c r="P2354" s="113"/>
      <c r="Q2354" s="114"/>
      <c r="R2354" s="64"/>
      <c r="S2354" s="108"/>
      <c r="T2354" s="203">
        <f t="shared" si="1433"/>
        <v>43647</v>
      </c>
      <c r="U2354" s="204">
        <f t="shared" si="1434"/>
        <v>43677</v>
      </c>
      <c r="V2354" s="207">
        <f t="shared" si="1456"/>
        <v>0</v>
      </c>
      <c r="W2354" s="206" t="str">
        <f t="shared" si="1453"/>
        <v/>
      </c>
      <c r="X2354" s="206">
        <f t="shared" si="1454"/>
        <v>0</v>
      </c>
      <c r="Y2354" s="209">
        <f t="shared" si="1455"/>
        <v>0</v>
      </c>
    </row>
    <row r="2355" spans="2:25" ht="16.5" hidden="1" thickTop="1" thickBot="1" x14ac:dyDescent="0.3">
      <c r="B2355" s="60">
        <f>B2351</f>
        <v>6</v>
      </c>
      <c r="C2355" s="102">
        <v>40</v>
      </c>
      <c r="D2355" s="192" t="str">
        <f t="shared" si="1436"/>
        <v>VIII</v>
      </c>
      <c r="E2355" s="62"/>
      <c r="F2355" s="105"/>
      <c r="G2355" s="105"/>
      <c r="H2355" s="61"/>
      <c r="I2355" s="61"/>
      <c r="J2355" s="62"/>
      <c r="K2355" s="63"/>
      <c r="L2355" s="61"/>
      <c r="M2355" s="61"/>
      <c r="N2355" s="111"/>
      <c r="O2355" s="112"/>
      <c r="P2355" s="113"/>
      <c r="Q2355" s="114"/>
      <c r="R2355" s="64"/>
      <c r="S2355" s="108"/>
      <c r="T2355" s="203">
        <f t="shared" si="1433"/>
        <v>43647</v>
      </c>
      <c r="U2355" s="204">
        <f t="shared" si="1434"/>
        <v>43677</v>
      </c>
      <c r="V2355" s="207">
        <f t="shared" si="1456"/>
        <v>0</v>
      </c>
      <c r="W2355" s="206" t="str">
        <f t="shared" si="1453"/>
        <v/>
      </c>
      <c r="X2355" s="206">
        <f t="shared" si="1454"/>
        <v>0</v>
      </c>
      <c r="Y2355" s="209">
        <f t="shared" si="1455"/>
        <v>0</v>
      </c>
    </row>
    <row r="2356" spans="2:25" ht="16.5" hidden="1" thickTop="1" thickBot="1" x14ac:dyDescent="0.3">
      <c r="B2356" s="60">
        <f>B2351</f>
        <v>6</v>
      </c>
      <c r="C2356" s="102">
        <v>41</v>
      </c>
      <c r="D2356" s="192" t="str">
        <f t="shared" si="1436"/>
        <v>VIII</v>
      </c>
      <c r="E2356" s="62"/>
      <c r="F2356" s="105"/>
      <c r="G2356" s="105"/>
      <c r="H2356" s="61"/>
      <c r="I2356" s="61"/>
      <c r="J2356" s="62"/>
      <c r="K2356" s="63"/>
      <c r="L2356" s="61"/>
      <c r="M2356" s="61"/>
      <c r="N2356" s="111"/>
      <c r="O2356" s="112"/>
      <c r="P2356" s="113"/>
      <c r="Q2356" s="114"/>
      <c r="R2356" s="64"/>
      <c r="S2356" s="108"/>
      <c r="T2356" s="203">
        <f t="shared" si="1433"/>
        <v>43647</v>
      </c>
      <c r="U2356" s="204">
        <f t="shared" si="1434"/>
        <v>43677</v>
      </c>
      <c r="V2356" s="207">
        <f t="shared" si="1456"/>
        <v>0</v>
      </c>
      <c r="W2356" s="206" t="str">
        <f t="shared" si="1453"/>
        <v/>
      </c>
      <c r="X2356" s="206">
        <f t="shared" si="1454"/>
        <v>0</v>
      </c>
      <c r="Y2356" s="209">
        <f t="shared" si="1455"/>
        <v>0</v>
      </c>
    </row>
    <row r="2357" spans="2:25" ht="16.5" hidden="1" thickTop="1" thickBot="1" x14ac:dyDescent="0.3">
      <c r="B2357" s="141">
        <f>B2351</f>
        <v>6</v>
      </c>
      <c r="C2357" s="142">
        <v>42</v>
      </c>
      <c r="D2357" s="194" t="str">
        <f t="shared" si="1436"/>
        <v>VIII</v>
      </c>
      <c r="E2357" s="143"/>
      <c r="F2357" s="144"/>
      <c r="G2357" s="144"/>
      <c r="H2357" s="145"/>
      <c r="I2357" s="145"/>
      <c r="J2357" s="436" t="s">
        <v>181</v>
      </c>
      <c r="K2357" s="437"/>
      <c r="L2357" s="438"/>
      <c r="M2357" s="145"/>
      <c r="N2357" s="146"/>
      <c r="O2357" s="147"/>
      <c r="P2357" s="148"/>
      <c r="Q2357" s="149"/>
      <c r="R2357" s="150"/>
      <c r="S2357" s="151"/>
      <c r="T2357" s="213">
        <f t="shared" si="1433"/>
        <v>43647</v>
      </c>
      <c r="U2357" s="214">
        <f t="shared" si="1434"/>
        <v>43677</v>
      </c>
      <c r="V2357" s="210">
        <f t="shared" si="1456"/>
        <v>0</v>
      </c>
      <c r="W2357" s="211"/>
      <c r="X2357" s="211">
        <f>IF(AND($V2357&gt;0,$I2357=1),IF($E2357=10,P2357/10,P2357/$V2357),0)</f>
        <v>0</v>
      </c>
      <c r="Y2357" s="212">
        <f>IF(AND($V2351&gt;0,$I2357&lt;&gt;1),Q2357/E2351*V2351,0)</f>
        <v>0</v>
      </c>
    </row>
    <row r="2358" spans="2:25" ht="16.5" hidden="1" thickTop="1" thickBot="1" x14ac:dyDescent="0.3">
      <c r="B2358" s="129">
        <f>B2356+1</f>
        <v>7</v>
      </c>
      <c r="C2358" s="130">
        <v>43</v>
      </c>
      <c r="D2358" s="196" t="str">
        <f t="shared" si="1436"/>
        <v>VIII</v>
      </c>
      <c r="E2358" s="152"/>
      <c r="F2358" s="153"/>
      <c r="G2358" s="153"/>
      <c r="H2358" s="154"/>
      <c r="I2358" s="154"/>
      <c r="J2358" s="152"/>
      <c r="K2358" s="155"/>
      <c r="L2358" s="154"/>
      <c r="M2358" s="154"/>
      <c r="N2358" s="156"/>
      <c r="O2358" s="157"/>
      <c r="P2358" s="158"/>
      <c r="Q2358" s="159"/>
      <c r="R2358" s="160"/>
      <c r="S2358" s="161"/>
      <c r="T2358" s="203">
        <f t="shared" si="1433"/>
        <v>43647</v>
      </c>
      <c r="U2358" s="204">
        <f t="shared" si="1434"/>
        <v>43677</v>
      </c>
      <c r="V2358" s="207">
        <f>IF(G2358-F2358+1-IF(G2358-U2358&gt;0,G2358-U2358,0)-IF(T2358-F2358&gt;0,T2358-F2358,0)&gt;0,G2358-F2358+1-IF(G2358-U2358&gt;0,G2358-U2358,0)-IF(T2358-F2358&gt;0,T2358-F2358,0),0)</f>
        <v>0</v>
      </c>
      <c r="W2358" s="206" t="str">
        <f t="shared" ref="W2358:W2363" si="1457">IF(V2358&gt;0,H2358,"")</f>
        <v/>
      </c>
      <c r="X2358" s="206">
        <f t="shared" ref="X2358:X2363" si="1458">IF(AND($V2358&gt;0,$I2358=1),P2358/$E2358*$V2358,0)</f>
        <v>0</v>
      </c>
      <c r="Y2358" s="209">
        <f t="shared" ref="Y2358:Y2363" si="1459">IF(AND($V2358&gt;0,$I2358&lt;&gt;1),Q2358/$E2358*$V2358,0)</f>
        <v>0</v>
      </c>
    </row>
    <row r="2359" spans="2:25" ht="16.5" hidden="1" thickTop="1" thickBot="1" x14ac:dyDescent="0.3">
      <c r="B2359" s="60">
        <f>B2358</f>
        <v>7</v>
      </c>
      <c r="C2359" s="102">
        <v>44</v>
      </c>
      <c r="D2359" s="192" t="str">
        <f t="shared" si="1436"/>
        <v>VIII</v>
      </c>
      <c r="E2359" s="162"/>
      <c r="F2359" s="163"/>
      <c r="G2359" s="163"/>
      <c r="H2359" s="164"/>
      <c r="I2359" s="164"/>
      <c r="J2359" s="162"/>
      <c r="K2359" s="165"/>
      <c r="L2359" s="164"/>
      <c r="M2359" s="164"/>
      <c r="N2359" s="166"/>
      <c r="O2359" s="167"/>
      <c r="P2359" s="168"/>
      <c r="Q2359" s="169"/>
      <c r="R2359" s="170"/>
      <c r="S2359" s="171"/>
      <c r="T2359" s="203">
        <f t="shared" si="1433"/>
        <v>43647</v>
      </c>
      <c r="U2359" s="204">
        <f t="shared" si="1434"/>
        <v>43677</v>
      </c>
      <c r="V2359" s="207">
        <f t="shared" ref="V2359:V2364" si="1460">IF(G2359-F2359+1-IF(G2359-U2359&gt;0,G2359-U2359,0)-IF(T2359-F2359&gt;0,T2359-F2359,0)&gt;0,G2359-F2359+1-IF(G2359-U2359&gt;0,G2359-U2359,0)-IF(T2359-F2359&gt;0,T2359-F2359,0),0)</f>
        <v>0</v>
      </c>
      <c r="W2359" s="206" t="str">
        <f t="shared" si="1457"/>
        <v/>
      </c>
      <c r="X2359" s="206">
        <f t="shared" si="1458"/>
        <v>0</v>
      </c>
      <c r="Y2359" s="209">
        <f t="shared" si="1459"/>
        <v>0</v>
      </c>
    </row>
    <row r="2360" spans="2:25" ht="16.5" hidden="1" thickTop="1" thickBot="1" x14ac:dyDescent="0.3">
      <c r="B2360" s="60">
        <f>B2358</f>
        <v>7</v>
      </c>
      <c r="C2360" s="102">
        <v>45</v>
      </c>
      <c r="D2360" s="192" t="str">
        <f t="shared" si="1436"/>
        <v>VIII</v>
      </c>
      <c r="E2360" s="162"/>
      <c r="F2360" s="163"/>
      <c r="G2360" s="163"/>
      <c r="H2360" s="164"/>
      <c r="I2360" s="164"/>
      <c r="J2360" s="162"/>
      <c r="K2360" s="165"/>
      <c r="L2360" s="164"/>
      <c r="M2360" s="164"/>
      <c r="N2360" s="166"/>
      <c r="O2360" s="167"/>
      <c r="P2360" s="168"/>
      <c r="Q2360" s="169"/>
      <c r="R2360" s="170"/>
      <c r="S2360" s="171"/>
      <c r="T2360" s="203">
        <f t="shared" si="1433"/>
        <v>43647</v>
      </c>
      <c r="U2360" s="204">
        <f t="shared" si="1434"/>
        <v>43677</v>
      </c>
      <c r="V2360" s="207">
        <f t="shared" si="1460"/>
        <v>0</v>
      </c>
      <c r="W2360" s="206" t="str">
        <f t="shared" si="1457"/>
        <v/>
      </c>
      <c r="X2360" s="206">
        <f t="shared" si="1458"/>
        <v>0</v>
      </c>
      <c r="Y2360" s="209">
        <f t="shared" si="1459"/>
        <v>0</v>
      </c>
    </row>
    <row r="2361" spans="2:25" ht="16.5" hidden="1" thickTop="1" thickBot="1" x14ac:dyDescent="0.3">
      <c r="B2361" s="60">
        <f>B2358</f>
        <v>7</v>
      </c>
      <c r="C2361" s="102">
        <v>46</v>
      </c>
      <c r="D2361" s="192" t="str">
        <f t="shared" si="1436"/>
        <v>VIII</v>
      </c>
      <c r="E2361" s="162"/>
      <c r="F2361" s="163"/>
      <c r="G2361" s="163"/>
      <c r="H2361" s="164"/>
      <c r="I2361" s="164"/>
      <c r="J2361" s="162"/>
      <c r="K2361" s="165"/>
      <c r="L2361" s="164"/>
      <c r="M2361" s="164"/>
      <c r="N2361" s="166"/>
      <c r="O2361" s="167"/>
      <c r="P2361" s="168"/>
      <c r="Q2361" s="169"/>
      <c r="R2361" s="170"/>
      <c r="S2361" s="171"/>
      <c r="T2361" s="203">
        <f t="shared" si="1433"/>
        <v>43647</v>
      </c>
      <c r="U2361" s="204">
        <f t="shared" si="1434"/>
        <v>43677</v>
      </c>
      <c r="V2361" s="207">
        <f t="shared" si="1460"/>
        <v>0</v>
      </c>
      <c r="W2361" s="206" t="str">
        <f t="shared" si="1457"/>
        <v/>
      </c>
      <c r="X2361" s="206">
        <f t="shared" si="1458"/>
        <v>0</v>
      </c>
      <c r="Y2361" s="209">
        <f t="shared" si="1459"/>
        <v>0</v>
      </c>
    </row>
    <row r="2362" spans="2:25" ht="16.5" hidden="1" thickTop="1" thickBot="1" x14ac:dyDescent="0.3">
      <c r="B2362" s="60">
        <f>B2358</f>
        <v>7</v>
      </c>
      <c r="C2362" s="102">
        <v>47</v>
      </c>
      <c r="D2362" s="192" t="str">
        <f t="shared" si="1436"/>
        <v>VIII</v>
      </c>
      <c r="E2362" s="162"/>
      <c r="F2362" s="163"/>
      <c r="G2362" s="163"/>
      <c r="H2362" s="164"/>
      <c r="I2362" s="164"/>
      <c r="J2362" s="162"/>
      <c r="K2362" s="165"/>
      <c r="L2362" s="164"/>
      <c r="M2362" s="164"/>
      <c r="N2362" s="166"/>
      <c r="O2362" s="167"/>
      <c r="P2362" s="168"/>
      <c r="Q2362" s="169"/>
      <c r="R2362" s="170"/>
      <c r="S2362" s="171"/>
      <c r="T2362" s="203">
        <f t="shared" si="1433"/>
        <v>43647</v>
      </c>
      <c r="U2362" s="204">
        <f t="shared" si="1434"/>
        <v>43677</v>
      </c>
      <c r="V2362" s="207">
        <f t="shared" si="1460"/>
        <v>0</v>
      </c>
      <c r="W2362" s="206" t="str">
        <f t="shared" si="1457"/>
        <v/>
      </c>
      <c r="X2362" s="206">
        <f t="shared" si="1458"/>
        <v>0</v>
      </c>
      <c r="Y2362" s="209">
        <f t="shared" si="1459"/>
        <v>0</v>
      </c>
    </row>
    <row r="2363" spans="2:25" ht="16.5" hidden="1" thickTop="1" thickBot="1" x14ac:dyDescent="0.3">
      <c r="B2363" s="60">
        <f>B2358</f>
        <v>7</v>
      </c>
      <c r="C2363" s="102">
        <v>48</v>
      </c>
      <c r="D2363" s="192" t="str">
        <f t="shared" si="1436"/>
        <v>VIII</v>
      </c>
      <c r="E2363" s="172"/>
      <c r="F2363" s="173"/>
      <c r="G2363" s="173"/>
      <c r="H2363" s="174"/>
      <c r="I2363" s="174"/>
      <c r="J2363" s="172"/>
      <c r="K2363" s="175"/>
      <c r="L2363" s="174"/>
      <c r="M2363" s="174"/>
      <c r="N2363" s="176"/>
      <c r="O2363" s="177"/>
      <c r="P2363" s="178"/>
      <c r="Q2363" s="179"/>
      <c r="R2363" s="180"/>
      <c r="S2363" s="181"/>
      <c r="T2363" s="203">
        <f t="shared" si="1433"/>
        <v>43647</v>
      </c>
      <c r="U2363" s="204">
        <f t="shared" si="1434"/>
        <v>43677</v>
      </c>
      <c r="V2363" s="207">
        <f t="shared" si="1460"/>
        <v>0</v>
      </c>
      <c r="W2363" s="206" t="str">
        <f t="shared" si="1457"/>
        <v/>
      </c>
      <c r="X2363" s="206">
        <f t="shared" si="1458"/>
        <v>0</v>
      </c>
      <c r="Y2363" s="209">
        <f t="shared" si="1459"/>
        <v>0</v>
      </c>
    </row>
    <row r="2364" spans="2:25" ht="16.5" hidden="1" thickTop="1" thickBot="1" x14ac:dyDescent="0.3">
      <c r="B2364" s="141">
        <f>B2358</f>
        <v>7</v>
      </c>
      <c r="C2364" s="142">
        <v>49</v>
      </c>
      <c r="D2364" s="194" t="str">
        <f t="shared" si="1436"/>
        <v>VIII</v>
      </c>
      <c r="E2364" s="189"/>
      <c r="F2364" s="190"/>
      <c r="G2364" s="190"/>
      <c r="H2364" s="182"/>
      <c r="I2364" s="182"/>
      <c r="J2364" s="436" t="s">
        <v>181</v>
      </c>
      <c r="K2364" s="437"/>
      <c r="L2364" s="438"/>
      <c r="M2364" s="182"/>
      <c r="N2364" s="183"/>
      <c r="O2364" s="184"/>
      <c r="P2364" s="185"/>
      <c r="Q2364" s="186"/>
      <c r="R2364" s="187"/>
      <c r="S2364" s="188"/>
      <c r="T2364" s="213">
        <f t="shared" si="1433"/>
        <v>43647</v>
      </c>
      <c r="U2364" s="214">
        <f t="shared" si="1434"/>
        <v>43677</v>
      </c>
      <c r="V2364" s="210">
        <f t="shared" si="1460"/>
        <v>0</v>
      </c>
      <c r="W2364" s="211"/>
      <c r="X2364" s="211">
        <f>IF(AND($V2364&gt;0,$I2364=1),IF($E2364=10,P2364/10,P2364/$V2364),0)</f>
        <v>0</v>
      </c>
      <c r="Y2364" s="212">
        <f>IF(AND($V2358&gt;0,$I2364&lt;&gt;1),Q2364/E2358*V2358,0)</f>
        <v>0</v>
      </c>
    </row>
    <row r="2365" spans="2:25" ht="16.5" hidden="1" thickTop="1" thickBot="1" x14ac:dyDescent="0.3">
      <c r="B2365" s="129">
        <f>B2363+1</f>
        <v>8</v>
      </c>
      <c r="C2365" s="130">
        <v>50</v>
      </c>
      <c r="D2365" s="196" t="str">
        <f t="shared" si="1436"/>
        <v>VIII</v>
      </c>
      <c r="E2365" s="131"/>
      <c r="F2365" s="132"/>
      <c r="G2365" s="132"/>
      <c r="H2365" s="133"/>
      <c r="I2365" s="133"/>
      <c r="J2365" s="131"/>
      <c r="K2365" s="134"/>
      <c r="L2365" s="133"/>
      <c r="M2365" s="133"/>
      <c r="N2365" s="135"/>
      <c r="O2365" s="136"/>
      <c r="P2365" s="137"/>
      <c r="Q2365" s="138"/>
      <c r="R2365" s="139"/>
      <c r="S2365" s="140"/>
      <c r="T2365" s="203">
        <f t="shared" si="1433"/>
        <v>43647</v>
      </c>
      <c r="U2365" s="204">
        <f t="shared" si="1434"/>
        <v>43677</v>
      </c>
      <c r="V2365" s="207">
        <f>IF(G2365-F2365+1-IF(G2365-U2365&gt;0,G2365-U2365,0)-IF(T2365-F2365&gt;0,T2365-F2365,0)&gt;0,G2365-F2365+1-IF(G2365-U2365&gt;0,G2365-U2365,0)-IF(T2365-F2365&gt;0,T2365-F2365,0),0)</f>
        <v>0</v>
      </c>
      <c r="W2365" s="206" t="str">
        <f t="shared" ref="W2365:W2370" si="1461">IF(V2365&gt;0,H2365,"")</f>
        <v/>
      </c>
      <c r="X2365" s="206">
        <f t="shared" ref="X2365:X2370" si="1462">IF(AND($V2365&gt;0,$I2365=1),P2365/$E2365*$V2365,0)</f>
        <v>0</v>
      </c>
      <c r="Y2365" s="209">
        <f t="shared" ref="Y2365:Y2370" si="1463">IF(AND($V2365&gt;0,$I2365&lt;&gt;1),Q2365/$E2365*$V2365,0)</f>
        <v>0</v>
      </c>
    </row>
    <row r="2366" spans="2:25" ht="16.5" hidden="1" thickTop="1" thickBot="1" x14ac:dyDescent="0.3">
      <c r="B2366" s="60">
        <f>B2365</f>
        <v>8</v>
      </c>
      <c r="C2366" s="102">
        <v>51</v>
      </c>
      <c r="D2366" s="192" t="str">
        <f t="shared" si="1436"/>
        <v>VIII</v>
      </c>
      <c r="E2366" s="62"/>
      <c r="F2366" s="105"/>
      <c r="G2366" s="105"/>
      <c r="H2366" s="61"/>
      <c r="I2366" s="61"/>
      <c r="J2366" s="62"/>
      <c r="K2366" s="63"/>
      <c r="L2366" s="61"/>
      <c r="M2366" s="61"/>
      <c r="N2366" s="111"/>
      <c r="O2366" s="112"/>
      <c r="P2366" s="113"/>
      <c r="Q2366" s="114"/>
      <c r="R2366" s="64"/>
      <c r="S2366" s="108"/>
      <c r="T2366" s="203">
        <f t="shared" si="1433"/>
        <v>43647</v>
      </c>
      <c r="U2366" s="204">
        <f t="shared" si="1434"/>
        <v>43677</v>
      </c>
      <c r="V2366" s="207">
        <f t="shared" ref="V2366:V2371" si="1464">IF(G2366-F2366+1-IF(G2366-U2366&gt;0,G2366-U2366,0)-IF(T2366-F2366&gt;0,T2366-F2366,0)&gt;0,G2366-F2366+1-IF(G2366-U2366&gt;0,G2366-U2366,0)-IF(T2366-F2366&gt;0,T2366-F2366,0),0)</f>
        <v>0</v>
      </c>
      <c r="W2366" s="206" t="str">
        <f t="shared" si="1461"/>
        <v/>
      </c>
      <c r="X2366" s="206">
        <f t="shared" si="1462"/>
        <v>0</v>
      </c>
      <c r="Y2366" s="209">
        <f t="shared" si="1463"/>
        <v>0</v>
      </c>
    </row>
    <row r="2367" spans="2:25" ht="16.5" hidden="1" thickTop="1" thickBot="1" x14ac:dyDescent="0.3">
      <c r="B2367" s="60">
        <f>B2365</f>
        <v>8</v>
      </c>
      <c r="C2367" s="102">
        <v>52</v>
      </c>
      <c r="D2367" s="192" t="str">
        <f t="shared" si="1436"/>
        <v>VIII</v>
      </c>
      <c r="E2367" s="62"/>
      <c r="F2367" s="105"/>
      <c r="G2367" s="105"/>
      <c r="H2367" s="61"/>
      <c r="I2367" s="61"/>
      <c r="J2367" s="62"/>
      <c r="K2367" s="63"/>
      <c r="L2367" s="61"/>
      <c r="M2367" s="61"/>
      <c r="N2367" s="111"/>
      <c r="O2367" s="112"/>
      <c r="P2367" s="113"/>
      <c r="Q2367" s="114"/>
      <c r="R2367" s="64"/>
      <c r="S2367" s="108"/>
      <c r="T2367" s="203">
        <f t="shared" si="1433"/>
        <v>43647</v>
      </c>
      <c r="U2367" s="204">
        <f t="shared" si="1434"/>
        <v>43677</v>
      </c>
      <c r="V2367" s="207">
        <f t="shared" si="1464"/>
        <v>0</v>
      </c>
      <c r="W2367" s="206" t="str">
        <f t="shared" si="1461"/>
        <v/>
      </c>
      <c r="X2367" s="206">
        <f t="shared" si="1462"/>
        <v>0</v>
      </c>
      <c r="Y2367" s="209">
        <f t="shared" si="1463"/>
        <v>0</v>
      </c>
    </row>
    <row r="2368" spans="2:25" ht="16.5" hidden="1" thickTop="1" thickBot="1" x14ac:dyDescent="0.3">
      <c r="B2368" s="60">
        <f>B2365</f>
        <v>8</v>
      </c>
      <c r="C2368" s="102">
        <v>53</v>
      </c>
      <c r="D2368" s="192" t="str">
        <f t="shared" si="1436"/>
        <v>VIII</v>
      </c>
      <c r="E2368" s="62"/>
      <c r="F2368" s="105"/>
      <c r="G2368" s="105"/>
      <c r="H2368" s="61"/>
      <c r="I2368" s="61"/>
      <c r="J2368" s="62"/>
      <c r="K2368" s="63"/>
      <c r="L2368" s="61"/>
      <c r="M2368" s="61"/>
      <c r="N2368" s="111"/>
      <c r="O2368" s="112"/>
      <c r="P2368" s="113"/>
      <c r="Q2368" s="114"/>
      <c r="R2368" s="64"/>
      <c r="S2368" s="108"/>
      <c r="T2368" s="203">
        <f t="shared" si="1433"/>
        <v>43647</v>
      </c>
      <c r="U2368" s="204">
        <f t="shared" si="1434"/>
        <v>43677</v>
      </c>
      <c r="V2368" s="207">
        <f t="shared" si="1464"/>
        <v>0</v>
      </c>
      <c r="W2368" s="206" t="str">
        <f t="shared" si="1461"/>
        <v/>
      </c>
      <c r="X2368" s="206">
        <f t="shared" si="1462"/>
        <v>0</v>
      </c>
      <c r="Y2368" s="209">
        <f t="shared" si="1463"/>
        <v>0</v>
      </c>
    </row>
    <row r="2369" spans="2:25" ht="16.5" hidden="1" thickTop="1" thickBot="1" x14ac:dyDescent="0.3">
      <c r="B2369" s="60">
        <f>B2365</f>
        <v>8</v>
      </c>
      <c r="C2369" s="102">
        <v>54</v>
      </c>
      <c r="D2369" s="192" t="str">
        <f t="shared" si="1436"/>
        <v>VIII</v>
      </c>
      <c r="E2369" s="62"/>
      <c r="F2369" s="105"/>
      <c r="G2369" s="105"/>
      <c r="H2369" s="61"/>
      <c r="I2369" s="61"/>
      <c r="J2369" s="62"/>
      <c r="K2369" s="63"/>
      <c r="L2369" s="61"/>
      <c r="M2369" s="61"/>
      <c r="N2369" s="111"/>
      <c r="O2369" s="112"/>
      <c r="P2369" s="113"/>
      <c r="Q2369" s="114"/>
      <c r="R2369" s="64"/>
      <c r="S2369" s="108"/>
      <c r="T2369" s="203">
        <f t="shared" si="1433"/>
        <v>43647</v>
      </c>
      <c r="U2369" s="204">
        <f t="shared" si="1434"/>
        <v>43677</v>
      </c>
      <c r="V2369" s="207">
        <f t="shared" si="1464"/>
        <v>0</v>
      </c>
      <c r="W2369" s="206" t="str">
        <f t="shared" si="1461"/>
        <v/>
      </c>
      <c r="X2369" s="206">
        <f t="shared" si="1462"/>
        <v>0</v>
      </c>
      <c r="Y2369" s="209">
        <f t="shared" si="1463"/>
        <v>0</v>
      </c>
    </row>
    <row r="2370" spans="2:25" ht="16.5" hidden="1" thickTop="1" thickBot="1" x14ac:dyDescent="0.3">
      <c r="B2370" s="60">
        <f>B2365</f>
        <v>8</v>
      </c>
      <c r="C2370" s="102">
        <v>55</v>
      </c>
      <c r="D2370" s="192" t="str">
        <f t="shared" si="1436"/>
        <v>VIII</v>
      </c>
      <c r="E2370" s="62"/>
      <c r="F2370" s="105"/>
      <c r="G2370" s="105"/>
      <c r="H2370" s="61"/>
      <c r="I2370" s="61"/>
      <c r="J2370" s="62"/>
      <c r="K2370" s="63"/>
      <c r="L2370" s="61"/>
      <c r="M2370" s="61"/>
      <c r="N2370" s="111"/>
      <c r="O2370" s="112"/>
      <c r="P2370" s="113"/>
      <c r="Q2370" s="114"/>
      <c r="R2370" s="64"/>
      <c r="S2370" s="108"/>
      <c r="T2370" s="203">
        <f t="shared" si="1433"/>
        <v>43647</v>
      </c>
      <c r="U2370" s="204">
        <f t="shared" si="1434"/>
        <v>43677</v>
      </c>
      <c r="V2370" s="207">
        <f t="shared" si="1464"/>
        <v>0</v>
      </c>
      <c r="W2370" s="206" t="str">
        <f t="shared" si="1461"/>
        <v/>
      </c>
      <c r="X2370" s="206">
        <f t="shared" si="1462"/>
        <v>0</v>
      </c>
      <c r="Y2370" s="209">
        <f t="shared" si="1463"/>
        <v>0</v>
      </c>
    </row>
    <row r="2371" spans="2:25" ht="16.5" hidden="1" thickTop="1" thickBot="1" x14ac:dyDescent="0.3">
      <c r="B2371" s="141">
        <f>B2365</f>
        <v>8</v>
      </c>
      <c r="C2371" s="142">
        <v>56</v>
      </c>
      <c r="D2371" s="194" t="str">
        <f t="shared" si="1436"/>
        <v>VIII</v>
      </c>
      <c r="E2371" s="143"/>
      <c r="F2371" s="144"/>
      <c r="G2371" s="144"/>
      <c r="H2371" s="145"/>
      <c r="I2371" s="145"/>
      <c r="J2371" s="436" t="s">
        <v>181</v>
      </c>
      <c r="K2371" s="437"/>
      <c r="L2371" s="438"/>
      <c r="M2371" s="145"/>
      <c r="N2371" s="146"/>
      <c r="O2371" s="147"/>
      <c r="P2371" s="148"/>
      <c r="Q2371" s="149"/>
      <c r="R2371" s="150"/>
      <c r="S2371" s="151"/>
      <c r="T2371" s="213">
        <f t="shared" si="1433"/>
        <v>43647</v>
      </c>
      <c r="U2371" s="214">
        <f t="shared" si="1434"/>
        <v>43677</v>
      </c>
      <c r="V2371" s="210">
        <f t="shared" si="1464"/>
        <v>0</v>
      </c>
      <c r="W2371" s="211"/>
      <c r="X2371" s="211">
        <f>IF(AND($V2371&gt;0,$I2371=1),IF($E2371=10,P2371/10,P2371/$V2371),0)</f>
        <v>0</v>
      </c>
      <c r="Y2371" s="212">
        <f>IF(AND($V2365&gt;0,$I2371&lt;&gt;1),Q2371/E2365*V2365,0)</f>
        <v>0</v>
      </c>
    </row>
    <row r="2372" spans="2:25" ht="16.5" hidden="1" thickTop="1" thickBot="1" x14ac:dyDescent="0.3">
      <c r="B2372" s="129">
        <f>B2370+1</f>
        <v>9</v>
      </c>
      <c r="C2372" s="130">
        <v>57</v>
      </c>
      <c r="D2372" s="196" t="str">
        <f t="shared" si="1436"/>
        <v>VIII</v>
      </c>
      <c r="E2372" s="152"/>
      <c r="F2372" s="153"/>
      <c r="G2372" s="153"/>
      <c r="H2372" s="154"/>
      <c r="I2372" s="154"/>
      <c r="J2372" s="152"/>
      <c r="K2372" s="155"/>
      <c r="L2372" s="154"/>
      <c r="M2372" s="154"/>
      <c r="N2372" s="156"/>
      <c r="O2372" s="157"/>
      <c r="P2372" s="158"/>
      <c r="Q2372" s="159"/>
      <c r="R2372" s="160"/>
      <c r="S2372" s="161"/>
      <c r="T2372" s="203">
        <f t="shared" si="1433"/>
        <v>43647</v>
      </c>
      <c r="U2372" s="204">
        <f t="shared" si="1434"/>
        <v>43677</v>
      </c>
      <c r="V2372" s="207">
        <f>IF(G2372-F2372+1-IF(G2372-U2372&gt;0,G2372-U2372,0)-IF(T2372-F2372&gt;0,T2372-F2372,0)&gt;0,G2372-F2372+1-IF(G2372-U2372&gt;0,G2372-U2372,0)-IF(T2372-F2372&gt;0,T2372-F2372,0),0)</f>
        <v>0</v>
      </c>
      <c r="W2372" s="206" t="str">
        <f t="shared" ref="W2372:W2377" si="1465">IF(V2372&gt;0,H2372,"")</f>
        <v/>
      </c>
      <c r="X2372" s="206">
        <f t="shared" ref="X2372:X2377" si="1466">IF(AND($V2372&gt;0,$I2372=1),P2372/$E2372*$V2372,0)</f>
        <v>0</v>
      </c>
      <c r="Y2372" s="209">
        <f t="shared" ref="Y2372:Y2377" si="1467">IF(AND($V2372&gt;0,$I2372&lt;&gt;1),Q2372/$E2372*$V2372,0)</f>
        <v>0</v>
      </c>
    </row>
    <row r="2373" spans="2:25" ht="16.5" hidden="1" thickTop="1" thickBot="1" x14ac:dyDescent="0.3">
      <c r="B2373" s="60">
        <f>B2372</f>
        <v>9</v>
      </c>
      <c r="C2373" s="102">
        <v>58</v>
      </c>
      <c r="D2373" s="192" t="str">
        <f t="shared" si="1436"/>
        <v>VIII</v>
      </c>
      <c r="E2373" s="162"/>
      <c r="F2373" s="163"/>
      <c r="G2373" s="163"/>
      <c r="H2373" s="164"/>
      <c r="I2373" s="164"/>
      <c r="J2373" s="162"/>
      <c r="K2373" s="165"/>
      <c r="L2373" s="164"/>
      <c r="M2373" s="164"/>
      <c r="N2373" s="166"/>
      <c r="O2373" s="167"/>
      <c r="P2373" s="168"/>
      <c r="Q2373" s="169"/>
      <c r="R2373" s="170"/>
      <c r="S2373" s="171"/>
      <c r="T2373" s="203">
        <f t="shared" si="1433"/>
        <v>43647</v>
      </c>
      <c r="U2373" s="204">
        <f t="shared" si="1434"/>
        <v>43677</v>
      </c>
      <c r="V2373" s="207">
        <f t="shared" ref="V2373:V2378" si="1468">IF(G2373-F2373+1-IF(G2373-U2373&gt;0,G2373-U2373,0)-IF(T2373-F2373&gt;0,T2373-F2373,0)&gt;0,G2373-F2373+1-IF(G2373-U2373&gt;0,G2373-U2373,0)-IF(T2373-F2373&gt;0,T2373-F2373,0),0)</f>
        <v>0</v>
      </c>
      <c r="W2373" s="206" t="str">
        <f t="shared" si="1465"/>
        <v/>
      </c>
      <c r="X2373" s="206">
        <f t="shared" si="1466"/>
        <v>0</v>
      </c>
      <c r="Y2373" s="209">
        <f t="shared" si="1467"/>
        <v>0</v>
      </c>
    </row>
    <row r="2374" spans="2:25" ht="16.5" hidden="1" thickTop="1" thickBot="1" x14ac:dyDescent="0.3">
      <c r="B2374" s="60">
        <f>B2372</f>
        <v>9</v>
      </c>
      <c r="C2374" s="102">
        <v>59</v>
      </c>
      <c r="D2374" s="192" t="str">
        <f t="shared" si="1436"/>
        <v>VIII</v>
      </c>
      <c r="E2374" s="162"/>
      <c r="F2374" s="163"/>
      <c r="G2374" s="163"/>
      <c r="H2374" s="164"/>
      <c r="I2374" s="164"/>
      <c r="J2374" s="162"/>
      <c r="K2374" s="165"/>
      <c r="L2374" s="164"/>
      <c r="M2374" s="164"/>
      <c r="N2374" s="166"/>
      <c r="O2374" s="167"/>
      <c r="P2374" s="168"/>
      <c r="Q2374" s="169"/>
      <c r="R2374" s="170"/>
      <c r="S2374" s="171"/>
      <c r="T2374" s="203">
        <f t="shared" si="1433"/>
        <v>43647</v>
      </c>
      <c r="U2374" s="204">
        <f t="shared" si="1434"/>
        <v>43677</v>
      </c>
      <c r="V2374" s="207">
        <f t="shared" si="1468"/>
        <v>0</v>
      </c>
      <c r="W2374" s="206" t="str">
        <f t="shared" si="1465"/>
        <v/>
      </c>
      <c r="X2374" s="206">
        <f t="shared" si="1466"/>
        <v>0</v>
      </c>
      <c r="Y2374" s="209">
        <f t="shared" si="1467"/>
        <v>0</v>
      </c>
    </row>
    <row r="2375" spans="2:25" ht="16.5" hidden="1" thickTop="1" thickBot="1" x14ac:dyDescent="0.3">
      <c r="B2375" s="60">
        <f>B2372</f>
        <v>9</v>
      </c>
      <c r="C2375" s="102">
        <v>60</v>
      </c>
      <c r="D2375" s="192" t="str">
        <f t="shared" si="1436"/>
        <v>VIII</v>
      </c>
      <c r="E2375" s="162"/>
      <c r="F2375" s="163"/>
      <c r="G2375" s="163"/>
      <c r="H2375" s="164"/>
      <c r="I2375" s="164"/>
      <c r="J2375" s="162"/>
      <c r="K2375" s="165"/>
      <c r="L2375" s="164"/>
      <c r="M2375" s="164"/>
      <c r="N2375" s="166"/>
      <c r="O2375" s="167"/>
      <c r="P2375" s="168"/>
      <c r="Q2375" s="169"/>
      <c r="R2375" s="170"/>
      <c r="S2375" s="171"/>
      <c r="T2375" s="203">
        <f t="shared" si="1433"/>
        <v>43647</v>
      </c>
      <c r="U2375" s="204">
        <f t="shared" si="1434"/>
        <v>43677</v>
      </c>
      <c r="V2375" s="207">
        <f t="shared" si="1468"/>
        <v>0</v>
      </c>
      <c r="W2375" s="206" t="str">
        <f t="shared" si="1465"/>
        <v/>
      </c>
      <c r="X2375" s="206">
        <f t="shared" si="1466"/>
        <v>0</v>
      </c>
      <c r="Y2375" s="209">
        <f t="shared" si="1467"/>
        <v>0</v>
      </c>
    </row>
    <row r="2376" spans="2:25" ht="16.5" hidden="1" thickTop="1" thickBot="1" x14ac:dyDescent="0.3">
      <c r="B2376" s="60">
        <f>B2372</f>
        <v>9</v>
      </c>
      <c r="C2376" s="102">
        <v>61</v>
      </c>
      <c r="D2376" s="192" t="str">
        <f t="shared" si="1436"/>
        <v>VIII</v>
      </c>
      <c r="E2376" s="162"/>
      <c r="F2376" s="163"/>
      <c r="G2376" s="163"/>
      <c r="H2376" s="164"/>
      <c r="I2376" s="164"/>
      <c r="J2376" s="162"/>
      <c r="K2376" s="165"/>
      <c r="L2376" s="164"/>
      <c r="M2376" s="164"/>
      <c r="N2376" s="166"/>
      <c r="O2376" s="167"/>
      <c r="P2376" s="168"/>
      <c r="Q2376" s="169"/>
      <c r="R2376" s="170"/>
      <c r="S2376" s="171"/>
      <c r="T2376" s="203">
        <f t="shared" si="1433"/>
        <v>43647</v>
      </c>
      <c r="U2376" s="204">
        <f t="shared" si="1434"/>
        <v>43677</v>
      </c>
      <c r="V2376" s="207">
        <f t="shared" si="1468"/>
        <v>0</v>
      </c>
      <c r="W2376" s="206" t="str">
        <f t="shared" si="1465"/>
        <v/>
      </c>
      <c r="X2376" s="206">
        <f t="shared" si="1466"/>
        <v>0</v>
      </c>
      <c r="Y2376" s="209">
        <f t="shared" si="1467"/>
        <v>0</v>
      </c>
    </row>
    <row r="2377" spans="2:25" ht="16.5" hidden="1" thickTop="1" thickBot="1" x14ac:dyDescent="0.3">
      <c r="B2377" s="60">
        <f>B2372</f>
        <v>9</v>
      </c>
      <c r="C2377" s="102">
        <v>62</v>
      </c>
      <c r="D2377" s="192" t="str">
        <f t="shared" si="1436"/>
        <v>VIII</v>
      </c>
      <c r="E2377" s="172"/>
      <c r="F2377" s="173"/>
      <c r="G2377" s="173"/>
      <c r="H2377" s="174"/>
      <c r="I2377" s="174"/>
      <c r="J2377" s="172"/>
      <c r="K2377" s="175"/>
      <c r="L2377" s="174"/>
      <c r="M2377" s="174"/>
      <c r="N2377" s="176"/>
      <c r="O2377" s="177"/>
      <c r="P2377" s="178"/>
      <c r="Q2377" s="179"/>
      <c r="R2377" s="180"/>
      <c r="S2377" s="181"/>
      <c r="T2377" s="203">
        <f t="shared" si="1433"/>
        <v>43647</v>
      </c>
      <c r="U2377" s="204">
        <f t="shared" si="1434"/>
        <v>43677</v>
      </c>
      <c r="V2377" s="207">
        <f t="shared" si="1468"/>
        <v>0</v>
      </c>
      <c r="W2377" s="206" t="str">
        <f t="shared" si="1465"/>
        <v/>
      </c>
      <c r="X2377" s="206">
        <f t="shared" si="1466"/>
        <v>0</v>
      </c>
      <c r="Y2377" s="209">
        <f t="shared" si="1467"/>
        <v>0</v>
      </c>
    </row>
    <row r="2378" spans="2:25" ht="16.5" hidden="1" thickTop="1" thickBot="1" x14ac:dyDescent="0.3">
      <c r="B2378" s="141">
        <f>B2372</f>
        <v>9</v>
      </c>
      <c r="C2378" s="142">
        <v>63</v>
      </c>
      <c r="D2378" s="194" t="str">
        <f t="shared" si="1436"/>
        <v>VIII</v>
      </c>
      <c r="E2378" s="189"/>
      <c r="F2378" s="190"/>
      <c r="G2378" s="190"/>
      <c r="H2378" s="182"/>
      <c r="I2378" s="182"/>
      <c r="J2378" s="436" t="s">
        <v>181</v>
      </c>
      <c r="K2378" s="437"/>
      <c r="L2378" s="438"/>
      <c r="M2378" s="182"/>
      <c r="N2378" s="183"/>
      <c r="O2378" s="184"/>
      <c r="P2378" s="185"/>
      <c r="Q2378" s="186"/>
      <c r="R2378" s="187"/>
      <c r="S2378" s="188"/>
      <c r="T2378" s="213">
        <f t="shared" si="1433"/>
        <v>43647</v>
      </c>
      <c r="U2378" s="214">
        <f t="shared" si="1434"/>
        <v>43677</v>
      </c>
      <c r="V2378" s="210">
        <f t="shared" si="1468"/>
        <v>0</v>
      </c>
      <c r="W2378" s="211"/>
      <c r="X2378" s="211">
        <f>IF(AND($V2378&gt;0,$I2378=1),IF($E2378=10,P2378/10,P2378/$V2378),0)</f>
        <v>0</v>
      </c>
      <c r="Y2378" s="212">
        <f>IF(AND($V2372&gt;0,$I2378&lt;&gt;1),Q2378/E2372*V2372,0)</f>
        <v>0</v>
      </c>
    </row>
    <row r="2379" spans="2:25" ht="16.5" hidden="1" thickTop="1" thickBot="1" x14ac:dyDescent="0.3">
      <c r="B2379" s="129">
        <f>B2377+1</f>
        <v>10</v>
      </c>
      <c r="C2379" s="130">
        <v>64</v>
      </c>
      <c r="D2379" s="196" t="str">
        <f t="shared" si="1436"/>
        <v>VIII</v>
      </c>
      <c r="E2379" s="131"/>
      <c r="F2379" s="132"/>
      <c r="G2379" s="132"/>
      <c r="H2379" s="133"/>
      <c r="I2379" s="133"/>
      <c r="J2379" s="131"/>
      <c r="K2379" s="134"/>
      <c r="L2379" s="133"/>
      <c r="M2379" s="133"/>
      <c r="N2379" s="135"/>
      <c r="O2379" s="136"/>
      <c r="P2379" s="137"/>
      <c r="Q2379" s="138"/>
      <c r="R2379" s="139"/>
      <c r="S2379" s="140"/>
      <c r="T2379" s="203">
        <f t="shared" si="1433"/>
        <v>43647</v>
      </c>
      <c r="U2379" s="204">
        <f t="shared" si="1434"/>
        <v>43677</v>
      </c>
      <c r="V2379" s="207">
        <f>IF(G2379-F2379+1-IF(G2379-U2379&gt;0,G2379-U2379,0)-IF(T2379-F2379&gt;0,T2379-F2379,0)&gt;0,G2379-F2379+1-IF(G2379-U2379&gt;0,G2379-U2379,0)-IF(T2379-F2379&gt;0,T2379-F2379,0),0)</f>
        <v>0</v>
      </c>
      <c r="W2379" s="206" t="str">
        <f t="shared" ref="W2379:W2384" si="1469">IF(V2379&gt;0,H2379,"")</f>
        <v/>
      </c>
      <c r="X2379" s="206">
        <f t="shared" ref="X2379:X2384" si="1470">IF(AND($V2379&gt;0,$I2379=1),P2379/$E2379*$V2379,0)</f>
        <v>0</v>
      </c>
      <c r="Y2379" s="209">
        <f t="shared" ref="Y2379:Y2384" si="1471">IF(AND($V2379&gt;0,$I2379&lt;&gt;1),Q2379/$E2379*$V2379,0)</f>
        <v>0</v>
      </c>
    </row>
    <row r="2380" spans="2:25" ht="16.5" hidden="1" thickTop="1" thickBot="1" x14ac:dyDescent="0.3">
      <c r="B2380" s="60">
        <f>B2379</f>
        <v>10</v>
      </c>
      <c r="C2380" s="102">
        <v>65</v>
      </c>
      <c r="D2380" s="192" t="str">
        <f t="shared" si="1436"/>
        <v>VIII</v>
      </c>
      <c r="E2380" s="62"/>
      <c r="F2380" s="105"/>
      <c r="G2380" s="105"/>
      <c r="H2380" s="61"/>
      <c r="I2380" s="61"/>
      <c r="J2380" s="62"/>
      <c r="K2380" s="63"/>
      <c r="L2380" s="61"/>
      <c r="M2380" s="61"/>
      <c r="N2380" s="111"/>
      <c r="O2380" s="112"/>
      <c r="P2380" s="113"/>
      <c r="Q2380" s="114"/>
      <c r="R2380" s="64"/>
      <c r="S2380" s="108"/>
      <c r="T2380" s="203">
        <f t="shared" si="1433"/>
        <v>43647</v>
      </c>
      <c r="U2380" s="204">
        <f t="shared" si="1434"/>
        <v>43677</v>
      </c>
      <c r="V2380" s="207">
        <f t="shared" ref="V2380:V2385" si="1472">IF(G2380-F2380+1-IF(G2380-U2380&gt;0,G2380-U2380,0)-IF(T2380-F2380&gt;0,T2380-F2380,0)&gt;0,G2380-F2380+1-IF(G2380-U2380&gt;0,G2380-U2380,0)-IF(T2380-F2380&gt;0,T2380-F2380,0),0)</f>
        <v>0</v>
      </c>
      <c r="W2380" s="206" t="str">
        <f t="shared" si="1469"/>
        <v/>
      </c>
      <c r="X2380" s="206">
        <f t="shared" si="1470"/>
        <v>0</v>
      </c>
      <c r="Y2380" s="209">
        <f t="shared" si="1471"/>
        <v>0</v>
      </c>
    </row>
    <row r="2381" spans="2:25" ht="16.5" hidden="1" thickTop="1" thickBot="1" x14ac:dyDescent="0.3">
      <c r="B2381" s="60">
        <f>B2379</f>
        <v>10</v>
      </c>
      <c r="C2381" s="102">
        <v>66</v>
      </c>
      <c r="D2381" s="192" t="str">
        <f t="shared" si="1436"/>
        <v>VIII</v>
      </c>
      <c r="E2381" s="62"/>
      <c r="F2381" s="105"/>
      <c r="G2381" s="105"/>
      <c r="H2381" s="61"/>
      <c r="I2381" s="61"/>
      <c r="J2381" s="62"/>
      <c r="K2381" s="63"/>
      <c r="L2381" s="61"/>
      <c r="M2381" s="61"/>
      <c r="N2381" s="111"/>
      <c r="O2381" s="112"/>
      <c r="P2381" s="113"/>
      <c r="Q2381" s="114"/>
      <c r="R2381" s="64"/>
      <c r="S2381" s="108"/>
      <c r="T2381" s="203">
        <f t="shared" ref="T2381:T2444" si="1473">$F$4</f>
        <v>43647</v>
      </c>
      <c r="U2381" s="204">
        <f t="shared" ref="U2381:U2444" si="1474">$G$4</f>
        <v>43677</v>
      </c>
      <c r="V2381" s="207">
        <f t="shared" si="1472"/>
        <v>0</v>
      </c>
      <c r="W2381" s="206" t="str">
        <f t="shared" si="1469"/>
        <v/>
      </c>
      <c r="X2381" s="206">
        <f t="shared" si="1470"/>
        <v>0</v>
      </c>
      <c r="Y2381" s="209">
        <f t="shared" si="1471"/>
        <v>0</v>
      </c>
    </row>
    <row r="2382" spans="2:25" ht="16.5" hidden="1" thickTop="1" thickBot="1" x14ac:dyDescent="0.3">
      <c r="B2382" s="60">
        <f>B2379</f>
        <v>10</v>
      </c>
      <c r="C2382" s="102">
        <v>67</v>
      </c>
      <c r="D2382" s="192" t="str">
        <f t="shared" ref="D2382:D2445" si="1475">D2381</f>
        <v>VIII</v>
      </c>
      <c r="E2382" s="62"/>
      <c r="F2382" s="105"/>
      <c r="G2382" s="105"/>
      <c r="H2382" s="61"/>
      <c r="I2382" s="61"/>
      <c r="J2382" s="62"/>
      <c r="K2382" s="63"/>
      <c r="L2382" s="61"/>
      <c r="M2382" s="61"/>
      <c r="N2382" s="111"/>
      <c r="O2382" s="112"/>
      <c r="P2382" s="113"/>
      <c r="Q2382" s="114"/>
      <c r="R2382" s="64"/>
      <c r="S2382" s="108"/>
      <c r="T2382" s="203">
        <f t="shared" si="1473"/>
        <v>43647</v>
      </c>
      <c r="U2382" s="204">
        <f t="shared" si="1474"/>
        <v>43677</v>
      </c>
      <c r="V2382" s="207">
        <f t="shared" si="1472"/>
        <v>0</v>
      </c>
      <c r="W2382" s="206" t="str">
        <f t="shared" si="1469"/>
        <v/>
      </c>
      <c r="X2382" s="206">
        <f t="shared" si="1470"/>
        <v>0</v>
      </c>
      <c r="Y2382" s="209">
        <f t="shared" si="1471"/>
        <v>0</v>
      </c>
    </row>
    <row r="2383" spans="2:25" ht="16.5" hidden="1" thickTop="1" thickBot="1" x14ac:dyDescent="0.3">
      <c r="B2383" s="60">
        <f>B2379</f>
        <v>10</v>
      </c>
      <c r="C2383" s="102">
        <v>68</v>
      </c>
      <c r="D2383" s="192" t="str">
        <f t="shared" si="1475"/>
        <v>VIII</v>
      </c>
      <c r="E2383" s="62"/>
      <c r="F2383" s="105"/>
      <c r="G2383" s="105"/>
      <c r="H2383" s="61"/>
      <c r="I2383" s="61"/>
      <c r="J2383" s="62"/>
      <c r="K2383" s="63"/>
      <c r="L2383" s="61"/>
      <c r="M2383" s="61"/>
      <c r="N2383" s="111"/>
      <c r="O2383" s="112"/>
      <c r="P2383" s="113"/>
      <c r="Q2383" s="114"/>
      <c r="R2383" s="64"/>
      <c r="S2383" s="108"/>
      <c r="T2383" s="203">
        <f t="shared" si="1473"/>
        <v>43647</v>
      </c>
      <c r="U2383" s="204">
        <f t="shared" si="1474"/>
        <v>43677</v>
      </c>
      <c r="V2383" s="207">
        <f t="shared" si="1472"/>
        <v>0</v>
      </c>
      <c r="W2383" s="206" t="str">
        <f t="shared" si="1469"/>
        <v/>
      </c>
      <c r="X2383" s="206">
        <f t="shared" si="1470"/>
        <v>0</v>
      </c>
      <c r="Y2383" s="209">
        <f t="shared" si="1471"/>
        <v>0</v>
      </c>
    </row>
    <row r="2384" spans="2:25" ht="16.5" hidden="1" thickTop="1" thickBot="1" x14ac:dyDescent="0.3">
      <c r="B2384" s="60">
        <f>B2379</f>
        <v>10</v>
      </c>
      <c r="C2384" s="102">
        <v>69</v>
      </c>
      <c r="D2384" s="192" t="str">
        <f t="shared" si="1475"/>
        <v>VIII</v>
      </c>
      <c r="E2384" s="62"/>
      <c r="F2384" s="105"/>
      <c r="G2384" s="105"/>
      <c r="H2384" s="61"/>
      <c r="I2384" s="61"/>
      <c r="J2384" s="62"/>
      <c r="K2384" s="63"/>
      <c r="L2384" s="61"/>
      <c r="M2384" s="61"/>
      <c r="N2384" s="111"/>
      <c r="O2384" s="112"/>
      <c r="P2384" s="113"/>
      <c r="Q2384" s="114"/>
      <c r="R2384" s="64"/>
      <c r="S2384" s="108"/>
      <c r="T2384" s="203">
        <f t="shared" si="1473"/>
        <v>43647</v>
      </c>
      <c r="U2384" s="204">
        <f t="shared" si="1474"/>
        <v>43677</v>
      </c>
      <c r="V2384" s="207">
        <f t="shared" si="1472"/>
        <v>0</v>
      </c>
      <c r="W2384" s="206" t="str">
        <f t="shared" si="1469"/>
        <v/>
      </c>
      <c r="X2384" s="206">
        <f t="shared" si="1470"/>
        <v>0</v>
      </c>
      <c r="Y2384" s="209">
        <f t="shared" si="1471"/>
        <v>0</v>
      </c>
    </row>
    <row r="2385" spans="2:25" ht="16.5" hidden="1" thickTop="1" thickBot="1" x14ac:dyDescent="0.3">
      <c r="B2385" s="141">
        <f>B2379</f>
        <v>10</v>
      </c>
      <c r="C2385" s="142">
        <v>70</v>
      </c>
      <c r="D2385" s="194" t="str">
        <f t="shared" si="1475"/>
        <v>VIII</v>
      </c>
      <c r="E2385" s="143"/>
      <c r="F2385" s="144"/>
      <c r="G2385" s="144"/>
      <c r="H2385" s="145"/>
      <c r="I2385" s="145"/>
      <c r="J2385" s="436" t="s">
        <v>181</v>
      </c>
      <c r="K2385" s="437"/>
      <c r="L2385" s="438"/>
      <c r="M2385" s="145"/>
      <c r="N2385" s="146"/>
      <c r="O2385" s="147"/>
      <c r="P2385" s="148"/>
      <c r="Q2385" s="149"/>
      <c r="R2385" s="150"/>
      <c r="S2385" s="151"/>
      <c r="T2385" s="213">
        <f t="shared" si="1473"/>
        <v>43647</v>
      </c>
      <c r="U2385" s="214">
        <f t="shared" si="1474"/>
        <v>43677</v>
      </c>
      <c r="V2385" s="210">
        <f t="shared" si="1472"/>
        <v>0</v>
      </c>
      <c r="W2385" s="211"/>
      <c r="X2385" s="211">
        <f>IF(AND($V2385&gt;0,$I2385=1),IF($E2385=10,P2385/10,P2385/$V2385),0)</f>
        <v>0</v>
      </c>
      <c r="Y2385" s="212">
        <f>IF(AND($V2379&gt;0,$I2385&lt;&gt;1),Q2385/E2379*V2379,0)</f>
        <v>0</v>
      </c>
    </row>
    <row r="2386" spans="2:25" ht="16.5" hidden="1" thickTop="1" thickBot="1" x14ac:dyDescent="0.3">
      <c r="B2386" s="129">
        <f>B2384+1</f>
        <v>11</v>
      </c>
      <c r="C2386" s="130">
        <v>71</v>
      </c>
      <c r="D2386" s="196" t="str">
        <f t="shared" si="1475"/>
        <v>VIII</v>
      </c>
      <c r="E2386" s="152"/>
      <c r="F2386" s="153"/>
      <c r="G2386" s="153"/>
      <c r="H2386" s="154"/>
      <c r="I2386" s="154"/>
      <c r="J2386" s="152"/>
      <c r="K2386" s="155"/>
      <c r="L2386" s="154"/>
      <c r="M2386" s="154"/>
      <c r="N2386" s="156"/>
      <c r="O2386" s="157"/>
      <c r="P2386" s="158"/>
      <c r="Q2386" s="159"/>
      <c r="R2386" s="160"/>
      <c r="S2386" s="161"/>
      <c r="T2386" s="203">
        <f t="shared" si="1473"/>
        <v>43647</v>
      </c>
      <c r="U2386" s="204">
        <f t="shared" si="1474"/>
        <v>43677</v>
      </c>
      <c r="V2386" s="207">
        <f>IF(G2386-F2386+1-IF(G2386-U2386&gt;0,G2386-U2386,0)-IF(T2386-F2386&gt;0,T2386-F2386,0)&gt;0,G2386-F2386+1-IF(G2386-U2386&gt;0,G2386-U2386,0)-IF(T2386-F2386&gt;0,T2386-F2386,0),0)</f>
        <v>0</v>
      </c>
      <c r="W2386" s="206" t="str">
        <f t="shared" ref="W2386:W2391" si="1476">IF(V2386&gt;0,H2386,"")</f>
        <v/>
      </c>
      <c r="X2386" s="206">
        <f t="shared" ref="X2386:X2391" si="1477">IF(AND($V2386&gt;0,$I2386=1),P2386/$E2386*$V2386,0)</f>
        <v>0</v>
      </c>
      <c r="Y2386" s="209">
        <f t="shared" ref="Y2386:Y2391" si="1478">IF(AND($V2386&gt;0,$I2386&lt;&gt;1),Q2386/$E2386*$V2386,0)</f>
        <v>0</v>
      </c>
    </row>
    <row r="2387" spans="2:25" ht="16.5" hidden="1" thickTop="1" thickBot="1" x14ac:dyDescent="0.3">
      <c r="B2387" s="60">
        <f>B2386</f>
        <v>11</v>
      </c>
      <c r="C2387" s="102">
        <v>72</v>
      </c>
      <c r="D2387" s="192" t="str">
        <f t="shared" si="1475"/>
        <v>VIII</v>
      </c>
      <c r="E2387" s="162"/>
      <c r="F2387" s="163"/>
      <c r="G2387" s="163"/>
      <c r="H2387" s="164"/>
      <c r="I2387" s="164"/>
      <c r="J2387" s="162"/>
      <c r="K2387" s="165"/>
      <c r="L2387" s="164"/>
      <c r="M2387" s="164"/>
      <c r="N2387" s="166"/>
      <c r="O2387" s="167"/>
      <c r="P2387" s="168"/>
      <c r="Q2387" s="169"/>
      <c r="R2387" s="170"/>
      <c r="S2387" s="171"/>
      <c r="T2387" s="203">
        <f t="shared" si="1473"/>
        <v>43647</v>
      </c>
      <c r="U2387" s="204">
        <f t="shared" si="1474"/>
        <v>43677</v>
      </c>
      <c r="V2387" s="207">
        <f t="shared" ref="V2387:V2392" si="1479">IF(G2387-F2387+1-IF(G2387-U2387&gt;0,G2387-U2387,0)-IF(T2387-F2387&gt;0,T2387-F2387,0)&gt;0,G2387-F2387+1-IF(G2387-U2387&gt;0,G2387-U2387,0)-IF(T2387-F2387&gt;0,T2387-F2387,0),0)</f>
        <v>0</v>
      </c>
      <c r="W2387" s="206" t="str">
        <f t="shared" si="1476"/>
        <v/>
      </c>
      <c r="X2387" s="206">
        <f t="shared" si="1477"/>
        <v>0</v>
      </c>
      <c r="Y2387" s="209">
        <f t="shared" si="1478"/>
        <v>0</v>
      </c>
    </row>
    <row r="2388" spans="2:25" ht="16.5" hidden="1" thickTop="1" thickBot="1" x14ac:dyDescent="0.3">
      <c r="B2388" s="60">
        <f>B2386</f>
        <v>11</v>
      </c>
      <c r="C2388" s="102">
        <v>73</v>
      </c>
      <c r="D2388" s="192" t="str">
        <f t="shared" si="1475"/>
        <v>VIII</v>
      </c>
      <c r="E2388" s="162"/>
      <c r="F2388" s="163"/>
      <c r="G2388" s="163"/>
      <c r="H2388" s="164"/>
      <c r="I2388" s="164"/>
      <c r="J2388" s="162"/>
      <c r="K2388" s="165"/>
      <c r="L2388" s="164"/>
      <c r="M2388" s="164"/>
      <c r="N2388" s="166"/>
      <c r="O2388" s="167"/>
      <c r="P2388" s="168"/>
      <c r="Q2388" s="169"/>
      <c r="R2388" s="170"/>
      <c r="S2388" s="171"/>
      <c r="T2388" s="203">
        <f t="shared" si="1473"/>
        <v>43647</v>
      </c>
      <c r="U2388" s="204">
        <f t="shared" si="1474"/>
        <v>43677</v>
      </c>
      <c r="V2388" s="207">
        <f t="shared" si="1479"/>
        <v>0</v>
      </c>
      <c r="W2388" s="206" t="str">
        <f t="shared" si="1476"/>
        <v/>
      </c>
      <c r="X2388" s="206">
        <f t="shared" si="1477"/>
        <v>0</v>
      </c>
      <c r="Y2388" s="209">
        <f t="shared" si="1478"/>
        <v>0</v>
      </c>
    </row>
    <row r="2389" spans="2:25" ht="16.5" hidden="1" thickTop="1" thickBot="1" x14ac:dyDescent="0.3">
      <c r="B2389" s="60">
        <f>B2386</f>
        <v>11</v>
      </c>
      <c r="C2389" s="102">
        <v>74</v>
      </c>
      <c r="D2389" s="192" t="str">
        <f t="shared" si="1475"/>
        <v>VIII</v>
      </c>
      <c r="E2389" s="162"/>
      <c r="F2389" s="163"/>
      <c r="G2389" s="163"/>
      <c r="H2389" s="164"/>
      <c r="I2389" s="164"/>
      <c r="J2389" s="162"/>
      <c r="K2389" s="165"/>
      <c r="L2389" s="164"/>
      <c r="M2389" s="164"/>
      <c r="N2389" s="166"/>
      <c r="O2389" s="167"/>
      <c r="P2389" s="168"/>
      <c r="Q2389" s="169"/>
      <c r="R2389" s="170"/>
      <c r="S2389" s="171"/>
      <c r="T2389" s="203">
        <f t="shared" si="1473"/>
        <v>43647</v>
      </c>
      <c r="U2389" s="204">
        <f t="shared" si="1474"/>
        <v>43677</v>
      </c>
      <c r="V2389" s="207">
        <f t="shared" si="1479"/>
        <v>0</v>
      </c>
      <c r="W2389" s="206" t="str">
        <f t="shared" si="1476"/>
        <v/>
      </c>
      <c r="X2389" s="206">
        <f t="shared" si="1477"/>
        <v>0</v>
      </c>
      <c r="Y2389" s="209">
        <f t="shared" si="1478"/>
        <v>0</v>
      </c>
    </row>
    <row r="2390" spans="2:25" ht="16.5" hidden="1" thickTop="1" thickBot="1" x14ac:dyDescent="0.3">
      <c r="B2390" s="60">
        <f>B2386</f>
        <v>11</v>
      </c>
      <c r="C2390" s="102">
        <v>75</v>
      </c>
      <c r="D2390" s="192" t="str">
        <f t="shared" si="1475"/>
        <v>VIII</v>
      </c>
      <c r="E2390" s="162"/>
      <c r="F2390" s="163"/>
      <c r="G2390" s="163"/>
      <c r="H2390" s="164"/>
      <c r="I2390" s="164"/>
      <c r="J2390" s="162"/>
      <c r="K2390" s="165"/>
      <c r="L2390" s="164"/>
      <c r="M2390" s="164"/>
      <c r="N2390" s="166"/>
      <c r="O2390" s="167"/>
      <c r="P2390" s="168"/>
      <c r="Q2390" s="169"/>
      <c r="R2390" s="170"/>
      <c r="S2390" s="171"/>
      <c r="T2390" s="203">
        <f t="shared" si="1473"/>
        <v>43647</v>
      </c>
      <c r="U2390" s="204">
        <f t="shared" si="1474"/>
        <v>43677</v>
      </c>
      <c r="V2390" s="207">
        <f t="shared" si="1479"/>
        <v>0</v>
      </c>
      <c r="W2390" s="206" t="str">
        <f t="shared" si="1476"/>
        <v/>
      </c>
      <c r="X2390" s="206">
        <f t="shared" si="1477"/>
        <v>0</v>
      </c>
      <c r="Y2390" s="209">
        <f t="shared" si="1478"/>
        <v>0</v>
      </c>
    </row>
    <row r="2391" spans="2:25" ht="16.5" hidden="1" thickTop="1" thickBot="1" x14ac:dyDescent="0.3">
      <c r="B2391" s="60">
        <f>B2386</f>
        <v>11</v>
      </c>
      <c r="C2391" s="102">
        <v>76</v>
      </c>
      <c r="D2391" s="192" t="str">
        <f t="shared" si="1475"/>
        <v>VIII</v>
      </c>
      <c r="E2391" s="172"/>
      <c r="F2391" s="173"/>
      <c r="G2391" s="173"/>
      <c r="H2391" s="174"/>
      <c r="I2391" s="174"/>
      <c r="J2391" s="172"/>
      <c r="K2391" s="175"/>
      <c r="L2391" s="174"/>
      <c r="M2391" s="174"/>
      <c r="N2391" s="176"/>
      <c r="O2391" s="177"/>
      <c r="P2391" s="178"/>
      <c r="Q2391" s="179"/>
      <c r="R2391" s="180"/>
      <c r="S2391" s="181"/>
      <c r="T2391" s="203">
        <f t="shared" si="1473"/>
        <v>43647</v>
      </c>
      <c r="U2391" s="204">
        <f t="shared" si="1474"/>
        <v>43677</v>
      </c>
      <c r="V2391" s="207">
        <f t="shared" si="1479"/>
        <v>0</v>
      </c>
      <c r="W2391" s="206" t="str">
        <f t="shared" si="1476"/>
        <v/>
      </c>
      <c r="X2391" s="206">
        <f t="shared" si="1477"/>
        <v>0</v>
      </c>
      <c r="Y2391" s="209">
        <f t="shared" si="1478"/>
        <v>0</v>
      </c>
    </row>
    <row r="2392" spans="2:25" ht="16.5" hidden="1" thickTop="1" thickBot="1" x14ac:dyDescent="0.3">
      <c r="B2392" s="141">
        <f>B2386</f>
        <v>11</v>
      </c>
      <c r="C2392" s="142">
        <v>77</v>
      </c>
      <c r="D2392" s="194" t="str">
        <f t="shared" si="1475"/>
        <v>VIII</v>
      </c>
      <c r="E2392" s="189"/>
      <c r="F2392" s="190"/>
      <c r="G2392" s="190"/>
      <c r="H2392" s="182"/>
      <c r="I2392" s="182"/>
      <c r="J2392" s="436" t="s">
        <v>181</v>
      </c>
      <c r="K2392" s="437"/>
      <c r="L2392" s="438"/>
      <c r="M2392" s="182"/>
      <c r="N2392" s="183"/>
      <c r="O2392" s="184"/>
      <c r="P2392" s="185"/>
      <c r="Q2392" s="186"/>
      <c r="R2392" s="187"/>
      <c r="S2392" s="188"/>
      <c r="T2392" s="213">
        <f t="shared" si="1473"/>
        <v>43647</v>
      </c>
      <c r="U2392" s="214">
        <f t="shared" si="1474"/>
        <v>43677</v>
      </c>
      <c r="V2392" s="210">
        <f t="shared" si="1479"/>
        <v>0</v>
      </c>
      <c r="W2392" s="211"/>
      <c r="X2392" s="211">
        <f>IF(AND($V2392&gt;0,$I2392=1),IF($E2392=10,P2392/10,P2392/$V2392),0)</f>
        <v>0</v>
      </c>
      <c r="Y2392" s="212">
        <f>IF(AND($V2386&gt;0,$I2392&lt;&gt;1),Q2392/E2386*V2386,0)</f>
        <v>0</v>
      </c>
    </row>
    <row r="2393" spans="2:25" ht="16.5" hidden="1" thickTop="1" thickBot="1" x14ac:dyDescent="0.3">
      <c r="B2393" s="129">
        <f>B2391+1</f>
        <v>12</v>
      </c>
      <c r="C2393" s="130">
        <v>78</v>
      </c>
      <c r="D2393" s="196" t="str">
        <f t="shared" si="1475"/>
        <v>VIII</v>
      </c>
      <c r="E2393" s="131"/>
      <c r="F2393" s="132"/>
      <c r="G2393" s="132"/>
      <c r="H2393" s="133"/>
      <c r="I2393" s="133"/>
      <c r="J2393" s="131"/>
      <c r="K2393" s="134"/>
      <c r="L2393" s="133"/>
      <c r="M2393" s="133"/>
      <c r="N2393" s="135"/>
      <c r="O2393" s="136"/>
      <c r="P2393" s="137"/>
      <c r="Q2393" s="138"/>
      <c r="R2393" s="139"/>
      <c r="S2393" s="140"/>
      <c r="T2393" s="203">
        <f t="shared" si="1473"/>
        <v>43647</v>
      </c>
      <c r="U2393" s="204">
        <f t="shared" si="1474"/>
        <v>43677</v>
      </c>
      <c r="V2393" s="207">
        <f>IF(G2393-F2393+1-IF(G2393-U2393&gt;0,G2393-U2393,0)-IF(T2393-F2393&gt;0,T2393-F2393,0)&gt;0,G2393-F2393+1-IF(G2393-U2393&gt;0,G2393-U2393,0)-IF(T2393-F2393&gt;0,T2393-F2393,0),0)</f>
        <v>0</v>
      </c>
      <c r="W2393" s="206" t="str">
        <f t="shared" ref="W2393:W2398" si="1480">IF(V2393&gt;0,H2393,"")</f>
        <v/>
      </c>
      <c r="X2393" s="206">
        <f t="shared" ref="X2393:X2398" si="1481">IF(AND($V2393&gt;0,$I2393=1),P2393/$E2393*$V2393,0)</f>
        <v>0</v>
      </c>
      <c r="Y2393" s="209">
        <f t="shared" ref="Y2393:Y2398" si="1482">IF(AND($V2393&gt;0,$I2393&lt;&gt;1),Q2393/$E2393*$V2393,0)</f>
        <v>0</v>
      </c>
    </row>
    <row r="2394" spans="2:25" ht="16.5" hidden="1" thickTop="1" thickBot="1" x14ac:dyDescent="0.3">
      <c r="B2394" s="60">
        <f>B2393</f>
        <v>12</v>
      </c>
      <c r="C2394" s="102">
        <v>79</v>
      </c>
      <c r="D2394" s="192" t="str">
        <f t="shared" si="1475"/>
        <v>VIII</v>
      </c>
      <c r="E2394" s="62"/>
      <c r="F2394" s="105"/>
      <c r="G2394" s="105"/>
      <c r="H2394" s="61"/>
      <c r="I2394" s="61"/>
      <c r="J2394" s="62"/>
      <c r="K2394" s="63"/>
      <c r="L2394" s="61"/>
      <c r="M2394" s="61"/>
      <c r="N2394" s="111"/>
      <c r="O2394" s="112"/>
      <c r="P2394" s="113"/>
      <c r="Q2394" s="114"/>
      <c r="R2394" s="64"/>
      <c r="S2394" s="108"/>
      <c r="T2394" s="203">
        <f t="shared" si="1473"/>
        <v>43647</v>
      </c>
      <c r="U2394" s="204">
        <f t="shared" si="1474"/>
        <v>43677</v>
      </c>
      <c r="V2394" s="207">
        <f t="shared" ref="V2394:V2399" si="1483">IF(G2394-F2394+1-IF(G2394-U2394&gt;0,G2394-U2394,0)-IF(T2394-F2394&gt;0,T2394-F2394,0)&gt;0,G2394-F2394+1-IF(G2394-U2394&gt;0,G2394-U2394,0)-IF(T2394-F2394&gt;0,T2394-F2394,0),0)</f>
        <v>0</v>
      </c>
      <c r="W2394" s="206" t="str">
        <f t="shared" si="1480"/>
        <v/>
      </c>
      <c r="X2394" s="206">
        <f t="shared" si="1481"/>
        <v>0</v>
      </c>
      <c r="Y2394" s="209">
        <f t="shared" si="1482"/>
        <v>0</v>
      </c>
    </row>
    <row r="2395" spans="2:25" ht="16.5" hidden="1" thickTop="1" thickBot="1" x14ac:dyDescent="0.3">
      <c r="B2395" s="60">
        <f>B2393</f>
        <v>12</v>
      </c>
      <c r="C2395" s="102">
        <v>80</v>
      </c>
      <c r="D2395" s="192" t="str">
        <f t="shared" si="1475"/>
        <v>VIII</v>
      </c>
      <c r="E2395" s="62"/>
      <c r="F2395" s="105"/>
      <c r="G2395" s="105"/>
      <c r="H2395" s="61"/>
      <c r="I2395" s="61"/>
      <c r="J2395" s="62"/>
      <c r="K2395" s="63"/>
      <c r="L2395" s="61"/>
      <c r="M2395" s="61"/>
      <c r="N2395" s="111"/>
      <c r="O2395" s="112"/>
      <c r="P2395" s="113"/>
      <c r="Q2395" s="114"/>
      <c r="R2395" s="64"/>
      <c r="S2395" s="108"/>
      <c r="T2395" s="203">
        <f t="shared" si="1473"/>
        <v>43647</v>
      </c>
      <c r="U2395" s="204">
        <f t="shared" si="1474"/>
        <v>43677</v>
      </c>
      <c r="V2395" s="207">
        <f t="shared" si="1483"/>
        <v>0</v>
      </c>
      <c r="W2395" s="206" t="str">
        <f t="shared" si="1480"/>
        <v/>
      </c>
      <c r="X2395" s="206">
        <f t="shared" si="1481"/>
        <v>0</v>
      </c>
      <c r="Y2395" s="209">
        <f t="shared" si="1482"/>
        <v>0</v>
      </c>
    </row>
    <row r="2396" spans="2:25" ht="16.5" hidden="1" thickTop="1" thickBot="1" x14ac:dyDescent="0.3">
      <c r="B2396" s="60">
        <f>B2393</f>
        <v>12</v>
      </c>
      <c r="C2396" s="102">
        <v>81</v>
      </c>
      <c r="D2396" s="192" t="str">
        <f t="shared" si="1475"/>
        <v>VIII</v>
      </c>
      <c r="E2396" s="62"/>
      <c r="F2396" s="105"/>
      <c r="G2396" s="105"/>
      <c r="H2396" s="61"/>
      <c r="I2396" s="61"/>
      <c r="J2396" s="62"/>
      <c r="K2396" s="63"/>
      <c r="L2396" s="61"/>
      <c r="M2396" s="61"/>
      <c r="N2396" s="111"/>
      <c r="O2396" s="112"/>
      <c r="P2396" s="113"/>
      <c r="Q2396" s="114"/>
      <c r="R2396" s="64"/>
      <c r="S2396" s="108"/>
      <c r="T2396" s="203">
        <f t="shared" si="1473"/>
        <v>43647</v>
      </c>
      <c r="U2396" s="204">
        <f t="shared" si="1474"/>
        <v>43677</v>
      </c>
      <c r="V2396" s="207">
        <f t="shared" si="1483"/>
        <v>0</v>
      </c>
      <c r="W2396" s="206" t="str">
        <f t="shared" si="1480"/>
        <v/>
      </c>
      <c r="X2396" s="206">
        <f t="shared" si="1481"/>
        <v>0</v>
      </c>
      <c r="Y2396" s="209">
        <f t="shared" si="1482"/>
        <v>0</v>
      </c>
    </row>
    <row r="2397" spans="2:25" ht="16.5" hidden="1" thickTop="1" thickBot="1" x14ac:dyDescent="0.3">
      <c r="B2397" s="60">
        <f>B2393</f>
        <v>12</v>
      </c>
      <c r="C2397" s="102">
        <v>82</v>
      </c>
      <c r="D2397" s="192" t="str">
        <f t="shared" si="1475"/>
        <v>VIII</v>
      </c>
      <c r="E2397" s="62"/>
      <c r="F2397" s="105"/>
      <c r="G2397" s="105"/>
      <c r="H2397" s="61"/>
      <c r="I2397" s="61"/>
      <c r="J2397" s="62"/>
      <c r="K2397" s="63"/>
      <c r="L2397" s="61"/>
      <c r="M2397" s="61"/>
      <c r="N2397" s="111"/>
      <c r="O2397" s="112"/>
      <c r="P2397" s="113"/>
      <c r="Q2397" s="114"/>
      <c r="R2397" s="64"/>
      <c r="S2397" s="108"/>
      <c r="T2397" s="203">
        <f t="shared" si="1473"/>
        <v>43647</v>
      </c>
      <c r="U2397" s="204">
        <f t="shared" si="1474"/>
        <v>43677</v>
      </c>
      <c r="V2397" s="207">
        <f t="shared" si="1483"/>
        <v>0</v>
      </c>
      <c r="W2397" s="206" t="str">
        <f t="shared" si="1480"/>
        <v/>
      </c>
      <c r="X2397" s="206">
        <f t="shared" si="1481"/>
        <v>0</v>
      </c>
      <c r="Y2397" s="209">
        <f t="shared" si="1482"/>
        <v>0</v>
      </c>
    </row>
    <row r="2398" spans="2:25" ht="16.5" hidden="1" thickTop="1" thickBot="1" x14ac:dyDescent="0.3">
      <c r="B2398" s="60">
        <f>B2393</f>
        <v>12</v>
      </c>
      <c r="C2398" s="102">
        <v>83</v>
      </c>
      <c r="D2398" s="192" t="str">
        <f t="shared" si="1475"/>
        <v>VIII</v>
      </c>
      <c r="E2398" s="62"/>
      <c r="F2398" s="105"/>
      <c r="G2398" s="105"/>
      <c r="H2398" s="61"/>
      <c r="I2398" s="61"/>
      <c r="J2398" s="62"/>
      <c r="K2398" s="63"/>
      <c r="L2398" s="61"/>
      <c r="M2398" s="61"/>
      <c r="N2398" s="111"/>
      <c r="O2398" s="112"/>
      <c r="P2398" s="113"/>
      <c r="Q2398" s="114"/>
      <c r="R2398" s="64"/>
      <c r="S2398" s="108"/>
      <c r="T2398" s="203">
        <f t="shared" si="1473"/>
        <v>43647</v>
      </c>
      <c r="U2398" s="204">
        <f t="shared" si="1474"/>
        <v>43677</v>
      </c>
      <c r="V2398" s="207">
        <f t="shared" si="1483"/>
        <v>0</v>
      </c>
      <c r="W2398" s="206" t="str">
        <f t="shared" si="1480"/>
        <v/>
      </c>
      <c r="X2398" s="206">
        <f t="shared" si="1481"/>
        <v>0</v>
      </c>
      <c r="Y2398" s="209">
        <f t="shared" si="1482"/>
        <v>0</v>
      </c>
    </row>
    <row r="2399" spans="2:25" ht="16.5" hidden="1" thickTop="1" thickBot="1" x14ac:dyDescent="0.3">
      <c r="B2399" s="141">
        <f>B2393</f>
        <v>12</v>
      </c>
      <c r="C2399" s="142">
        <v>84</v>
      </c>
      <c r="D2399" s="194" t="str">
        <f t="shared" si="1475"/>
        <v>VIII</v>
      </c>
      <c r="E2399" s="143"/>
      <c r="F2399" s="144"/>
      <c r="G2399" s="144"/>
      <c r="H2399" s="145"/>
      <c r="I2399" s="145"/>
      <c r="J2399" s="436" t="s">
        <v>181</v>
      </c>
      <c r="K2399" s="437"/>
      <c r="L2399" s="438"/>
      <c r="M2399" s="145"/>
      <c r="N2399" s="146"/>
      <c r="O2399" s="147"/>
      <c r="P2399" s="148"/>
      <c r="Q2399" s="149"/>
      <c r="R2399" s="150"/>
      <c r="S2399" s="151"/>
      <c r="T2399" s="213">
        <f t="shared" si="1473"/>
        <v>43647</v>
      </c>
      <c r="U2399" s="214">
        <f t="shared" si="1474"/>
        <v>43677</v>
      </c>
      <c r="V2399" s="210">
        <f t="shared" si="1483"/>
        <v>0</v>
      </c>
      <c r="W2399" s="211"/>
      <c r="X2399" s="211">
        <f>IF(AND($V2399&gt;0,$I2399=1),IF($E2399=10,P2399/10,P2399/$V2399),0)</f>
        <v>0</v>
      </c>
      <c r="Y2399" s="212">
        <f>IF(AND($V2393&gt;0,$I2399&lt;&gt;1),Q2399/E2393*V2393,0)</f>
        <v>0</v>
      </c>
    </row>
    <row r="2400" spans="2:25" ht="16.5" hidden="1" thickTop="1" thickBot="1" x14ac:dyDescent="0.3">
      <c r="B2400" s="129">
        <f>B2398+1</f>
        <v>13</v>
      </c>
      <c r="C2400" s="130">
        <v>85</v>
      </c>
      <c r="D2400" s="196" t="str">
        <f t="shared" si="1475"/>
        <v>VIII</v>
      </c>
      <c r="E2400" s="152"/>
      <c r="F2400" s="153"/>
      <c r="G2400" s="153"/>
      <c r="H2400" s="154"/>
      <c r="I2400" s="154"/>
      <c r="J2400" s="152"/>
      <c r="K2400" s="155"/>
      <c r="L2400" s="154"/>
      <c r="M2400" s="154"/>
      <c r="N2400" s="156"/>
      <c r="O2400" s="157"/>
      <c r="P2400" s="158"/>
      <c r="Q2400" s="159"/>
      <c r="R2400" s="160"/>
      <c r="S2400" s="161"/>
      <c r="T2400" s="203">
        <f t="shared" si="1473"/>
        <v>43647</v>
      </c>
      <c r="U2400" s="204">
        <f t="shared" si="1474"/>
        <v>43677</v>
      </c>
      <c r="V2400" s="207">
        <f>IF(G2400-F2400+1-IF(G2400-U2400&gt;0,G2400-U2400,0)-IF(T2400-F2400&gt;0,T2400-F2400,0)&gt;0,G2400-F2400+1-IF(G2400-U2400&gt;0,G2400-U2400,0)-IF(T2400-F2400&gt;0,T2400-F2400,0),0)</f>
        <v>0</v>
      </c>
      <c r="W2400" s="206" t="str">
        <f t="shared" ref="W2400:W2405" si="1484">IF(V2400&gt;0,H2400,"")</f>
        <v/>
      </c>
      <c r="X2400" s="206">
        <f t="shared" ref="X2400:X2405" si="1485">IF(AND($V2400&gt;0,$I2400=1),P2400/$E2400*$V2400,0)</f>
        <v>0</v>
      </c>
      <c r="Y2400" s="209">
        <f t="shared" ref="Y2400:Y2405" si="1486">IF(AND($V2400&gt;0,$I2400&lt;&gt;1),Q2400/$E2400*$V2400,0)</f>
        <v>0</v>
      </c>
    </row>
    <row r="2401" spans="2:25" ht="16.5" hidden="1" thickTop="1" thickBot="1" x14ac:dyDescent="0.3">
      <c r="B2401" s="60">
        <f>B2400</f>
        <v>13</v>
      </c>
      <c r="C2401" s="102">
        <v>86</v>
      </c>
      <c r="D2401" s="192" t="str">
        <f t="shared" si="1475"/>
        <v>VIII</v>
      </c>
      <c r="E2401" s="162"/>
      <c r="F2401" s="163"/>
      <c r="G2401" s="163"/>
      <c r="H2401" s="164"/>
      <c r="I2401" s="164"/>
      <c r="J2401" s="162"/>
      <c r="K2401" s="165"/>
      <c r="L2401" s="164"/>
      <c r="M2401" s="164"/>
      <c r="N2401" s="166"/>
      <c r="O2401" s="167"/>
      <c r="P2401" s="168"/>
      <c r="Q2401" s="169"/>
      <c r="R2401" s="170"/>
      <c r="S2401" s="171"/>
      <c r="T2401" s="203">
        <f t="shared" si="1473"/>
        <v>43647</v>
      </c>
      <c r="U2401" s="204">
        <f t="shared" si="1474"/>
        <v>43677</v>
      </c>
      <c r="V2401" s="207">
        <f t="shared" ref="V2401:V2406" si="1487">IF(G2401-F2401+1-IF(G2401-U2401&gt;0,G2401-U2401,0)-IF(T2401-F2401&gt;0,T2401-F2401,0)&gt;0,G2401-F2401+1-IF(G2401-U2401&gt;0,G2401-U2401,0)-IF(T2401-F2401&gt;0,T2401-F2401,0),0)</f>
        <v>0</v>
      </c>
      <c r="W2401" s="206" t="str">
        <f t="shared" si="1484"/>
        <v/>
      </c>
      <c r="X2401" s="206">
        <f t="shared" si="1485"/>
        <v>0</v>
      </c>
      <c r="Y2401" s="209">
        <f t="shared" si="1486"/>
        <v>0</v>
      </c>
    </row>
    <row r="2402" spans="2:25" ht="16.5" hidden="1" thickTop="1" thickBot="1" x14ac:dyDescent="0.3">
      <c r="B2402" s="60">
        <f>B2400</f>
        <v>13</v>
      </c>
      <c r="C2402" s="102">
        <v>87</v>
      </c>
      <c r="D2402" s="192" t="str">
        <f t="shared" si="1475"/>
        <v>VIII</v>
      </c>
      <c r="E2402" s="162"/>
      <c r="F2402" s="163"/>
      <c r="G2402" s="163"/>
      <c r="H2402" s="164"/>
      <c r="I2402" s="164"/>
      <c r="J2402" s="162"/>
      <c r="K2402" s="165"/>
      <c r="L2402" s="164"/>
      <c r="M2402" s="164"/>
      <c r="N2402" s="166"/>
      <c r="O2402" s="167"/>
      <c r="P2402" s="168"/>
      <c r="Q2402" s="169"/>
      <c r="R2402" s="170"/>
      <c r="S2402" s="171"/>
      <c r="T2402" s="203">
        <f t="shared" si="1473"/>
        <v>43647</v>
      </c>
      <c r="U2402" s="204">
        <f t="shared" si="1474"/>
        <v>43677</v>
      </c>
      <c r="V2402" s="207">
        <f t="shared" si="1487"/>
        <v>0</v>
      </c>
      <c r="W2402" s="206" t="str">
        <f t="shared" si="1484"/>
        <v/>
      </c>
      <c r="X2402" s="206">
        <f t="shared" si="1485"/>
        <v>0</v>
      </c>
      <c r="Y2402" s="209">
        <f t="shared" si="1486"/>
        <v>0</v>
      </c>
    </row>
    <row r="2403" spans="2:25" ht="16.5" hidden="1" thickTop="1" thickBot="1" x14ac:dyDescent="0.3">
      <c r="B2403" s="60">
        <f>B2400</f>
        <v>13</v>
      </c>
      <c r="C2403" s="102">
        <v>88</v>
      </c>
      <c r="D2403" s="192" t="str">
        <f t="shared" si="1475"/>
        <v>VIII</v>
      </c>
      <c r="E2403" s="162"/>
      <c r="F2403" s="163"/>
      <c r="G2403" s="163"/>
      <c r="H2403" s="164"/>
      <c r="I2403" s="164"/>
      <c r="J2403" s="162"/>
      <c r="K2403" s="165"/>
      <c r="L2403" s="164"/>
      <c r="M2403" s="164"/>
      <c r="N2403" s="166"/>
      <c r="O2403" s="167"/>
      <c r="P2403" s="168"/>
      <c r="Q2403" s="169"/>
      <c r="R2403" s="170"/>
      <c r="S2403" s="171"/>
      <c r="T2403" s="203">
        <f t="shared" si="1473"/>
        <v>43647</v>
      </c>
      <c r="U2403" s="204">
        <f t="shared" si="1474"/>
        <v>43677</v>
      </c>
      <c r="V2403" s="207">
        <f t="shared" si="1487"/>
        <v>0</v>
      </c>
      <c r="W2403" s="206" t="str">
        <f t="shared" si="1484"/>
        <v/>
      </c>
      <c r="X2403" s="206">
        <f t="shared" si="1485"/>
        <v>0</v>
      </c>
      <c r="Y2403" s="209">
        <f t="shared" si="1486"/>
        <v>0</v>
      </c>
    </row>
    <row r="2404" spans="2:25" ht="16.5" hidden="1" thickTop="1" thickBot="1" x14ac:dyDescent="0.3">
      <c r="B2404" s="60">
        <f>B2400</f>
        <v>13</v>
      </c>
      <c r="C2404" s="102">
        <v>89</v>
      </c>
      <c r="D2404" s="192" t="str">
        <f t="shared" si="1475"/>
        <v>VIII</v>
      </c>
      <c r="E2404" s="162"/>
      <c r="F2404" s="163"/>
      <c r="G2404" s="163"/>
      <c r="H2404" s="164"/>
      <c r="I2404" s="164"/>
      <c r="J2404" s="162"/>
      <c r="K2404" s="165"/>
      <c r="L2404" s="164"/>
      <c r="M2404" s="164"/>
      <c r="N2404" s="166"/>
      <c r="O2404" s="167"/>
      <c r="P2404" s="168"/>
      <c r="Q2404" s="169"/>
      <c r="R2404" s="170"/>
      <c r="S2404" s="171"/>
      <c r="T2404" s="203">
        <f t="shared" si="1473"/>
        <v>43647</v>
      </c>
      <c r="U2404" s="204">
        <f t="shared" si="1474"/>
        <v>43677</v>
      </c>
      <c r="V2404" s="207">
        <f t="shared" si="1487"/>
        <v>0</v>
      </c>
      <c r="W2404" s="206" t="str">
        <f t="shared" si="1484"/>
        <v/>
      </c>
      <c r="X2404" s="206">
        <f t="shared" si="1485"/>
        <v>0</v>
      </c>
      <c r="Y2404" s="209">
        <f t="shared" si="1486"/>
        <v>0</v>
      </c>
    </row>
    <row r="2405" spans="2:25" ht="16.5" hidden="1" thickTop="1" thickBot="1" x14ac:dyDescent="0.3">
      <c r="B2405" s="60">
        <f>B2400</f>
        <v>13</v>
      </c>
      <c r="C2405" s="102">
        <v>90</v>
      </c>
      <c r="D2405" s="192" t="str">
        <f t="shared" si="1475"/>
        <v>VIII</v>
      </c>
      <c r="E2405" s="172"/>
      <c r="F2405" s="173"/>
      <c r="G2405" s="173"/>
      <c r="H2405" s="174"/>
      <c r="I2405" s="174"/>
      <c r="J2405" s="172"/>
      <c r="K2405" s="175"/>
      <c r="L2405" s="174"/>
      <c r="M2405" s="174"/>
      <c r="N2405" s="176"/>
      <c r="O2405" s="177"/>
      <c r="P2405" s="178"/>
      <c r="Q2405" s="179"/>
      <c r="R2405" s="180"/>
      <c r="S2405" s="181"/>
      <c r="T2405" s="203">
        <f t="shared" si="1473"/>
        <v>43647</v>
      </c>
      <c r="U2405" s="204">
        <f t="shared" si="1474"/>
        <v>43677</v>
      </c>
      <c r="V2405" s="207">
        <f t="shared" si="1487"/>
        <v>0</v>
      </c>
      <c r="W2405" s="206" t="str">
        <f t="shared" si="1484"/>
        <v/>
      </c>
      <c r="X2405" s="206">
        <f t="shared" si="1485"/>
        <v>0</v>
      </c>
      <c r="Y2405" s="209">
        <f t="shared" si="1486"/>
        <v>0</v>
      </c>
    </row>
    <row r="2406" spans="2:25" ht="16.5" hidden="1" thickTop="1" thickBot="1" x14ac:dyDescent="0.3">
      <c r="B2406" s="141">
        <f>B2400</f>
        <v>13</v>
      </c>
      <c r="C2406" s="142">
        <v>91</v>
      </c>
      <c r="D2406" s="194" t="str">
        <f t="shared" si="1475"/>
        <v>VIII</v>
      </c>
      <c r="E2406" s="189"/>
      <c r="F2406" s="190"/>
      <c r="G2406" s="190"/>
      <c r="H2406" s="182"/>
      <c r="I2406" s="182"/>
      <c r="J2406" s="436" t="s">
        <v>181</v>
      </c>
      <c r="K2406" s="437"/>
      <c r="L2406" s="438"/>
      <c r="M2406" s="182"/>
      <c r="N2406" s="183"/>
      <c r="O2406" s="184"/>
      <c r="P2406" s="185"/>
      <c r="Q2406" s="186"/>
      <c r="R2406" s="187"/>
      <c r="S2406" s="188"/>
      <c r="T2406" s="213">
        <f t="shared" si="1473"/>
        <v>43647</v>
      </c>
      <c r="U2406" s="214">
        <f t="shared" si="1474"/>
        <v>43677</v>
      </c>
      <c r="V2406" s="210">
        <f t="shared" si="1487"/>
        <v>0</v>
      </c>
      <c r="W2406" s="211"/>
      <c r="X2406" s="211">
        <f>IF(AND($V2406&gt;0,$I2406=1),IF($E2406=10,P2406/10,P2406/$V2406),0)</f>
        <v>0</v>
      </c>
      <c r="Y2406" s="212">
        <f>IF(AND($V2400&gt;0,$I2406&lt;&gt;1),Q2406/E2400*V2400,0)</f>
        <v>0</v>
      </c>
    </row>
    <row r="2407" spans="2:25" ht="16.5" hidden="1" thickTop="1" thickBot="1" x14ac:dyDescent="0.3">
      <c r="B2407" s="129">
        <f>B2405+1</f>
        <v>14</v>
      </c>
      <c r="C2407" s="130">
        <v>92</v>
      </c>
      <c r="D2407" s="196" t="str">
        <f t="shared" si="1475"/>
        <v>VIII</v>
      </c>
      <c r="E2407" s="131"/>
      <c r="F2407" s="132"/>
      <c r="G2407" s="132"/>
      <c r="H2407" s="133"/>
      <c r="I2407" s="133"/>
      <c r="J2407" s="131"/>
      <c r="K2407" s="134"/>
      <c r="L2407" s="133"/>
      <c r="M2407" s="133"/>
      <c r="N2407" s="135"/>
      <c r="O2407" s="136"/>
      <c r="P2407" s="137"/>
      <c r="Q2407" s="138"/>
      <c r="R2407" s="139"/>
      <c r="S2407" s="140"/>
      <c r="T2407" s="203">
        <f t="shared" si="1473"/>
        <v>43647</v>
      </c>
      <c r="U2407" s="204">
        <f t="shared" si="1474"/>
        <v>43677</v>
      </c>
      <c r="V2407" s="207">
        <f>IF(G2407-F2407+1-IF(G2407-U2407&gt;0,G2407-U2407,0)-IF(T2407-F2407&gt;0,T2407-F2407,0)&gt;0,G2407-F2407+1-IF(G2407-U2407&gt;0,G2407-U2407,0)-IF(T2407-F2407&gt;0,T2407-F2407,0),0)</f>
        <v>0</v>
      </c>
      <c r="W2407" s="206" t="str">
        <f t="shared" ref="W2407:W2412" si="1488">IF(V2407&gt;0,H2407,"")</f>
        <v/>
      </c>
      <c r="X2407" s="206">
        <f t="shared" ref="X2407:X2412" si="1489">IF(AND($V2407&gt;0,$I2407=1),P2407/$E2407*$V2407,0)</f>
        <v>0</v>
      </c>
      <c r="Y2407" s="209">
        <f t="shared" ref="Y2407:Y2412" si="1490">IF(AND($V2407&gt;0,$I2407&lt;&gt;1),Q2407/$E2407*$V2407,0)</f>
        <v>0</v>
      </c>
    </row>
    <row r="2408" spans="2:25" ht="16.5" hidden="1" thickTop="1" thickBot="1" x14ac:dyDescent="0.3">
      <c r="B2408" s="60">
        <f>B2407</f>
        <v>14</v>
      </c>
      <c r="C2408" s="102">
        <v>93</v>
      </c>
      <c r="D2408" s="192" t="str">
        <f t="shared" si="1475"/>
        <v>VIII</v>
      </c>
      <c r="E2408" s="62"/>
      <c r="F2408" s="105"/>
      <c r="G2408" s="105"/>
      <c r="H2408" s="61"/>
      <c r="I2408" s="61"/>
      <c r="J2408" s="62"/>
      <c r="K2408" s="63"/>
      <c r="L2408" s="61"/>
      <c r="M2408" s="61"/>
      <c r="N2408" s="111"/>
      <c r="O2408" s="112"/>
      <c r="P2408" s="113"/>
      <c r="Q2408" s="114"/>
      <c r="R2408" s="64"/>
      <c r="S2408" s="108"/>
      <c r="T2408" s="203">
        <f t="shared" si="1473"/>
        <v>43647</v>
      </c>
      <c r="U2408" s="204">
        <f t="shared" si="1474"/>
        <v>43677</v>
      </c>
      <c r="V2408" s="207">
        <f t="shared" ref="V2408:V2413" si="1491">IF(G2408-F2408+1-IF(G2408-U2408&gt;0,G2408-U2408,0)-IF(T2408-F2408&gt;0,T2408-F2408,0)&gt;0,G2408-F2408+1-IF(G2408-U2408&gt;0,G2408-U2408,0)-IF(T2408-F2408&gt;0,T2408-F2408,0),0)</f>
        <v>0</v>
      </c>
      <c r="W2408" s="206" t="str">
        <f t="shared" si="1488"/>
        <v/>
      </c>
      <c r="X2408" s="206">
        <f t="shared" si="1489"/>
        <v>0</v>
      </c>
      <c r="Y2408" s="209">
        <f t="shared" si="1490"/>
        <v>0</v>
      </c>
    </row>
    <row r="2409" spans="2:25" ht="16.5" hidden="1" thickTop="1" thickBot="1" x14ac:dyDescent="0.3">
      <c r="B2409" s="60">
        <f>B2407</f>
        <v>14</v>
      </c>
      <c r="C2409" s="102">
        <v>94</v>
      </c>
      <c r="D2409" s="192" t="str">
        <f t="shared" si="1475"/>
        <v>VIII</v>
      </c>
      <c r="E2409" s="62"/>
      <c r="F2409" s="105"/>
      <c r="G2409" s="105"/>
      <c r="H2409" s="61"/>
      <c r="I2409" s="61"/>
      <c r="J2409" s="62"/>
      <c r="K2409" s="63"/>
      <c r="L2409" s="61"/>
      <c r="M2409" s="61"/>
      <c r="N2409" s="111"/>
      <c r="O2409" s="112"/>
      <c r="P2409" s="113"/>
      <c r="Q2409" s="114"/>
      <c r="R2409" s="64"/>
      <c r="S2409" s="108"/>
      <c r="T2409" s="203">
        <f t="shared" si="1473"/>
        <v>43647</v>
      </c>
      <c r="U2409" s="204">
        <f t="shared" si="1474"/>
        <v>43677</v>
      </c>
      <c r="V2409" s="207">
        <f t="shared" si="1491"/>
        <v>0</v>
      </c>
      <c r="W2409" s="206" t="str">
        <f t="shared" si="1488"/>
        <v/>
      </c>
      <c r="X2409" s="206">
        <f t="shared" si="1489"/>
        <v>0</v>
      </c>
      <c r="Y2409" s="209">
        <f t="shared" si="1490"/>
        <v>0</v>
      </c>
    </row>
    <row r="2410" spans="2:25" ht="16.5" hidden="1" thickTop="1" thickBot="1" x14ac:dyDescent="0.3">
      <c r="B2410" s="60">
        <f>B2407</f>
        <v>14</v>
      </c>
      <c r="C2410" s="102">
        <v>95</v>
      </c>
      <c r="D2410" s="192" t="str">
        <f t="shared" si="1475"/>
        <v>VIII</v>
      </c>
      <c r="E2410" s="62"/>
      <c r="F2410" s="105"/>
      <c r="G2410" s="105"/>
      <c r="H2410" s="61"/>
      <c r="I2410" s="61"/>
      <c r="J2410" s="62"/>
      <c r="K2410" s="63"/>
      <c r="L2410" s="61"/>
      <c r="M2410" s="61"/>
      <c r="N2410" s="111"/>
      <c r="O2410" s="112"/>
      <c r="P2410" s="113"/>
      <c r="Q2410" s="114"/>
      <c r="R2410" s="64"/>
      <c r="S2410" s="108"/>
      <c r="T2410" s="203">
        <f t="shared" si="1473"/>
        <v>43647</v>
      </c>
      <c r="U2410" s="204">
        <f t="shared" si="1474"/>
        <v>43677</v>
      </c>
      <c r="V2410" s="207">
        <f t="shared" si="1491"/>
        <v>0</v>
      </c>
      <c r="W2410" s="206" t="str">
        <f t="shared" si="1488"/>
        <v/>
      </c>
      <c r="X2410" s="206">
        <f t="shared" si="1489"/>
        <v>0</v>
      </c>
      <c r="Y2410" s="209">
        <f t="shared" si="1490"/>
        <v>0</v>
      </c>
    </row>
    <row r="2411" spans="2:25" ht="16.5" hidden="1" thickTop="1" thickBot="1" x14ac:dyDescent="0.3">
      <c r="B2411" s="60">
        <f>B2407</f>
        <v>14</v>
      </c>
      <c r="C2411" s="102">
        <v>96</v>
      </c>
      <c r="D2411" s="192" t="str">
        <f t="shared" si="1475"/>
        <v>VIII</v>
      </c>
      <c r="E2411" s="62"/>
      <c r="F2411" s="105"/>
      <c r="G2411" s="105"/>
      <c r="H2411" s="61"/>
      <c r="I2411" s="61"/>
      <c r="J2411" s="62"/>
      <c r="K2411" s="63"/>
      <c r="L2411" s="61"/>
      <c r="M2411" s="61"/>
      <c r="N2411" s="111"/>
      <c r="O2411" s="112"/>
      <c r="P2411" s="113"/>
      <c r="Q2411" s="114"/>
      <c r="R2411" s="64"/>
      <c r="S2411" s="108"/>
      <c r="T2411" s="203">
        <f t="shared" si="1473"/>
        <v>43647</v>
      </c>
      <c r="U2411" s="204">
        <f t="shared" si="1474"/>
        <v>43677</v>
      </c>
      <c r="V2411" s="207">
        <f t="shared" si="1491"/>
        <v>0</v>
      </c>
      <c r="W2411" s="206" t="str">
        <f t="shared" si="1488"/>
        <v/>
      </c>
      <c r="X2411" s="206">
        <f t="shared" si="1489"/>
        <v>0</v>
      </c>
      <c r="Y2411" s="209">
        <f t="shared" si="1490"/>
        <v>0</v>
      </c>
    </row>
    <row r="2412" spans="2:25" ht="16.5" hidden="1" thickTop="1" thickBot="1" x14ac:dyDescent="0.3">
      <c r="B2412" s="60">
        <f>B2407</f>
        <v>14</v>
      </c>
      <c r="C2412" s="102">
        <v>97</v>
      </c>
      <c r="D2412" s="192" t="str">
        <f t="shared" si="1475"/>
        <v>VIII</v>
      </c>
      <c r="E2412" s="62"/>
      <c r="F2412" s="105"/>
      <c r="G2412" s="105"/>
      <c r="H2412" s="61"/>
      <c r="I2412" s="61"/>
      <c r="J2412" s="62"/>
      <c r="K2412" s="63"/>
      <c r="L2412" s="61"/>
      <c r="M2412" s="61"/>
      <c r="N2412" s="111"/>
      <c r="O2412" s="112"/>
      <c r="P2412" s="113"/>
      <c r="Q2412" s="114"/>
      <c r="R2412" s="64"/>
      <c r="S2412" s="108"/>
      <c r="T2412" s="203">
        <f t="shared" si="1473"/>
        <v>43647</v>
      </c>
      <c r="U2412" s="204">
        <f t="shared" si="1474"/>
        <v>43677</v>
      </c>
      <c r="V2412" s="207">
        <f t="shared" si="1491"/>
        <v>0</v>
      </c>
      <c r="W2412" s="206" t="str">
        <f t="shared" si="1488"/>
        <v/>
      </c>
      <c r="X2412" s="206">
        <f t="shared" si="1489"/>
        <v>0</v>
      </c>
      <c r="Y2412" s="209">
        <f t="shared" si="1490"/>
        <v>0</v>
      </c>
    </row>
    <row r="2413" spans="2:25" ht="16.5" hidden="1" thickTop="1" thickBot="1" x14ac:dyDescent="0.3">
      <c r="B2413" s="141">
        <f>B2407</f>
        <v>14</v>
      </c>
      <c r="C2413" s="142">
        <v>98</v>
      </c>
      <c r="D2413" s="194" t="str">
        <f t="shared" si="1475"/>
        <v>VIII</v>
      </c>
      <c r="E2413" s="143"/>
      <c r="F2413" s="144"/>
      <c r="G2413" s="144"/>
      <c r="H2413" s="145"/>
      <c r="I2413" s="145"/>
      <c r="J2413" s="436" t="s">
        <v>181</v>
      </c>
      <c r="K2413" s="437"/>
      <c r="L2413" s="438"/>
      <c r="M2413" s="145"/>
      <c r="N2413" s="146"/>
      <c r="O2413" s="147"/>
      <c r="P2413" s="148"/>
      <c r="Q2413" s="149"/>
      <c r="R2413" s="150"/>
      <c r="S2413" s="151"/>
      <c r="T2413" s="213">
        <f t="shared" si="1473"/>
        <v>43647</v>
      </c>
      <c r="U2413" s="214">
        <f t="shared" si="1474"/>
        <v>43677</v>
      </c>
      <c r="V2413" s="210">
        <f t="shared" si="1491"/>
        <v>0</v>
      </c>
      <c r="W2413" s="211"/>
      <c r="X2413" s="211">
        <f>IF(AND($V2413&gt;0,$I2413=1),IF($E2413=10,P2413/10,P2413/$V2413),0)</f>
        <v>0</v>
      </c>
      <c r="Y2413" s="212">
        <f>IF(AND($V2407&gt;0,$I2413&lt;&gt;1),Q2413/E2407*V2407,0)</f>
        <v>0</v>
      </c>
    </row>
    <row r="2414" spans="2:25" ht="16.5" hidden="1" thickTop="1" thickBot="1" x14ac:dyDescent="0.3">
      <c r="B2414" s="129">
        <f>B2412+1</f>
        <v>15</v>
      </c>
      <c r="C2414" s="130">
        <v>99</v>
      </c>
      <c r="D2414" s="196" t="str">
        <f t="shared" si="1475"/>
        <v>VIII</v>
      </c>
      <c r="E2414" s="152"/>
      <c r="F2414" s="153"/>
      <c r="G2414" s="153"/>
      <c r="H2414" s="154"/>
      <c r="I2414" s="154"/>
      <c r="J2414" s="152"/>
      <c r="K2414" s="155"/>
      <c r="L2414" s="154"/>
      <c r="M2414" s="154"/>
      <c r="N2414" s="156"/>
      <c r="O2414" s="157"/>
      <c r="P2414" s="158"/>
      <c r="Q2414" s="159"/>
      <c r="R2414" s="160"/>
      <c r="S2414" s="161"/>
      <c r="T2414" s="203">
        <f t="shared" si="1473"/>
        <v>43647</v>
      </c>
      <c r="U2414" s="204">
        <f t="shared" si="1474"/>
        <v>43677</v>
      </c>
      <c r="V2414" s="207">
        <f>IF(G2414-F2414+1-IF(G2414-U2414&gt;0,G2414-U2414,0)-IF(T2414-F2414&gt;0,T2414-F2414,0)&gt;0,G2414-F2414+1-IF(G2414-U2414&gt;0,G2414-U2414,0)-IF(T2414-F2414&gt;0,T2414-F2414,0),0)</f>
        <v>0</v>
      </c>
      <c r="W2414" s="206" t="str">
        <f t="shared" ref="W2414:W2419" si="1492">IF(V2414&gt;0,H2414,"")</f>
        <v/>
      </c>
      <c r="X2414" s="206">
        <f t="shared" ref="X2414:X2419" si="1493">IF(AND($V2414&gt;0,$I2414=1),P2414/$E2414*$V2414,0)</f>
        <v>0</v>
      </c>
      <c r="Y2414" s="209">
        <f t="shared" ref="Y2414:Y2419" si="1494">IF(AND($V2414&gt;0,$I2414&lt;&gt;1),Q2414/$E2414*$V2414,0)</f>
        <v>0</v>
      </c>
    </row>
    <row r="2415" spans="2:25" ht="16.5" hidden="1" thickTop="1" thickBot="1" x14ac:dyDescent="0.3">
      <c r="B2415" s="60">
        <f>B2414</f>
        <v>15</v>
      </c>
      <c r="C2415" s="102">
        <v>100</v>
      </c>
      <c r="D2415" s="192" t="str">
        <f t="shared" si="1475"/>
        <v>VIII</v>
      </c>
      <c r="E2415" s="162"/>
      <c r="F2415" s="163"/>
      <c r="G2415" s="163"/>
      <c r="H2415" s="164"/>
      <c r="I2415" s="164"/>
      <c r="J2415" s="162"/>
      <c r="K2415" s="165"/>
      <c r="L2415" s="164"/>
      <c r="M2415" s="164"/>
      <c r="N2415" s="166"/>
      <c r="O2415" s="167"/>
      <c r="P2415" s="168"/>
      <c r="Q2415" s="169"/>
      <c r="R2415" s="170"/>
      <c r="S2415" s="171"/>
      <c r="T2415" s="203">
        <f t="shared" si="1473"/>
        <v>43647</v>
      </c>
      <c r="U2415" s="204">
        <f t="shared" si="1474"/>
        <v>43677</v>
      </c>
      <c r="V2415" s="207">
        <f t="shared" ref="V2415:V2420" si="1495">IF(G2415-F2415+1-IF(G2415-U2415&gt;0,G2415-U2415,0)-IF(T2415-F2415&gt;0,T2415-F2415,0)&gt;0,G2415-F2415+1-IF(G2415-U2415&gt;0,G2415-U2415,0)-IF(T2415-F2415&gt;0,T2415-F2415,0),0)</f>
        <v>0</v>
      </c>
      <c r="W2415" s="206" t="str">
        <f t="shared" si="1492"/>
        <v/>
      </c>
      <c r="X2415" s="206">
        <f t="shared" si="1493"/>
        <v>0</v>
      </c>
      <c r="Y2415" s="209">
        <f t="shared" si="1494"/>
        <v>0</v>
      </c>
    </row>
    <row r="2416" spans="2:25" ht="16.5" hidden="1" thickTop="1" thickBot="1" x14ac:dyDescent="0.3">
      <c r="B2416" s="60">
        <f>B2414</f>
        <v>15</v>
      </c>
      <c r="C2416" s="102">
        <v>101</v>
      </c>
      <c r="D2416" s="192" t="str">
        <f t="shared" si="1475"/>
        <v>VIII</v>
      </c>
      <c r="E2416" s="162"/>
      <c r="F2416" s="163"/>
      <c r="G2416" s="163"/>
      <c r="H2416" s="164"/>
      <c r="I2416" s="164"/>
      <c r="J2416" s="162"/>
      <c r="K2416" s="165"/>
      <c r="L2416" s="164"/>
      <c r="M2416" s="164"/>
      <c r="N2416" s="166"/>
      <c r="O2416" s="167"/>
      <c r="P2416" s="168"/>
      <c r="Q2416" s="169"/>
      <c r="R2416" s="170"/>
      <c r="S2416" s="171"/>
      <c r="T2416" s="203">
        <f t="shared" si="1473"/>
        <v>43647</v>
      </c>
      <c r="U2416" s="204">
        <f t="shared" si="1474"/>
        <v>43677</v>
      </c>
      <c r="V2416" s="207">
        <f t="shared" si="1495"/>
        <v>0</v>
      </c>
      <c r="W2416" s="206" t="str">
        <f t="shared" si="1492"/>
        <v/>
      </c>
      <c r="X2416" s="206">
        <f t="shared" si="1493"/>
        <v>0</v>
      </c>
      <c r="Y2416" s="209">
        <f t="shared" si="1494"/>
        <v>0</v>
      </c>
    </row>
    <row r="2417" spans="2:25" ht="16.5" hidden="1" thickTop="1" thickBot="1" x14ac:dyDescent="0.3">
      <c r="B2417" s="60">
        <f>B2414</f>
        <v>15</v>
      </c>
      <c r="C2417" s="102">
        <v>102</v>
      </c>
      <c r="D2417" s="192" t="str">
        <f t="shared" si="1475"/>
        <v>VIII</v>
      </c>
      <c r="E2417" s="162"/>
      <c r="F2417" s="163"/>
      <c r="G2417" s="163"/>
      <c r="H2417" s="164"/>
      <c r="I2417" s="164"/>
      <c r="J2417" s="162"/>
      <c r="K2417" s="165"/>
      <c r="L2417" s="164"/>
      <c r="M2417" s="164"/>
      <c r="N2417" s="166"/>
      <c r="O2417" s="167"/>
      <c r="P2417" s="168"/>
      <c r="Q2417" s="169"/>
      <c r="R2417" s="170"/>
      <c r="S2417" s="171"/>
      <c r="T2417" s="203">
        <f t="shared" si="1473"/>
        <v>43647</v>
      </c>
      <c r="U2417" s="204">
        <f t="shared" si="1474"/>
        <v>43677</v>
      </c>
      <c r="V2417" s="207">
        <f t="shared" si="1495"/>
        <v>0</v>
      </c>
      <c r="W2417" s="206" t="str">
        <f t="shared" si="1492"/>
        <v/>
      </c>
      <c r="X2417" s="206">
        <f t="shared" si="1493"/>
        <v>0</v>
      </c>
      <c r="Y2417" s="209">
        <f t="shared" si="1494"/>
        <v>0</v>
      </c>
    </row>
    <row r="2418" spans="2:25" ht="16.5" hidden="1" thickTop="1" thickBot="1" x14ac:dyDescent="0.3">
      <c r="B2418" s="60">
        <f>B2414</f>
        <v>15</v>
      </c>
      <c r="C2418" s="102">
        <v>103</v>
      </c>
      <c r="D2418" s="192" t="str">
        <f t="shared" si="1475"/>
        <v>VIII</v>
      </c>
      <c r="E2418" s="162"/>
      <c r="F2418" s="163"/>
      <c r="G2418" s="163"/>
      <c r="H2418" s="164"/>
      <c r="I2418" s="164"/>
      <c r="J2418" s="162"/>
      <c r="K2418" s="165"/>
      <c r="L2418" s="164"/>
      <c r="M2418" s="164"/>
      <c r="N2418" s="166"/>
      <c r="O2418" s="167"/>
      <c r="P2418" s="168"/>
      <c r="Q2418" s="169"/>
      <c r="R2418" s="170"/>
      <c r="S2418" s="171"/>
      <c r="T2418" s="203">
        <f t="shared" si="1473"/>
        <v>43647</v>
      </c>
      <c r="U2418" s="204">
        <f t="shared" si="1474"/>
        <v>43677</v>
      </c>
      <c r="V2418" s="207">
        <f t="shared" si="1495"/>
        <v>0</v>
      </c>
      <c r="W2418" s="206" t="str">
        <f t="shared" si="1492"/>
        <v/>
      </c>
      <c r="X2418" s="206">
        <f t="shared" si="1493"/>
        <v>0</v>
      </c>
      <c r="Y2418" s="209">
        <f t="shared" si="1494"/>
        <v>0</v>
      </c>
    </row>
    <row r="2419" spans="2:25" ht="16.5" hidden="1" thickTop="1" thickBot="1" x14ac:dyDescent="0.3">
      <c r="B2419" s="60">
        <f>B2414</f>
        <v>15</v>
      </c>
      <c r="C2419" s="102">
        <v>104</v>
      </c>
      <c r="D2419" s="192" t="str">
        <f t="shared" si="1475"/>
        <v>VIII</v>
      </c>
      <c r="E2419" s="172"/>
      <c r="F2419" s="173"/>
      <c r="G2419" s="173"/>
      <c r="H2419" s="174"/>
      <c r="I2419" s="174"/>
      <c r="J2419" s="172"/>
      <c r="K2419" s="175"/>
      <c r="L2419" s="174"/>
      <c r="M2419" s="174"/>
      <c r="N2419" s="176"/>
      <c r="O2419" s="177"/>
      <c r="P2419" s="178"/>
      <c r="Q2419" s="179"/>
      <c r="R2419" s="180"/>
      <c r="S2419" s="181"/>
      <c r="T2419" s="203">
        <f t="shared" si="1473"/>
        <v>43647</v>
      </c>
      <c r="U2419" s="204">
        <f t="shared" si="1474"/>
        <v>43677</v>
      </c>
      <c r="V2419" s="207">
        <f t="shared" si="1495"/>
        <v>0</v>
      </c>
      <c r="W2419" s="206" t="str">
        <f t="shared" si="1492"/>
        <v/>
      </c>
      <c r="X2419" s="206">
        <f t="shared" si="1493"/>
        <v>0</v>
      </c>
      <c r="Y2419" s="209">
        <f t="shared" si="1494"/>
        <v>0</v>
      </c>
    </row>
    <row r="2420" spans="2:25" ht="16.5" hidden="1" thickTop="1" thickBot="1" x14ac:dyDescent="0.3">
      <c r="B2420" s="141">
        <f>B2414</f>
        <v>15</v>
      </c>
      <c r="C2420" s="142">
        <v>105</v>
      </c>
      <c r="D2420" s="194" t="str">
        <f t="shared" si="1475"/>
        <v>VIII</v>
      </c>
      <c r="E2420" s="189"/>
      <c r="F2420" s="190"/>
      <c r="G2420" s="190"/>
      <c r="H2420" s="182"/>
      <c r="I2420" s="182"/>
      <c r="J2420" s="436" t="s">
        <v>181</v>
      </c>
      <c r="K2420" s="437"/>
      <c r="L2420" s="438"/>
      <c r="M2420" s="182"/>
      <c r="N2420" s="183"/>
      <c r="O2420" s="184"/>
      <c r="P2420" s="185"/>
      <c r="Q2420" s="186"/>
      <c r="R2420" s="187"/>
      <c r="S2420" s="188"/>
      <c r="T2420" s="213">
        <f t="shared" si="1473"/>
        <v>43647</v>
      </c>
      <c r="U2420" s="214">
        <f t="shared" si="1474"/>
        <v>43677</v>
      </c>
      <c r="V2420" s="210">
        <f t="shared" si="1495"/>
        <v>0</v>
      </c>
      <c r="W2420" s="211"/>
      <c r="X2420" s="211">
        <f>IF(AND($V2420&gt;0,$I2420=1),IF($E2420=10,P2420/10,P2420/$V2420),0)</f>
        <v>0</v>
      </c>
      <c r="Y2420" s="212">
        <f>IF(AND($V2414&gt;0,$I2420&lt;&gt;1),Q2420/E2414*V2414,0)</f>
        <v>0</v>
      </c>
    </row>
    <row r="2421" spans="2:25" ht="16.5" hidden="1" thickTop="1" thickBot="1" x14ac:dyDescent="0.3">
      <c r="B2421" s="129">
        <f>B2419+1</f>
        <v>16</v>
      </c>
      <c r="C2421" s="130">
        <v>106</v>
      </c>
      <c r="D2421" s="196" t="str">
        <f t="shared" si="1475"/>
        <v>VIII</v>
      </c>
      <c r="E2421" s="131"/>
      <c r="F2421" s="132"/>
      <c r="G2421" s="132"/>
      <c r="H2421" s="133"/>
      <c r="I2421" s="133"/>
      <c r="J2421" s="131"/>
      <c r="K2421" s="134"/>
      <c r="L2421" s="133"/>
      <c r="M2421" s="133"/>
      <c r="N2421" s="135"/>
      <c r="O2421" s="136"/>
      <c r="P2421" s="137"/>
      <c r="Q2421" s="138"/>
      <c r="R2421" s="139"/>
      <c r="S2421" s="140"/>
      <c r="T2421" s="203">
        <f t="shared" si="1473"/>
        <v>43647</v>
      </c>
      <c r="U2421" s="204">
        <f t="shared" si="1474"/>
        <v>43677</v>
      </c>
      <c r="V2421" s="207">
        <f>IF(G2421-F2421+1-IF(G2421-U2421&gt;0,G2421-U2421,0)-IF(T2421-F2421&gt;0,T2421-F2421,0)&gt;0,G2421-F2421+1-IF(G2421-U2421&gt;0,G2421-U2421,0)-IF(T2421-F2421&gt;0,T2421-F2421,0),0)</f>
        <v>0</v>
      </c>
      <c r="W2421" s="206" t="str">
        <f t="shared" ref="W2421:W2426" si="1496">IF(V2421&gt;0,H2421,"")</f>
        <v/>
      </c>
      <c r="X2421" s="206">
        <f t="shared" ref="X2421:X2426" si="1497">IF(AND($V2421&gt;0,$I2421=1),P2421/$E2421*$V2421,0)</f>
        <v>0</v>
      </c>
      <c r="Y2421" s="209">
        <f t="shared" ref="Y2421:Y2426" si="1498">IF(AND($V2421&gt;0,$I2421&lt;&gt;1),Q2421/$E2421*$V2421,0)</f>
        <v>0</v>
      </c>
    </row>
    <row r="2422" spans="2:25" ht="16.5" hidden="1" thickTop="1" thickBot="1" x14ac:dyDescent="0.3">
      <c r="B2422" s="60">
        <f>B2421</f>
        <v>16</v>
      </c>
      <c r="C2422" s="102">
        <v>107</v>
      </c>
      <c r="D2422" s="192" t="str">
        <f t="shared" si="1475"/>
        <v>VIII</v>
      </c>
      <c r="E2422" s="62"/>
      <c r="F2422" s="105"/>
      <c r="G2422" s="105"/>
      <c r="H2422" s="61"/>
      <c r="I2422" s="61"/>
      <c r="J2422" s="62"/>
      <c r="K2422" s="63"/>
      <c r="L2422" s="61"/>
      <c r="M2422" s="61"/>
      <c r="N2422" s="111"/>
      <c r="O2422" s="112"/>
      <c r="P2422" s="113"/>
      <c r="Q2422" s="114"/>
      <c r="R2422" s="64"/>
      <c r="S2422" s="108"/>
      <c r="T2422" s="203">
        <f t="shared" si="1473"/>
        <v>43647</v>
      </c>
      <c r="U2422" s="204">
        <f t="shared" si="1474"/>
        <v>43677</v>
      </c>
      <c r="V2422" s="207">
        <f t="shared" ref="V2422:V2427" si="1499">IF(G2422-F2422+1-IF(G2422-U2422&gt;0,G2422-U2422,0)-IF(T2422-F2422&gt;0,T2422-F2422,0)&gt;0,G2422-F2422+1-IF(G2422-U2422&gt;0,G2422-U2422,0)-IF(T2422-F2422&gt;0,T2422-F2422,0),0)</f>
        <v>0</v>
      </c>
      <c r="W2422" s="206" t="str">
        <f t="shared" si="1496"/>
        <v/>
      </c>
      <c r="X2422" s="206">
        <f t="shared" si="1497"/>
        <v>0</v>
      </c>
      <c r="Y2422" s="209">
        <f t="shared" si="1498"/>
        <v>0</v>
      </c>
    </row>
    <row r="2423" spans="2:25" ht="16.5" hidden="1" thickTop="1" thickBot="1" x14ac:dyDescent="0.3">
      <c r="B2423" s="60">
        <f>B2421</f>
        <v>16</v>
      </c>
      <c r="C2423" s="102">
        <v>108</v>
      </c>
      <c r="D2423" s="192" t="str">
        <f t="shared" si="1475"/>
        <v>VIII</v>
      </c>
      <c r="E2423" s="62"/>
      <c r="F2423" s="105"/>
      <c r="G2423" s="105"/>
      <c r="H2423" s="61"/>
      <c r="I2423" s="61"/>
      <c r="J2423" s="62"/>
      <c r="K2423" s="63"/>
      <c r="L2423" s="61"/>
      <c r="M2423" s="61"/>
      <c r="N2423" s="111"/>
      <c r="O2423" s="112"/>
      <c r="P2423" s="113"/>
      <c r="Q2423" s="114"/>
      <c r="R2423" s="64"/>
      <c r="S2423" s="108"/>
      <c r="T2423" s="203">
        <f t="shared" si="1473"/>
        <v>43647</v>
      </c>
      <c r="U2423" s="204">
        <f t="shared" si="1474"/>
        <v>43677</v>
      </c>
      <c r="V2423" s="207">
        <f t="shared" si="1499"/>
        <v>0</v>
      </c>
      <c r="W2423" s="206" t="str">
        <f t="shared" si="1496"/>
        <v/>
      </c>
      <c r="X2423" s="206">
        <f t="shared" si="1497"/>
        <v>0</v>
      </c>
      <c r="Y2423" s="209">
        <f t="shared" si="1498"/>
        <v>0</v>
      </c>
    </row>
    <row r="2424" spans="2:25" ht="16.5" hidden="1" thickTop="1" thickBot="1" x14ac:dyDescent="0.3">
      <c r="B2424" s="60">
        <f>B2421</f>
        <v>16</v>
      </c>
      <c r="C2424" s="102">
        <v>109</v>
      </c>
      <c r="D2424" s="192" t="str">
        <f t="shared" si="1475"/>
        <v>VIII</v>
      </c>
      <c r="E2424" s="62"/>
      <c r="F2424" s="105"/>
      <c r="G2424" s="105"/>
      <c r="H2424" s="61"/>
      <c r="I2424" s="61"/>
      <c r="J2424" s="62"/>
      <c r="K2424" s="63"/>
      <c r="L2424" s="61"/>
      <c r="M2424" s="61"/>
      <c r="N2424" s="111"/>
      <c r="O2424" s="112"/>
      <c r="P2424" s="113"/>
      <c r="Q2424" s="114"/>
      <c r="R2424" s="64"/>
      <c r="S2424" s="108"/>
      <c r="T2424" s="203">
        <f t="shared" si="1473"/>
        <v>43647</v>
      </c>
      <c r="U2424" s="204">
        <f t="shared" si="1474"/>
        <v>43677</v>
      </c>
      <c r="V2424" s="207">
        <f t="shared" si="1499"/>
        <v>0</v>
      </c>
      <c r="W2424" s="206" t="str">
        <f t="shared" si="1496"/>
        <v/>
      </c>
      <c r="X2424" s="206">
        <f t="shared" si="1497"/>
        <v>0</v>
      </c>
      <c r="Y2424" s="209">
        <f t="shared" si="1498"/>
        <v>0</v>
      </c>
    </row>
    <row r="2425" spans="2:25" ht="16.5" hidden="1" thickTop="1" thickBot="1" x14ac:dyDescent="0.3">
      <c r="B2425" s="60">
        <f>B2421</f>
        <v>16</v>
      </c>
      <c r="C2425" s="102">
        <v>110</v>
      </c>
      <c r="D2425" s="192" t="str">
        <f t="shared" si="1475"/>
        <v>VIII</v>
      </c>
      <c r="E2425" s="62"/>
      <c r="F2425" s="105"/>
      <c r="G2425" s="105"/>
      <c r="H2425" s="61"/>
      <c r="I2425" s="61"/>
      <c r="J2425" s="62"/>
      <c r="K2425" s="63"/>
      <c r="L2425" s="61"/>
      <c r="M2425" s="61"/>
      <c r="N2425" s="111"/>
      <c r="O2425" s="112"/>
      <c r="P2425" s="113"/>
      <c r="Q2425" s="114"/>
      <c r="R2425" s="64"/>
      <c r="S2425" s="108"/>
      <c r="T2425" s="203">
        <f t="shared" si="1473"/>
        <v>43647</v>
      </c>
      <c r="U2425" s="204">
        <f t="shared" si="1474"/>
        <v>43677</v>
      </c>
      <c r="V2425" s="207">
        <f t="shared" si="1499"/>
        <v>0</v>
      </c>
      <c r="W2425" s="206" t="str">
        <f t="shared" si="1496"/>
        <v/>
      </c>
      <c r="X2425" s="206">
        <f t="shared" si="1497"/>
        <v>0</v>
      </c>
      <c r="Y2425" s="209">
        <f t="shared" si="1498"/>
        <v>0</v>
      </c>
    </row>
    <row r="2426" spans="2:25" ht="16.5" hidden="1" thickTop="1" thickBot="1" x14ac:dyDescent="0.3">
      <c r="B2426" s="60">
        <f>B2421</f>
        <v>16</v>
      </c>
      <c r="C2426" s="102">
        <v>111</v>
      </c>
      <c r="D2426" s="192" t="str">
        <f t="shared" si="1475"/>
        <v>VIII</v>
      </c>
      <c r="E2426" s="62"/>
      <c r="F2426" s="105"/>
      <c r="G2426" s="105"/>
      <c r="H2426" s="61"/>
      <c r="I2426" s="61"/>
      <c r="J2426" s="62"/>
      <c r="K2426" s="63"/>
      <c r="L2426" s="61"/>
      <c r="M2426" s="61"/>
      <c r="N2426" s="111"/>
      <c r="O2426" s="112"/>
      <c r="P2426" s="113"/>
      <c r="Q2426" s="114"/>
      <c r="R2426" s="64"/>
      <c r="S2426" s="108"/>
      <c r="T2426" s="203">
        <f t="shared" si="1473"/>
        <v>43647</v>
      </c>
      <c r="U2426" s="204">
        <f t="shared" si="1474"/>
        <v>43677</v>
      </c>
      <c r="V2426" s="207">
        <f t="shared" si="1499"/>
        <v>0</v>
      </c>
      <c r="W2426" s="206" t="str">
        <f t="shared" si="1496"/>
        <v/>
      </c>
      <c r="X2426" s="206">
        <f t="shared" si="1497"/>
        <v>0</v>
      </c>
      <c r="Y2426" s="209">
        <f t="shared" si="1498"/>
        <v>0</v>
      </c>
    </row>
    <row r="2427" spans="2:25" ht="16.5" hidden="1" thickTop="1" thickBot="1" x14ac:dyDescent="0.3">
      <c r="B2427" s="141">
        <f>B2421</f>
        <v>16</v>
      </c>
      <c r="C2427" s="142">
        <v>112</v>
      </c>
      <c r="D2427" s="194" t="str">
        <f t="shared" si="1475"/>
        <v>VIII</v>
      </c>
      <c r="E2427" s="143"/>
      <c r="F2427" s="144"/>
      <c r="G2427" s="144"/>
      <c r="H2427" s="145"/>
      <c r="I2427" s="145"/>
      <c r="J2427" s="436" t="s">
        <v>181</v>
      </c>
      <c r="K2427" s="437"/>
      <c r="L2427" s="438"/>
      <c r="M2427" s="145"/>
      <c r="N2427" s="146"/>
      <c r="O2427" s="147"/>
      <c r="P2427" s="148"/>
      <c r="Q2427" s="149"/>
      <c r="R2427" s="150"/>
      <c r="S2427" s="151"/>
      <c r="T2427" s="213">
        <f t="shared" si="1473"/>
        <v>43647</v>
      </c>
      <c r="U2427" s="214">
        <f t="shared" si="1474"/>
        <v>43677</v>
      </c>
      <c r="V2427" s="210">
        <f t="shared" si="1499"/>
        <v>0</v>
      </c>
      <c r="W2427" s="211"/>
      <c r="X2427" s="211">
        <f>IF(AND($V2427&gt;0,$I2427=1),IF($E2427=10,P2427/10,P2427/$V2427),0)</f>
        <v>0</v>
      </c>
      <c r="Y2427" s="212">
        <f>IF(AND($V2421&gt;0,$I2427&lt;&gt;1),Q2427/E2421*V2421,0)</f>
        <v>0</v>
      </c>
    </row>
    <row r="2428" spans="2:25" ht="16.5" hidden="1" thickTop="1" thickBot="1" x14ac:dyDescent="0.3">
      <c r="B2428" s="129">
        <f>B2426+1</f>
        <v>17</v>
      </c>
      <c r="C2428" s="130">
        <v>113</v>
      </c>
      <c r="D2428" s="196" t="str">
        <f t="shared" si="1475"/>
        <v>VIII</v>
      </c>
      <c r="E2428" s="152"/>
      <c r="F2428" s="153"/>
      <c r="G2428" s="153"/>
      <c r="H2428" s="154"/>
      <c r="I2428" s="154"/>
      <c r="J2428" s="152"/>
      <c r="K2428" s="155"/>
      <c r="L2428" s="154"/>
      <c r="M2428" s="154"/>
      <c r="N2428" s="156"/>
      <c r="O2428" s="157"/>
      <c r="P2428" s="158"/>
      <c r="Q2428" s="159"/>
      <c r="R2428" s="160"/>
      <c r="S2428" s="161"/>
      <c r="T2428" s="203">
        <f t="shared" si="1473"/>
        <v>43647</v>
      </c>
      <c r="U2428" s="204">
        <f t="shared" si="1474"/>
        <v>43677</v>
      </c>
      <c r="V2428" s="207">
        <f>IF(G2428-F2428+1-IF(G2428-U2428&gt;0,G2428-U2428,0)-IF(T2428-F2428&gt;0,T2428-F2428,0)&gt;0,G2428-F2428+1-IF(G2428-U2428&gt;0,G2428-U2428,0)-IF(T2428-F2428&gt;0,T2428-F2428,0),0)</f>
        <v>0</v>
      </c>
      <c r="W2428" s="206" t="str">
        <f t="shared" ref="W2428:W2433" si="1500">IF(V2428&gt;0,H2428,"")</f>
        <v/>
      </c>
      <c r="X2428" s="206">
        <f t="shared" ref="X2428:X2433" si="1501">IF(AND($V2428&gt;0,$I2428=1),P2428/$E2428*$V2428,0)</f>
        <v>0</v>
      </c>
      <c r="Y2428" s="209">
        <f t="shared" ref="Y2428:Y2433" si="1502">IF(AND($V2428&gt;0,$I2428&lt;&gt;1),Q2428/$E2428*$V2428,0)</f>
        <v>0</v>
      </c>
    </row>
    <row r="2429" spans="2:25" ht="16.5" hidden="1" thickTop="1" thickBot="1" x14ac:dyDescent="0.3">
      <c r="B2429" s="60">
        <f>B2428</f>
        <v>17</v>
      </c>
      <c r="C2429" s="102">
        <v>114</v>
      </c>
      <c r="D2429" s="192" t="str">
        <f t="shared" si="1475"/>
        <v>VIII</v>
      </c>
      <c r="E2429" s="162"/>
      <c r="F2429" s="163"/>
      <c r="G2429" s="163"/>
      <c r="H2429" s="164"/>
      <c r="I2429" s="164"/>
      <c r="J2429" s="162"/>
      <c r="K2429" s="165"/>
      <c r="L2429" s="164"/>
      <c r="M2429" s="164"/>
      <c r="N2429" s="166"/>
      <c r="O2429" s="167"/>
      <c r="P2429" s="168"/>
      <c r="Q2429" s="169"/>
      <c r="R2429" s="170"/>
      <c r="S2429" s="171"/>
      <c r="T2429" s="203">
        <f t="shared" si="1473"/>
        <v>43647</v>
      </c>
      <c r="U2429" s="204">
        <f t="shared" si="1474"/>
        <v>43677</v>
      </c>
      <c r="V2429" s="207">
        <f t="shared" ref="V2429:V2434" si="1503">IF(G2429-F2429+1-IF(G2429-U2429&gt;0,G2429-U2429,0)-IF(T2429-F2429&gt;0,T2429-F2429,0)&gt;0,G2429-F2429+1-IF(G2429-U2429&gt;0,G2429-U2429,0)-IF(T2429-F2429&gt;0,T2429-F2429,0),0)</f>
        <v>0</v>
      </c>
      <c r="W2429" s="206" t="str">
        <f t="shared" si="1500"/>
        <v/>
      </c>
      <c r="X2429" s="206">
        <f t="shared" si="1501"/>
        <v>0</v>
      </c>
      <c r="Y2429" s="209">
        <f t="shared" si="1502"/>
        <v>0</v>
      </c>
    </row>
    <row r="2430" spans="2:25" ht="16.5" hidden="1" thickTop="1" thickBot="1" x14ac:dyDescent="0.3">
      <c r="B2430" s="60">
        <f>B2428</f>
        <v>17</v>
      </c>
      <c r="C2430" s="102">
        <v>115</v>
      </c>
      <c r="D2430" s="192" t="str">
        <f t="shared" si="1475"/>
        <v>VIII</v>
      </c>
      <c r="E2430" s="162"/>
      <c r="F2430" s="163"/>
      <c r="G2430" s="163"/>
      <c r="H2430" s="164"/>
      <c r="I2430" s="164"/>
      <c r="J2430" s="162"/>
      <c r="K2430" s="165"/>
      <c r="L2430" s="164"/>
      <c r="M2430" s="164"/>
      <c r="N2430" s="166"/>
      <c r="O2430" s="167"/>
      <c r="P2430" s="168"/>
      <c r="Q2430" s="169"/>
      <c r="R2430" s="170"/>
      <c r="S2430" s="171"/>
      <c r="T2430" s="203">
        <f t="shared" si="1473"/>
        <v>43647</v>
      </c>
      <c r="U2430" s="204">
        <f t="shared" si="1474"/>
        <v>43677</v>
      </c>
      <c r="V2430" s="207">
        <f t="shared" si="1503"/>
        <v>0</v>
      </c>
      <c r="W2430" s="206" t="str">
        <f t="shared" si="1500"/>
        <v/>
      </c>
      <c r="X2430" s="206">
        <f t="shared" si="1501"/>
        <v>0</v>
      </c>
      <c r="Y2430" s="209">
        <f t="shared" si="1502"/>
        <v>0</v>
      </c>
    </row>
    <row r="2431" spans="2:25" ht="16.5" hidden="1" thickTop="1" thickBot="1" x14ac:dyDescent="0.3">
      <c r="B2431" s="60">
        <f>B2428</f>
        <v>17</v>
      </c>
      <c r="C2431" s="102">
        <v>116</v>
      </c>
      <c r="D2431" s="192" t="str">
        <f t="shared" si="1475"/>
        <v>VIII</v>
      </c>
      <c r="E2431" s="162"/>
      <c r="F2431" s="163"/>
      <c r="G2431" s="163"/>
      <c r="H2431" s="164"/>
      <c r="I2431" s="164"/>
      <c r="J2431" s="162"/>
      <c r="K2431" s="165"/>
      <c r="L2431" s="164"/>
      <c r="M2431" s="164"/>
      <c r="N2431" s="166"/>
      <c r="O2431" s="167"/>
      <c r="P2431" s="168"/>
      <c r="Q2431" s="169"/>
      <c r="R2431" s="170"/>
      <c r="S2431" s="171"/>
      <c r="T2431" s="203">
        <f t="shared" si="1473"/>
        <v>43647</v>
      </c>
      <c r="U2431" s="204">
        <f t="shared" si="1474"/>
        <v>43677</v>
      </c>
      <c r="V2431" s="207">
        <f t="shared" si="1503"/>
        <v>0</v>
      </c>
      <c r="W2431" s="206" t="str">
        <f t="shared" si="1500"/>
        <v/>
      </c>
      <c r="X2431" s="206">
        <f t="shared" si="1501"/>
        <v>0</v>
      </c>
      <c r="Y2431" s="209">
        <f t="shared" si="1502"/>
        <v>0</v>
      </c>
    </row>
    <row r="2432" spans="2:25" ht="16.5" hidden="1" thickTop="1" thickBot="1" x14ac:dyDescent="0.3">
      <c r="B2432" s="60">
        <f>B2428</f>
        <v>17</v>
      </c>
      <c r="C2432" s="102">
        <v>117</v>
      </c>
      <c r="D2432" s="192" t="str">
        <f t="shared" si="1475"/>
        <v>VIII</v>
      </c>
      <c r="E2432" s="162"/>
      <c r="F2432" s="163"/>
      <c r="G2432" s="163"/>
      <c r="H2432" s="164"/>
      <c r="I2432" s="164"/>
      <c r="J2432" s="162"/>
      <c r="K2432" s="165"/>
      <c r="L2432" s="164"/>
      <c r="M2432" s="164"/>
      <c r="N2432" s="166"/>
      <c r="O2432" s="167"/>
      <c r="P2432" s="168"/>
      <c r="Q2432" s="169"/>
      <c r="R2432" s="170"/>
      <c r="S2432" s="171"/>
      <c r="T2432" s="203">
        <f t="shared" si="1473"/>
        <v>43647</v>
      </c>
      <c r="U2432" s="204">
        <f t="shared" si="1474"/>
        <v>43677</v>
      </c>
      <c r="V2432" s="207">
        <f t="shared" si="1503"/>
        <v>0</v>
      </c>
      <c r="W2432" s="206" t="str">
        <f t="shared" si="1500"/>
        <v/>
      </c>
      <c r="X2432" s="206">
        <f t="shared" si="1501"/>
        <v>0</v>
      </c>
      <c r="Y2432" s="209">
        <f t="shared" si="1502"/>
        <v>0</v>
      </c>
    </row>
    <row r="2433" spans="2:25" ht="16.5" hidden="1" thickTop="1" thickBot="1" x14ac:dyDescent="0.3">
      <c r="B2433" s="60">
        <f>B2428</f>
        <v>17</v>
      </c>
      <c r="C2433" s="102">
        <v>118</v>
      </c>
      <c r="D2433" s="192" t="str">
        <f t="shared" si="1475"/>
        <v>VIII</v>
      </c>
      <c r="E2433" s="172"/>
      <c r="F2433" s="173"/>
      <c r="G2433" s="173"/>
      <c r="H2433" s="174"/>
      <c r="I2433" s="174"/>
      <c r="J2433" s="172"/>
      <c r="K2433" s="175"/>
      <c r="L2433" s="174"/>
      <c r="M2433" s="174"/>
      <c r="N2433" s="176"/>
      <c r="O2433" s="177"/>
      <c r="P2433" s="178"/>
      <c r="Q2433" s="179"/>
      <c r="R2433" s="180"/>
      <c r="S2433" s="181"/>
      <c r="T2433" s="203">
        <f t="shared" si="1473"/>
        <v>43647</v>
      </c>
      <c r="U2433" s="204">
        <f t="shared" si="1474"/>
        <v>43677</v>
      </c>
      <c r="V2433" s="207">
        <f t="shared" si="1503"/>
        <v>0</v>
      </c>
      <c r="W2433" s="206" t="str">
        <f t="shared" si="1500"/>
        <v/>
      </c>
      <c r="X2433" s="206">
        <f t="shared" si="1501"/>
        <v>0</v>
      </c>
      <c r="Y2433" s="209">
        <f t="shared" si="1502"/>
        <v>0</v>
      </c>
    </row>
    <row r="2434" spans="2:25" ht="16.5" hidden="1" thickTop="1" thickBot="1" x14ac:dyDescent="0.3">
      <c r="B2434" s="141">
        <f>B2428</f>
        <v>17</v>
      </c>
      <c r="C2434" s="142">
        <v>119</v>
      </c>
      <c r="D2434" s="194" t="str">
        <f t="shared" si="1475"/>
        <v>VIII</v>
      </c>
      <c r="E2434" s="189"/>
      <c r="F2434" s="190"/>
      <c r="G2434" s="190"/>
      <c r="H2434" s="182"/>
      <c r="I2434" s="182"/>
      <c r="J2434" s="436" t="s">
        <v>181</v>
      </c>
      <c r="K2434" s="437"/>
      <c r="L2434" s="438"/>
      <c r="M2434" s="182"/>
      <c r="N2434" s="183"/>
      <c r="O2434" s="184"/>
      <c r="P2434" s="185"/>
      <c r="Q2434" s="186"/>
      <c r="R2434" s="187"/>
      <c r="S2434" s="188"/>
      <c r="T2434" s="213">
        <f t="shared" si="1473"/>
        <v>43647</v>
      </c>
      <c r="U2434" s="214">
        <f t="shared" si="1474"/>
        <v>43677</v>
      </c>
      <c r="V2434" s="210">
        <f t="shared" si="1503"/>
        <v>0</v>
      </c>
      <c r="W2434" s="211"/>
      <c r="X2434" s="211">
        <f>IF(AND($V2434&gt;0,$I2434=1),IF($E2434=10,P2434/10,P2434/$V2434),0)</f>
        <v>0</v>
      </c>
      <c r="Y2434" s="212">
        <f>IF(AND($V2428&gt;0,$I2434&lt;&gt;1),Q2434/E2428*V2428,0)</f>
        <v>0</v>
      </c>
    </row>
    <row r="2435" spans="2:25" ht="16.5" hidden="1" thickTop="1" thickBot="1" x14ac:dyDescent="0.3">
      <c r="B2435" s="129">
        <f>B2433+1</f>
        <v>18</v>
      </c>
      <c r="C2435" s="130">
        <v>120</v>
      </c>
      <c r="D2435" s="196" t="str">
        <f t="shared" si="1475"/>
        <v>VIII</v>
      </c>
      <c r="E2435" s="131"/>
      <c r="F2435" s="132"/>
      <c r="G2435" s="132"/>
      <c r="H2435" s="133"/>
      <c r="I2435" s="133"/>
      <c r="J2435" s="131"/>
      <c r="K2435" s="134"/>
      <c r="L2435" s="133"/>
      <c r="M2435" s="133"/>
      <c r="N2435" s="135"/>
      <c r="O2435" s="136"/>
      <c r="P2435" s="137"/>
      <c r="Q2435" s="138"/>
      <c r="R2435" s="139"/>
      <c r="S2435" s="140"/>
      <c r="T2435" s="203">
        <f t="shared" si="1473"/>
        <v>43647</v>
      </c>
      <c r="U2435" s="204">
        <f t="shared" si="1474"/>
        <v>43677</v>
      </c>
      <c r="V2435" s="207">
        <f>IF(G2435-F2435+1-IF(G2435-U2435&gt;0,G2435-U2435,0)-IF(T2435-F2435&gt;0,T2435-F2435,0)&gt;0,G2435-F2435+1-IF(G2435-U2435&gt;0,G2435-U2435,0)-IF(T2435-F2435&gt;0,T2435-F2435,0),0)</f>
        <v>0</v>
      </c>
      <c r="W2435" s="206" t="str">
        <f t="shared" ref="W2435:W2440" si="1504">IF(V2435&gt;0,H2435,"")</f>
        <v/>
      </c>
      <c r="X2435" s="206">
        <f t="shared" ref="X2435:X2440" si="1505">IF(AND($V2435&gt;0,$I2435=1),P2435/$E2435*$V2435,0)</f>
        <v>0</v>
      </c>
      <c r="Y2435" s="209">
        <f t="shared" ref="Y2435:Y2440" si="1506">IF(AND($V2435&gt;0,$I2435&lt;&gt;1),Q2435/$E2435*$V2435,0)</f>
        <v>0</v>
      </c>
    </row>
    <row r="2436" spans="2:25" ht="16.5" hidden="1" thickTop="1" thickBot="1" x14ac:dyDescent="0.3">
      <c r="B2436" s="60">
        <f>B2435</f>
        <v>18</v>
      </c>
      <c r="C2436" s="102">
        <v>121</v>
      </c>
      <c r="D2436" s="192" t="str">
        <f t="shared" si="1475"/>
        <v>VIII</v>
      </c>
      <c r="E2436" s="62"/>
      <c r="F2436" s="105"/>
      <c r="G2436" s="105"/>
      <c r="H2436" s="61"/>
      <c r="I2436" s="61"/>
      <c r="J2436" s="62"/>
      <c r="K2436" s="63"/>
      <c r="L2436" s="61"/>
      <c r="M2436" s="61"/>
      <c r="N2436" s="111"/>
      <c r="O2436" s="112"/>
      <c r="P2436" s="113"/>
      <c r="Q2436" s="114"/>
      <c r="R2436" s="64"/>
      <c r="S2436" s="108"/>
      <c r="T2436" s="203">
        <f t="shared" si="1473"/>
        <v>43647</v>
      </c>
      <c r="U2436" s="204">
        <f t="shared" si="1474"/>
        <v>43677</v>
      </c>
      <c r="V2436" s="207">
        <f t="shared" ref="V2436:V2441" si="1507">IF(G2436-F2436+1-IF(G2436-U2436&gt;0,G2436-U2436,0)-IF(T2436-F2436&gt;0,T2436-F2436,0)&gt;0,G2436-F2436+1-IF(G2436-U2436&gt;0,G2436-U2436,0)-IF(T2436-F2436&gt;0,T2436-F2436,0),0)</f>
        <v>0</v>
      </c>
      <c r="W2436" s="206" t="str">
        <f t="shared" si="1504"/>
        <v/>
      </c>
      <c r="X2436" s="206">
        <f t="shared" si="1505"/>
        <v>0</v>
      </c>
      <c r="Y2436" s="209">
        <f t="shared" si="1506"/>
        <v>0</v>
      </c>
    </row>
    <row r="2437" spans="2:25" ht="16.5" hidden="1" thickTop="1" thickBot="1" x14ac:dyDescent="0.3">
      <c r="B2437" s="60">
        <f>B2435</f>
        <v>18</v>
      </c>
      <c r="C2437" s="102">
        <v>122</v>
      </c>
      <c r="D2437" s="192" t="str">
        <f t="shared" si="1475"/>
        <v>VIII</v>
      </c>
      <c r="E2437" s="62"/>
      <c r="F2437" s="105"/>
      <c r="G2437" s="105"/>
      <c r="H2437" s="61"/>
      <c r="I2437" s="61"/>
      <c r="J2437" s="62"/>
      <c r="K2437" s="63"/>
      <c r="L2437" s="61"/>
      <c r="M2437" s="61"/>
      <c r="N2437" s="111"/>
      <c r="O2437" s="112"/>
      <c r="P2437" s="113"/>
      <c r="Q2437" s="114"/>
      <c r="R2437" s="64"/>
      <c r="S2437" s="108"/>
      <c r="T2437" s="203">
        <f t="shared" si="1473"/>
        <v>43647</v>
      </c>
      <c r="U2437" s="204">
        <f t="shared" si="1474"/>
        <v>43677</v>
      </c>
      <c r="V2437" s="207">
        <f t="shared" si="1507"/>
        <v>0</v>
      </c>
      <c r="W2437" s="206" t="str">
        <f t="shared" si="1504"/>
        <v/>
      </c>
      <c r="X2437" s="206">
        <f t="shared" si="1505"/>
        <v>0</v>
      </c>
      <c r="Y2437" s="209">
        <f t="shared" si="1506"/>
        <v>0</v>
      </c>
    </row>
    <row r="2438" spans="2:25" ht="16.5" hidden="1" thickTop="1" thickBot="1" x14ac:dyDescent="0.3">
      <c r="B2438" s="60">
        <f>B2435</f>
        <v>18</v>
      </c>
      <c r="C2438" s="102">
        <v>123</v>
      </c>
      <c r="D2438" s="192" t="str">
        <f t="shared" si="1475"/>
        <v>VIII</v>
      </c>
      <c r="E2438" s="62"/>
      <c r="F2438" s="105"/>
      <c r="G2438" s="105"/>
      <c r="H2438" s="61"/>
      <c r="I2438" s="61"/>
      <c r="J2438" s="62"/>
      <c r="K2438" s="63"/>
      <c r="L2438" s="61"/>
      <c r="M2438" s="61"/>
      <c r="N2438" s="111"/>
      <c r="O2438" s="112"/>
      <c r="P2438" s="113"/>
      <c r="Q2438" s="114"/>
      <c r="R2438" s="64"/>
      <c r="S2438" s="108"/>
      <c r="T2438" s="203">
        <f t="shared" si="1473"/>
        <v>43647</v>
      </c>
      <c r="U2438" s="204">
        <f t="shared" si="1474"/>
        <v>43677</v>
      </c>
      <c r="V2438" s="207">
        <f t="shared" si="1507"/>
        <v>0</v>
      </c>
      <c r="W2438" s="206" t="str">
        <f t="shared" si="1504"/>
        <v/>
      </c>
      <c r="X2438" s="206">
        <f t="shared" si="1505"/>
        <v>0</v>
      </c>
      <c r="Y2438" s="209">
        <f t="shared" si="1506"/>
        <v>0</v>
      </c>
    </row>
    <row r="2439" spans="2:25" ht="16.5" hidden="1" thickTop="1" thickBot="1" x14ac:dyDescent="0.3">
      <c r="B2439" s="60">
        <f>B2435</f>
        <v>18</v>
      </c>
      <c r="C2439" s="102">
        <v>124</v>
      </c>
      <c r="D2439" s="192" t="str">
        <f t="shared" si="1475"/>
        <v>VIII</v>
      </c>
      <c r="E2439" s="62"/>
      <c r="F2439" s="105"/>
      <c r="G2439" s="105"/>
      <c r="H2439" s="61"/>
      <c r="I2439" s="61"/>
      <c r="J2439" s="62"/>
      <c r="K2439" s="63"/>
      <c r="L2439" s="61"/>
      <c r="M2439" s="61"/>
      <c r="N2439" s="111"/>
      <c r="O2439" s="112"/>
      <c r="P2439" s="113"/>
      <c r="Q2439" s="114"/>
      <c r="R2439" s="64"/>
      <c r="S2439" s="108"/>
      <c r="T2439" s="203">
        <f t="shared" si="1473"/>
        <v>43647</v>
      </c>
      <c r="U2439" s="204">
        <f t="shared" si="1474"/>
        <v>43677</v>
      </c>
      <c r="V2439" s="207">
        <f t="shared" si="1507"/>
        <v>0</v>
      </c>
      <c r="W2439" s="206" t="str">
        <f t="shared" si="1504"/>
        <v/>
      </c>
      <c r="X2439" s="206">
        <f t="shared" si="1505"/>
        <v>0</v>
      </c>
      <c r="Y2439" s="209">
        <f t="shared" si="1506"/>
        <v>0</v>
      </c>
    </row>
    <row r="2440" spans="2:25" ht="16.5" hidden="1" thickTop="1" thickBot="1" x14ac:dyDescent="0.3">
      <c r="B2440" s="60">
        <f>B2435</f>
        <v>18</v>
      </c>
      <c r="C2440" s="102">
        <v>125</v>
      </c>
      <c r="D2440" s="192" t="str">
        <f t="shared" si="1475"/>
        <v>VIII</v>
      </c>
      <c r="E2440" s="62"/>
      <c r="F2440" s="105"/>
      <c r="G2440" s="105"/>
      <c r="H2440" s="61"/>
      <c r="I2440" s="61"/>
      <c r="J2440" s="62"/>
      <c r="K2440" s="63"/>
      <c r="L2440" s="61"/>
      <c r="M2440" s="61"/>
      <c r="N2440" s="111"/>
      <c r="O2440" s="112"/>
      <c r="P2440" s="113"/>
      <c r="Q2440" s="114"/>
      <c r="R2440" s="64"/>
      <c r="S2440" s="108"/>
      <c r="T2440" s="203">
        <f t="shared" si="1473"/>
        <v>43647</v>
      </c>
      <c r="U2440" s="204">
        <f t="shared" si="1474"/>
        <v>43677</v>
      </c>
      <c r="V2440" s="207">
        <f t="shared" si="1507"/>
        <v>0</v>
      </c>
      <c r="W2440" s="206" t="str">
        <f t="shared" si="1504"/>
        <v/>
      </c>
      <c r="X2440" s="206">
        <f t="shared" si="1505"/>
        <v>0</v>
      </c>
      <c r="Y2440" s="209">
        <f t="shared" si="1506"/>
        <v>0</v>
      </c>
    </row>
    <row r="2441" spans="2:25" ht="16.5" hidden="1" thickTop="1" thickBot="1" x14ac:dyDescent="0.3">
      <c r="B2441" s="141">
        <f>B2435</f>
        <v>18</v>
      </c>
      <c r="C2441" s="142">
        <v>126</v>
      </c>
      <c r="D2441" s="194" t="str">
        <f t="shared" si="1475"/>
        <v>VIII</v>
      </c>
      <c r="E2441" s="143"/>
      <c r="F2441" s="144"/>
      <c r="G2441" s="144"/>
      <c r="H2441" s="145"/>
      <c r="I2441" s="145"/>
      <c r="J2441" s="436" t="s">
        <v>181</v>
      </c>
      <c r="K2441" s="437"/>
      <c r="L2441" s="438"/>
      <c r="M2441" s="145"/>
      <c r="N2441" s="146"/>
      <c r="O2441" s="147"/>
      <c r="P2441" s="148"/>
      <c r="Q2441" s="149"/>
      <c r="R2441" s="150"/>
      <c r="S2441" s="151"/>
      <c r="T2441" s="213">
        <f t="shared" si="1473"/>
        <v>43647</v>
      </c>
      <c r="U2441" s="214">
        <f t="shared" si="1474"/>
        <v>43677</v>
      </c>
      <c r="V2441" s="210">
        <f t="shared" si="1507"/>
        <v>0</v>
      </c>
      <c r="W2441" s="211"/>
      <c r="X2441" s="211">
        <f>IF(AND($V2441&gt;0,$I2441=1),IF($E2441=10,P2441/10,P2441/$V2441),0)</f>
        <v>0</v>
      </c>
      <c r="Y2441" s="212">
        <f>IF(AND($V2435&gt;0,$I2441&lt;&gt;1),Q2441/E2435*V2435,0)</f>
        <v>0</v>
      </c>
    </row>
    <row r="2442" spans="2:25" ht="16.5" hidden="1" thickTop="1" thickBot="1" x14ac:dyDescent="0.3">
      <c r="B2442" s="129">
        <f>B2440+1</f>
        <v>19</v>
      </c>
      <c r="C2442" s="130">
        <v>127</v>
      </c>
      <c r="D2442" s="196" t="str">
        <f t="shared" si="1475"/>
        <v>VIII</v>
      </c>
      <c r="E2442" s="152"/>
      <c r="F2442" s="153"/>
      <c r="G2442" s="153"/>
      <c r="H2442" s="154"/>
      <c r="I2442" s="154"/>
      <c r="J2442" s="152"/>
      <c r="K2442" s="155"/>
      <c r="L2442" s="154"/>
      <c r="M2442" s="154"/>
      <c r="N2442" s="156"/>
      <c r="O2442" s="157"/>
      <c r="P2442" s="158"/>
      <c r="Q2442" s="159"/>
      <c r="R2442" s="160"/>
      <c r="S2442" s="161"/>
      <c r="T2442" s="203">
        <f t="shared" si="1473"/>
        <v>43647</v>
      </c>
      <c r="U2442" s="204">
        <f t="shared" si="1474"/>
        <v>43677</v>
      </c>
      <c r="V2442" s="207">
        <f>IF(G2442-F2442+1-IF(G2442-U2442&gt;0,G2442-U2442,0)-IF(T2442-F2442&gt;0,T2442-F2442,0)&gt;0,G2442-F2442+1-IF(G2442-U2442&gt;0,G2442-U2442,0)-IF(T2442-F2442&gt;0,T2442-F2442,0),0)</f>
        <v>0</v>
      </c>
      <c r="W2442" s="206" t="str">
        <f t="shared" ref="W2442:W2447" si="1508">IF(V2442&gt;0,H2442,"")</f>
        <v/>
      </c>
      <c r="X2442" s="206">
        <f t="shared" ref="X2442:X2447" si="1509">IF(AND($V2442&gt;0,$I2442=1),P2442/$E2442*$V2442,0)</f>
        <v>0</v>
      </c>
      <c r="Y2442" s="209">
        <f t="shared" ref="Y2442:Y2447" si="1510">IF(AND($V2442&gt;0,$I2442&lt;&gt;1),Q2442/$E2442*$V2442,0)</f>
        <v>0</v>
      </c>
    </row>
    <row r="2443" spans="2:25" ht="16.5" hidden="1" thickTop="1" thickBot="1" x14ac:dyDescent="0.3">
      <c r="B2443" s="60">
        <f>B2442</f>
        <v>19</v>
      </c>
      <c r="C2443" s="102">
        <v>128</v>
      </c>
      <c r="D2443" s="192" t="str">
        <f t="shared" si="1475"/>
        <v>VIII</v>
      </c>
      <c r="E2443" s="162"/>
      <c r="F2443" s="163"/>
      <c r="G2443" s="163"/>
      <c r="H2443" s="164"/>
      <c r="I2443" s="164"/>
      <c r="J2443" s="162"/>
      <c r="K2443" s="165"/>
      <c r="L2443" s="164"/>
      <c r="M2443" s="164"/>
      <c r="N2443" s="166"/>
      <c r="O2443" s="167"/>
      <c r="P2443" s="168"/>
      <c r="Q2443" s="169"/>
      <c r="R2443" s="170"/>
      <c r="S2443" s="171"/>
      <c r="T2443" s="203">
        <f t="shared" si="1473"/>
        <v>43647</v>
      </c>
      <c r="U2443" s="204">
        <f t="shared" si="1474"/>
        <v>43677</v>
      </c>
      <c r="V2443" s="207">
        <f t="shared" ref="V2443:V2448" si="1511">IF(G2443-F2443+1-IF(G2443-U2443&gt;0,G2443-U2443,0)-IF(T2443-F2443&gt;0,T2443-F2443,0)&gt;0,G2443-F2443+1-IF(G2443-U2443&gt;0,G2443-U2443,0)-IF(T2443-F2443&gt;0,T2443-F2443,0),0)</f>
        <v>0</v>
      </c>
      <c r="W2443" s="206" t="str">
        <f t="shared" si="1508"/>
        <v/>
      </c>
      <c r="X2443" s="206">
        <f t="shared" si="1509"/>
        <v>0</v>
      </c>
      <c r="Y2443" s="209">
        <f t="shared" si="1510"/>
        <v>0</v>
      </c>
    </row>
    <row r="2444" spans="2:25" ht="16.5" hidden="1" thickTop="1" thickBot="1" x14ac:dyDescent="0.3">
      <c r="B2444" s="60">
        <f>B2442</f>
        <v>19</v>
      </c>
      <c r="C2444" s="102">
        <v>129</v>
      </c>
      <c r="D2444" s="192" t="str">
        <f t="shared" si="1475"/>
        <v>VIII</v>
      </c>
      <c r="E2444" s="162"/>
      <c r="F2444" s="163"/>
      <c r="G2444" s="163"/>
      <c r="H2444" s="164"/>
      <c r="I2444" s="164"/>
      <c r="J2444" s="162"/>
      <c r="K2444" s="165"/>
      <c r="L2444" s="164"/>
      <c r="M2444" s="164"/>
      <c r="N2444" s="166"/>
      <c r="O2444" s="167"/>
      <c r="P2444" s="168"/>
      <c r="Q2444" s="169"/>
      <c r="R2444" s="170"/>
      <c r="S2444" s="171"/>
      <c r="T2444" s="203">
        <f t="shared" si="1473"/>
        <v>43647</v>
      </c>
      <c r="U2444" s="204">
        <f t="shared" si="1474"/>
        <v>43677</v>
      </c>
      <c r="V2444" s="207">
        <f t="shared" si="1511"/>
        <v>0</v>
      </c>
      <c r="W2444" s="206" t="str">
        <f t="shared" si="1508"/>
        <v/>
      </c>
      <c r="X2444" s="206">
        <f t="shared" si="1509"/>
        <v>0</v>
      </c>
      <c r="Y2444" s="209">
        <f t="shared" si="1510"/>
        <v>0</v>
      </c>
    </row>
    <row r="2445" spans="2:25" ht="16.5" hidden="1" thickTop="1" thickBot="1" x14ac:dyDescent="0.3">
      <c r="B2445" s="60">
        <f>B2442</f>
        <v>19</v>
      </c>
      <c r="C2445" s="102">
        <v>130</v>
      </c>
      <c r="D2445" s="192" t="str">
        <f t="shared" si="1475"/>
        <v>VIII</v>
      </c>
      <c r="E2445" s="162"/>
      <c r="F2445" s="163"/>
      <c r="G2445" s="163"/>
      <c r="H2445" s="164"/>
      <c r="I2445" s="164"/>
      <c r="J2445" s="162"/>
      <c r="K2445" s="165"/>
      <c r="L2445" s="164"/>
      <c r="M2445" s="164"/>
      <c r="N2445" s="166"/>
      <c r="O2445" s="167"/>
      <c r="P2445" s="168"/>
      <c r="Q2445" s="169"/>
      <c r="R2445" s="170"/>
      <c r="S2445" s="171"/>
      <c r="T2445" s="203">
        <f t="shared" ref="T2445:T2508" si="1512">$F$4</f>
        <v>43647</v>
      </c>
      <c r="U2445" s="204">
        <f t="shared" ref="U2445:U2508" si="1513">$G$4</f>
        <v>43677</v>
      </c>
      <c r="V2445" s="207">
        <f t="shared" si="1511"/>
        <v>0</v>
      </c>
      <c r="W2445" s="206" t="str">
        <f t="shared" si="1508"/>
        <v/>
      </c>
      <c r="X2445" s="206">
        <f t="shared" si="1509"/>
        <v>0</v>
      </c>
      <c r="Y2445" s="209">
        <f t="shared" si="1510"/>
        <v>0</v>
      </c>
    </row>
    <row r="2446" spans="2:25" ht="16.5" hidden="1" thickTop="1" thickBot="1" x14ac:dyDescent="0.3">
      <c r="B2446" s="60">
        <f>B2442</f>
        <v>19</v>
      </c>
      <c r="C2446" s="102">
        <v>131</v>
      </c>
      <c r="D2446" s="192" t="str">
        <f t="shared" ref="D2446:D2509" si="1514">D2445</f>
        <v>VIII</v>
      </c>
      <c r="E2446" s="162"/>
      <c r="F2446" s="163"/>
      <c r="G2446" s="163"/>
      <c r="H2446" s="164"/>
      <c r="I2446" s="164"/>
      <c r="J2446" s="162"/>
      <c r="K2446" s="165"/>
      <c r="L2446" s="164"/>
      <c r="M2446" s="164"/>
      <c r="N2446" s="166"/>
      <c r="O2446" s="167"/>
      <c r="P2446" s="168"/>
      <c r="Q2446" s="169"/>
      <c r="R2446" s="170"/>
      <c r="S2446" s="171"/>
      <c r="T2446" s="203">
        <f t="shared" si="1512"/>
        <v>43647</v>
      </c>
      <c r="U2446" s="204">
        <f t="shared" si="1513"/>
        <v>43677</v>
      </c>
      <c r="V2446" s="207">
        <f t="shared" si="1511"/>
        <v>0</v>
      </c>
      <c r="W2446" s="206" t="str">
        <f t="shared" si="1508"/>
        <v/>
      </c>
      <c r="X2446" s="206">
        <f t="shared" si="1509"/>
        <v>0</v>
      </c>
      <c r="Y2446" s="209">
        <f t="shared" si="1510"/>
        <v>0</v>
      </c>
    </row>
    <row r="2447" spans="2:25" ht="16.5" hidden="1" thickTop="1" thickBot="1" x14ac:dyDescent="0.3">
      <c r="B2447" s="60">
        <f>B2442</f>
        <v>19</v>
      </c>
      <c r="C2447" s="102">
        <v>132</v>
      </c>
      <c r="D2447" s="192" t="str">
        <f t="shared" si="1514"/>
        <v>VIII</v>
      </c>
      <c r="E2447" s="172"/>
      <c r="F2447" s="173"/>
      <c r="G2447" s="173"/>
      <c r="H2447" s="174"/>
      <c r="I2447" s="174"/>
      <c r="J2447" s="172"/>
      <c r="K2447" s="175"/>
      <c r="L2447" s="174"/>
      <c r="M2447" s="174"/>
      <c r="N2447" s="176"/>
      <c r="O2447" s="177"/>
      <c r="P2447" s="178"/>
      <c r="Q2447" s="179"/>
      <c r="R2447" s="180"/>
      <c r="S2447" s="181"/>
      <c r="T2447" s="203">
        <f t="shared" si="1512"/>
        <v>43647</v>
      </c>
      <c r="U2447" s="204">
        <f t="shared" si="1513"/>
        <v>43677</v>
      </c>
      <c r="V2447" s="207">
        <f t="shared" si="1511"/>
        <v>0</v>
      </c>
      <c r="W2447" s="206" t="str">
        <f t="shared" si="1508"/>
        <v/>
      </c>
      <c r="X2447" s="206">
        <f t="shared" si="1509"/>
        <v>0</v>
      </c>
      <c r="Y2447" s="209">
        <f t="shared" si="1510"/>
        <v>0</v>
      </c>
    </row>
    <row r="2448" spans="2:25" ht="16.5" hidden="1" thickTop="1" thickBot="1" x14ac:dyDescent="0.3">
      <c r="B2448" s="141">
        <f>B2442</f>
        <v>19</v>
      </c>
      <c r="C2448" s="142">
        <v>133</v>
      </c>
      <c r="D2448" s="194" t="str">
        <f t="shared" si="1514"/>
        <v>VIII</v>
      </c>
      <c r="E2448" s="189"/>
      <c r="F2448" s="190"/>
      <c r="G2448" s="190"/>
      <c r="H2448" s="182"/>
      <c r="I2448" s="182"/>
      <c r="J2448" s="436" t="s">
        <v>181</v>
      </c>
      <c r="K2448" s="437"/>
      <c r="L2448" s="438"/>
      <c r="M2448" s="182"/>
      <c r="N2448" s="183"/>
      <c r="O2448" s="184"/>
      <c r="P2448" s="185"/>
      <c r="Q2448" s="186"/>
      <c r="R2448" s="187"/>
      <c r="S2448" s="188"/>
      <c r="T2448" s="213">
        <f t="shared" si="1512"/>
        <v>43647</v>
      </c>
      <c r="U2448" s="214">
        <f t="shared" si="1513"/>
        <v>43677</v>
      </c>
      <c r="V2448" s="210">
        <f t="shared" si="1511"/>
        <v>0</v>
      </c>
      <c r="W2448" s="211"/>
      <c r="X2448" s="211">
        <f>IF(AND($V2448&gt;0,$I2448=1),IF($E2448=10,P2448/10,P2448/$V2448),0)</f>
        <v>0</v>
      </c>
      <c r="Y2448" s="212">
        <f>IF(AND($V2442&gt;0,$I2448&lt;&gt;1),Q2448/E2442*V2442,0)</f>
        <v>0</v>
      </c>
    </row>
    <row r="2449" spans="2:25" ht="16.5" hidden="1" thickTop="1" thickBot="1" x14ac:dyDescent="0.3">
      <c r="B2449" s="129">
        <f>B2447+1</f>
        <v>20</v>
      </c>
      <c r="C2449" s="130">
        <v>134</v>
      </c>
      <c r="D2449" s="196" t="str">
        <f t="shared" si="1514"/>
        <v>VIII</v>
      </c>
      <c r="E2449" s="131"/>
      <c r="F2449" s="132"/>
      <c r="G2449" s="132"/>
      <c r="H2449" s="133"/>
      <c r="I2449" s="133"/>
      <c r="J2449" s="131"/>
      <c r="K2449" s="134"/>
      <c r="L2449" s="133"/>
      <c r="M2449" s="133"/>
      <c r="N2449" s="135"/>
      <c r="O2449" s="136"/>
      <c r="P2449" s="137"/>
      <c r="Q2449" s="138"/>
      <c r="R2449" s="139"/>
      <c r="S2449" s="140"/>
      <c r="T2449" s="203">
        <f t="shared" si="1512"/>
        <v>43647</v>
      </c>
      <c r="U2449" s="204">
        <f t="shared" si="1513"/>
        <v>43677</v>
      </c>
      <c r="V2449" s="207">
        <f>IF(G2449-F2449+1-IF(G2449-U2449&gt;0,G2449-U2449,0)-IF(T2449-F2449&gt;0,T2449-F2449,0)&gt;0,G2449-F2449+1-IF(G2449-U2449&gt;0,G2449-U2449,0)-IF(T2449-F2449&gt;0,T2449-F2449,0),0)</f>
        <v>0</v>
      </c>
      <c r="W2449" s="206" t="str">
        <f t="shared" ref="W2449:W2454" si="1515">IF(V2449&gt;0,H2449,"")</f>
        <v/>
      </c>
      <c r="X2449" s="206">
        <f t="shared" ref="X2449:X2454" si="1516">IF(AND($V2449&gt;0,$I2449=1),P2449/$E2449*$V2449,0)</f>
        <v>0</v>
      </c>
      <c r="Y2449" s="209">
        <f t="shared" ref="Y2449:Y2454" si="1517">IF(AND($V2449&gt;0,$I2449&lt;&gt;1),Q2449/$E2449*$V2449,0)</f>
        <v>0</v>
      </c>
    </row>
    <row r="2450" spans="2:25" ht="16.5" hidden="1" thickTop="1" thickBot="1" x14ac:dyDescent="0.3">
      <c r="B2450" s="60">
        <f>B2449</f>
        <v>20</v>
      </c>
      <c r="C2450" s="102">
        <v>135</v>
      </c>
      <c r="D2450" s="192" t="str">
        <f t="shared" si="1514"/>
        <v>VIII</v>
      </c>
      <c r="E2450" s="62"/>
      <c r="F2450" s="105"/>
      <c r="G2450" s="105"/>
      <c r="H2450" s="61"/>
      <c r="I2450" s="61"/>
      <c r="J2450" s="62"/>
      <c r="K2450" s="63"/>
      <c r="L2450" s="61"/>
      <c r="M2450" s="61"/>
      <c r="N2450" s="111"/>
      <c r="O2450" s="112"/>
      <c r="P2450" s="113"/>
      <c r="Q2450" s="114"/>
      <c r="R2450" s="64"/>
      <c r="S2450" s="108"/>
      <c r="T2450" s="203">
        <f t="shared" si="1512"/>
        <v>43647</v>
      </c>
      <c r="U2450" s="204">
        <f t="shared" si="1513"/>
        <v>43677</v>
      </c>
      <c r="V2450" s="207">
        <f t="shared" ref="V2450:V2455" si="1518">IF(G2450-F2450+1-IF(G2450-U2450&gt;0,G2450-U2450,0)-IF(T2450-F2450&gt;0,T2450-F2450,0)&gt;0,G2450-F2450+1-IF(G2450-U2450&gt;0,G2450-U2450,0)-IF(T2450-F2450&gt;0,T2450-F2450,0),0)</f>
        <v>0</v>
      </c>
      <c r="W2450" s="206" t="str">
        <f t="shared" si="1515"/>
        <v/>
      </c>
      <c r="X2450" s="206">
        <f t="shared" si="1516"/>
        <v>0</v>
      </c>
      <c r="Y2450" s="209">
        <f t="shared" si="1517"/>
        <v>0</v>
      </c>
    </row>
    <row r="2451" spans="2:25" ht="16.5" hidden="1" thickTop="1" thickBot="1" x14ac:dyDescent="0.3">
      <c r="B2451" s="60">
        <f>B2449</f>
        <v>20</v>
      </c>
      <c r="C2451" s="102">
        <v>136</v>
      </c>
      <c r="D2451" s="192" t="str">
        <f t="shared" si="1514"/>
        <v>VIII</v>
      </c>
      <c r="E2451" s="62"/>
      <c r="F2451" s="105"/>
      <c r="G2451" s="105"/>
      <c r="H2451" s="61"/>
      <c r="I2451" s="61"/>
      <c r="J2451" s="62"/>
      <c r="K2451" s="63"/>
      <c r="L2451" s="61"/>
      <c r="M2451" s="61"/>
      <c r="N2451" s="111"/>
      <c r="O2451" s="112"/>
      <c r="P2451" s="113"/>
      <c r="Q2451" s="114"/>
      <c r="R2451" s="64"/>
      <c r="S2451" s="108"/>
      <c r="T2451" s="203">
        <f t="shared" si="1512"/>
        <v>43647</v>
      </c>
      <c r="U2451" s="204">
        <f t="shared" si="1513"/>
        <v>43677</v>
      </c>
      <c r="V2451" s="207">
        <f t="shared" si="1518"/>
        <v>0</v>
      </c>
      <c r="W2451" s="206" t="str">
        <f t="shared" si="1515"/>
        <v/>
      </c>
      <c r="X2451" s="206">
        <f t="shared" si="1516"/>
        <v>0</v>
      </c>
      <c r="Y2451" s="209">
        <f t="shared" si="1517"/>
        <v>0</v>
      </c>
    </row>
    <row r="2452" spans="2:25" ht="16.5" hidden="1" thickTop="1" thickBot="1" x14ac:dyDescent="0.3">
      <c r="B2452" s="60">
        <f>B2449</f>
        <v>20</v>
      </c>
      <c r="C2452" s="102">
        <v>137</v>
      </c>
      <c r="D2452" s="192" t="str">
        <f t="shared" si="1514"/>
        <v>VIII</v>
      </c>
      <c r="E2452" s="62"/>
      <c r="F2452" s="105"/>
      <c r="G2452" s="105"/>
      <c r="H2452" s="61"/>
      <c r="I2452" s="61"/>
      <c r="J2452" s="62"/>
      <c r="K2452" s="63"/>
      <c r="L2452" s="61"/>
      <c r="M2452" s="61"/>
      <c r="N2452" s="111"/>
      <c r="O2452" s="112"/>
      <c r="P2452" s="113"/>
      <c r="Q2452" s="114"/>
      <c r="R2452" s="64"/>
      <c r="S2452" s="108"/>
      <c r="T2452" s="203">
        <f t="shared" si="1512"/>
        <v>43647</v>
      </c>
      <c r="U2452" s="204">
        <f t="shared" si="1513"/>
        <v>43677</v>
      </c>
      <c r="V2452" s="207">
        <f t="shared" si="1518"/>
        <v>0</v>
      </c>
      <c r="W2452" s="206" t="str">
        <f t="shared" si="1515"/>
        <v/>
      </c>
      <c r="X2452" s="206">
        <f t="shared" si="1516"/>
        <v>0</v>
      </c>
      <c r="Y2452" s="209">
        <f t="shared" si="1517"/>
        <v>0</v>
      </c>
    </row>
    <row r="2453" spans="2:25" ht="16.5" hidden="1" thickTop="1" thickBot="1" x14ac:dyDescent="0.3">
      <c r="B2453" s="60">
        <f>B2449</f>
        <v>20</v>
      </c>
      <c r="C2453" s="102">
        <v>138</v>
      </c>
      <c r="D2453" s="192" t="str">
        <f t="shared" si="1514"/>
        <v>VIII</v>
      </c>
      <c r="E2453" s="62"/>
      <c r="F2453" s="105"/>
      <c r="G2453" s="105"/>
      <c r="H2453" s="61"/>
      <c r="I2453" s="61"/>
      <c r="J2453" s="62"/>
      <c r="K2453" s="63"/>
      <c r="L2453" s="61"/>
      <c r="M2453" s="61"/>
      <c r="N2453" s="111"/>
      <c r="O2453" s="112"/>
      <c r="P2453" s="113"/>
      <c r="Q2453" s="114"/>
      <c r="R2453" s="64"/>
      <c r="S2453" s="108"/>
      <c r="T2453" s="203">
        <f t="shared" si="1512"/>
        <v>43647</v>
      </c>
      <c r="U2453" s="204">
        <f t="shared" si="1513"/>
        <v>43677</v>
      </c>
      <c r="V2453" s="207">
        <f t="shared" si="1518"/>
        <v>0</v>
      </c>
      <c r="W2453" s="206" t="str">
        <f t="shared" si="1515"/>
        <v/>
      </c>
      <c r="X2453" s="206">
        <f t="shared" si="1516"/>
        <v>0</v>
      </c>
      <c r="Y2453" s="209">
        <f t="shared" si="1517"/>
        <v>0</v>
      </c>
    </row>
    <row r="2454" spans="2:25" ht="16.5" hidden="1" thickTop="1" thickBot="1" x14ac:dyDescent="0.3">
      <c r="B2454" s="60">
        <f>B2449</f>
        <v>20</v>
      </c>
      <c r="C2454" s="102">
        <v>139</v>
      </c>
      <c r="D2454" s="192" t="str">
        <f t="shared" si="1514"/>
        <v>VIII</v>
      </c>
      <c r="E2454" s="62"/>
      <c r="F2454" s="105"/>
      <c r="G2454" s="105"/>
      <c r="H2454" s="61"/>
      <c r="I2454" s="61"/>
      <c r="J2454" s="62"/>
      <c r="K2454" s="63"/>
      <c r="L2454" s="61"/>
      <c r="M2454" s="61"/>
      <c r="N2454" s="111"/>
      <c r="O2454" s="112"/>
      <c r="P2454" s="113"/>
      <c r="Q2454" s="114"/>
      <c r="R2454" s="64"/>
      <c r="S2454" s="108"/>
      <c r="T2454" s="203">
        <f t="shared" si="1512"/>
        <v>43647</v>
      </c>
      <c r="U2454" s="204">
        <f t="shared" si="1513"/>
        <v>43677</v>
      </c>
      <c r="V2454" s="207">
        <f t="shared" si="1518"/>
        <v>0</v>
      </c>
      <c r="W2454" s="206" t="str">
        <f t="shared" si="1515"/>
        <v/>
      </c>
      <c r="X2454" s="206">
        <f t="shared" si="1516"/>
        <v>0</v>
      </c>
      <c r="Y2454" s="209">
        <f t="shared" si="1517"/>
        <v>0</v>
      </c>
    </row>
    <row r="2455" spans="2:25" ht="16.5" hidden="1" thickTop="1" thickBot="1" x14ac:dyDescent="0.3">
      <c r="B2455" s="141">
        <f>B2449</f>
        <v>20</v>
      </c>
      <c r="C2455" s="142">
        <v>140</v>
      </c>
      <c r="D2455" s="194" t="str">
        <f t="shared" si="1514"/>
        <v>VIII</v>
      </c>
      <c r="E2455" s="143"/>
      <c r="F2455" s="144"/>
      <c r="G2455" s="144"/>
      <c r="H2455" s="145"/>
      <c r="I2455" s="145"/>
      <c r="J2455" s="436" t="s">
        <v>181</v>
      </c>
      <c r="K2455" s="437"/>
      <c r="L2455" s="438"/>
      <c r="M2455" s="145"/>
      <c r="N2455" s="146"/>
      <c r="O2455" s="147"/>
      <c r="P2455" s="148"/>
      <c r="Q2455" s="149"/>
      <c r="R2455" s="150"/>
      <c r="S2455" s="151"/>
      <c r="T2455" s="213">
        <f t="shared" si="1512"/>
        <v>43647</v>
      </c>
      <c r="U2455" s="214">
        <f t="shared" si="1513"/>
        <v>43677</v>
      </c>
      <c r="V2455" s="210">
        <f t="shared" si="1518"/>
        <v>0</v>
      </c>
      <c r="W2455" s="211"/>
      <c r="X2455" s="211">
        <f>IF(AND($V2455&gt;0,$I2455=1),IF($E2455=10,P2455/10,P2455/$V2455),0)</f>
        <v>0</v>
      </c>
      <c r="Y2455" s="212">
        <f>IF(AND($V2449&gt;0,$I2455&lt;&gt;1),Q2455/E2449*V2449,0)</f>
        <v>0</v>
      </c>
    </row>
    <row r="2456" spans="2:25" ht="16.5" hidden="1" thickTop="1" thickBot="1" x14ac:dyDescent="0.3">
      <c r="B2456" s="129">
        <f>B2454+1</f>
        <v>21</v>
      </c>
      <c r="C2456" s="130">
        <v>141</v>
      </c>
      <c r="D2456" s="196" t="str">
        <f t="shared" si="1514"/>
        <v>VIII</v>
      </c>
      <c r="E2456" s="152"/>
      <c r="F2456" s="153"/>
      <c r="G2456" s="153"/>
      <c r="H2456" s="154"/>
      <c r="I2456" s="154"/>
      <c r="J2456" s="152"/>
      <c r="K2456" s="155"/>
      <c r="L2456" s="154"/>
      <c r="M2456" s="154"/>
      <c r="N2456" s="156"/>
      <c r="O2456" s="157"/>
      <c r="P2456" s="158"/>
      <c r="Q2456" s="159"/>
      <c r="R2456" s="160"/>
      <c r="S2456" s="161"/>
      <c r="T2456" s="203">
        <f t="shared" si="1512"/>
        <v>43647</v>
      </c>
      <c r="U2456" s="204">
        <f t="shared" si="1513"/>
        <v>43677</v>
      </c>
      <c r="V2456" s="207">
        <f>IF(G2456-F2456+1-IF(G2456-U2456&gt;0,G2456-U2456,0)-IF(T2456-F2456&gt;0,T2456-F2456,0)&gt;0,G2456-F2456+1-IF(G2456-U2456&gt;0,G2456-U2456,0)-IF(T2456-F2456&gt;0,T2456-F2456,0),0)</f>
        <v>0</v>
      </c>
      <c r="W2456" s="206" t="str">
        <f t="shared" ref="W2456:W2461" si="1519">IF(V2456&gt;0,H2456,"")</f>
        <v/>
      </c>
      <c r="X2456" s="206">
        <f t="shared" ref="X2456:X2461" si="1520">IF(AND($V2456&gt;0,$I2456=1),P2456/$E2456*$V2456,0)</f>
        <v>0</v>
      </c>
      <c r="Y2456" s="209">
        <f t="shared" ref="Y2456:Y2461" si="1521">IF(AND($V2456&gt;0,$I2456&lt;&gt;1),Q2456/$E2456*$V2456,0)</f>
        <v>0</v>
      </c>
    </row>
    <row r="2457" spans="2:25" ht="16.5" hidden="1" thickTop="1" thickBot="1" x14ac:dyDescent="0.3">
      <c r="B2457" s="60">
        <f>B2456</f>
        <v>21</v>
      </c>
      <c r="C2457" s="102">
        <v>142</v>
      </c>
      <c r="D2457" s="192" t="str">
        <f t="shared" si="1514"/>
        <v>VIII</v>
      </c>
      <c r="E2457" s="162"/>
      <c r="F2457" s="163"/>
      <c r="G2457" s="163"/>
      <c r="H2457" s="164"/>
      <c r="I2457" s="164"/>
      <c r="J2457" s="162"/>
      <c r="K2457" s="165"/>
      <c r="L2457" s="164"/>
      <c r="M2457" s="164"/>
      <c r="N2457" s="166"/>
      <c r="O2457" s="167"/>
      <c r="P2457" s="168"/>
      <c r="Q2457" s="169"/>
      <c r="R2457" s="170"/>
      <c r="S2457" s="171"/>
      <c r="T2457" s="203">
        <f t="shared" si="1512"/>
        <v>43647</v>
      </c>
      <c r="U2457" s="204">
        <f t="shared" si="1513"/>
        <v>43677</v>
      </c>
      <c r="V2457" s="207">
        <f t="shared" ref="V2457:V2462" si="1522">IF(G2457-F2457+1-IF(G2457-U2457&gt;0,G2457-U2457,0)-IF(T2457-F2457&gt;0,T2457-F2457,0)&gt;0,G2457-F2457+1-IF(G2457-U2457&gt;0,G2457-U2457,0)-IF(T2457-F2457&gt;0,T2457-F2457,0),0)</f>
        <v>0</v>
      </c>
      <c r="W2457" s="206" t="str">
        <f t="shared" si="1519"/>
        <v/>
      </c>
      <c r="X2457" s="206">
        <f t="shared" si="1520"/>
        <v>0</v>
      </c>
      <c r="Y2457" s="209">
        <f t="shared" si="1521"/>
        <v>0</v>
      </c>
    </row>
    <row r="2458" spans="2:25" ht="16.5" hidden="1" thickTop="1" thickBot="1" x14ac:dyDescent="0.3">
      <c r="B2458" s="60">
        <f>B2456</f>
        <v>21</v>
      </c>
      <c r="C2458" s="102">
        <v>143</v>
      </c>
      <c r="D2458" s="192" t="str">
        <f t="shared" si="1514"/>
        <v>VIII</v>
      </c>
      <c r="E2458" s="162"/>
      <c r="F2458" s="163"/>
      <c r="G2458" s="163"/>
      <c r="H2458" s="164"/>
      <c r="I2458" s="164"/>
      <c r="J2458" s="162"/>
      <c r="K2458" s="165"/>
      <c r="L2458" s="164"/>
      <c r="M2458" s="164"/>
      <c r="N2458" s="166"/>
      <c r="O2458" s="167"/>
      <c r="P2458" s="168"/>
      <c r="Q2458" s="169"/>
      <c r="R2458" s="170"/>
      <c r="S2458" s="171"/>
      <c r="T2458" s="203">
        <f t="shared" si="1512"/>
        <v>43647</v>
      </c>
      <c r="U2458" s="204">
        <f t="shared" si="1513"/>
        <v>43677</v>
      </c>
      <c r="V2458" s="207">
        <f t="shared" si="1522"/>
        <v>0</v>
      </c>
      <c r="W2458" s="206" t="str">
        <f t="shared" si="1519"/>
        <v/>
      </c>
      <c r="X2458" s="206">
        <f t="shared" si="1520"/>
        <v>0</v>
      </c>
      <c r="Y2458" s="209">
        <f t="shared" si="1521"/>
        <v>0</v>
      </c>
    </row>
    <row r="2459" spans="2:25" ht="16.5" hidden="1" thickTop="1" thickBot="1" x14ac:dyDescent="0.3">
      <c r="B2459" s="60">
        <f>B2456</f>
        <v>21</v>
      </c>
      <c r="C2459" s="102">
        <v>144</v>
      </c>
      <c r="D2459" s="192" t="str">
        <f t="shared" si="1514"/>
        <v>VIII</v>
      </c>
      <c r="E2459" s="162"/>
      <c r="F2459" s="163"/>
      <c r="G2459" s="163"/>
      <c r="H2459" s="164"/>
      <c r="I2459" s="164"/>
      <c r="J2459" s="162"/>
      <c r="K2459" s="165"/>
      <c r="L2459" s="164"/>
      <c r="M2459" s="164"/>
      <c r="N2459" s="166"/>
      <c r="O2459" s="167"/>
      <c r="P2459" s="168"/>
      <c r="Q2459" s="169"/>
      <c r="R2459" s="170"/>
      <c r="S2459" s="171"/>
      <c r="T2459" s="203">
        <f t="shared" si="1512"/>
        <v>43647</v>
      </c>
      <c r="U2459" s="204">
        <f t="shared" si="1513"/>
        <v>43677</v>
      </c>
      <c r="V2459" s="207">
        <f t="shared" si="1522"/>
        <v>0</v>
      </c>
      <c r="W2459" s="206" t="str">
        <f t="shared" si="1519"/>
        <v/>
      </c>
      <c r="X2459" s="206">
        <f t="shared" si="1520"/>
        <v>0</v>
      </c>
      <c r="Y2459" s="209">
        <f t="shared" si="1521"/>
        <v>0</v>
      </c>
    </row>
    <row r="2460" spans="2:25" ht="16.5" hidden="1" thickTop="1" thickBot="1" x14ac:dyDescent="0.3">
      <c r="B2460" s="60">
        <f>B2456</f>
        <v>21</v>
      </c>
      <c r="C2460" s="102">
        <v>145</v>
      </c>
      <c r="D2460" s="192" t="str">
        <f t="shared" si="1514"/>
        <v>VIII</v>
      </c>
      <c r="E2460" s="162"/>
      <c r="F2460" s="163"/>
      <c r="G2460" s="163"/>
      <c r="H2460" s="164"/>
      <c r="I2460" s="164"/>
      <c r="J2460" s="162"/>
      <c r="K2460" s="165"/>
      <c r="L2460" s="164"/>
      <c r="M2460" s="164"/>
      <c r="N2460" s="166"/>
      <c r="O2460" s="167"/>
      <c r="P2460" s="168"/>
      <c r="Q2460" s="169"/>
      <c r="R2460" s="170"/>
      <c r="S2460" s="171"/>
      <c r="T2460" s="203">
        <f t="shared" si="1512"/>
        <v>43647</v>
      </c>
      <c r="U2460" s="204">
        <f t="shared" si="1513"/>
        <v>43677</v>
      </c>
      <c r="V2460" s="207">
        <f t="shared" si="1522"/>
        <v>0</v>
      </c>
      <c r="W2460" s="206" t="str">
        <f t="shared" si="1519"/>
        <v/>
      </c>
      <c r="X2460" s="206">
        <f t="shared" si="1520"/>
        <v>0</v>
      </c>
      <c r="Y2460" s="209">
        <f t="shared" si="1521"/>
        <v>0</v>
      </c>
    </row>
    <row r="2461" spans="2:25" ht="16.5" hidden="1" thickTop="1" thickBot="1" x14ac:dyDescent="0.3">
      <c r="B2461" s="60">
        <f>B2456</f>
        <v>21</v>
      </c>
      <c r="C2461" s="102">
        <v>146</v>
      </c>
      <c r="D2461" s="192" t="str">
        <f t="shared" si="1514"/>
        <v>VIII</v>
      </c>
      <c r="E2461" s="172"/>
      <c r="F2461" s="173"/>
      <c r="G2461" s="173"/>
      <c r="H2461" s="174"/>
      <c r="I2461" s="174"/>
      <c r="J2461" s="172"/>
      <c r="K2461" s="175"/>
      <c r="L2461" s="174"/>
      <c r="M2461" s="174"/>
      <c r="N2461" s="176"/>
      <c r="O2461" s="177"/>
      <c r="P2461" s="178"/>
      <c r="Q2461" s="179"/>
      <c r="R2461" s="180"/>
      <c r="S2461" s="181"/>
      <c r="T2461" s="203">
        <f t="shared" si="1512"/>
        <v>43647</v>
      </c>
      <c r="U2461" s="204">
        <f t="shared" si="1513"/>
        <v>43677</v>
      </c>
      <c r="V2461" s="207">
        <f t="shared" si="1522"/>
        <v>0</v>
      </c>
      <c r="W2461" s="206" t="str">
        <f t="shared" si="1519"/>
        <v/>
      </c>
      <c r="X2461" s="206">
        <f t="shared" si="1520"/>
        <v>0</v>
      </c>
      <c r="Y2461" s="209">
        <f t="shared" si="1521"/>
        <v>0</v>
      </c>
    </row>
    <row r="2462" spans="2:25" ht="16.5" hidden="1" thickTop="1" thickBot="1" x14ac:dyDescent="0.3">
      <c r="B2462" s="141">
        <f>B2456</f>
        <v>21</v>
      </c>
      <c r="C2462" s="142">
        <v>147</v>
      </c>
      <c r="D2462" s="194" t="str">
        <f t="shared" si="1514"/>
        <v>VIII</v>
      </c>
      <c r="E2462" s="189"/>
      <c r="F2462" s="190"/>
      <c r="G2462" s="190"/>
      <c r="H2462" s="182"/>
      <c r="I2462" s="182"/>
      <c r="J2462" s="436" t="s">
        <v>181</v>
      </c>
      <c r="K2462" s="437"/>
      <c r="L2462" s="438"/>
      <c r="M2462" s="182"/>
      <c r="N2462" s="183"/>
      <c r="O2462" s="184"/>
      <c r="P2462" s="185"/>
      <c r="Q2462" s="186"/>
      <c r="R2462" s="187"/>
      <c r="S2462" s="188"/>
      <c r="T2462" s="213">
        <f t="shared" si="1512"/>
        <v>43647</v>
      </c>
      <c r="U2462" s="214">
        <f t="shared" si="1513"/>
        <v>43677</v>
      </c>
      <c r="V2462" s="210">
        <f t="shared" si="1522"/>
        <v>0</v>
      </c>
      <c r="W2462" s="211"/>
      <c r="X2462" s="211">
        <f>IF(AND($V2462&gt;0,$I2462=1),IF($E2462=10,P2462/10,P2462/$V2462),0)</f>
        <v>0</v>
      </c>
      <c r="Y2462" s="212">
        <f>IF(AND($V2456&gt;0,$I2462&lt;&gt;1),Q2462/E2456*V2456,0)</f>
        <v>0</v>
      </c>
    </row>
    <row r="2463" spans="2:25" ht="16.5" hidden="1" thickTop="1" thickBot="1" x14ac:dyDescent="0.3">
      <c r="B2463" s="129">
        <f>B2461+1</f>
        <v>22</v>
      </c>
      <c r="C2463" s="130">
        <v>148</v>
      </c>
      <c r="D2463" s="196" t="str">
        <f t="shared" si="1514"/>
        <v>VIII</v>
      </c>
      <c r="E2463" s="131"/>
      <c r="F2463" s="132"/>
      <c r="G2463" s="132"/>
      <c r="H2463" s="133"/>
      <c r="I2463" s="133"/>
      <c r="J2463" s="131"/>
      <c r="K2463" s="134"/>
      <c r="L2463" s="133"/>
      <c r="M2463" s="133"/>
      <c r="N2463" s="135"/>
      <c r="O2463" s="136"/>
      <c r="P2463" s="137"/>
      <c r="Q2463" s="138"/>
      <c r="R2463" s="139"/>
      <c r="S2463" s="140"/>
      <c r="T2463" s="203">
        <f t="shared" si="1512"/>
        <v>43647</v>
      </c>
      <c r="U2463" s="204">
        <f t="shared" si="1513"/>
        <v>43677</v>
      </c>
      <c r="V2463" s="207">
        <f>IF(G2463-F2463+1-IF(G2463-U2463&gt;0,G2463-U2463,0)-IF(T2463-F2463&gt;0,T2463-F2463,0)&gt;0,G2463-F2463+1-IF(G2463-U2463&gt;0,G2463-U2463,0)-IF(T2463-F2463&gt;0,T2463-F2463,0),0)</f>
        <v>0</v>
      </c>
      <c r="W2463" s="206" t="str">
        <f t="shared" ref="W2463:W2468" si="1523">IF(V2463&gt;0,H2463,"")</f>
        <v/>
      </c>
      <c r="X2463" s="206">
        <f t="shared" ref="X2463:X2468" si="1524">IF(AND($V2463&gt;0,$I2463=1),P2463/$E2463*$V2463,0)</f>
        <v>0</v>
      </c>
      <c r="Y2463" s="209">
        <f t="shared" ref="Y2463:Y2468" si="1525">IF(AND($V2463&gt;0,$I2463&lt;&gt;1),Q2463/$E2463*$V2463,0)</f>
        <v>0</v>
      </c>
    </row>
    <row r="2464" spans="2:25" ht="16.5" hidden="1" thickTop="1" thickBot="1" x14ac:dyDescent="0.3">
      <c r="B2464" s="60">
        <f>B2463</f>
        <v>22</v>
      </c>
      <c r="C2464" s="102">
        <v>149</v>
      </c>
      <c r="D2464" s="192" t="str">
        <f t="shared" si="1514"/>
        <v>VIII</v>
      </c>
      <c r="E2464" s="62"/>
      <c r="F2464" s="105"/>
      <c r="G2464" s="105"/>
      <c r="H2464" s="61"/>
      <c r="I2464" s="61"/>
      <c r="J2464" s="62"/>
      <c r="K2464" s="63"/>
      <c r="L2464" s="61"/>
      <c r="M2464" s="61"/>
      <c r="N2464" s="111"/>
      <c r="O2464" s="112"/>
      <c r="P2464" s="113"/>
      <c r="Q2464" s="114"/>
      <c r="R2464" s="64"/>
      <c r="S2464" s="108"/>
      <c r="T2464" s="203">
        <f t="shared" si="1512"/>
        <v>43647</v>
      </c>
      <c r="U2464" s="204">
        <f t="shared" si="1513"/>
        <v>43677</v>
      </c>
      <c r="V2464" s="207">
        <f t="shared" ref="V2464:V2469" si="1526">IF(G2464-F2464+1-IF(G2464-U2464&gt;0,G2464-U2464,0)-IF(T2464-F2464&gt;0,T2464-F2464,0)&gt;0,G2464-F2464+1-IF(G2464-U2464&gt;0,G2464-U2464,0)-IF(T2464-F2464&gt;0,T2464-F2464,0),0)</f>
        <v>0</v>
      </c>
      <c r="W2464" s="206" t="str">
        <f t="shared" si="1523"/>
        <v/>
      </c>
      <c r="X2464" s="206">
        <f t="shared" si="1524"/>
        <v>0</v>
      </c>
      <c r="Y2464" s="209">
        <f t="shared" si="1525"/>
        <v>0</v>
      </c>
    </row>
    <row r="2465" spans="2:25" ht="16.5" hidden="1" thickTop="1" thickBot="1" x14ac:dyDescent="0.3">
      <c r="B2465" s="60">
        <f>B2463</f>
        <v>22</v>
      </c>
      <c r="C2465" s="102">
        <v>150</v>
      </c>
      <c r="D2465" s="192" t="str">
        <f t="shared" si="1514"/>
        <v>VIII</v>
      </c>
      <c r="E2465" s="62"/>
      <c r="F2465" s="105"/>
      <c r="G2465" s="105"/>
      <c r="H2465" s="61"/>
      <c r="I2465" s="61"/>
      <c r="J2465" s="62"/>
      <c r="K2465" s="63"/>
      <c r="L2465" s="61"/>
      <c r="M2465" s="61"/>
      <c r="N2465" s="111"/>
      <c r="O2465" s="112"/>
      <c r="P2465" s="113"/>
      <c r="Q2465" s="114"/>
      <c r="R2465" s="64"/>
      <c r="S2465" s="108"/>
      <c r="T2465" s="203">
        <f t="shared" si="1512"/>
        <v>43647</v>
      </c>
      <c r="U2465" s="204">
        <f t="shared" si="1513"/>
        <v>43677</v>
      </c>
      <c r="V2465" s="207">
        <f t="shared" si="1526"/>
        <v>0</v>
      </c>
      <c r="W2465" s="206" t="str">
        <f t="shared" si="1523"/>
        <v/>
      </c>
      <c r="X2465" s="206">
        <f t="shared" si="1524"/>
        <v>0</v>
      </c>
      <c r="Y2465" s="209">
        <f t="shared" si="1525"/>
        <v>0</v>
      </c>
    </row>
    <row r="2466" spans="2:25" ht="16.5" hidden="1" thickTop="1" thickBot="1" x14ac:dyDescent="0.3">
      <c r="B2466" s="60">
        <f>B2463</f>
        <v>22</v>
      </c>
      <c r="C2466" s="102">
        <v>151</v>
      </c>
      <c r="D2466" s="192" t="str">
        <f t="shared" si="1514"/>
        <v>VIII</v>
      </c>
      <c r="E2466" s="62"/>
      <c r="F2466" s="105"/>
      <c r="G2466" s="105"/>
      <c r="H2466" s="61"/>
      <c r="I2466" s="61"/>
      <c r="J2466" s="62"/>
      <c r="K2466" s="63"/>
      <c r="L2466" s="61"/>
      <c r="M2466" s="61"/>
      <c r="N2466" s="111"/>
      <c r="O2466" s="112"/>
      <c r="P2466" s="113"/>
      <c r="Q2466" s="114"/>
      <c r="R2466" s="64"/>
      <c r="S2466" s="108"/>
      <c r="T2466" s="203">
        <f t="shared" si="1512"/>
        <v>43647</v>
      </c>
      <c r="U2466" s="204">
        <f t="shared" si="1513"/>
        <v>43677</v>
      </c>
      <c r="V2466" s="207">
        <f t="shared" si="1526"/>
        <v>0</v>
      </c>
      <c r="W2466" s="206" t="str">
        <f t="shared" si="1523"/>
        <v/>
      </c>
      <c r="X2466" s="206">
        <f t="shared" si="1524"/>
        <v>0</v>
      </c>
      <c r="Y2466" s="209">
        <f t="shared" si="1525"/>
        <v>0</v>
      </c>
    </row>
    <row r="2467" spans="2:25" ht="16.5" hidden="1" thickTop="1" thickBot="1" x14ac:dyDescent="0.3">
      <c r="B2467" s="60">
        <f>B2463</f>
        <v>22</v>
      </c>
      <c r="C2467" s="102">
        <v>152</v>
      </c>
      <c r="D2467" s="192" t="str">
        <f t="shared" si="1514"/>
        <v>VIII</v>
      </c>
      <c r="E2467" s="62"/>
      <c r="F2467" s="105"/>
      <c r="G2467" s="105"/>
      <c r="H2467" s="61"/>
      <c r="I2467" s="61"/>
      <c r="J2467" s="62"/>
      <c r="K2467" s="63"/>
      <c r="L2467" s="61"/>
      <c r="M2467" s="61"/>
      <c r="N2467" s="111"/>
      <c r="O2467" s="112"/>
      <c r="P2467" s="113"/>
      <c r="Q2467" s="114"/>
      <c r="R2467" s="64"/>
      <c r="S2467" s="108"/>
      <c r="T2467" s="203">
        <f t="shared" si="1512"/>
        <v>43647</v>
      </c>
      <c r="U2467" s="204">
        <f t="shared" si="1513"/>
        <v>43677</v>
      </c>
      <c r="V2467" s="207">
        <f t="shared" si="1526"/>
        <v>0</v>
      </c>
      <c r="W2467" s="206" t="str">
        <f t="shared" si="1523"/>
        <v/>
      </c>
      <c r="X2467" s="206">
        <f t="shared" si="1524"/>
        <v>0</v>
      </c>
      <c r="Y2467" s="209">
        <f t="shared" si="1525"/>
        <v>0</v>
      </c>
    </row>
    <row r="2468" spans="2:25" ht="16.5" hidden="1" thickTop="1" thickBot="1" x14ac:dyDescent="0.3">
      <c r="B2468" s="60">
        <f>B2463</f>
        <v>22</v>
      </c>
      <c r="C2468" s="102">
        <v>153</v>
      </c>
      <c r="D2468" s="192" t="str">
        <f t="shared" si="1514"/>
        <v>VIII</v>
      </c>
      <c r="E2468" s="62"/>
      <c r="F2468" s="105"/>
      <c r="G2468" s="105"/>
      <c r="H2468" s="61"/>
      <c r="I2468" s="61"/>
      <c r="J2468" s="62"/>
      <c r="K2468" s="63"/>
      <c r="L2468" s="61"/>
      <c r="M2468" s="61"/>
      <c r="N2468" s="111"/>
      <c r="O2468" s="112"/>
      <c r="P2468" s="113"/>
      <c r="Q2468" s="114"/>
      <c r="R2468" s="64"/>
      <c r="S2468" s="108"/>
      <c r="T2468" s="203">
        <f t="shared" si="1512"/>
        <v>43647</v>
      </c>
      <c r="U2468" s="204">
        <f t="shared" si="1513"/>
        <v>43677</v>
      </c>
      <c r="V2468" s="207">
        <f t="shared" si="1526"/>
        <v>0</v>
      </c>
      <c r="W2468" s="206" t="str">
        <f t="shared" si="1523"/>
        <v/>
      </c>
      <c r="X2468" s="206">
        <f t="shared" si="1524"/>
        <v>0</v>
      </c>
      <c r="Y2468" s="209">
        <f t="shared" si="1525"/>
        <v>0</v>
      </c>
    </row>
    <row r="2469" spans="2:25" ht="16.5" hidden="1" thickTop="1" thickBot="1" x14ac:dyDescent="0.3">
      <c r="B2469" s="141">
        <f>B2463</f>
        <v>22</v>
      </c>
      <c r="C2469" s="142">
        <v>154</v>
      </c>
      <c r="D2469" s="194" t="str">
        <f t="shared" si="1514"/>
        <v>VIII</v>
      </c>
      <c r="E2469" s="143"/>
      <c r="F2469" s="144"/>
      <c r="G2469" s="144"/>
      <c r="H2469" s="145"/>
      <c r="I2469" s="145"/>
      <c r="J2469" s="436" t="s">
        <v>181</v>
      </c>
      <c r="K2469" s="437"/>
      <c r="L2469" s="438"/>
      <c r="M2469" s="145"/>
      <c r="N2469" s="146"/>
      <c r="O2469" s="147"/>
      <c r="P2469" s="148"/>
      <c r="Q2469" s="149"/>
      <c r="R2469" s="150"/>
      <c r="S2469" s="151"/>
      <c r="T2469" s="213">
        <f t="shared" si="1512"/>
        <v>43647</v>
      </c>
      <c r="U2469" s="214">
        <f t="shared" si="1513"/>
        <v>43677</v>
      </c>
      <c r="V2469" s="210">
        <f t="shared" si="1526"/>
        <v>0</v>
      </c>
      <c r="W2469" s="211"/>
      <c r="X2469" s="211">
        <f>IF(AND($V2469&gt;0,$I2469=1),IF($E2469=10,P2469/10,P2469/$V2469),0)</f>
        <v>0</v>
      </c>
      <c r="Y2469" s="212">
        <f>IF(AND($V2463&gt;0,$I2469&lt;&gt;1),Q2469/E2463*V2463,0)</f>
        <v>0</v>
      </c>
    </row>
    <row r="2470" spans="2:25" ht="16.5" hidden="1" thickTop="1" thickBot="1" x14ac:dyDescent="0.3">
      <c r="B2470" s="129">
        <f>B2468+1</f>
        <v>23</v>
      </c>
      <c r="C2470" s="130">
        <v>155</v>
      </c>
      <c r="D2470" s="196" t="str">
        <f t="shared" si="1514"/>
        <v>VIII</v>
      </c>
      <c r="E2470" s="152"/>
      <c r="F2470" s="153"/>
      <c r="G2470" s="153"/>
      <c r="H2470" s="154"/>
      <c r="I2470" s="154"/>
      <c r="J2470" s="152"/>
      <c r="K2470" s="155"/>
      <c r="L2470" s="154"/>
      <c r="M2470" s="154"/>
      <c r="N2470" s="156"/>
      <c r="O2470" s="157"/>
      <c r="P2470" s="158"/>
      <c r="Q2470" s="159"/>
      <c r="R2470" s="160"/>
      <c r="S2470" s="161"/>
      <c r="T2470" s="203">
        <f t="shared" si="1512"/>
        <v>43647</v>
      </c>
      <c r="U2470" s="204">
        <f t="shared" si="1513"/>
        <v>43677</v>
      </c>
      <c r="V2470" s="207">
        <f>IF(G2470-F2470+1-IF(G2470-U2470&gt;0,G2470-U2470,0)-IF(T2470-F2470&gt;0,T2470-F2470,0)&gt;0,G2470-F2470+1-IF(G2470-U2470&gt;0,G2470-U2470,0)-IF(T2470-F2470&gt;0,T2470-F2470,0),0)</f>
        <v>0</v>
      </c>
      <c r="W2470" s="206" t="str">
        <f t="shared" ref="W2470:W2475" si="1527">IF(V2470&gt;0,H2470,"")</f>
        <v/>
      </c>
      <c r="X2470" s="206">
        <f t="shared" ref="X2470:X2475" si="1528">IF(AND($V2470&gt;0,$I2470=1),P2470/$E2470*$V2470,0)</f>
        <v>0</v>
      </c>
      <c r="Y2470" s="209">
        <f t="shared" ref="Y2470:Y2475" si="1529">IF(AND($V2470&gt;0,$I2470&lt;&gt;1),Q2470/$E2470*$V2470,0)</f>
        <v>0</v>
      </c>
    </row>
    <row r="2471" spans="2:25" ht="16.5" hidden="1" thickTop="1" thickBot="1" x14ac:dyDescent="0.3">
      <c r="B2471" s="60">
        <f>B2470</f>
        <v>23</v>
      </c>
      <c r="C2471" s="102">
        <v>156</v>
      </c>
      <c r="D2471" s="192" t="str">
        <f t="shared" si="1514"/>
        <v>VIII</v>
      </c>
      <c r="E2471" s="162"/>
      <c r="F2471" s="163"/>
      <c r="G2471" s="163"/>
      <c r="H2471" s="164"/>
      <c r="I2471" s="164"/>
      <c r="J2471" s="162"/>
      <c r="K2471" s="165"/>
      <c r="L2471" s="164"/>
      <c r="M2471" s="164"/>
      <c r="N2471" s="166"/>
      <c r="O2471" s="167"/>
      <c r="P2471" s="168"/>
      <c r="Q2471" s="169"/>
      <c r="R2471" s="170"/>
      <c r="S2471" s="171"/>
      <c r="T2471" s="203">
        <f t="shared" si="1512"/>
        <v>43647</v>
      </c>
      <c r="U2471" s="204">
        <f t="shared" si="1513"/>
        <v>43677</v>
      </c>
      <c r="V2471" s="207">
        <f t="shared" ref="V2471:V2476" si="1530">IF(G2471-F2471+1-IF(G2471-U2471&gt;0,G2471-U2471,0)-IF(T2471-F2471&gt;0,T2471-F2471,0)&gt;0,G2471-F2471+1-IF(G2471-U2471&gt;0,G2471-U2471,0)-IF(T2471-F2471&gt;0,T2471-F2471,0),0)</f>
        <v>0</v>
      </c>
      <c r="W2471" s="206" t="str">
        <f t="shared" si="1527"/>
        <v/>
      </c>
      <c r="X2471" s="206">
        <f t="shared" si="1528"/>
        <v>0</v>
      </c>
      <c r="Y2471" s="209">
        <f t="shared" si="1529"/>
        <v>0</v>
      </c>
    </row>
    <row r="2472" spans="2:25" ht="16.5" hidden="1" thickTop="1" thickBot="1" x14ac:dyDescent="0.3">
      <c r="B2472" s="60">
        <f>B2470</f>
        <v>23</v>
      </c>
      <c r="C2472" s="102">
        <v>157</v>
      </c>
      <c r="D2472" s="192" t="str">
        <f t="shared" si="1514"/>
        <v>VIII</v>
      </c>
      <c r="E2472" s="162"/>
      <c r="F2472" s="163"/>
      <c r="G2472" s="163"/>
      <c r="H2472" s="164"/>
      <c r="I2472" s="164"/>
      <c r="J2472" s="162"/>
      <c r="K2472" s="165"/>
      <c r="L2472" s="164"/>
      <c r="M2472" s="164"/>
      <c r="N2472" s="166"/>
      <c r="O2472" s="167"/>
      <c r="P2472" s="168"/>
      <c r="Q2472" s="169"/>
      <c r="R2472" s="170"/>
      <c r="S2472" s="171"/>
      <c r="T2472" s="203">
        <f t="shared" si="1512"/>
        <v>43647</v>
      </c>
      <c r="U2472" s="204">
        <f t="shared" si="1513"/>
        <v>43677</v>
      </c>
      <c r="V2472" s="207">
        <f t="shared" si="1530"/>
        <v>0</v>
      </c>
      <c r="W2472" s="206" t="str">
        <f t="shared" si="1527"/>
        <v/>
      </c>
      <c r="X2472" s="206">
        <f t="shared" si="1528"/>
        <v>0</v>
      </c>
      <c r="Y2472" s="209">
        <f t="shared" si="1529"/>
        <v>0</v>
      </c>
    </row>
    <row r="2473" spans="2:25" ht="16.5" hidden="1" thickTop="1" thickBot="1" x14ac:dyDescent="0.3">
      <c r="B2473" s="60">
        <f>B2470</f>
        <v>23</v>
      </c>
      <c r="C2473" s="102">
        <v>158</v>
      </c>
      <c r="D2473" s="192" t="str">
        <f t="shared" si="1514"/>
        <v>VIII</v>
      </c>
      <c r="E2473" s="162"/>
      <c r="F2473" s="163"/>
      <c r="G2473" s="163"/>
      <c r="H2473" s="164"/>
      <c r="I2473" s="164"/>
      <c r="J2473" s="162"/>
      <c r="K2473" s="165"/>
      <c r="L2473" s="164"/>
      <c r="M2473" s="164"/>
      <c r="N2473" s="166"/>
      <c r="O2473" s="167"/>
      <c r="P2473" s="168"/>
      <c r="Q2473" s="169"/>
      <c r="R2473" s="170"/>
      <c r="S2473" s="171"/>
      <c r="T2473" s="203">
        <f t="shared" si="1512"/>
        <v>43647</v>
      </c>
      <c r="U2473" s="204">
        <f t="shared" si="1513"/>
        <v>43677</v>
      </c>
      <c r="V2473" s="207">
        <f t="shared" si="1530"/>
        <v>0</v>
      </c>
      <c r="W2473" s="206" t="str">
        <f t="shared" si="1527"/>
        <v/>
      </c>
      <c r="X2473" s="206">
        <f t="shared" si="1528"/>
        <v>0</v>
      </c>
      <c r="Y2473" s="209">
        <f t="shared" si="1529"/>
        <v>0</v>
      </c>
    </row>
    <row r="2474" spans="2:25" ht="16.5" hidden="1" thickTop="1" thickBot="1" x14ac:dyDescent="0.3">
      <c r="B2474" s="60">
        <f>B2470</f>
        <v>23</v>
      </c>
      <c r="C2474" s="102">
        <v>159</v>
      </c>
      <c r="D2474" s="192" t="str">
        <f t="shared" si="1514"/>
        <v>VIII</v>
      </c>
      <c r="E2474" s="162"/>
      <c r="F2474" s="163"/>
      <c r="G2474" s="163"/>
      <c r="H2474" s="164"/>
      <c r="I2474" s="164"/>
      <c r="J2474" s="162"/>
      <c r="K2474" s="165"/>
      <c r="L2474" s="164"/>
      <c r="M2474" s="164"/>
      <c r="N2474" s="166"/>
      <c r="O2474" s="167"/>
      <c r="P2474" s="168"/>
      <c r="Q2474" s="169"/>
      <c r="R2474" s="170"/>
      <c r="S2474" s="171"/>
      <c r="T2474" s="203">
        <f t="shared" si="1512"/>
        <v>43647</v>
      </c>
      <c r="U2474" s="204">
        <f t="shared" si="1513"/>
        <v>43677</v>
      </c>
      <c r="V2474" s="207">
        <f t="shared" si="1530"/>
        <v>0</v>
      </c>
      <c r="W2474" s="206" t="str">
        <f t="shared" si="1527"/>
        <v/>
      </c>
      <c r="X2474" s="206">
        <f t="shared" si="1528"/>
        <v>0</v>
      </c>
      <c r="Y2474" s="209">
        <f t="shared" si="1529"/>
        <v>0</v>
      </c>
    </row>
    <row r="2475" spans="2:25" ht="16.5" hidden="1" thickTop="1" thickBot="1" x14ac:dyDescent="0.3">
      <c r="B2475" s="60">
        <f>B2470</f>
        <v>23</v>
      </c>
      <c r="C2475" s="102">
        <v>160</v>
      </c>
      <c r="D2475" s="192" t="str">
        <f t="shared" si="1514"/>
        <v>VIII</v>
      </c>
      <c r="E2475" s="172"/>
      <c r="F2475" s="173"/>
      <c r="G2475" s="173"/>
      <c r="H2475" s="174"/>
      <c r="I2475" s="174"/>
      <c r="J2475" s="172"/>
      <c r="K2475" s="175"/>
      <c r="L2475" s="174"/>
      <c r="M2475" s="174"/>
      <c r="N2475" s="176"/>
      <c r="O2475" s="177"/>
      <c r="P2475" s="178"/>
      <c r="Q2475" s="179"/>
      <c r="R2475" s="180"/>
      <c r="S2475" s="181"/>
      <c r="T2475" s="203">
        <f t="shared" si="1512"/>
        <v>43647</v>
      </c>
      <c r="U2475" s="204">
        <f t="shared" si="1513"/>
        <v>43677</v>
      </c>
      <c r="V2475" s="207">
        <f t="shared" si="1530"/>
        <v>0</v>
      </c>
      <c r="W2475" s="206" t="str">
        <f t="shared" si="1527"/>
        <v/>
      </c>
      <c r="X2475" s="206">
        <f t="shared" si="1528"/>
        <v>0</v>
      </c>
      <c r="Y2475" s="209">
        <f t="shared" si="1529"/>
        <v>0</v>
      </c>
    </row>
    <row r="2476" spans="2:25" ht="16.5" hidden="1" thickTop="1" thickBot="1" x14ac:dyDescent="0.3">
      <c r="B2476" s="141">
        <f>B2470</f>
        <v>23</v>
      </c>
      <c r="C2476" s="142">
        <v>161</v>
      </c>
      <c r="D2476" s="194" t="str">
        <f t="shared" si="1514"/>
        <v>VIII</v>
      </c>
      <c r="E2476" s="189"/>
      <c r="F2476" s="190"/>
      <c r="G2476" s="190"/>
      <c r="H2476" s="182"/>
      <c r="I2476" s="182"/>
      <c r="J2476" s="436" t="s">
        <v>181</v>
      </c>
      <c r="K2476" s="437"/>
      <c r="L2476" s="438"/>
      <c r="M2476" s="182"/>
      <c r="N2476" s="183"/>
      <c r="O2476" s="184"/>
      <c r="P2476" s="185"/>
      <c r="Q2476" s="186"/>
      <c r="R2476" s="187"/>
      <c r="S2476" s="188"/>
      <c r="T2476" s="213">
        <f t="shared" si="1512"/>
        <v>43647</v>
      </c>
      <c r="U2476" s="214">
        <f t="shared" si="1513"/>
        <v>43677</v>
      </c>
      <c r="V2476" s="210">
        <f t="shared" si="1530"/>
        <v>0</v>
      </c>
      <c r="W2476" s="211"/>
      <c r="X2476" s="211">
        <f>IF(AND($V2476&gt;0,$I2476=1),IF($E2476=10,P2476/10,P2476/$V2476),0)</f>
        <v>0</v>
      </c>
      <c r="Y2476" s="212">
        <f>IF(AND($V2470&gt;0,$I2476&lt;&gt;1),Q2476/E2470*V2470,0)</f>
        <v>0</v>
      </c>
    </row>
    <row r="2477" spans="2:25" ht="16.5" hidden="1" thickTop="1" thickBot="1" x14ac:dyDescent="0.3">
      <c r="B2477" s="129">
        <f>B2475+1</f>
        <v>24</v>
      </c>
      <c r="C2477" s="130">
        <v>162</v>
      </c>
      <c r="D2477" s="196" t="str">
        <f t="shared" si="1514"/>
        <v>VIII</v>
      </c>
      <c r="E2477" s="131"/>
      <c r="F2477" s="132"/>
      <c r="G2477" s="132"/>
      <c r="H2477" s="133"/>
      <c r="I2477" s="133"/>
      <c r="J2477" s="131"/>
      <c r="K2477" s="134"/>
      <c r="L2477" s="133"/>
      <c r="M2477" s="133"/>
      <c r="N2477" s="135"/>
      <c r="O2477" s="136"/>
      <c r="P2477" s="137"/>
      <c r="Q2477" s="138"/>
      <c r="R2477" s="139"/>
      <c r="S2477" s="140"/>
      <c r="T2477" s="203">
        <f t="shared" si="1512"/>
        <v>43647</v>
      </c>
      <c r="U2477" s="204">
        <f t="shared" si="1513"/>
        <v>43677</v>
      </c>
      <c r="V2477" s="207">
        <f>IF(G2477-F2477+1-IF(G2477-U2477&gt;0,G2477-U2477,0)-IF(T2477-F2477&gt;0,T2477-F2477,0)&gt;0,G2477-F2477+1-IF(G2477-U2477&gt;0,G2477-U2477,0)-IF(T2477-F2477&gt;0,T2477-F2477,0),0)</f>
        <v>0</v>
      </c>
      <c r="W2477" s="206" t="str">
        <f t="shared" ref="W2477:W2482" si="1531">IF(V2477&gt;0,H2477,"")</f>
        <v/>
      </c>
      <c r="X2477" s="206">
        <f t="shared" ref="X2477:X2482" si="1532">IF(AND($V2477&gt;0,$I2477=1),P2477/$E2477*$V2477,0)</f>
        <v>0</v>
      </c>
      <c r="Y2477" s="209">
        <f t="shared" ref="Y2477:Y2482" si="1533">IF(AND($V2477&gt;0,$I2477&lt;&gt;1),Q2477/$E2477*$V2477,0)</f>
        <v>0</v>
      </c>
    </row>
    <row r="2478" spans="2:25" ht="16.5" hidden="1" thickTop="1" thickBot="1" x14ac:dyDescent="0.3">
      <c r="B2478" s="60">
        <f>B2477</f>
        <v>24</v>
      </c>
      <c r="C2478" s="102">
        <v>163</v>
      </c>
      <c r="D2478" s="192" t="str">
        <f t="shared" si="1514"/>
        <v>VIII</v>
      </c>
      <c r="E2478" s="62"/>
      <c r="F2478" s="105"/>
      <c r="G2478" s="105"/>
      <c r="H2478" s="61"/>
      <c r="I2478" s="61"/>
      <c r="J2478" s="62"/>
      <c r="K2478" s="63"/>
      <c r="L2478" s="61"/>
      <c r="M2478" s="61"/>
      <c r="N2478" s="111"/>
      <c r="O2478" s="112"/>
      <c r="P2478" s="113"/>
      <c r="Q2478" s="114"/>
      <c r="R2478" s="64"/>
      <c r="S2478" s="108"/>
      <c r="T2478" s="203">
        <f t="shared" si="1512"/>
        <v>43647</v>
      </c>
      <c r="U2478" s="204">
        <f t="shared" si="1513"/>
        <v>43677</v>
      </c>
      <c r="V2478" s="207">
        <f t="shared" ref="V2478:V2483" si="1534">IF(G2478-F2478+1-IF(G2478-U2478&gt;0,G2478-U2478,0)-IF(T2478-F2478&gt;0,T2478-F2478,0)&gt;0,G2478-F2478+1-IF(G2478-U2478&gt;0,G2478-U2478,0)-IF(T2478-F2478&gt;0,T2478-F2478,0),0)</f>
        <v>0</v>
      </c>
      <c r="W2478" s="206" t="str">
        <f t="shared" si="1531"/>
        <v/>
      </c>
      <c r="X2478" s="206">
        <f t="shared" si="1532"/>
        <v>0</v>
      </c>
      <c r="Y2478" s="209">
        <f t="shared" si="1533"/>
        <v>0</v>
      </c>
    </row>
    <row r="2479" spans="2:25" ht="16.5" hidden="1" thickTop="1" thickBot="1" x14ac:dyDescent="0.3">
      <c r="B2479" s="60">
        <f>B2477</f>
        <v>24</v>
      </c>
      <c r="C2479" s="102">
        <v>164</v>
      </c>
      <c r="D2479" s="192" t="str">
        <f t="shared" si="1514"/>
        <v>VIII</v>
      </c>
      <c r="E2479" s="62"/>
      <c r="F2479" s="105"/>
      <c r="G2479" s="105"/>
      <c r="H2479" s="61"/>
      <c r="I2479" s="61"/>
      <c r="J2479" s="62"/>
      <c r="K2479" s="63"/>
      <c r="L2479" s="61"/>
      <c r="M2479" s="61"/>
      <c r="N2479" s="111"/>
      <c r="O2479" s="112"/>
      <c r="P2479" s="113"/>
      <c r="Q2479" s="114"/>
      <c r="R2479" s="64"/>
      <c r="S2479" s="108"/>
      <c r="T2479" s="203">
        <f t="shared" si="1512"/>
        <v>43647</v>
      </c>
      <c r="U2479" s="204">
        <f t="shared" si="1513"/>
        <v>43677</v>
      </c>
      <c r="V2479" s="207">
        <f t="shared" si="1534"/>
        <v>0</v>
      </c>
      <c r="W2479" s="206" t="str">
        <f t="shared" si="1531"/>
        <v/>
      </c>
      <c r="X2479" s="206">
        <f t="shared" si="1532"/>
        <v>0</v>
      </c>
      <c r="Y2479" s="209">
        <f t="shared" si="1533"/>
        <v>0</v>
      </c>
    </row>
    <row r="2480" spans="2:25" ht="16.5" hidden="1" thickTop="1" thickBot="1" x14ac:dyDescent="0.3">
      <c r="B2480" s="60">
        <f>B2477</f>
        <v>24</v>
      </c>
      <c r="C2480" s="102">
        <v>165</v>
      </c>
      <c r="D2480" s="192" t="str">
        <f t="shared" si="1514"/>
        <v>VIII</v>
      </c>
      <c r="E2480" s="62"/>
      <c r="F2480" s="105"/>
      <c r="G2480" s="105"/>
      <c r="H2480" s="61"/>
      <c r="I2480" s="61"/>
      <c r="J2480" s="62"/>
      <c r="K2480" s="63"/>
      <c r="L2480" s="61"/>
      <c r="M2480" s="61"/>
      <c r="N2480" s="111"/>
      <c r="O2480" s="112"/>
      <c r="P2480" s="113"/>
      <c r="Q2480" s="114"/>
      <c r="R2480" s="64"/>
      <c r="S2480" s="108"/>
      <c r="T2480" s="203">
        <f t="shared" si="1512"/>
        <v>43647</v>
      </c>
      <c r="U2480" s="204">
        <f t="shared" si="1513"/>
        <v>43677</v>
      </c>
      <c r="V2480" s="207">
        <f t="shared" si="1534"/>
        <v>0</v>
      </c>
      <c r="W2480" s="206" t="str">
        <f t="shared" si="1531"/>
        <v/>
      </c>
      <c r="X2480" s="206">
        <f t="shared" si="1532"/>
        <v>0</v>
      </c>
      <c r="Y2480" s="209">
        <f t="shared" si="1533"/>
        <v>0</v>
      </c>
    </row>
    <row r="2481" spans="2:25" ht="16.5" hidden="1" thickTop="1" thickBot="1" x14ac:dyDescent="0.3">
      <c r="B2481" s="60">
        <f>B2477</f>
        <v>24</v>
      </c>
      <c r="C2481" s="102">
        <v>166</v>
      </c>
      <c r="D2481" s="192" t="str">
        <f t="shared" si="1514"/>
        <v>VIII</v>
      </c>
      <c r="E2481" s="62"/>
      <c r="F2481" s="105"/>
      <c r="G2481" s="105"/>
      <c r="H2481" s="61"/>
      <c r="I2481" s="61"/>
      <c r="J2481" s="62"/>
      <c r="K2481" s="63"/>
      <c r="L2481" s="61"/>
      <c r="M2481" s="61"/>
      <c r="N2481" s="111"/>
      <c r="O2481" s="112"/>
      <c r="P2481" s="113"/>
      <c r="Q2481" s="114"/>
      <c r="R2481" s="64"/>
      <c r="S2481" s="108"/>
      <c r="T2481" s="203">
        <f t="shared" si="1512"/>
        <v>43647</v>
      </c>
      <c r="U2481" s="204">
        <f t="shared" si="1513"/>
        <v>43677</v>
      </c>
      <c r="V2481" s="207">
        <f t="shared" si="1534"/>
        <v>0</v>
      </c>
      <c r="W2481" s="206" t="str">
        <f t="shared" si="1531"/>
        <v/>
      </c>
      <c r="X2481" s="206">
        <f t="shared" si="1532"/>
        <v>0</v>
      </c>
      <c r="Y2481" s="209">
        <f t="shared" si="1533"/>
        <v>0</v>
      </c>
    </row>
    <row r="2482" spans="2:25" ht="16.5" hidden="1" thickTop="1" thickBot="1" x14ac:dyDescent="0.3">
      <c r="B2482" s="60">
        <f>B2477</f>
        <v>24</v>
      </c>
      <c r="C2482" s="102">
        <v>167</v>
      </c>
      <c r="D2482" s="192" t="str">
        <f t="shared" si="1514"/>
        <v>VIII</v>
      </c>
      <c r="E2482" s="62"/>
      <c r="F2482" s="105"/>
      <c r="G2482" s="105"/>
      <c r="H2482" s="61"/>
      <c r="I2482" s="61"/>
      <c r="J2482" s="62"/>
      <c r="K2482" s="63"/>
      <c r="L2482" s="61"/>
      <c r="M2482" s="61"/>
      <c r="N2482" s="111"/>
      <c r="O2482" s="112"/>
      <c r="P2482" s="113"/>
      <c r="Q2482" s="114"/>
      <c r="R2482" s="64"/>
      <c r="S2482" s="108"/>
      <c r="T2482" s="203">
        <f t="shared" si="1512"/>
        <v>43647</v>
      </c>
      <c r="U2482" s="204">
        <f t="shared" si="1513"/>
        <v>43677</v>
      </c>
      <c r="V2482" s="207">
        <f t="shared" si="1534"/>
        <v>0</v>
      </c>
      <c r="W2482" s="206" t="str">
        <f t="shared" si="1531"/>
        <v/>
      </c>
      <c r="X2482" s="206">
        <f t="shared" si="1532"/>
        <v>0</v>
      </c>
      <c r="Y2482" s="209">
        <f t="shared" si="1533"/>
        <v>0</v>
      </c>
    </row>
    <row r="2483" spans="2:25" ht="16.5" hidden="1" thickTop="1" thickBot="1" x14ac:dyDescent="0.3">
      <c r="B2483" s="141">
        <f>B2477</f>
        <v>24</v>
      </c>
      <c r="C2483" s="142">
        <v>168</v>
      </c>
      <c r="D2483" s="194" t="str">
        <f t="shared" si="1514"/>
        <v>VIII</v>
      </c>
      <c r="E2483" s="143"/>
      <c r="F2483" s="144"/>
      <c r="G2483" s="144"/>
      <c r="H2483" s="145"/>
      <c r="I2483" s="145"/>
      <c r="J2483" s="436" t="s">
        <v>181</v>
      </c>
      <c r="K2483" s="437"/>
      <c r="L2483" s="438"/>
      <c r="M2483" s="145"/>
      <c r="N2483" s="146"/>
      <c r="O2483" s="147"/>
      <c r="P2483" s="148"/>
      <c r="Q2483" s="149"/>
      <c r="R2483" s="150"/>
      <c r="S2483" s="151"/>
      <c r="T2483" s="213">
        <f t="shared" si="1512"/>
        <v>43647</v>
      </c>
      <c r="U2483" s="214">
        <f t="shared" si="1513"/>
        <v>43677</v>
      </c>
      <c r="V2483" s="210">
        <f t="shared" si="1534"/>
        <v>0</v>
      </c>
      <c r="W2483" s="211"/>
      <c r="X2483" s="211">
        <f>IF(AND($V2483&gt;0,$I2483=1),IF($E2483=10,P2483/10,P2483/$V2483),0)</f>
        <v>0</v>
      </c>
      <c r="Y2483" s="212">
        <f>IF(AND($V2477&gt;0,$I2483&lt;&gt;1),Q2483/E2477*V2477,0)</f>
        <v>0</v>
      </c>
    </row>
    <row r="2484" spans="2:25" ht="16.5" hidden="1" thickTop="1" thickBot="1" x14ac:dyDescent="0.3">
      <c r="B2484" s="129">
        <f>B2482+1</f>
        <v>25</v>
      </c>
      <c r="C2484" s="130">
        <v>169</v>
      </c>
      <c r="D2484" s="196" t="str">
        <f t="shared" si="1514"/>
        <v>VIII</v>
      </c>
      <c r="E2484" s="152"/>
      <c r="F2484" s="153"/>
      <c r="G2484" s="153"/>
      <c r="H2484" s="154"/>
      <c r="I2484" s="154"/>
      <c r="J2484" s="152"/>
      <c r="K2484" s="155"/>
      <c r="L2484" s="154"/>
      <c r="M2484" s="154"/>
      <c r="N2484" s="156"/>
      <c r="O2484" s="157"/>
      <c r="P2484" s="158"/>
      <c r="Q2484" s="159"/>
      <c r="R2484" s="160"/>
      <c r="S2484" s="161"/>
      <c r="T2484" s="203">
        <f t="shared" si="1512"/>
        <v>43647</v>
      </c>
      <c r="U2484" s="204">
        <f t="shared" si="1513"/>
        <v>43677</v>
      </c>
      <c r="V2484" s="207">
        <f>IF(G2484-F2484+1-IF(G2484-U2484&gt;0,G2484-U2484,0)-IF(T2484-F2484&gt;0,T2484-F2484,0)&gt;0,G2484-F2484+1-IF(G2484-U2484&gt;0,G2484-U2484,0)-IF(T2484-F2484&gt;0,T2484-F2484,0),0)</f>
        <v>0</v>
      </c>
      <c r="W2484" s="206" t="str">
        <f t="shared" ref="W2484:W2489" si="1535">IF(V2484&gt;0,H2484,"")</f>
        <v/>
      </c>
      <c r="X2484" s="206">
        <f t="shared" ref="X2484:X2489" si="1536">IF(AND($V2484&gt;0,$I2484=1),P2484/$E2484*$V2484,0)</f>
        <v>0</v>
      </c>
      <c r="Y2484" s="209">
        <f t="shared" ref="Y2484:Y2489" si="1537">IF(AND($V2484&gt;0,$I2484&lt;&gt;1),Q2484/$E2484*$V2484,0)</f>
        <v>0</v>
      </c>
    </row>
    <row r="2485" spans="2:25" ht="16.5" hidden="1" thickTop="1" thickBot="1" x14ac:dyDescent="0.3">
      <c r="B2485" s="60">
        <f>B2484</f>
        <v>25</v>
      </c>
      <c r="C2485" s="102">
        <v>170</v>
      </c>
      <c r="D2485" s="192" t="str">
        <f t="shared" si="1514"/>
        <v>VIII</v>
      </c>
      <c r="E2485" s="162"/>
      <c r="F2485" s="163"/>
      <c r="G2485" s="163"/>
      <c r="H2485" s="164"/>
      <c r="I2485" s="164"/>
      <c r="J2485" s="162"/>
      <c r="K2485" s="165"/>
      <c r="L2485" s="164"/>
      <c r="M2485" s="164"/>
      <c r="N2485" s="166"/>
      <c r="O2485" s="167"/>
      <c r="P2485" s="168"/>
      <c r="Q2485" s="169"/>
      <c r="R2485" s="170"/>
      <c r="S2485" s="171"/>
      <c r="T2485" s="203">
        <f t="shared" si="1512"/>
        <v>43647</v>
      </c>
      <c r="U2485" s="204">
        <f t="shared" si="1513"/>
        <v>43677</v>
      </c>
      <c r="V2485" s="207">
        <f t="shared" ref="V2485:V2490" si="1538">IF(G2485-F2485+1-IF(G2485-U2485&gt;0,G2485-U2485,0)-IF(T2485-F2485&gt;0,T2485-F2485,0)&gt;0,G2485-F2485+1-IF(G2485-U2485&gt;0,G2485-U2485,0)-IF(T2485-F2485&gt;0,T2485-F2485,0),0)</f>
        <v>0</v>
      </c>
      <c r="W2485" s="206" t="str">
        <f t="shared" si="1535"/>
        <v/>
      </c>
      <c r="X2485" s="206">
        <f t="shared" si="1536"/>
        <v>0</v>
      </c>
      <c r="Y2485" s="209">
        <f t="shared" si="1537"/>
        <v>0</v>
      </c>
    </row>
    <row r="2486" spans="2:25" ht="16.5" hidden="1" thickTop="1" thickBot="1" x14ac:dyDescent="0.3">
      <c r="B2486" s="60">
        <f>B2484</f>
        <v>25</v>
      </c>
      <c r="C2486" s="102">
        <v>171</v>
      </c>
      <c r="D2486" s="192" t="str">
        <f t="shared" si="1514"/>
        <v>VIII</v>
      </c>
      <c r="E2486" s="162"/>
      <c r="F2486" s="163"/>
      <c r="G2486" s="163"/>
      <c r="H2486" s="164"/>
      <c r="I2486" s="164"/>
      <c r="J2486" s="162"/>
      <c r="K2486" s="165"/>
      <c r="L2486" s="164"/>
      <c r="M2486" s="164"/>
      <c r="N2486" s="166"/>
      <c r="O2486" s="167"/>
      <c r="P2486" s="168"/>
      <c r="Q2486" s="169"/>
      <c r="R2486" s="170"/>
      <c r="S2486" s="171"/>
      <c r="T2486" s="203">
        <f t="shared" si="1512"/>
        <v>43647</v>
      </c>
      <c r="U2486" s="204">
        <f t="shared" si="1513"/>
        <v>43677</v>
      </c>
      <c r="V2486" s="207">
        <f t="shared" si="1538"/>
        <v>0</v>
      </c>
      <c r="W2486" s="206" t="str">
        <f t="shared" si="1535"/>
        <v/>
      </c>
      <c r="X2486" s="206">
        <f t="shared" si="1536"/>
        <v>0</v>
      </c>
      <c r="Y2486" s="209">
        <f t="shared" si="1537"/>
        <v>0</v>
      </c>
    </row>
    <row r="2487" spans="2:25" ht="16.5" hidden="1" thickTop="1" thickBot="1" x14ac:dyDescent="0.3">
      <c r="B2487" s="60">
        <f>B2484</f>
        <v>25</v>
      </c>
      <c r="C2487" s="102">
        <v>172</v>
      </c>
      <c r="D2487" s="192" t="str">
        <f t="shared" si="1514"/>
        <v>VIII</v>
      </c>
      <c r="E2487" s="162"/>
      <c r="F2487" s="163"/>
      <c r="G2487" s="163"/>
      <c r="H2487" s="164"/>
      <c r="I2487" s="164"/>
      <c r="J2487" s="162"/>
      <c r="K2487" s="165"/>
      <c r="L2487" s="164"/>
      <c r="M2487" s="164"/>
      <c r="N2487" s="166"/>
      <c r="O2487" s="167"/>
      <c r="P2487" s="168"/>
      <c r="Q2487" s="169"/>
      <c r="R2487" s="170"/>
      <c r="S2487" s="171"/>
      <c r="T2487" s="203">
        <f t="shared" si="1512"/>
        <v>43647</v>
      </c>
      <c r="U2487" s="204">
        <f t="shared" si="1513"/>
        <v>43677</v>
      </c>
      <c r="V2487" s="207">
        <f t="shared" si="1538"/>
        <v>0</v>
      </c>
      <c r="W2487" s="206" t="str">
        <f t="shared" si="1535"/>
        <v/>
      </c>
      <c r="X2487" s="206">
        <f t="shared" si="1536"/>
        <v>0</v>
      </c>
      <c r="Y2487" s="209">
        <f t="shared" si="1537"/>
        <v>0</v>
      </c>
    </row>
    <row r="2488" spans="2:25" ht="16.5" hidden="1" thickTop="1" thickBot="1" x14ac:dyDescent="0.3">
      <c r="B2488" s="60">
        <f>B2484</f>
        <v>25</v>
      </c>
      <c r="C2488" s="102">
        <v>173</v>
      </c>
      <c r="D2488" s="192" t="str">
        <f t="shared" si="1514"/>
        <v>VIII</v>
      </c>
      <c r="E2488" s="162"/>
      <c r="F2488" s="163"/>
      <c r="G2488" s="163"/>
      <c r="H2488" s="164"/>
      <c r="I2488" s="164"/>
      <c r="J2488" s="162"/>
      <c r="K2488" s="165"/>
      <c r="L2488" s="164"/>
      <c r="M2488" s="164"/>
      <c r="N2488" s="166"/>
      <c r="O2488" s="167"/>
      <c r="P2488" s="168"/>
      <c r="Q2488" s="169"/>
      <c r="R2488" s="170"/>
      <c r="S2488" s="171"/>
      <c r="T2488" s="203">
        <f t="shared" si="1512"/>
        <v>43647</v>
      </c>
      <c r="U2488" s="204">
        <f t="shared" si="1513"/>
        <v>43677</v>
      </c>
      <c r="V2488" s="207">
        <f t="shared" si="1538"/>
        <v>0</v>
      </c>
      <c r="W2488" s="206" t="str">
        <f t="shared" si="1535"/>
        <v/>
      </c>
      <c r="X2488" s="206">
        <f t="shared" si="1536"/>
        <v>0</v>
      </c>
      <c r="Y2488" s="209">
        <f t="shared" si="1537"/>
        <v>0</v>
      </c>
    </row>
    <row r="2489" spans="2:25" ht="16.5" hidden="1" thickTop="1" thickBot="1" x14ac:dyDescent="0.3">
      <c r="B2489" s="60">
        <f>B2484</f>
        <v>25</v>
      </c>
      <c r="C2489" s="102">
        <v>174</v>
      </c>
      <c r="D2489" s="192" t="str">
        <f t="shared" si="1514"/>
        <v>VIII</v>
      </c>
      <c r="E2489" s="172"/>
      <c r="F2489" s="173"/>
      <c r="G2489" s="173"/>
      <c r="H2489" s="174"/>
      <c r="I2489" s="174"/>
      <c r="J2489" s="172"/>
      <c r="K2489" s="175"/>
      <c r="L2489" s="174"/>
      <c r="M2489" s="174"/>
      <c r="N2489" s="176"/>
      <c r="O2489" s="177"/>
      <c r="P2489" s="178"/>
      <c r="Q2489" s="179"/>
      <c r="R2489" s="180"/>
      <c r="S2489" s="181"/>
      <c r="T2489" s="203">
        <f t="shared" si="1512"/>
        <v>43647</v>
      </c>
      <c r="U2489" s="204">
        <f t="shared" si="1513"/>
        <v>43677</v>
      </c>
      <c r="V2489" s="207">
        <f t="shared" si="1538"/>
        <v>0</v>
      </c>
      <c r="W2489" s="206" t="str">
        <f t="shared" si="1535"/>
        <v/>
      </c>
      <c r="X2489" s="206">
        <f t="shared" si="1536"/>
        <v>0</v>
      </c>
      <c r="Y2489" s="209">
        <f t="shared" si="1537"/>
        <v>0</v>
      </c>
    </row>
    <row r="2490" spans="2:25" ht="16.5" hidden="1" thickTop="1" thickBot="1" x14ac:dyDescent="0.3">
      <c r="B2490" s="141">
        <f>B2484</f>
        <v>25</v>
      </c>
      <c r="C2490" s="142">
        <v>175</v>
      </c>
      <c r="D2490" s="194" t="str">
        <f t="shared" si="1514"/>
        <v>VIII</v>
      </c>
      <c r="E2490" s="189"/>
      <c r="F2490" s="190"/>
      <c r="G2490" s="190"/>
      <c r="H2490" s="182"/>
      <c r="I2490" s="182"/>
      <c r="J2490" s="436" t="s">
        <v>181</v>
      </c>
      <c r="K2490" s="437"/>
      <c r="L2490" s="438"/>
      <c r="M2490" s="182"/>
      <c r="N2490" s="183"/>
      <c r="O2490" s="184"/>
      <c r="P2490" s="185"/>
      <c r="Q2490" s="186"/>
      <c r="R2490" s="187"/>
      <c r="S2490" s="188"/>
      <c r="T2490" s="213">
        <f t="shared" si="1512"/>
        <v>43647</v>
      </c>
      <c r="U2490" s="214">
        <f t="shared" si="1513"/>
        <v>43677</v>
      </c>
      <c r="V2490" s="210">
        <f t="shared" si="1538"/>
        <v>0</v>
      </c>
      <c r="W2490" s="211"/>
      <c r="X2490" s="211">
        <f>IF(AND($V2490&gt;0,$I2490=1),IF($E2490=10,P2490/10,P2490/$V2490),0)</f>
        <v>0</v>
      </c>
      <c r="Y2490" s="212">
        <f>IF(AND($V2484&gt;0,$I2490&lt;&gt;1),Q2490/E2484*V2484,0)</f>
        <v>0</v>
      </c>
    </row>
    <row r="2491" spans="2:25" ht="16.5" hidden="1" thickTop="1" thickBot="1" x14ac:dyDescent="0.3">
      <c r="B2491" s="129">
        <f>B2489+1</f>
        <v>26</v>
      </c>
      <c r="C2491" s="130">
        <v>176</v>
      </c>
      <c r="D2491" s="196" t="str">
        <f t="shared" si="1514"/>
        <v>VIII</v>
      </c>
      <c r="E2491" s="131"/>
      <c r="F2491" s="132"/>
      <c r="G2491" s="132"/>
      <c r="H2491" s="133"/>
      <c r="I2491" s="133"/>
      <c r="J2491" s="131"/>
      <c r="K2491" s="134"/>
      <c r="L2491" s="133"/>
      <c r="M2491" s="133"/>
      <c r="N2491" s="135"/>
      <c r="O2491" s="136"/>
      <c r="P2491" s="137"/>
      <c r="Q2491" s="138"/>
      <c r="R2491" s="139"/>
      <c r="S2491" s="140"/>
      <c r="T2491" s="203">
        <f t="shared" si="1512"/>
        <v>43647</v>
      </c>
      <c r="U2491" s="204">
        <f t="shared" si="1513"/>
        <v>43677</v>
      </c>
      <c r="V2491" s="207">
        <f>IF(G2491-F2491+1-IF(G2491-U2491&gt;0,G2491-U2491,0)-IF(T2491-F2491&gt;0,T2491-F2491,0)&gt;0,G2491-F2491+1-IF(G2491-U2491&gt;0,G2491-U2491,0)-IF(T2491-F2491&gt;0,T2491-F2491,0),0)</f>
        <v>0</v>
      </c>
      <c r="W2491" s="206" t="str">
        <f t="shared" ref="W2491:W2496" si="1539">IF(V2491&gt;0,H2491,"")</f>
        <v/>
      </c>
      <c r="X2491" s="206">
        <f t="shared" ref="X2491:X2496" si="1540">IF(AND($V2491&gt;0,$I2491=1),P2491/$E2491*$V2491,0)</f>
        <v>0</v>
      </c>
      <c r="Y2491" s="209">
        <f t="shared" ref="Y2491:Y2496" si="1541">IF(AND($V2491&gt;0,$I2491&lt;&gt;1),Q2491/$E2491*$V2491,0)</f>
        <v>0</v>
      </c>
    </row>
    <row r="2492" spans="2:25" ht="16.5" hidden="1" thickTop="1" thickBot="1" x14ac:dyDescent="0.3">
      <c r="B2492" s="60">
        <f>B2491</f>
        <v>26</v>
      </c>
      <c r="C2492" s="102">
        <v>177</v>
      </c>
      <c r="D2492" s="192" t="str">
        <f t="shared" si="1514"/>
        <v>VIII</v>
      </c>
      <c r="E2492" s="62"/>
      <c r="F2492" s="105"/>
      <c r="G2492" s="105"/>
      <c r="H2492" s="61"/>
      <c r="I2492" s="61"/>
      <c r="J2492" s="62"/>
      <c r="K2492" s="63"/>
      <c r="L2492" s="61"/>
      <c r="M2492" s="61"/>
      <c r="N2492" s="111"/>
      <c r="O2492" s="112"/>
      <c r="P2492" s="113"/>
      <c r="Q2492" s="114"/>
      <c r="R2492" s="64"/>
      <c r="S2492" s="108"/>
      <c r="T2492" s="203">
        <f t="shared" si="1512"/>
        <v>43647</v>
      </c>
      <c r="U2492" s="204">
        <f t="shared" si="1513"/>
        <v>43677</v>
      </c>
      <c r="V2492" s="207">
        <f t="shared" ref="V2492:V2497" si="1542">IF(G2492-F2492+1-IF(G2492-U2492&gt;0,G2492-U2492,0)-IF(T2492-F2492&gt;0,T2492-F2492,0)&gt;0,G2492-F2492+1-IF(G2492-U2492&gt;0,G2492-U2492,0)-IF(T2492-F2492&gt;0,T2492-F2492,0),0)</f>
        <v>0</v>
      </c>
      <c r="W2492" s="206" t="str">
        <f t="shared" si="1539"/>
        <v/>
      </c>
      <c r="X2492" s="206">
        <f t="shared" si="1540"/>
        <v>0</v>
      </c>
      <c r="Y2492" s="209">
        <f t="shared" si="1541"/>
        <v>0</v>
      </c>
    </row>
    <row r="2493" spans="2:25" ht="16.5" hidden="1" thickTop="1" thickBot="1" x14ac:dyDescent="0.3">
      <c r="B2493" s="60">
        <f>B2491</f>
        <v>26</v>
      </c>
      <c r="C2493" s="102">
        <v>178</v>
      </c>
      <c r="D2493" s="192" t="str">
        <f t="shared" si="1514"/>
        <v>VIII</v>
      </c>
      <c r="E2493" s="62"/>
      <c r="F2493" s="105"/>
      <c r="G2493" s="105"/>
      <c r="H2493" s="61"/>
      <c r="I2493" s="61"/>
      <c r="J2493" s="62"/>
      <c r="K2493" s="63"/>
      <c r="L2493" s="61"/>
      <c r="M2493" s="61"/>
      <c r="N2493" s="111"/>
      <c r="O2493" s="112"/>
      <c r="P2493" s="113"/>
      <c r="Q2493" s="114"/>
      <c r="R2493" s="64"/>
      <c r="S2493" s="108"/>
      <c r="T2493" s="203">
        <f t="shared" si="1512"/>
        <v>43647</v>
      </c>
      <c r="U2493" s="204">
        <f t="shared" si="1513"/>
        <v>43677</v>
      </c>
      <c r="V2493" s="207">
        <f t="shared" si="1542"/>
        <v>0</v>
      </c>
      <c r="W2493" s="206" t="str">
        <f t="shared" si="1539"/>
        <v/>
      </c>
      <c r="X2493" s="206">
        <f t="shared" si="1540"/>
        <v>0</v>
      </c>
      <c r="Y2493" s="209">
        <f t="shared" si="1541"/>
        <v>0</v>
      </c>
    </row>
    <row r="2494" spans="2:25" ht="16.5" hidden="1" thickTop="1" thickBot="1" x14ac:dyDescent="0.3">
      <c r="B2494" s="60">
        <f>B2491</f>
        <v>26</v>
      </c>
      <c r="C2494" s="102">
        <v>179</v>
      </c>
      <c r="D2494" s="192" t="str">
        <f t="shared" si="1514"/>
        <v>VIII</v>
      </c>
      <c r="E2494" s="62"/>
      <c r="F2494" s="105"/>
      <c r="G2494" s="105"/>
      <c r="H2494" s="61"/>
      <c r="I2494" s="61"/>
      <c r="J2494" s="62"/>
      <c r="K2494" s="63"/>
      <c r="L2494" s="61"/>
      <c r="M2494" s="61"/>
      <c r="N2494" s="111"/>
      <c r="O2494" s="112"/>
      <c r="P2494" s="113"/>
      <c r="Q2494" s="114"/>
      <c r="R2494" s="64"/>
      <c r="S2494" s="108"/>
      <c r="T2494" s="203">
        <f t="shared" si="1512"/>
        <v>43647</v>
      </c>
      <c r="U2494" s="204">
        <f t="shared" si="1513"/>
        <v>43677</v>
      </c>
      <c r="V2494" s="207">
        <f t="shared" si="1542"/>
        <v>0</v>
      </c>
      <c r="W2494" s="206" t="str">
        <f t="shared" si="1539"/>
        <v/>
      </c>
      <c r="X2494" s="206">
        <f t="shared" si="1540"/>
        <v>0</v>
      </c>
      <c r="Y2494" s="209">
        <f t="shared" si="1541"/>
        <v>0</v>
      </c>
    </row>
    <row r="2495" spans="2:25" ht="16.5" hidden="1" thickTop="1" thickBot="1" x14ac:dyDescent="0.3">
      <c r="B2495" s="60">
        <f>B2491</f>
        <v>26</v>
      </c>
      <c r="C2495" s="102">
        <v>180</v>
      </c>
      <c r="D2495" s="192" t="str">
        <f t="shared" si="1514"/>
        <v>VIII</v>
      </c>
      <c r="E2495" s="62"/>
      <c r="F2495" s="105"/>
      <c r="G2495" s="105"/>
      <c r="H2495" s="61"/>
      <c r="I2495" s="61"/>
      <c r="J2495" s="62"/>
      <c r="K2495" s="63"/>
      <c r="L2495" s="61"/>
      <c r="M2495" s="61"/>
      <c r="N2495" s="111"/>
      <c r="O2495" s="112"/>
      <c r="P2495" s="113"/>
      <c r="Q2495" s="114"/>
      <c r="R2495" s="64"/>
      <c r="S2495" s="108"/>
      <c r="T2495" s="203">
        <f t="shared" si="1512"/>
        <v>43647</v>
      </c>
      <c r="U2495" s="204">
        <f t="shared" si="1513"/>
        <v>43677</v>
      </c>
      <c r="V2495" s="207">
        <f t="shared" si="1542"/>
        <v>0</v>
      </c>
      <c r="W2495" s="206" t="str">
        <f t="shared" si="1539"/>
        <v/>
      </c>
      <c r="X2495" s="206">
        <f t="shared" si="1540"/>
        <v>0</v>
      </c>
      <c r="Y2495" s="209">
        <f t="shared" si="1541"/>
        <v>0</v>
      </c>
    </row>
    <row r="2496" spans="2:25" ht="16.5" hidden="1" thickTop="1" thickBot="1" x14ac:dyDescent="0.3">
      <c r="B2496" s="60">
        <f>B2491</f>
        <v>26</v>
      </c>
      <c r="C2496" s="102">
        <v>181</v>
      </c>
      <c r="D2496" s="192" t="str">
        <f t="shared" si="1514"/>
        <v>VIII</v>
      </c>
      <c r="E2496" s="62"/>
      <c r="F2496" s="105"/>
      <c r="G2496" s="105"/>
      <c r="H2496" s="61"/>
      <c r="I2496" s="61"/>
      <c r="J2496" s="62"/>
      <c r="K2496" s="63"/>
      <c r="L2496" s="61"/>
      <c r="M2496" s="61"/>
      <c r="N2496" s="111"/>
      <c r="O2496" s="112"/>
      <c r="P2496" s="113"/>
      <c r="Q2496" s="114"/>
      <c r="R2496" s="64"/>
      <c r="S2496" s="108"/>
      <c r="T2496" s="203">
        <f t="shared" si="1512"/>
        <v>43647</v>
      </c>
      <c r="U2496" s="204">
        <f t="shared" si="1513"/>
        <v>43677</v>
      </c>
      <c r="V2496" s="207">
        <f t="shared" si="1542"/>
        <v>0</v>
      </c>
      <c r="W2496" s="206" t="str">
        <f t="shared" si="1539"/>
        <v/>
      </c>
      <c r="X2496" s="206">
        <f t="shared" si="1540"/>
        <v>0</v>
      </c>
      <c r="Y2496" s="209">
        <f t="shared" si="1541"/>
        <v>0</v>
      </c>
    </row>
    <row r="2497" spans="2:25" ht="16.5" hidden="1" thickTop="1" thickBot="1" x14ac:dyDescent="0.3">
      <c r="B2497" s="141">
        <f>B2491</f>
        <v>26</v>
      </c>
      <c r="C2497" s="142">
        <v>182</v>
      </c>
      <c r="D2497" s="194" t="str">
        <f t="shared" si="1514"/>
        <v>VIII</v>
      </c>
      <c r="E2497" s="143"/>
      <c r="F2497" s="144"/>
      <c r="G2497" s="144"/>
      <c r="H2497" s="145"/>
      <c r="I2497" s="145"/>
      <c r="J2497" s="436" t="s">
        <v>181</v>
      </c>
      <c r="K2497" s="437"/>
      <c r="L2497" s="438"/>
      <c r="M2497" s="145"/>
      <c r="N2497" s="146"/>
      <c r="O2497" s="147"/>
      <c r="P2497" s="148"/>
      <c r="Q2497" s="149"/>
      <c r="R2497" s="150"/>
      <c r="S2497" s="151"/>
      <c r="T2497" s="213">
        <f t="shared" si="1512"/>
        <v>43647</v>
      </c>
      <c r="U2497" s="214">
        <f t="shared" si="1513"/>
        <v>43677</v>
      </c>
      <c r="V2497" s="210">
        <f t="shared" si="1542"/>
        <v>0</v>
      </c>
      <c r="W2497" s="211"/>
      <c r="X2497" s="211">
        <f>IF(AND($V2497&gt;0,$I2497=1),IF($E2497=10,P2497/10,P2497/$V2497),0)</f>
        <v>0</v>
      </c>
      <c r="Y2497" s="212">
        <f>IF(AND($V2491&gt;0,$I2497&lt;&gt;1),Q2497/E2491*V2491,0)</f>
        <v>0</v>
      </c>
    </row>
    <row r="2498" spans="2:25" ht="16.5" hidden="1" thickTop="1" thickBot="1" x14ac:dyDescent="0.3">
      <c r="B2498" s="129">
        <f>B2496+1</f>
        <v>27</v>
      </c>
      <c r="C2498" s="130">
        <v>183</v>
      </c>
      <c r="D2498" s="196" t="str">
        <f t="shared" si="1514"/>
        <v>VIII</v>
      </c>
      <c r="E2498" s="152"/>
      <c r="F2498" s="153"/>
      <c r="G2498" s="153"/>
      <c r="H2498" s="154"/>
      <c r="I2498" s="154"/>
      <c r="J2498" s="152"/>
      <c r="K2498" s="155"/>
      <c r="L2498" s="154"/>
      <c r="M2498" s="154"/>
      <c r="N2498" s="156"/>
      <c r="O2498" s="157"/>
      <c r="P2498" s="158"/>
      <c r="Q2498" s="159"/>
      <c r="R2498" s="160"/>
      <c r="S2498" s="161"/>
      <c r="T2498" s="203">
        <f t="shared" si="1512"/>
        <v>43647</v>
      </c>
      <c r="U2498" s="204">
        <f t="shared" si="1513"/>
        <v>43677</v>
      </c>
      <c r="V2498" s="207">
        <f>IF(G2498-F2498+1-IF(G2498-U2498&gt;0,G2498-U2498,0)-IF(T2498-F2498&gt;0,T2498-F2498,0)&gt;0,G2498-F2498+1-IF(G2498-U2498&gt;0,G2498-U2498,0)-IF(T2498-F2498&gt;0,T2498-F2498,0),0)</f>
        <v>0</v>
      </c>
      <c r="W2498" s="206" t="str">
        <f t="shared" ref="W2498:W2503" si="1543">IF(V2498&gt;0,H2498,"")</f>
        <v/>
      </c>
      <c r="X2498" s="206">
        <f t="shared" ref="X2498:X2503" si="1544">IF(AND($V2498&gt;0,$I2498=1),P2498/$E2498*$V2498,0)</f>
        <v>0</v>
      </c>
      <c r="Y2498" s="209">
        <f t="shared" ref="Y2498:Y2503" si="1545">IF(AND($V2498&gt;0,$I2498&lt;&gt;1),Q2498/$E2498*$V2498,0)</f>
        <v>0</v>
      </c>
    </row>
    <row r="2499" spans="2:25" ht="16.5" hidden="1" thickTop="1" thickBot="1" x14ac:dyDescent="0.3">
      <c r="B2499" s="60">
        <f>B2498</f>
        <v>27</v>
      </c>
      <c r="C2499" s="102">
        <v>184</v>
      </c>
      <c r="D2499" s="192" t="str">
        <f t="shared" si="1514"/>
        <v>VIII</v>
      </c>
      <c r="E2499" s="162"/>
      <c r="F2499" s="163"/>
      <c r="G2499" s="163"/>
      <c r="H2499" s="164"/>
      <c r="I2499" s="164"/>
      <c r="J2499" s="162"/>
      <c r="K2499" s="165"/>
      <c r="L2499" s="164"/>
      <c r="M2499" s="164"/>
      <c r="N2499" s="166"/>
      <c r="O2499" s="167"/>
      <c r="P2499" s="168"/>
      <c r="Q2499" s="169"/>
      <c r="R2499" s="170"/>
      <c r="S2499" s="171"/>
      <c r="T2499" s="203">
        <f t="shared" si="1512"/>
        <v>43647</v>
      </c>
      <c r="U2499" s="204">
        <f t="shared" si="1513"/>
        <v>43677</v>
      </c>
      <c r="V2499" s="207">
        <f t="shared" ref="V2499:V2504" si="1546">IF(G2499-F2499+1-IF(G2499-U2499&gt;0,G2499-U2499,0)-IF(T2499-F2499&gt;0,T2499-F2499,0)&gt;0,G2499-F2499+1-IF(G2499-U2499&gt;0,G2499-U2499,0)-IF(T2499-F2499&gt;0,T2499-F2499,0),0)</f>
        <v>0</v>
      </c>
      <c r="W2499" s="206" t="str">
        <f t="shared" si="1543"/>
        <v/>
      </c>
      <c r="X2499" s="206">
        <f t="shared" si="1544"/>
        <v>0</v>
      </c>
      <c r="Y2499" s="209">
        <f t="shared" si="1545"/>
        <v>0</v>
      </c>
    </row>
    <row r="2500" spans="2:25" ht="16.5" hidden="1" thickTop="1" thickBot="1" x14ac:dyDescent="0.3">
      <c r="B2500" s="60">
        <f>B2498</f>
        <v>27</v>
      </c>
      <c r="C2500" s="102">
        <v>185</v>
      </c>
      <c r="D2500" s="192" t="str">
        <f t="shared" si="1514"/>
        <v>VIII</v>
      </c>
      <c r="E2500" s="162"/>
      <c r="F2500" s="163"/>
      <c r="G2500" s="163"/>
      <c r="H2500" s="164"/>
      <c r="I2500" s="164"/>
      <c r="J2500" s="162"/>
      <c r="K2500" s="165"/>
      <c r="L2500" s="164"/>
      <c r="M2500" s="164"/>
      <c r="N2500" s="166"/>
      <c r="O2500" s="167"/>
      <c r="P2500" s="168"/>
      <c r="Q2500" s="169"/>
      <c r="R2500" s="170"/>
      <c r="S2500" s="171"/>
      <c r="T2500" s="203">
        <f t="shared" si="1512"/>
        <v>43647</v>
      </c>
      <c r="U2500" s="204">
        <f t="shared" si="1513"/>
        <v>43677</v>
      </c>
      <c r="V2500" s="207">
        <f t="shared" si="1546"/>
        <v>0</v>
      </c>
      <c r="W2500" s="206" t="str">
        <f t="shared" si="1543"/>
        <v/>
      </c>
      <c r="X2500" s="206">
        <f t="shared" si="1544"/>
        <v>0</v>
      </c>
      <c r="Y2500" s="209">
        <f t="shared" si="1545"/>
        <v>0</v>
      </c>
    </row>
    <row r="2501" spans="2:25" ht="16.5" hidden="1" thickTop="1" thickBot="1" x14ac:dyDescent="0.3">
      <c r="B2501" s="60">
        <f>B2498</f>
        <v>27</v>
      </c>
      <c r="C2501" s="102">
        <v>186</v>
      </c>
      <c r="D2501" s="192" t="str">
        <f t="shared" si="1514"/>
        <v>VIII</v>
      </c>
      <c r="E2501" s="162"/>
      <c r="F2501" s="163"/>
      <c r="G2501" s="163"/>
      <c r="H2501" s="164"/>
      <c r="I2501" s="164"/>
      <c r="J2501" s="162"/>
      <c r="K2501" s="165"/>
      <c r="L2501" s="164"/>
      <c r="M2501" s="164"/>
      <c r="N2501" s="166"/>
      <c r="O2501" s="167"/>
      <c r="P2501" s="168"/>
      <c r="Q2501" s="169"/>
      <c r="R2501" s="170"/>
      <c r="S2501" s="171"/>
      <c r="T2501" s="203">
        <f t="shared" si="1512"/>
        <v>43647</v>
      </c>
      <c r="U2501" s="204">
        <f t="shared" si="1513"/>
        <v>43677</v>
      </c>
      <c r="V2501" s="207">
        <f t="shared" si="1546"/>
        <v>0</v>
      </c>
      <c r="W2501" s="206" t="str">
        <f t="shared" si="1543"/>
        <v/>
      </c>
      <c r="X2501" s="206">
        <f t="shared" si="1544"/>
        <v>0</v>
      </c>
      <c r="Y2501" s="209">
        <f t="shared" si="1545"/>
        <v>0</v>
      </c>
    </row>
    <row r="2502" spans="2:25" ht="16.5" hidden="1" thickTop="1" thickBot="1" x14ac:dyDescent="0.3">
      <c r="B2502" s="60">
        <f>B2498</f>
        <v>27</v>
      </c>
      <c r="C2502" s="102">
        <v>187</v>
      </c>
      <c r="D2502" s="192" t="str">
        <f t="shared" si="1514"/>
        <v>VIII</v>
      </c>
      <c r="E2502" s="162"/>
      <c r="F2502" s="163"/>
      <c r="G2502" s="163"/>
      <c r="H2502" s="164"/>
      <c r="I2502" s="164"/>
      <c r="J2502" s="162"/>
      <c r="K2502" s="165"/>
      <c r="L2502" s="164"/>
      <c r="M2502" s="164"/>
      <c r="N2502" s="166"/>
      <c r="O2502" s="167"/>
      <c r="P2502" s="168"/>
      <c r="Q2502" s="169"/>
      <c r="R2502" s="170"/>
      <c r="S2502" s="171"/>
      <c r="T2502" s="203">
        <f t="shared" si="1512"/>
        <v>43647</v>
      </c>
      <c r="U2502" s="204">
        <f t="shared" si="1513"/>
        <v>43677</v>
      </c>
      <c r="V2502" s="207">
        <f t="shared" si="1546"/>
        <v>0</v>
      </c>
      <c r="W2502" s="206" t="str">
        <f t="shared" si="1543"/>
        <v/>
      </c>
      <c r="X2502" s="206">
        <f t="shared" si="1544"/>
        <v>0</v>
      </c>
      <c r="Y2502" s="209">
        <f t="shared" si="1545"/>
        <v>0</v>
      </c>
    </row>
    <row r="2503" spans="2:25" ht="16.5" hidden="1" thickTop="1" thickBot="1" x14ac:dyDescent="0.3">
      <c r="B2503" s="60">
        <f>B2498</f>
        <v>27</v>
      </c>
      <c r="C2503" s="102">
        <v>188</v>
      </c>
      <c r="D2503" s="192" t="str">
        <f t="shared" si="1514"/>
        <v>VIII</v>
      </c>
      <c r="E2503" s="172"/>
      <c r="F2503" s="173"/>
      <c r="G2503" s="173"/>
      <c r="H2503" s="174"/>
      <c r="I2503" s="174"/>
      <c r="J2503" s="172"/>
      <c r="K2503" s="175"/>
      <c r="L2503" s="174"/>
      <c r="M2503" s="174"/>
      <c r="N2503" s="176"/>
      <c r="O2503" s="177"/>
      <c r="P2503" s="178"/>
      <c r="Q2503" s="179"/>
      <c r="R2503" s="180"/>
      <c r="S2503" s="181"/>
      <c r="T2503" s="203">
        <f t="shared" si="1512"/>
        <v>43647</v>
      </c>
      <c r="U2503" s="204">
        <f t="shared" si="1513"/>
        <v>43677</v>
      </c>
      <c r="V2503" s="207">
        <f t="shared" si="1546"/>
        <v>0</v>
      </c>
      <c r="W2503" s="206" t="str">
        <f t="shared" si="1543"/>
        <v/>
      </c>
      <c r="X2503" s="206">
        <f t="shared" si="1544"/>
        <v>0</v>
      </c>
      <c r="Y2503" s="209">
        <f t="shared" si="1545"/>
        <v>0</v>
      </c>
    </row>
    <row r="2504" spans="2:25" ht="16.5" hidden="1" thickTop="1" thickBot="1" x14ac:dyDescent="0.3">
      <c r="B2504" s="141">
        <f>B2498</f>
        <v>27</v>
      </c>
      <c r="C2504" s="142">
        <v>189</v>
      </c>
      <c r="D2504" s="194" t="str">
        <f t="shared" si="1514"/>
        <v>VIII</v>
      </c>
      <c r="E2504" s="189"/>
      <c r="F2504" s="190"/>
      <c r="G2504" s="190"/>
      <c r="H2504" s="182"/>
      <c r="I2504" s="182"/>
      <c r="J2504" s="436" t="s">
        <v>181</v>
      </c>
      <c r="K2504" s="437"/>
      <c r="L2504" s="438"/>
      <c r="M2504" s="182"/>
      <c r="N2504" s="183"/>
      <c r="O2504" s="184"/>
      <c r="P2504" s="185"/>
      <c r="Q2504" s="186"/>
      <c r="R2504" s="187"/>
      <c r="S2504" s="188"/>
      <c r="T2504" s="213">
        <f t="shared" si="1512"/>
        <v>43647</v>
      </c>
      <c r="U2504" s="214">
        <f t="shared" si="1513"/>
        <v>43677</v>
      </c>
      <c r="V2504" s="210">
        <f t="shared" si="1546"/>
        <v>0</v>
      </c>
      <c r="W2504" s="211"/>
      <c r="X2504" s="211">
        <f>IF(AND($V2504&gt;0,$I2504=1),IF($E2504=10,P2504/10,P2504/$V2504),0)</f>
        <v>0</v>
      </c>
      <c r="Y2504" s="212">
        <f>IF(AND($V2498&gt;0,$I2504&lt;&gt;1),Q2504/E2498*V2498,0)</f>
        <v>0</v>
      </c>
    </row>
    <row r="2505" spans="2:25" ht="16.5" hidden="1" thickTop="1" thickBot="1" x14ac:dyDescent="0.3">
      <c r="B2505" s="129">
        <f>B2503+1</f>
        <v>28</v>
      </c>
      <c r="C2505" s="130">
        <v>190</v>
      </c>
      <c r="D2505" s="196" t="str">
        <f t="shared" si="1514"/>
        <v>VIII</v>
      </c>
      <c r="E2505" s="131"/>
      <c r="F2505" s="132"/>
      <c r="G2505" s="132"/>
      <c r="H2505" s="133"/>
      <c r="I2505" s="133"/>
      <c r="J2505" s="131"/>
      <c r="K2505" s="134"/>
      <c r="L2505" s="133"/>
      <c r="M2505" s="133"/>
      <c r="N2505" s="135"/>
      <c r="O2505" s="136"/>
      <c r="P2505" s="137"/>
      <c r="Q2505" s="138"/>
      <c r="R2505" s="139"/>
      <c r="S2505" s="140"/>
      <c r="T2505" s="203">
        <f t="shared" si="1512"/>
        <v>43647</v>
      </c>
      <c r="U2505" s="204">
        <f t="shared" si="1513"/>
        <v>43677</v>
      </c>
      <c r="V2505" s="207">
        <f>IF(G2505-F2505+1-IF(G2505-U2505&gt;0,G2505-U2505,0)-IF(T2505-F2505&gt;0,T2505-F2505,0)&gt;0,G2505-F2505+1-IF(G2505-U2505&gt;0,G2505-U2505,0)-IF(T2505-F2505&gt;0,T2505-F2505,0),0)</f>
        <v>0</v>
      </c>
      <c r="W2505" s="206" t="str">
        <f t="shared" ref="W2505:W2510" si="1547">IF(V2505&gt;0,H2505,"")</f>
        <v/>
      </c>
      <c r="X2505" s="206">
        <f t="shared" ref="X2505:X2510" si="1548">IF(AND($V2505&gt;0,$I2505=1),P2505/$E2505*$V2505,0)</f>
        <v>0</v>
      </c>
      <c r="Y2505" s="209">
        <f t="shared" ref="Y2505:Y2510" si="1549">IF(AND($V2505&gt;0,$I2505&lt;&gt;1),Q2505/$E2505*$V2505,0)</f>
        <v>0</v>
      </c>
    </row>
    <row r="2506" spans="2:25" ht="16.5" hidden="1" thickTop="1" thickBot="1" x14ac:dyDescent="0.3">
      <c r="B2506" s="60">
        <f>B2505</f>
        <v>28</v>
      </c>
      <c r="C2506" s="102">
        <v>191</v>
      </c>
      <c r="D2506" s="192" t="str">
        <f t="shared" si="1514"/>
        <v>VIII</v>
      </c>
      <c r="E2506" s="62"/>
      <c r="F2506" s="105"/>
      <c r="G2506" s="105"/>
      <c r="H2506" s="61"/>
      <c r="I2506" s="61"/>
      <c r="J2506" s="62"/>
      <c r="K2506" s="63"/>
      <c r="L2506" s="61"/>
      <c r="M2506" s="61"/>
      <c r="N2506" s="111"/>
      <c r="O2506" s="112"/>
      <c r="P2506" s="113"/>
      <c r="Q2506" s="114"/>
      <c r="R2506" s="64"/>
      <c r="S2506" s="108"/>
      <c r="T2506" s="203">
        <f t="shared" si="1512"/>
        <v>43647</v>
      </c>
      <c r="U2506" s="204">
        <f t="shared" si="1513"/>
        <v>43677</v>
      </c>
      <c r="V2506" s="207">
        <f t="shared" ref="V2506:V2511" si="1550">IF(G2506-F2506+1-IF(G2506-U2506&gt;0,G2506-U2506,0)-IF(T2506-F2506&gt;0,T2506-F2506,0)&gt;0,G2506-F2506+1-IF(G2506-U2506&gt;0,G2506-U2506,0)-IF(T2506-F2506&gt;0,T2506-F2506,0),0)</f>
        <v>0</v>
      </c>
      <c r="W2506" s="206" t="str">
        <f t="shared" si="1547"/>
        <v/>
      </c>
      <c r="X2506" s="206">
        <f t="shared" si="1548"/>
        <v>0</v>
      </c>
      <c r="Y2506" s="209">
        <f t="shared" si="1549"/>
        <v>0</v>
      </c>
    </row>
    <row r="2507" spans="2:25" ht="16.5" hidden="1" thickTop="1" thickBot="1" x14ac:dyDescent="0.3">
      <c r="B2507" s="60">
        <f>B2505</f>
        <v>28</v>
      </c>
      <c r="C2507" s="102">
        <v>192</v>
      </c>
      <c r="D2507" s="192" t="str">
        <f t="shared" si="1514"/>
        <v>VIII</v>
      </c>
      <c r="E2507" s="62"/>
      <c r="F2507" s="105"/>
      <c r="G2507" s="105"/>
      <c r="H2507" s="61"/>
      <c r="I2507" s="61"/>
      <c r="J2507" s="62"/>
      <c r="K2507" s="63"/>
      <c r="L2507" s="61"/>
      <c r="M2507" s="61"/>
      <c r="N2507" s="111"/>
      <c r="O2507" s="112"/>
      <c r="P2507" s="113"/>
      <c r="Q2507" s="114"/>
      <c r="R2507" s="64"/>
      <c r="S2507" s="108"/>
      <c r="T2507" s="203">
        <f t="shared" si="1512"/>
        <v>43647</v>
      </c>
      <c r="U2507" s="204">
        <f t="shared" si="1513"/>
        <v>43677</v>
      </c>
      <c r="V2507" s="207">
        <f t="shared" si="1550"/>
        <v>0</v>
      </c>
      <c r="W2507" s="206" t="str">
        <f t="shared" si="1547"/>
        <v/>
      </c>
      <c r="X2507" s="206">
        <f t="shared" si="1548"/>
        <v>0</v>
      </c>
      <c r="Y2507" s="209">
        <f t="shared" si="1549"/>
        <v>0</v>
      </c>
    </row>
    <row r="2508" spans="2:25" ht="16.5" hidden="1" thickTop="1" thickBot="1" x14ac:dyDescent="0.3">
      <c r="B2508" s="60">
        <f>B2505</f>
        <v>28</v>
      </c>
      <c r="C2508" s="102">
        <v>193</v>
      </c>
      <c r="D2508" s="192" t="str">
        <f t="shared" si="1514"/>
        <v>VIII</v>
      </c>
      <c r="E2508" s="62"/>
      <c r="F2508" s="105"/>
      <c r="G2508" s="105"/>
      <c r="H2508" s="61"/>
      <c r="I2508" s="61"/>
      <c r="J2508" s="62"/>
      <c r="K2508" s="63"/>
      <c r="L2508" s="61"/>
      <c r="M2508" s="61"/>
      <c r="N2508" s="111"/>
      <c r="O2508" s="112"/>
      <c r="P2508" s="113"/>
      <c r="Q2508" s="114"/>
      <c r="R2508" s="64"/>
      <c r="S2508" s="108"/>
      <c r="T2508" s="203">
        <f t="shared" si="1512"/>
        <v>43647</v>
      </c>
      <c r="U2508" s="204">
        <f t="shared" si="1513"/>
        <v>43677</v>
      </c>
      <c r="V2508" s="207">
        <f t="shared" si="1550"/>
        <v>0</v>
      </c>
      <c r="W2508" s="206" t="str">
        <f t="shared" si="1547"/>
        <v/>
      </c>
      <c r="X2508" s="206">
        <f t="shared" si="1548"/>
        <v>0</v>
      </c>
      <c r="Y2508" s="209">
        <f t="shared" si="1549"/>
        <v>0</v>
      </c>
    </row>
    <row r="2509" spans="2:25" ht="16.5" hidden="1" thickTop="1" thickBot="1" x14ac:dyDescent="0.3">
      <c r="B2509" s="60">
        <f>B2505</f>
        <v>28</v>
      </c>
      <c r="C2509" s="102">
        <v>194</v>
      </c>
      <c r="D2509" s="192" t="str">
        <f t="shared" si="1514"/>
        <v>VIII</v>
      </c>
      <c r="E2509" s="62"/>
      <c r="F2509" s="105"/>
      <c r="G2509" s="105"/>
      <c r="H2509" s="61"/>
      <c r="I2509" s="61"/>
      <c r="J2509" s="62"/>
      <c r="K2509" s="63"/>
      <c r="L2509" s="61"/>
      <c r="M2509" s="61"/>
      <c r="N2509" s="111"/>
      <c r="O2509" s="112"/>
      <c r="P2509" s="113"/>
      <c r="Q2509" s="114"/>
      <c r="R2509" s="64"/>
      <c r="S2509" s="108"/>
      <c r="T2509" s="203">
        <f t="shared" ref="T2509:T2572" si="1551">$F$4</f>
        <v>43647</v>
      </c>
      <c r="U2509" s="204">
        <f t="shared" ref="U2509:U2572" si="1552">$G$4</f>
        <v>43677</v>
      </c>
      <c r="V2509" s="207">
        <f t="shared" si="1550"/>
        <v>0</v>
      </c>
      <c r="W2509" s="206" t="str">
        <f t="shared" si="1547"/>
        <v/>
      </c>
      <c r="X2509" s="206">
        <f t="shared" si="1548"/>
        <v>0</v>
      </c>
      <c r="Y2509" s="209">
        <f t="shared" si="1549"/>
        <v>0</v>
      </c>
    </row>
    <row r="2510" spans="2:25" ht="16.5" hidden="1" thickTop="1" thickBot="1" x14ac:dyDescent="0.3">
      <c r="B2510" s="60">
        <f>B2505</f>
        <v>28</v>
      </c>
      <c r="C2510" s="102">
        <v>195</v>
      </c>
      <c r="D2510" s="192" t="str">
        <f t="shared" ref="D2510:D2573" si="1553">D2509</f>
        <v>VIII</v>
      </c>
      <c r="E2510" s="62"/>
      <c r="F2510" s="105"/>
      <c r="G2510" s="105"/>
      <c r="H2510" s="61"/>
      <c r="I2510" s="61"/>
      <c r="J2510" s="62"/>
      <c r="K2510" s="63"/>
      <c r="L2510" s="61"/>
      <c r="M2510" s="61"/>
      <c r="N2510" s="111"/>
      <c r="O2510" s="112"/>
      <c r="P2510" s="113"/>
      <c r="Q2510" s="114"/>
      <c r="R2510" s="64"/>
      <c r="S2510" s="108"/>
      <c r="T2510" s="203">
        <f t="shared" si="1551"/>
        <v>43647</v>
      </c>
      <c r="U2510" s="204">
        <f t="shared" si="1552"/>
        <v>43677</v>
      </c>
      <c r="V2510" s="207">
        <f t="shared" si="1550"/>
        <v>0</v>
      </c>
      <c r="W2510" s="206" t="str">
        <f t="shared" si="1547"/>
        <v/>
      </c>
      <c r="X2510" s="206">
        <f t="shared" si="1548"/>
        <v>0</v>
      </c>
      <c r="Y2510" s="209">
        <f t="shared" si="1549"/>
        <v>0</v>
      </c>
    </row>
    <row r="2511" spans="2:25" ht="16.5" hidden="1" thickTop="1" thickBot="1" x14ac:dyDescent="0.3">
      <c r="B2511" s="141">
        <f>B2505</f>
        <v>28</v>
      </c>
      <c r="C2511" s="142">
        <v>196</v>
      </c>
      <c r="D2511" s="194" t="str">
        <f t="shared" si="1553"/>
        <v>VIII</v>
      </c>
      <c r="E2511" s="143"/>
      <c r="F2511" s="144"/>
      <c r="G2511" s="144"/>
      <c r="H2511" s="145"/>
      <c r="I2511" s="145"/>
      <c r="J2511" s="436" t="s">
        <v>181</v>
      </c>
      <c r="K2511" s="437"/>
      <c r="L2511" s="438"/>
      <c r="M2511" s="145"/>
      <c r="N2511" s="146"/>
      <c r="O2511" s="147"/>
      <c r="P2511" s="148"/>
      <c r="Q2511" s="149"/>
      <c r="R2511" s="150"/>
      <c r="S2511" s="151"/>
      <c r="T2511" s="213">
        <f t="shared" si="1551"/>
        <v>43647</v>
      </c>
      <c r="U2511" s="214">
        <f t="shared" si="1552"/>
        <v>43677</v>
      </c>
      <c r="V2511" s="210">
        <f t="shared" si="1550"/>
        <v>0</v>
      </c>
      <c r="W2511" s="211"/>
      <c r="X2511" s="211">
        <f>IF(AND($V2511&gt;0,$I2511=1),IF($E2511=10,P2511/10,P2511/$V2511),0)</f>
        <v>0</v>
      </c>
      <c r="Y2511" s="212">
        <f>IF(AND($V2505&gt;0,$I2511&lt;&gt;1),Q2511/E2505*V2505,0)</f>
        <v>0</v>
      </c>
    </row>
    <row r="2512" spans="2:25" ht="16.5" hidden="1" thickTop="1" thickBot="1" x14ac:dyDescent="0.3">
      <c r="B2512" s="129">
        <f>B2510+1</f>
        <v>29</v>
      </c>
      <c r="C2512" s="130">
        <v>197</v>
      </c>
      <c r="D2512" s="196" t="str">
        <f t="shared" si="1553"/>
        <v>VIII</v>
      </c>
      <c r="E2512" s="152"/>
      <c r="F2512" s="153"/>
      <c r="G2512" s="153"/>
      <c r="H2512" s="154"/>
      <c r="I2512" s="154"/>
      <c r="J2512" s="152"/>
      <c r="K2512" s="155"/>
      <c r="L2512" s="154"/>
      <c r="M2512" s="154"/>
      <c r="N2512" s="156"/>
      <c r="O2512" s="157"/>
      <c r="P2512" s="158"/>
      <c r="Q2512" s="159"/>
      <c r="R2512" s="160"/>
      <c r="S2512" s="161"/>
      <c r="T2512" s="203">
        <f t="shared" si="1551"/>
        <v>43647</v>
      </c>
      <c r="U2512" s="204">
        <f t="shared" si="1552"/>
        <v>43677</v>
      </c>
      <c r="V2512" s="207">
        <f>IF(G2512-F2512+1-IF(G2512-U2512&gt;0,G2512-U2512,0)-IF(T2512-F2512&gt;0,T2512-F2512,0)&gt;0,G2512-F2512+1-IF(G2512-U2512&gt;0,G2512-U2512,0)-IF(T2512-F2512&gt;0,T2512-F2512,0),0)</f>
        <v>0</v>
      </c>
      <c r="W2512" s="206" t="str">
        <f t="shared" ref="W2512:W2517" si="1554">IF(V2512&gt;0,H2512,"")</f>
        <v/>
      </c>
      <c r="X2512" s="206">
        <f t="shared" ref="X2512:X2517" si="1555">IF(AND($V2512&gt;0,$I2512=1),P2512/$E2512*$V2512,0)</f>
        <v>0</v>
      </c>
      <c r="Y2512" s="209">
        <f t="shared" ref="Y2512:Y2517" si="1556">IF(AND($V2512&gt;0,$I2512&lt;&gt;1),Q2512/$E2512*$V2512,0)</f>
        <v>0</v>
      </c>
    </row>
    <row r="2513" spans="2:25" ht="16.5" hidden="1" thickTop="1" thickBot="1" x14ac:dyDescent="0.3">
      <c r="B2513" s="60">
        <f>B2512</f>
        <v>29</v>
      </c>
      <c r="C2513" s="102">
        <v>198</v>
      </c>
      <c r="D2513" s="192" t="str">
        <f t="shared" si="1553"/>
        <v>VIII</v>
      </c>
      <c r="E2513" s="162"/>
      <c r="F2513" s="163"/>
      <c r="G2513" s="163"/>
      <c r="H2513" s="164"/>
      <c r="I2513" s="164"/>
      <c r="J2513" s="162"/>
      <c r="K2513" s="165"/>
      <c r="L2513" s="164"/>
      <c r="M2513" s="164"/>
      <c r="N2513" s="166"/>
      <c r="O2513" s="167"/>
      <c r="P2513" s="168"/>
      <c r="Q2513" s="169"/>
      <c r="R2513" s="170"/>
      <c r="S2513" s="171"/>
      <c r="T2513" s="203">
        <f t="shared" si="1551"/>
        <v>43647</v>
      </c>
      <c r="U2513" s="204">
        <f t="shared" si="1552"/>
        <v>43677</v>
      </c>
      <c r="V2513" s="207">
        <f t="shared" ref="V2513:V2518" si="1557">IF(G2513-F2513+1-IF(G2513-U2513&gt;0,G2513-U2513,0)-IF(T2513-F2513&gt;0,T2513-F2513,0)&gt;0,G2513-F2513+1-IF(G2513-U2513&gt;0,G2513-U2513,0)-IF(T2513-F2513&gt;0,T2513-F2513,0),0)</f>
        <v>0</v>
      </c>
      <c r="W2513" s="206" t="str">
        <f t="shared" si="1554"/>
        <v/>
      </c>
      <c r="X2513" s="206">
        <f t="shared" si="1555"/>
        <v>0</v>
      </c>
      <c r="Y2513" s="209">
        <f t="shared" si="1556"/>
        <v>0</v>
      </c>
    </row>
    <row r="2514" spans="2:25" ht="16.5" hidden="1" thickTop="1" thickBot="1" x14ac:dyDescent="0.3">
      <c r="B2514" s="60">
        <f>B2512</f>
        <v>29</v>
      </c>
      <c r="C2514" s="102">
        <v>199</v>
      </c>
      <c r="D2514" s="192" t="str">
        <f t="shared" si="1553"/>
        <v>VIII</v>
      </c>
      <c r="E2514" s="162"/>
      <c r="F2514" s="163"/>
      <c r="G2514" s="163"/>
      <c r="H2514" s="164"/>
      <c r="I2514" s="164"/>
      <c r="J2514" s="162"/>
      <c r="K2514" s="165"/>
      <c r="L2514" s="164"/>
      <c r="M2514" s="164"/>
      <c r="N2514" s="166"/>
      <c r="O2514" s="167"/>
      <c r="P2514" s="168"/>
      <c r="Q2514" s="169"/>
      <c r="R2514" s="170"/>
      <c r="S2514" s="171"/>
      <c r="T2514" s="203">
        <f t="shared" si="1551"/>
        <v>43647</v>
      </c>
      <c r="U2514" s="204">
        <f t="shared" si="1552"/>
        <v>43677</v>
      </c>
      <c r="V2514" s="207">
        <f t="shared" si="1557"/>
        <v>0</v>
      </c>
      <c r="W2514" s="206" t="str">
        <f t="shared" si="1554"/>
        <v/>
      </c>
      <c r="X2514" s="206">
        <f t="shared" si="1555"/>
        <v>0</v>
      </c>
      <c r="Y2514" s="209">
        <f t="shared" si="1556"/>
        <v>0</v>
      </c>
    </row>
    <row r="2515" spans="2:25" ht="16.5" hidden="1" thickTop="1" thickBot="1" x14ac:dyDescent="0.3">
      <c r="B2515" s="60">
        <f>B2512</f>
        <v>29</v>
      </c>
      <c r="C2515" s="102">
        <v>200</v>
      </c>
      <c r="D2515" s="192" t="str">
        <f t="shared" si="1553"/>
        <v>VIII</v>
      </c>
      <c r="E2515" s="162"/>
      <c r="F2515" s="163"/>
      <c r="G2515" s="163"/>
      <c r="H2515" s="164"/>
      <c r="I2515" s="164"/>
      <c r="J2515" s="162"/>
      <c r="K2515" s="165"/>
      <c r="L2515" s="164"/>
      <c r="M2515" s="164"/>
      <c r="N2515" s="166"/>
      <c r="O2515" s="167"/>
      <c r="P2515" s="168"/>
      <c r="Q2515" s="169"/>
      <c r="R2515" s="170"/>
      <c r="S2515" s="171"/>
      <c r="T2515" s="203">
        <f t="shared" si="1551"/>
        <v>43647</v>
      </c>
      <c r="U2515" s="204">
        <f t="shared" si="1552"/>
        <v>43677</v>
      </c>
      <c r="V2515" s="207">
        <f t="shared" si="1557"/>
        <v>0</v>
      </c>
      <c r="W2515" s="206" t="str">
        <f t="shared" si="1554"/>
        <v/>
      </c>
      <c r="X2515" s="206">
        <f t="shared" si="1555"/>
        <v>0</v>
      </c>
      <c r="Y2515" s="209">
        <f t="shared" si="1556"/>
        <v>0</v>
      </c>
    </row>
    <row r="2516" spans="2:25" ht="16.5" hidden="1" thickTop="1" thickBot="1" x14ac:dyDescent="0.3">
      <c r="B2516" s="60">
        <f>B2512</f>
        <v>29</v>
      </c>
      <c r="C2516" s="102">
        <v>201</v>
      </c>
      <c r="D2516" s="192" t="str">
        <f t="shared" si="1553"/>
        <v>VIII</v>
      </c>
      <c r="E2516" s="162"/>
      <c r="F2516" s="163"/>
      <c r="G2516" s="163"/>
      <c r="H2516" s="164"/>
      <c r="I2516" s="164"/>
      <c r="J2516" s="162"/>
      <c r="K2516" s="165"/>
      <c r="L2516" s="164"/>
      <c r="M2516" s="164"/>
      <c r="N2516" s="166"/>
      <c r="O2516" s="167"/>
      <c r="P2516" s="168"/>
      <c r="Q2516" s="169"/>
      <c r="R2516" s="170"/>
      <c r="S2516" s="171"/>
      <c r="T2516" s="203">
        <f t="shared" si="1551"/>
        <v>43647</v>
      </c>
      <c r="U2516" s="204">
        <f t="shared" si="1552"/>
        <v>43677</v>
      </c>
      <c r="V2516" s="207">
        <f t="shared" si="1557"/>
        <v>0</v>
      </c>
      <c r="W2516" s="206" t="str">
        <f t="shared" si="1554"/>
        <v/>
      </c>
      <c r="X2516" s="206">
        <f t="shared" si="1555"/>
        <v>0</v>
      </c>
      <c r="Y2516" s="209">
        <f t="shared" si="1556"/>
        <v>0</v>
      </c>
    </row>
    <row r="2517" spans="2:25" ht="16.5" hidden="1" thickTop="1" thickBot="1" x14ac:dyDescent="0.3">
      <c r="B2517" s="60">
        <f>B2512</f>
        <v>29</v>
      </c>
      <c r="C2517" s="102">
        <v>202</v>
      </c>
      <c r="D2517" s="192" t="str">
        <f t="shared" si="1553"/>
        <v>VIII</v>
      </c>
      <c r="E2517" s="172"/>
      <c r="F2517" s="173"/>
      <c r="G2517" s="173"/>
      <c r="H2517" s="174"/>
      <c r="I2517" s="174"/>
      <c r="J2517" s="172"/>
      <c r="K2517" s="175"/>
      <c r="L2517" s="174"/>
      <c r="M2517" s="174"/>
      <c r="N2517" s="176"/>
      <c r="O2517" s="177"/>
      <c r="P2517" s="178"/>
      <c r="Q2517" s="179"/>
      <c r="R2517" s="180"/>
      <c r="S2517" s="181"/>
      <c r="T2517" s="203">
        <f t="shared" si="1551"/>
        <v>43647</v>
      </c>
      <c r="U2517" s="204">
        <f t="shared" si="1552"/>
        <v>43677</v>
      </c>
      <c r="V2517" s="207">
        <f t="shared" si="1557"/>
        <v>0</v>
      </c>
      <c r="W2517" s="206" t="str">
        <f t="shared" si="1554"/>
        <v/>
      </c>
      <c r="X2517" s="206">
        <f t="shared" si="1555"/>
        <v>0</v>
      </c>
      <c r="Y2517" s="209">
        <f t="shared" si="1556"/>
        <v>0</v>
      </c>
    </row>
    <row r="2518" spans="2:25" ht="16.5" hidden="1" thickTop="1" thickBot="1" x14ac:dyDescent="0.3">
      <c r="B2518" s="141">
        <f>B2512</f>
        <v>29</v>
      </c>
      <c r="C2518" s="142">
        <v>203</v>
      </c>
      <c r="D2518" s="194" t="str">
        <f t="shared" si="1553"/>
        <v>VIII</v>
      </c>
      <c r="E2518" s="189"/>
      <c r="F2518" s="190"/>
      <c r="G2518" s="190"/>
      <c r="H2518" s="182"/>
      <c r="I2518" s="182"/>
      <c r="J2518" s="436" t="s">
        <v>181</v>
      </c>
      <c r="K2518" s="437"/>
      <c r="L2518" s="438"/>
      <c r="M2518" s="182"/>
      <c r="N2518" s="183"/>
      <c r="O2518" s="184"/>
      <c r="P2518" s="185"/>
      <c r="Q2518" s="186"/>
      <c r="R2518" s="187"/>
      <c r="S2518" s="188"/>
      <c r="T2518" s="213">
        <f t="shared" si="1551"/>
        <v>43647</v>
      </c>
      <c r="U2518" s="214">
        <f t="shared" si="1552"/>
        <v>43677</v>
      </c>
      <c r="V2518" s="210">
        <f t="shared" si="1557"/>
        <v>0</v>
      </c>
      <c r="W2518" s="211"/>
      <c r="X2518" s="211">
        <f>IF(AND($V2518&gt;0,$I2518=1),IF($E2518=10,P2518/10,P2518/$V2518),0)</f>
        <v>0</v>
      </c>
      <c r="Y2518" s="212">
        <f>IF(AND($V2512&gt;0,$I2518&lt;&gt;1),Q2518/E2512*V2512,0)</f>
        <v>0</v>
      </c>
    </row>
    <row r="2519" spans="2:25" ht="16.5" hidden="1" thickTop="1" thickBot="1" x14ac:dyDescent="0.3">
      <c r="B2519" s="129">
        <f>B2517+1</f>
        <v>30</v>
      </c>
      <c r="C2519" s="130">
        <v>204</v>
      </c>
      <c r="D2519" s="196" t="str">
        <f t="shared" si="1553"/>
        <v>VIII</v>
      </c>
      <c r="E2519" s="131"/>
      <c r="F2519" s="132"/>
      <c r="G2519" s="132"/>
      <c r="H2519" s="133"/>
      <c r="I2519" s="133"/>
      <c r="J2519" s="131"/>
      <c r="K2519" s="134"/>
      <c r="L2519" s="133"/>
      <c r="M2519" s="133"/>
      <c r="N2519" s="135"/>
      <c r="O2519" s="136"/>
      <c r="P2519" s="137"/>
      <c r="Q2519" s="138"/>
      <c r="R2519" s="139"/>
      <c r="S2519" s="140"/>
      <c r="T2519" s="203">
        <f t="shared" si="1551"/>
        <v>43647</v>
      </c>
      <c r="U2519" s="204">
        <f t="shared" si="1552"/>
        <v>43677</v>
      </c>
      <c r="V2519" s="207">
        <f>IF(G2519-F2519+1-IF(G2519-U2519&gt;0,G2519-U2519,0)-IF(T2519-F2519&gt;0,T2519-F2519,0)&gt;0,G2519-F2519+1-IF(G2519-U2519&gt;0,G2519-U2519,0)-IF(T2519-F2519&gt;0,T2519-F2519,0),0)</f>
        <v>0</v>
      </c>
      <c r="W2519" s="206" t="str">
        <f t="shared" ref="W2519:W2524" si="1558">IF(V2519&gt;0,H2519,"")</f>
        <v/>
      </c>
      <c r="X2519" s="206">
        <f t="shared" ref="X2519:X2524" si="1559">IF(AND($V2519&gt;0,$I2519=1),P2519/$E2519*$V2519,0)</f>
        <v>0</v>
      </c>
      <c r="Y2519" s="209">
        <f t="shared" ref="Y2519:Y2524" si="1560">IF(AND($V2519&gt;0,$I2519&lt;&gt;1),Q2519/$E2519*$V2519,0)</f>
        <v>0</v>
      </c>
    </row>
    <row r="2520" spans="2:25" ht="16.5" hidden="1" thickTop="1" thickBot="1" x14ac:dyDescent="0.3">
      <c r="B2520" s="60">
        <f>B2519</f>
        <v>30</v>
      </c>
      <c r="C2520" s="102">
        <v>205</v>
      </c>
      <c r="D2520" s="192" t="str">
        <f t="shared" si="1553"/>
        <v>VIII</v>
      </c>
      <c r="E2520" s="62"/>
      <c r="F2520" s="105"/>
      <c r="G2520" s="105"/>
      <c r="H2520" s="61"/>
      <c r="I2520" s="61"/>
      <c r="J2520" s="62"/>
      <c r="K2520" s="63"/>
      <c r="L2520" s="61"/>
      <c r="M2520" s="61"/>
      <c r="N2520" s="111"/>
      <c r="O2520" s="112"/>
      <c r="P2520" s="113"/>
      <c r="Q2520" s="114"/>
      <c r="R2520" s="64"/>
      <c r="S2520" s="108"/>
      <c r="T2520" s="203">
        <f t="shared" si="1551"/>
        <v>43647</v>
      </c>
      <c r="U2520" s="204">
        <f t="shared" si="1552"/>
        <v>43677</v>
      </c>
      <c r="V2520" s="207">
        <f t="shared" ref="V2520:V2525" si="1561">IF(G2520-F2520+1-IF(G2520-U2520&gt;0,G2520-U2520,0)-IF(T2520-F2520&gt;0,T2520-F2520,0)&gt;0,G2520-F2520+1-IF(G2520-U2520&gt;0,G2520-U2520,0)-IF(T2520-F2520&gt;0,T2520-F2520,0),0)</f>
        <v>0</v>
      </c>
      <c r="W2520" s="206" t="str">
        <f t="shared" si="1558"/>
        <v/>
      </c>
      <c r="X2520" s="206">
        <f t="shared" si="1559"/>
        <v>0</v>
      </c>
      <c r="Y2520" s="209">
        <f t="shared" si="1560"/>
        <v>0</v>
      </c>
    </row>
    <row r="2521" spans="2:25" ht="16.5" hidden="1" thickTop="1" thickBot="1" x14ac:dyDescent="0.3">
      <c r="B2521" s="60">
        <f>B2519</f>
        <v>30</v>
      </c>
      <c r="C2521" s="102">
        <v>206</v>
      </c>
      <c r="D2521" s="192" t="str">
        <f t="shared" si="1553"/>
        <v>VIII</v>
      </c>
      <c r="E2521" s="62"/>
      <c r="F2521" s="105"/>
      <c r="G2521" s="105"/>
      <c r="H2521" s="61"/>
      <c r="I2521" s="61"/>
      <c r="J2521" s="62"/>
      <c r="K2521" s="63"/>
      <c r="L2521" s="61"/>
      <c r="M2521" s="61"/>
      <c r="N2521" s="111"/>
      <c r="O2521" s="112"/>
      <c r="P2521" s="113"/>
      <c r="Q2521" s="114"/>
      <c r="R2521" s="64"/>
      <c r="S2521" s="108"/>
      <c r="T2521" s="203">
        <f t="shared" si="1551"/>
        <v>43647</v>
      </c>
      <c r="U2521" s="204">
        <f t="shared" si="1552"/>
        <v>43677</v>
      </c>
      <c r="V2521" s="207">
        <f t="shared" si="1561"/>
        <v>0</v>
      </c>
      <c r="W2521" s="206" t="str">
        <f t="shared" si="1558"/>
        <v/>
      </c>
      <c r="X2521" s="206">
        <f t="shared" si="1559"/>
        <v>0</v>
      </c>
      <c r="Y2521" s="209">
        <f t="shared" si="1560"/>
        <v>0</v>
      </c>
    </row>
    <row r="2522" spans="2:25" ht="16.5" hidden="1" thickTop="1" thickBot="1" x14ac:dyDescent="0.3">
      <c r="B2522" s="60">
        <f>B2519</f>
        <v>30</v>
      </c>
      <c r="C2522" s="102">
        <v>207</v>
      </c>
      <c r="D2522" s="192" t="str">
        <f t="shared" si="1553"/>
        <v>VIII</v>
      </c>
      <c r="E2522" s="62"/>
      <c r="F2522" s="105"/>
      <c r="G2522" s="105"/>
      <c r="H2522" s="61"/>
      <c r="I2522" s="61"/>
      <c r="J2522" s="62"/>
      <c r="K2522" s="63"/>
      <c r="L2522" s="61"/>
      <c r="M2522" s="61"/>
      <c r="N2522" s="111"/>
      <c r="O2522" s="112"/>
      <c r="P2522" s="113"/>
      <c r="Q2522" s="114"/>
      <c r="R2522" s="64"/>
      <c r="S2522" s="108"/>
      <c r="T2522" s="203">
        <f t="shared" si="1551"/>
        <v>43647</v>
      </c>
      <c r="U2522" s="204">
        <f t="shared" si="1552"/>
        <v>43677</v>
      </c>
      <c r="V2522" s="207">
        <f t="shared" si="1561"/>
        <v>0</v>
      </c>
      <c r="W2522" s="206" t="str">
        <f t="shared" si="1558"/>
        <v/>
      </c>
      <c r="X2522" s="206">
        <f t="shared" si="1559"/>
        <v>0</v>
      </c>
      <c r="Y2522" s="209">
        <f t="shared" si="1560"/>
        <v>0</v>
      </c>
    </row>
    <row r="2523" spans="2:25" ht="16.5" hidden="1" thickTop="1" thickBot="1" x14ac:dyDescent="0.3">
      <c r="B2523" s="60">
        <f>B2519</f>
        <v>30</v>
      </c>
      <c r="C2523" s="102">
        <v>208</v>
      </c>
      <c r="D2523" s="192" t="str">
        <f t="shared" si="1553"/>
        <v>VIII</v>
      </c>
      <c r="E2523" s="62"/>
      <c r="F2523" s="105"/>
      <c r="G2523" s="105"/>
      <c r="H2523" s="61"/>
      <c r="I2523" s="61"/>
      <c r="J2523" s="62"/>
      <c r="K2523" s="63"/>
      <c r="L2523" s="61"/>
      <c r="M2523" s="61"/>
      <c r="N2523" s="111"/>
      <c r="O2523" s="112"/>
      <c r="P2523" s="113"/>
      <c r="Q2523" s="114"/>
      <c r="R2523" s="64"/>
      <c r="S2523" s="108"/>
      <c r="T2523" s="203">
        <f t="shared" si="1551"/>
        <v>43647</v>
      </c>
      <c r="U2523" s="204">
        <f t="shared" si="1552"/>
        <v>43677</v>
      </c>
      <c r="V2523" s="207">
        <f t="shared" si="1561"/>
        <v>0</v>
      </c>
      <c r="W2523" s="206" t="str">
        <f t="shared" si="1558"/>
        <v/>
      </c>
      <c r="X2523" s="206">
        <f t="shared" si="1559"/>
        <v>0</v>
      </c>
      <c r="Y2523" s="209">
        <f t="shared" si="1560"/>
        <v>0</v>
      </c>
    </row>
    <row r="2524" spans="2:25" ht="16.5" hidden="1" thickTop="1" thickBot="1" x14ac:dyDescent="0.3">
      <c r="B2524" s="60">
        <f>B2519</f>
        <v>30</v>
      </c>
      <c r="C2524" s="102">
        <v>209</v>
      </c>
      <c r="D2524" s="192" t="str">
        <f t="shared" si="1553"/>
        <v>VIII</v>
      </c>
      <c r="E2524" s="62"/>
      <c r="F2524" s="105"/>
      <c r="G2524" s="105"/>
      <c r="H2524" s="61"/>
      <c r="I2524" s="61"/>
      <c r="J2524" s="62"/>
      <c r="K2524" s="63"/>
      <c r="L2524" s="61"/>
      <c r="M2524" s="61"/>
      <c r="N2524" s="111"/>
      <c r="O2524" s="112"/>
      <c r="P2524" s="113"/>
      <c r="Q2524" s="114"/>
      <c r="R2524" s="64"/>
      <c r="S2524" s="108"/>
      <c r="T2524" s="203">
        <f t="shared" si="1551"/>
        <v>43647</v>
      </c>
      <c r="U2524" s="204">
        <f t="shared" si="1552"/>
        <v>43677</v>
      </c>
      <c r="V2524" s="207">
        <f t="shared" si="1561"/>
        <v>0</v>
      </c>
      <c r="W2524" s="206" t="str">
        <f t="shared" si="1558"/>
        <v/>
      </c>
      <c r="X2524" s="206">
        <f t="shared" si="1559"/>
        <v>0</v>
      </c>
      <c r="Y2524" s="209">
        <f t="shared" si="1560"/>
        <v>0</v>
      </c>
    </row>
    <row r="2525" spans="2:25" ht="16.5" hidden="1" thickTop="1" thickBot="1" x14ac:dyDescent="0.3">
      <c r="B2525" s="141">
        <f>B2519</f>
        <v>30</v>
      </c>
      <c r="C2525" s="142">
        <v>210</v>
      </c>
      <c r="D2525" s="194" t="str">
        <f t="shared" si="1553"/>
        <v>VIII</v>
      </c>
      <c r="E2525" s="143"/>
      <c r="F2525" s="144"/>
      <c r="G2525" s="144"/>
      <c r="H2525" s="145"/>
      <c r="I2525" s="145"/>
      <c r="J2525" s="436" t="s">
        <v>181</v>
      </c>
      <c r="K2525" s="437"/>
      <c r="L2525" s="438"/>
      <c r="M2525" s="145"/>
      <c r="N2525" s="146"/>
      <c r="O2525" s="147"/>
      <c r="P2525" s="148"/>
      <c r="Q2525" s="149"/>
      <c r="R2525" s="150"/>
      <c r="S2525" s="151"/>
      <c r="T2525" s="213">
        <f t="shared" si="1551"/>
        <v>43647</v>
      </c>
      <c r="U2525" s="214">
        <f t="shared" si="1552"/>
        <v>43677</v>
      </c>
      <c r="V2525" s="210">
        <f t="shared" si="1561"/>
        <v>0</v>
      </c>
      <c r="W2525" s="211"/>
      <c r="X2525" s="211">
        <f>IF(AND($V2525&gt;0,$I2525=1),IF($E2525=10,P2525/10,P2525/$V2525),0)</f>
        <v>0</v>
      </c>
      <c r="Y2525" s="212">
        <f>IF(AND($V2519&gt;0,$I2525&lt;&gt;1),Q2525/E2519*V2519,0)</f>
        <v>0</v>
      </c>
    </row>
    <row r="2526" spans="2:25" ht="45.75" thickTop="1" x14ac:dyDescent="0.25">
      <c r="B2526" s="129">
        <f>B2524+1</f>
        <v>31</v>
      </c>
      <c r="C2526" s="130">
        <v>211</v>
      </c>
      <c r="D2526" s="196" t="str">
        <f t="shared" si="1553"/>
        <v>VIII</v>
      </c>
      <c r="E2526" s="152">
        <v>10</v>
      </c>
      <c r="F2526" s="153">
        <v>43708</v>
      </c>
      <c r="G2526" s="153">
        <v>43717</v>
      </c>
      <c r="H2526" s="154" t="s">
        <v>390</v>
      </c>
      <c r="I2526" s="154">
        <v>2</v>
      </c>
      <c r="J2526" s="152" t="s">
        <v>167</v>
      </c>
      <c r="K2526" s="155" t="s">
        <v>16</v>
      </c>
      <c r="L2526" s="154">
        <v>1</v>
      </c>
      <c r="M2526" s="154">
        <v>4</v>
      </c>
      <c r="N2526" s="156">
        <v>54</v>
      </c>
      <c r="O2526" s="157">
        <v>54</v>
      </c>
      <c r="P2526" s="158"/>
      <c r="Q2526" s="159">
        <v>54</v>
      </c>
      <c r="R2526" s="160" t="s">
        <v>4</v>
      </c>
      <c r="S2526" s="161">
        <v>43641</v>
      </c>
      <c r="T2526" s="203">
        <f t="shared" si="1551"/>
        <v>43647</v>
      </c>
      <c r="U2526" s="204">
        <f t="shared" si="1552"/>
        <v>43677</v>
      </c>
      <c r="V2526" s="207">
        <f>IF(G2526-F2526+1-IF(G2526-U2526&gt;0,G2526-U2526,0)-IF(T2526-F2526&gt;0,T2526-F2526,0)&gt;0,G2526-F2526+1-IF(G2526-U2526&gt;0,G2526-U2526,0)-IF(T2526-F2526&gt;0,T2526-F2526,0),0)</f>
        <v>0</v>
      </c>
      <c r="W2526" s="206" t="str">
        <f t="shared" ref="W2526:W2531" si="1562">IF(V2526&gt;0,H2526,"")</f>
        <v/>
      </c>
      <c r="X2526" s="206">
        <f t="shared" ref="X2526:X2531" si="1563">IF(AND($V2526&gt;0,$I2526=1),P2526/$E2526*$V2526,0)</f>
        <v>0</v>
      </c>
      <c r="Y2526" s="209">
        <f t="shared" ref="Y2526:Y2531" si="1564">IF(AND($V2526&gt;0,$I2526&lt;&gt;1),Q2526/$E2526*$V2526,0)</f>
        <v>0</v>
      </c>
    </row>
    <row r="2527" spans="2:25" ht="45" x14ac:dyDescent="0.25">
      <c r="B2527" s="60">
        <f>B2526</f>
        <v>31</v>
      </c>
      <c r="C2527" s="102">
        <v>212</v>
      </c>
      <c r="D2527" s="192" t="str">
        <f t="shared" si="1553"/>
        <v>VIII</v>
      </c>
      <c r="E2527" s="162">
        <v>10</v>
      </c>
      <c r="F2527" s="163">
        <v>43708</v>
      </c>
      <c r="G2527" s="163">
        <v>43717</v>
      </c>
      <c r="H2527" s="164" t="s">
        <v>391</v>
      </c>
      <c r="I2527" s="164">
        <v>2</v>
      </c>
      <c r="J2527" s="162" t="s">
        <v>167</v>
      </c>
      <c r="K2527" s="165" t="s">
        <v>16</v>
      </c>
      <c r="L2527" s="164">
        <v>1</v>
      </c>
      <c r="M2527" s="164">
        <v>4</v>
      </c>
      <c r="N2527" s="166">
        <v>54</v>
      </c>
      <c r="O2527" s="167">
        <v>54</v>
      </c>
      <c r="P2527" s="168"/>
      <c r="Q2527" s="169">
        <v>54</v>
      </c>
      <c r="R2527" s="170" t="s">
        <v>4</v>
      </c>
      <c r="S2527" s="171">
        <v>43641</v>
      </c>
      <c r="T2527" s="203">
        <f t="shared" si="1551"/>
        <v>43647</v>
      </c>
      <c r="U2527" s="204">
        <f t="shared" si="1552"/>
        <v>43677</v>
      </c>
      <c r="V2527" s="207">
        <f t="shared" ref="V2527:V2532" si="1565">IF(G2527-F2527+1-IF(G2527-U2527&gt;0,G2527-U2527,0)-IF(T2527-F2527&gt;0,T2527-F2527,0)&gt;0,G2527-F2527+1-IF(G2527-U2527&gt;0,G2527-U2527,0)-IF(T2527-F2527&gt;0,T2527-F2527,0),0)</f>
        <v>0</v>
      </c>
      <c r="W2527" s="206" t="str">
        <f t="shared" si="1562"/>
        <v/>
      </c>
      <c r="X2527" s="206">
        <f t="shared" si="1563"/>
        <v>0</v>
      </c>
      <c r="Y2527" s="209">
        <f t="shared" si="1564"/>
        <v>0</v>
      </c>
    </row>
    <row r="2528" spans="2:25" hidden="1" x14ac:dyDescent="0.25">
      <c r="B2528" s="60">
        <f>B2526</f>
        <v>31</v>
      </c>
      <c r="C2528" s="102">
        <v>213</v>
      </c>
      <c r="D2528" s="192" t="str">
        <f t="shared" si="1553"/>
        <v>VIII</v>
      </c>
      <c r="E2528" s="162"/>
      <c r="F2528" s="163"/>
      <c r="G2528" s="163"/>
      <c r="H2528" s="164"/>
      <c r="I2528" s="164"/>
      <c r="J2528" s="162"/>
      <c r="K2528" s="165"/>
      <c r="L2528" s="164"/>
      <c r="M2528" s="164"/>
      <c r="N2528" s="166"/>
      <c r="O2528" s="167"/>
      <c r="P2528" s="168"/>
      <c r="Q2528" s="169"/>
      <c r="R2528" s="170"/>
      <c r="S2528" s="171"/>
      <c r="T2528" s="203">
        <f t="shared" si="1551"/>
        <v>43647</v>
      </c>
      <c r="U2528" s="204">
        <f t="shared" si="1552"/>
        <v>43677</v>
      </c>
      <c r="V2528" s="207">
        <f t="shared" si="1565"/>
        <v>0</v>
      </c>
      <c r="W2528" s="206" t="str">
        <f t="shared" si="1562"/>
        <v/>
      </c>
      <c r="X2528" s="206">
        <f t="shared" si="1563"/>
        <v>0</v>
      </c>
      <c r="Y2528" s="209">
        <f t="shared" si="1564"/>
        <v>0</v>
      </c>
    </row>
    <row r="2529" spans="2:25" hidden="1" x14ac:dyDescent="0.25">
      <c r="B2529" s="60">
        <f>B2526</f>
        <v>31</v>
      </c>
      <c r="C2529" s="102">
        <v>214</v>
      </c>
      <c r="D2529" s="192" t="str">
        <f t="shared" si="1553"/>
        <v>VIII</v>
      </c>
      <c r="E2529" s="162"/>
      <c r="F2529" s="163"/>
      <c r="G2529" s="163"/>
      <c r="H2529" s="164"/>
      <c r="I2529" s="164"/>
      <c r="J2529" s="162"/>
      <c r="K2529" s="165"/>
      <c r="L2529" s="164"/>
      <c r="M2529" s="164"/>
      <c r="N2529" s="166"/>
      <c r="O2529" s="167"/>
      <c r="P2529" s="168"/>
      <c r="Q2529" s="169"/>
      <c r="R2529" s="170"/>
      <c r="S2529" s="171"/>
      <c r="T2529" s="203">
        <f t="shared" si="1551"/>
        <v>43647</v>
      </c>
      <c r="U2529" s="204">
        <f t="shared" si="1552"/>
        <v>43677</v>
      </c>
      <c r="V2529" s="207">
        <f t="shared" si="1565"/>
        <v>0</v>
      </c>
      <c r="W2529" s="206" t="str">
        <f t="shared" si="1562"/>
        <v/>
      </c>
      <c r="X2529" s="206">
        <f t="shared" si="1563"/>
        <v>0</v>
      </c>
      <c r="Y2529" s="209">
        <f t="shared" si="1564"/>
        <v>0</v>
      </c>
    </row>
    <row r="2530" spans="2:25" hidden="1" x14ac:dyDescent="0.25">
      <c r="B2530" s="60">
        <f>B2526</f>
        <v>31</v>
      </c>
      <c r="C2530" s="102">
        <v>215</v>
      </c>
      <c r="D2530" s="192" t="str">
        <f t="shared" si="1553"/>
        <v>VIII</v>
      </c>
      <c r="E2530" s="162"/>
      <c r="F2530" s="163"/>
      <c r="G2530" s="163"/>
      <c r="H2530" s="164"/>
      <c r="I2530" s="164"/>
      <c r="J2530" s="162"/>
      <c r="K2530" s="165"/>
      <c r="L2530" s="164"/>
      <c r="M2530" s="164"/>
      <c r="N2530" s="166"/>
      <c r="O2530" s="167"/>
      <c r="P2530" s="168"/>
      <c r="Q2530" s="169"/>
      <c r="R2530" s="170"/>
      <c r="S2530" s="171"/>
      <c r="T2530" s="203">
        <f t="shared" si="1551"/>
        <v>43647</v>
      </c>
      <c r="U2530" s="204">
        <f t="shared" si="1552"/>
        <v>43677</v>
      </c>
      <c r="V2530" s="207">
        <f t="shared" si="1565"/>
        <v>0</v>
      </c>
      <c r="W2530" s="206" t="str">
        <f t="shared" si="1562"/>
        <v/>
      </c>
      <c r="X2530" s="206">
        <f t="shared" si="1563"/>
        <v>0</v>
      </c>
      <c r="Y2530" s="209">
        <f t="shared" si="1564"/>
        <v>0</v>
      </c>
    </row>
    <row r="2531" spans="2:25" hidden="1" x14ac:dyDescent="0.25">
      <c r="B2531" s="60">
        <f>B2526</f>
        <v>31</v>
      </c>
      <c r="C2531" s="102">
        <v>216</v>
      </c>
      <c r="D2531" s="192" t="str">
        <f t="shared" si="1553"/>
        <v>VIII</v>
      </c>
      <c r="E2531" s="172"/>
      <c r="F2531" s="173"/>
      <c r="G2531" s="173"/>
      <c r="H2531" s="174"/>
      <c r="I2531" s="174"/>
      <c r="J2531" s="172"/>
      <c r="K2531" s="175"/>
      <c r="L2531" s="174"/>
      <c r="M2531" s="174"/>
      <c r="N2531" s="176"/>
      <c r="O2531" s="177"/>
      <c r="P2531" s="178"/>
      <c r="Q2531" s="179"/>
      <c r="R2531" s="180"/>
      <c r="S2531" s="181"/>
      <c r="T2531" s="203">
        <f t="shared" si="1551"/>
        <v>43647</v>
      </c>
      <c r="U2531" s="204">
        <f t="shared" si="1552"/>
        <v>43677</v>
      </c>
      <c r="V2531" s="207">
        <f t="shared" si="1565"/>
        <v>0</v>
      </c>
      <c r="W2531" s="206" t="str">
        <f t="shared" si="1562"/>
        <v/>
      </c>
      <c r="X2531" s="206">
        <f t="shared" si="1563"/>
        <v>0</v>
      </c>
      <c r="Y2531" s="209">
        <f t="shared" si="1564"/>
        <v>0</v>
      </c>
    </row>
    <row r="2532" spans="2:25" ht="15.75" thickBot="1" x14ac:dyDescent="0.3">
      <c r="B2532" s="141">
        <f>B2526</f>
        <v>31</v>
      </c>
      <c r="C2532" s="142">
        <v>217</v>
      </c>
      <c r="D2532" s="194" t="str">
        <f t="shared" si="1553"/>
        <v>VIII</v>
      </c>
      <c r="E2532" s="189"/>
      <c r="F2532" s="190"/>
      <c r="G2532" s="190"/>
      <c r="H2532" s="182"/>
      <c r="I2532" s="182"/>
      <c r="J2532" s="436" t="s">
        <v>181</v>
      </c>
      <c r="K2532" s="437"/>
      <c r="L2532" s="438"/>
      <c r="M2532" s="182"/>
      <c r="N2532" s="183">
        <v>10</v>
      </c>
      <c r="O2532" s="184">
        <v>10</v>
      </c>
      <c r="P2532" s="185"/>
      <c r="Q2532" s="186">
        <v>10</v>
      </c>
      <c r="R2532" s="187" t="s">
        <v>4</v>
      </c>
      <c r="S2532" s="188">
        <v>43641</v>
      </c>
      <c r="T2532" s="213">
        <f t="shared" si="1551"/>
        <v>43647</v>
      </c>
      <c r="U2532" s="214">
        <f t="shared" si="1552"/>
        <v>43677</v>
      </c>
      <c r="V2532" s="210">
        <f t="shared" si="1565"/>
        <v>0</v>
      </c>
      <c r="W2532" s="211"/>
      <c r="X2532" s="211">
        <f>IF(AND($V2532&gt;0,$I2532=1),IF($E2532=10,P2532/10,P2532/$V2532),0)</f>
        <v>0</v>
      </c>
      <c r="Y2532" s="212">
        <f>IF(AND($V2526&gt;0,$I2532&lt;&gt;1),Q2532/E2526*V2526,0)</f>
        <v>0</v>
      </c>
    </row>
    <row r="2533" spans="2:25" ht="45.75" thickTop="1" x14ac:dyDescent="0.25">
      <c r="B2533" s="129">
        <f>B2531+1</f>
        <v>32</v>
      </c>
      <c r="C2533" s="130">
        <v>218</v>
      </c>
      <c r="D2533" s="196" t="str">
        <f t="shared" si="1553"/>
        <v>VIII</v>
      </c>
      <c r="E2533" s="131">
        <v>10</v>
      </c>
      <c r="F2533" s="132">
        <v>43708</v>
      </c>
      <c r="G2533" s="132">
        <v>43717</v>
      </c>
      <c r="H2533" s="133" t="s">
        <v>399</v>
      </c>
      <c r="I2533" s="133">
        <v>2</v>
      </c>
      <c r="J2533" s="131" t="s">
        <v>167</v>
      </c>
      <c r="K2533" s="134" t="s">
        <v>16</v>
      </c>
      <c r="L2533" s="133">
        <v>1</v>
      </c>
      <c r="M2533" s="133">
        <v>4</v>
      </c>
      <c r="N2533" s="135">
        <v>54</v>
      </c>
      <c r="O2533" s="136">
        <v>54</v>
      </c>
      <c r="P2533" s="137"/>
      <c r="Q2533" s="138">
        <v>54</v>
      </c>
      <c r="R2533" s="139" t="s">
        <v>4</v>
      </c>
      <c r="S2533" s="140">
        <v>43651</v>
      </c>
      <c r="T2533" s="203">
        <f t="shared" si="1551"/>
        <v>43647</v>
      </c>
      <c r="U2533" s="204">
        <f t="shared" si="1552"/>
        <v>43677</v>
      </c>
      <c r="V2533" s="207">
        <f>IF(G2533-F2533+1-IF(G2533-U2533&gt;0,G2533-U2533,0)-IF(T2533-F2533&gt;0,T2533-F2533,0)&gt;0,G2533-F2533+1-IF(G2533-U2533&gt;0,G2533-U2533,0)-IF(T2533-F2533&gt;0,T2533-F2533,0),0)</f>
        <v>0</v>
      </c>
      <c r="W2533" s="206" t="str">
        <f t="shared" ref="W2533:W2538" si="1566">IF(V2533&gt;0,H2533,"")</f>
        <v/>
      </c>
      <c r="X2533" s="206">
        <f t="shared" ref="X2533:X2538" si="1567">IF(AND($V2533&gt;0,$I2533=1),P2533/$E2533*$V2533,0)</f>
        <v>0</v>
      </c>
      <c r="Y2533" s="209">
        <f t="shared" ref="Y2533:Y2538" si="1568">IF(AND($V2533&gt;0,$I2533&lt;&gt;1),Q2533/$E2533*$V2533,0)</f>
        <v>0</v>
      </c>
    </row>
    <row r="2534" spans="2:25" ht="45" x14ac:dyDescent="0.25">
      <c r="B2534" s="60">
        <f>B2533</f>
        <v>32</v>
      </c>
      <c r="C2534" s="102">
        <v>219</v>
      </c>
      <c r="D2534" s="192" t="str">
        <f t="shared" si="1553"/>
        <v>VIII</v>
      </c>
      <c r="E2534" s="62">
        <v>10</v>
      </c>
      <c r="F2534" s="105">
        <v>43708</v>
      </c>
      <c r="G2534" s="105">
        <v>43717</v>
      </c>
      <c r="H2534" s="61" t="s">
        <v>400</v>
      </c>
      <c r="I2534" s="61">
        <v>2</v>
      </c>
      <c r="J2534" s="62" t="s">
        <v>167</v>
      </c>
      <c r="K2534" s="63" t="s">
        <v>16</v>
      </c>
      <c r="L2534" s="61">
        <v>1</v>
      </c>
      <c r="M2534" s="61">
        <v>4</v>
      </c>
      <c r="N2534" s="111">
        <v>54</v>
      </c>
      <c r="O2534" s="112">
        <v>54</v>
      </c>
      <c r="P2534" s="113"/>
      <c r="Q2534" s="114">
        <v>54</v>
      </c>
      <c r="R2534" s="64" t="s">
        <v>4</v>
      </c>
      <c r="S2534" s="108">
        <v>43651</v>
      </c>
      <c r="T2534" s="203">
        <f t="shared" si="1551"/>
        <v>43647</v>
      </c>
      <c r="U2534" s="204">
        <f t="shared" si="1552"/>
        <v>43677</v>
      </c>
      <c r="V2534" s="207">
        <f t="shared" ref="V2534:V2539" si="1569">IF(G2534-F2534+1-IF(G2534-U2534&gt;0,G2534-U2534,0)-IF(T2534-F2534&gt;0,T2534-F2534,0)&gt;0,G2534-F2534+1-IF(G2534-U2534&gt;0,G2534-U2534,0)-IF(T2534-F2534&gt;0,T2534-F2534,0),0)</f>
        <v>0</v>
      </c>
      <c r="W2534" s="206" t="str">
        <f t="shared" si="1566"/>
        <v/>
      </c>
      <c r="X2534" s="206">
        <f t="shared" si="1567"/>
        <v>0</v>
      </c>
      <c r="Y2534" s="209">
        <f t="shared" si="1568"/>
        <v>0</v>
      </c>
    </row>
    <row r="2535" spans="2:25" x14ac:dyDescent="0.25">
      <c r="B2535" s="60">
        <f>B2533</f>
        <v>32</v>
      </c>
      <c r="C2535" s="102">
        <v>220</v>
      </c>
      <c r="D2535" s="192" t="str">
        <f t="shared" si="1553"/>
        <v>VIII</v>
      </c>
      <c r="E2535" s="62">
        <v>10</v>
      </c>
      <c r="F2535" s="105">
        <v>43708</v>
      </c>
      <c r="G2535" s="105">
        <v>43717</v>
      </c>
      <c r="H2535" s="61" t="s">
        <v>401</v>
      </c>
      <c r="I2535" s="61">
        <v>4</v>
      </c>
      <c r="J2535" s="62" t="s">
        <v>171</v>
      </c>
      <c r="K2535" s="63" t="s">
        <v>16</v>
      </c>
      <c r="L2535" s="61">
        <v>1</v>
      </c>
      <c r="M2535" s="61">
        <v>4</v>
      </c>
      <c r="N2535" s="111">
        <v>27</v>
      </c>
      <c r="O2535" s="112">
        <v>27</v>
      </c>
      <c r="P2535" s="113"/>
      <c r="Q2535" s="114">
        <v>27</v>
      </c>
      <c r="R2535" s="64" t="s">
        <v>4</v>
      </c>
      <c r="S2535" s="108">
        <v>43651</v>
      </c>
      <c r="T2535" s="203">
        <f t="shared" si="1551"/>
        <v>43647</v>
      </c>
      <c r="U2535" s="204">
        <f t="shared" si="1552"/>
        <v>43677</v>
      </c>
      <c r="V2535" s="207">
        <f t="shared" si="1569"/>
        <v>0</v>
      </c>
      <c r="W2535" s="206" t="str">
        <f t="shared" si="1566"/>
        <v/>
      </c>
      <c r="X2535" s="206">
        <f t="shared" si="1567"/>
        <v>0</v>
      </c>
      <c r="Y2535" s="209">
        <f t="shared" si="1568"/>
        <v>0</v>
      </c>
    </row>
    <row r="2536" spans="2:25" x14ac:dyDescent="0.25">
      <c r="B2536" s="60">
        <f>B2533</f>
        <v>32</v>
      </c>
      <c r="C2536" s="102">
        <v>221</v>
      </c>
      <c r="D2536" s="192" t="str">
        <f t="shared" si="1553"/>
        <v>VIII</v>
      </c>
      <c r="E2536" s="62">
        <v>10</v>
      </c>
      <c r="F2536" s="105">
        <v>43708</v>
      </c>
      <c r="G2536" s="105">
        <v>43717</v>
      </c>
      <c r="H2536" s="61" t="s">
        <v>402</v>
      </c>
      <c r="I2536" s="61">
        <v>3</v>
      </c>
      <c r="J2536" s="62" t="s">
        <v>170</v>
      </c>
      <c r="K2536" s="63" t="s">
        <v>16</v>
      </c>
      <c r="L2536" s="61">
        <v>1</v>
      </c>
      <c r="M2536" s="61">
        <v>4</v>
      </c>
      <c r="N2536" s="111">
        <v>0</v>
      </c>
      <c r="O2536" s="112">
        <v>0</v>
      </c>
      <c r="P2536" s="113"/>
      <c r="Q2536" s="114">
        <v>0</v>
      </c>
      <c r="R2536" s="64" t="s">
        <v>4</v>
      </c>
      <c r="S2536" s="108">
        <v>43651</v>
      </c>
      <c r="T2536" s="203">
        <f t="shared" si="1551"/>
        <v>43647</v>
      </c>
      <c r="U2536" s="204">
        <f t="shared" si="1552"/>
        <v>43677</v>
      </c>
      <c r="V2536" s="207">
        <f t="shared" si="1569"/>
        <v>0</v>
      </c>
      <c r="W2536" s="206" t="str">
        <f t="shared" si="1566"/>
        <v/>
      </c>
      <c r="X2536" s="206">
        <f t="shared" si="1567"/>
        <v>0</v>
      </c>
      <c r="Y2536" s="209">
        <f t="shared" si="1568"/>
        <v>0</v>
      </c>
    </row>
    <row r="2537" spans="2:25" hidden="1" x14ac:dyDescent="0.25">
      <c r="B2537" s="60">
        <f>B2533</f>
        <v>32</v>
      </c>
      <c r="C2537" s="102">
        <v>222</v>
      </c>
      <c r="D2537" s="192" t="str">
        <f t="shared" si="1553"/>
        <v>VIII</v>
      </c>
      <c r="E2537" s="62"/>
      <c r="F2537" s="105"/>
      <c r="G2537" s="105"/>
      <c r="H2537" s="61"/>
      <c r="I2537" s="61"/>
      <c r="J2537" s="62"/>
      <c r="K2537" s="63"/>
      <c r="L2537" s="61"/>
      <c r="M2537" s="61"/>
      <c r="N2537" s="111"/>
      <c r="O2537" s="112"/>
      <c r="P2537" s="113"/>
      <c r="Q2537" s="114"/>
      <c r="R2537" s="64"/>
      <c r="S2537" s="108"/>
      <c r="T2537" s="203">
        <f t="shared" si="1551"/>
        <v>43647</v>
      </c>
      <c r="U2537" s="204">
        <f t="shared" si="1552"/>
        <v>43677</v>
      </c>
      <c r="V2537" s="207">
        <f t="shared" si="1569"/>
        <v>0</v>
      </c>
      <c r="W2537" s="206" t="str">
        <f t="shared" si="1566"/>
        <v/>
      </c>
      <c r="X2537" s="206">
        <f t="shared" si="1567"/>
        <v>0</v>
      </c>
      <c r="Y2537" s="209">
        <f t="shared" si="1568"/>
        <v>0</v>
      </c>
    </row>
    <row r="2538" spans="2:25" hidden="1" x14ac:dyDescent="0.25">
      <c r="B2538" s="60">
        <f>B2533</f>
        <v>32</v>
      </c>
      <c r="C2538" s="102">
        <v>223</v>
      </c>
      <c r="D2538" s="192" t="str">
        <f t="shared" si="1553"/>
        <v>VIII</v>
      </c>
      <c r="E2538" s="62"/>
      <c r="F2538" s="105"/>
      <c r="G2538" s="105"/>
      <c r="H2538" s="61"/>
      <c r="I2538" s="61"/>
      <c r="J2538" s="62"/>
      <c r="K2538" s="63"/>
      <c r="L2538" s="61"/>
      <c r="M2538" s="61"/>
      <c r="N2538" s="111"/>
      <c r="O2538" s="112"/>
      <c r="P2538" s="113"/>
      <c r="Q2538" s="114"/>
      <c r="R2538" s="64"/>
      <c r="S2538" s="108"/>
      <c r="T2538" s="203">
        <f t="shared" si="1551"/>
        <v>43647</v>
      </c>
      <c r="U2538" s="204">
        <f t="shared" si="1552"/>
        <v>43677</v>
      </c>
      <c r="V2538" s="207">
        <f t="shared" si="1569"/>
        <v>0</v>
      </c>
      <c r="W2538" s="206" t="str">
        <f t="shared" si="1566"/>
        <v/>
      </c>
      <c r="X2538" s="206">
        <f t="shared" si="1567"/>
        <v>0</v>
      </c>
      <c r="Y2538" s="209">
        <f t="shared" si="1568"/>
        <v>0</v>
      </c>
    </row>
    <row r="2539" spans="2:25" ht="15.75" thickBot="1" x14ac:dyDescent="0.3">
      <c r="B2539" s="141">
        <f>B2533</f>
        <v>32</v>
      </c>
      <c r="C2539" s="142">
        <v>224</v>
      </c>
      <c r="D2539" s="194" t="str">
        <f t="shared" si="1553"/>
        <v>VIII</v>
      </c>
      <c r="E2539" s="143"/>
      <c r="F2539" s="144"/>
      <c r="G2539" s="144"/>
      <c r="H2539" s="145"/>
      <c r="I2539" s="145"/>
      <c r="J2539" s="436" t="s">
        <v>181</v>
      </c>
      <c r="K2539" s="437"/>
      <c r="L2539" s="438"/>
      <c r="M2539" s="145"/>
      <c r="N2539" s="146">
        <v>10</v>
      </c>
      <c r="O2539" s="147">
        <v>10</v>
      </c>
      <c r="P2539" s="148"/>
      <c r="Q2539" s="149">
        <v>10</v>
      </c>
      <c r="R2539" s="150" t="s">
        <v>4</v>
      </c>
      <c r="S2539" s="151">
        <v>43651</v>
      </c>
      <c r="T2539" s="213">
        <f t="shared" si="1551"/>
        <v>43647</v>
      </c>
      <c r="U2539" s="214">
        <f t="shared" si="1552"/>
        <v>43677</v>
      </c>
      <c r="V2539" s="210">
        <f t="shared" si="1569"/>
        <v>0</v>
      </c>
      <c r="W2539" s="211"/>
      <c r="X2539" s="211">
        <f>IF(AND($V2539&gt;0,$I2539=1),IF($E2539=10,P2539/10,P2539/$V2539),0)</f>
        <v>0</v>
      </c>
      <c r="Y2539" s="212">
        <f>IF(AND($V2533&gt;0,$I2539&lt;&gt;1),Q2539/E2533*V2533,0)</f>
        <v>0</v>
      </c>
    </row>
    <row r="2540" spans="2:25" ht="16.5" hidden="1" thickTop="1" thickBot="1" x14ac:dyDescent="0.3">
      <c r="B2540" s="129">
        <f>B2538+1</f>
        <v>33</v>
      </c>
      <c r="C2540" s="130">
        <v>225</v>
      </c>
      <c r="D2540" s="196" t="str">
        <f t="shared" si="1553"/>
        <v>VIII</v>
      </c>
      <c r="E2540" s="152"/>
      <c r="F2540" s="153"/>
      <c r="G2540" s="153"/>
      <c r="H2540" s="154"/>
      <c r="I2540" s="154"/>
      <c r="J2540" s="152"/>
      <c r="K2540" s="155"/>
      <c r="L2540" s="154"/>
      <c r="M2540" s="154"/>
      <c r="N2540" s="156"/>
      <c r="O2540" s="157"/>
      <c r="P2540" s="158"/>
      <c r="Q2540" s="159"/>
      <c r="R2540" s="160"/>
      <c r="S2540" s="161"/>
      <c r="T2540" s="203">
        <f t="shared" si="1551"/>
        <v>43647</v>
      </c>
      <c r="U2540" s="204">
        <f t="shared" si="1552"/>
        <v>43677</v>
      </c>
      <c r="V2540" s="207">
        <f>IF(G2540-F2540+1-IF(G2540-U2540&gt;0,G2540-U2540,0)-IF(T2540-F2540&gt;0,T2540-F2540,0)&gt;0,G2540-F2540+1-IF(G2540-U2540&gt;0,G2540-U2540,0)-IF(T2540-F2540&gt;0,T2540-F2540,0),0)</f>
        <v>0</v>
      </c>
      <c r="W2540" s="206" t="str">
        <f t="shared" ref="W2540:W2545" si="1570">IF(V2540&gt;0,H2540,"")</f>
        <v/>
      </c>
      <c r="X2540" s="206">
        <f t="shared" ref="X2540:X2545" si="1571">IF(AND($V2540&gt;0,$I2540=1),P2540/$E2540*$V2540,0)</f>
        <v>0</v>
      </c>
      <c r="Y2540" s="209">
        <f t="shared" ref="Y2540:Y2545" si="1572">IF(AND($V2540&gt;0,$I2540&lt;&gt;1),Q2540/$E2540*$V2540,0)</f>
        <v>0</v>
      </c>
    </row>
    <row r="2541" spans="2:25" ht="16.5" hidden="1" thickTop="1" thickBot="1" x14ac:dyDescent="0.3">
      <c r="B2541" s="60">
        <f>B2540</f>
        <v>33</v>
      </c>
      <c r="C2541" s="102">
        <v>226</v>
      </c>
      <c r="D2541" s="192" t="str">
        <f t="shared" si="1553"/>
        <v>VIII</v>
      </c>
      <c r="E2541" s="162"/>
      <c r="F2541" s="163"/>
      <c r="G2541" s="163"/>
      <c r="H2541" s="164"/>
      <c r="I2541" s="164"/>
      <c r="J2541" s="162"/>
      <c r="K2541" s="165"/>
      <c r="L2541" s="164"/>
      <c r="M2541" s="164"/>
      <c r="N2541" s="166"/>
      <c r="O2541" s="167"/>
      <c r="P2541" s="168"/>
      <c r="Q2541" s="169"/>
      <c r="R2541" s="170"/>
      <c r="S2541" s="171"/>
      <c r="T2541" s="203">
        <f t="shared" si="1551"/>
        <v>43647</v>
      </c>
      <c r="U2541" s="204">
        <f t="shared" si="1552"/>
        <v>43677</v>
      </c>
      <c r="V2541" s="207">
        <f t="shared" ref="V2541:V2546" si="1573">IF(G2541-F2541+1-IF(G2541-U2541&gt;0,G2541-U2541,0)-IF(T2541-F2541&gt;0,T2541-F2541,0)&gt;0,G2541-F2541+1-IF(G2541-U2541&gt;0,G2541-U2541,0)-IF(T2541-F2541&gt;0,T2541-F2541,0),0)</f>
        <v>0</v>
      </c>
      <c r="W2541" s="206" t="str">
        <f t="shared" si="1570"/>
        <v/>
      </c>
      <c r="X2541" s="206">
        <f t="shared" si="1571"/>
        <v>0</v>
      </c>
      <c r="Y2541" s="209">
        <f t="shared" si="1572"/>
        <v>0</v>
      </c>
    </row>
    <row r="2542" spans="2:25" ht="16.5" hidden="1" thickTop="1" thickBot="1" x14ac:dyDescent="0.3">
      <c r="B2542" s="60">
        <f>B2540</f>
        <v>33</v>
      </c>
      <c r="C2542" s="102">
        <v>227</v>
      </c>
      <c r="D2542" s="192" t="str">
        <f t="shared" si="1553"/>
        <v>VIII</v>
      </c>
      <c r="E2542" s="162"/>
      <c r="F2542" s="163"/>
      <c r="G2542" s="163"/>
      <c r="H2542" s="164"/>
      <c r="I2542" s="164"/>
      <c r="J2542" s="162"/>
      <c r="K2542" s="165"/>
      <c r="L2542" s="164"/>
      <c r="M2542" s="164"/>
      <c r="N2542" s="166"/>
      <c r="O2542" s="167"/>
      <c r="P2542" s="168"/>
      <c r="Q2542" s="169"/>
      <c r="R2542" s="170"/>
      <c r="S2542" s="171"/>
      <c r="T2542" s="203">
        <f t="shared" si="1551"/>
        <v>43647</v>
      </c>
      <c r="U2542" s="204">
        <f t="shared" si="1552"/>
        <v>43677</v>
      </c>
      <c r="V2542" s="207">
        <f t="shared" si="1573"/>
        <v>0</v>
      </c>
      <c r="W2542" s="206" t="str">
        <f t="shared" si="1570"/>
        <v/>
      </c>
      <c r="X2542" s="206">
        <f t="shared" si="1571"/>
        <v>0</v>
      </c>
      <c r="Y2542" s="209">
        <f t="shared" si="1572"/>
        <v>0</v>
      </c>
    </row>
    <row r="2543" spans="2:25" ht="16.5" hidden="1" thickTop="1" thickBot="1" x14ac:dyDescent="0.3">
      <c r="B2543" s="60">
        <f>B2540</f>
        <v>33</v>
      </c>
      <c r="C2543" s="102">
        <v>228</v>
      </c>
      <c r="D2543" s="192" t="str">
        <f t="shared" si="1553"/>
        <v>VIII</v>
      </c>
      <c r="E2543" s="162"/>
      <c r="F2543" s="163"/>
      <c r="G2543" s="163"/>
      <c r="H2543" s="164"/>
      <c r="I2543" s="164"/>
      <c r="J2543" s="162"/>
      <c r="K2543" s="165"/>
      <c r="L2543" s="164"/>
      <c r="M2543" s="164"/>
      <c r="N2543" s="166"/>
      <c r="O2543" s="167"/>
      <c r="P2543" s="168"/>
      <c r="Q2543" s="169"/>
      <c r="R2543" s="170"/>
      <c r="S2543" s="171"/>
      <c r="T2543" s="203">
        <f t="shared" si="1551"/>
        <v>43647</v>
      </c>
      <c r="U2543" s="204">
        <f t="shared" si="1552"/>
        <v>43677</v>
      </c>
      <c r="V2543" s="207">
        <f t="shared" si="1573"/>
        <v>0</v>
      </c>
      <c r="W2543" s="206" t="str">
        <f t="shared" si="1570"/>
        <v/>
      </c>
      <c r="X2543" s="206">
        <f t="shared" si="1571"/>
        <v>0</v>
      </c>
      <c r="Y2543" s="209">
        <f t="shared" si="1572"/>
        <v>0</v>
      </c>
    </row>
    <row r="2544" spans="2:25" ht="16.5" hidden="1" thickTop="1" thickBot="1" x14ac:dyDescent="0.3">
      <c r="B2544" s="60">
        <f>B2540</f>
        <v>33</v>
      </c>
      <c r="C2544" s="102">
        <v>229</v>
      </c>
      <c r="D2544" s="192" t="str">
        <f t="shared" si="1553"/>
        <v>VIII</v>
      </c>
      <c r="E2544" s="162"/>
      <c r="F2544" s="163"/>
      <c r="G2544" s="163"/>
      <c r="H2544" s="164"/>
      <c r="I2544" s="164"/>
      <c r="J2544" s="162"/>
      <c r="K2544" s="165"/>
      <c r="L2544" s="164"/>
      <c r="M2544" s="164"/>
      <c r="N2544" s="166"/>
      <c r="O2544" s="167"/>
      <c r="P2544" s="168"/>
      <c r="Q2544" s="169"/>
      <c r="R2544" s="170"/>
      <c r="S2544" s="171"/>
      <c r="T2544" s="203">
        <f t="shared" si="1551"/>
        <v>43647</v>
      </c>
      <c r="U2544" s="204">
        <f t="shared" si="1552"/>
        <v>43677</v>
      </c>
      <c r="V2544" s="207">
        <f t="shared" si="1573"/>
        <v>0</v>
      </c>
      <c r="W2544" s="206" t="str">
        <f t="shared" si="1570"/>
        <v/>
      </c>
      <c r="X2544" s="206">
        <f t="shared" si="1571"/>
        <v>0</v>
      </c>
      <c r="Y2544" s="209">
        <f t="shared" si="1572"/>
        <v>0</v>
      </c>
    </row>
    <row r="2545" spans="2:25" ht="16.5" hidden="1" thickTop="1" thickBot="1" x14ac:dyDescent="0.3">
      <c r="B2545" s="60">
        <f>B2540</f>
        <v>33</v>
      </c>
      <c r="C2545" s="102">
        <v>230</v>
      </c>
      <c r="D2545" s="192" t="str">
        <f t="shared" si="1553"/>
        <v>VIII</v>
      </c>
      <c r="E2545" s="172"/>
      <c r="F2545" s="173"/>
      <c r="G2545" s="173"/>
      <c r="H2545" s="174"/>
      <c r="I2545" s="174"/>
      <c r="J2545" s="172"/>
      <c r="K2545" s="175"/>
      <c r="L2545" s="174"/>
      <c r="M2545" s="174"/>
      <c r="N2545" s="176"/>
      <c r="O2545" s="177"/>
      <c r="P2545" s="178"/>
      <c r="Q2545" s="179"/>
      <c r="R2545" s="180"/>
      <c r="S2545" s="181"/>
      <c r="T2545" s="203">
        <f t="shared" si="1551"/>
        <v>43647</v>
      </c>
      <c r="U2545" s="204">
        <f t="shared" si="1552"/>
        <v>43677</v>
      </c>
      <c r="V2545" s="207">
        <f t="shared" si="1573"/>
        <v>0</v>
      </c>
      <c r="W2545" s="206" t="str">
        <f t="shared" si="1570"/>
        <v/>
      </c>
      <c r="X2545" s="206">
        <f t="shared" si="1571"/>
        <v>0</v>
      </c>
      <c r="Y2545" s="209">
        <f t="shared" si="1572"/>
        <v>0</v>
      </c>
    </row>
    <row r="2546" spans="2:25" ht="16.5" hidden="1" thickTop="1" thickBot="1" x14ac:dyDescent="0.3">
      <c r="B2546" s="141">
        <f>B2540</f>
        <v>33</v>
      </c>
      <c r="C2546" s="142">
        <v>231</v>
      </c>
      <c r="D2546" s="194" t="str">
        <f t="shared" si="1553"/>
        <v>VIII</v>
      </c>
      <c r="E2546" s="189"/>
      <c r="F2546" s="190"/>
      <c r="G2546" s="190"/>
      <c r="H2546" s="182"/>
      <c r="I2546" s="182"/>
      <c r="J2546" s="436" t="s">
        <v>181</v>
      </c>
      <c r="K2546" s="437"/>
      <c r="L2546" s="438"/>
      <c r="M2546" s="182"/>
      <c r="N2546" s="183"/>
      <c r="O2546" s="184"/>
      <c r="P2546" s="185"/>
      <c r="Q2546" s="186"/>
      <c r="R2546" s="187"/>
      <c r="S2546" s="188"/>
      <c r="T2546" s="213">
        <f t="shared" si="1551"/>
        <v>43647</v>
      </c>
      <c r="U2546" s="214">
        <f t="shared" si="1552"/>
        <v>43677</v>
      </c>
      <c r="V2546" s="210">
        <f t="shared" si="1573"/>
        <v>0</v>
      </c>
      <c r="W2546" s="211"/>
      <c r="X2546" s="211">
        <f>IF(AND($V2546&gt;0,$I2546=1),IF($E2546=10,P2546/10,P2546/$V2546),0)</f>
        <v>0</v>
      </c>
      <c r="Y2546" s="212">
        <f>IF(AND($V2540&gt;0,$I2546&lt;&gt;1),Q2546/E2540*V2540,0)</f>
        <v>0</v>
      </c>
    </row>
    <row r="2547" spans="2:25" ht="16.5" hidden="1" thickTop="1" thickBot="1" x14ac:dyDescent="0.3">
      <c r="B2547" s="129">
        <f>B2545+1</f>
        <v>34</v>
      </c>
      <c r="C2547" s="130">
        <v>232</v>
      </c>
      <c r="D2547" s="196" t="str">
        <f t="shared" si="1553"/>
        <v>VIII</v>
      </c>
      <c r="E2547" s="131"/>
      <c r="F2547" s="132"/>
      <c r="G2547" s="132"/>
      <c r="H2547" s="133"/>
      <c r="I2547" s="133"/>
      <c r="J2547" s="131"/>
      <c r="K2547" s="134"/>
      <c r="L2547" s="133"/>
      <c r="M2547" s="133"/>
      <c r="N2547" s="135"/>
      <c r="O2547" s="136"/>
      <c r="P2547" s="137"/>
      <c r="Q2547" s="138"/>
      <c r="R2547" s="139"/>
      <c r="S2547" s="140"/>
      <c r="T2547" s="203">
        <f t="shared" si="1551"/>
        <v>43647</v>
      </c>
      <c r="U2547" s="204">
        <f t="shared" si="1552"/>
        <v>43677</v>
      </c>
      <c r="V2547" s="207">
        <f>IF(G2547-F2547+1-IF(G2547-U2547&gt;0,G2547-U2547,0)-IF(T2547-F2547&gt;0,T2547-F2547,0)&gt;0,G2547-F2547+1-IF(G2547-U2547&gt;0,G2547-U2547,0)-IF(T2547-F2547&gt;0,T2547-F2547,0),0)</f>
        <v>0</v>
      </c>
      <c r="W2547" s="206" t="str">
        <f t="shared" ref="W2547:W2552" si="1574">IF(V2547&gt;0,H2547,"")</f>
        <v/>
      </c>
      <c r="X2547" s="206">
        <f t="shared" ref="X2547:X2552" si="1575">IF(AND($V2547&gt;0,$I2547=1),P2547/$E2547*$V2547,0)</f>
        <v>0</v>
      </c>
      <c r="Y2547" s="209">
        <f t="shared" ref="Y2547:Y2552" si="1576">IF(AND($V2547&gt;0,$I2547&lt;&gt;1),Q2547/$E2547*$V2547,0)</f>
        <v>0</v>
      </c>
    </row>
    <row r="2548" spans="2:25" ht="16.5" hidden="1" thickTop="1" thickBot="1" x14ac:dyDescent="0.3">
      <c r="B2548" s="60">
        <f>B2547</f>
        <v>34</v>
      </c>
      <c r="C2548" s="102">
        <v>233</v>
      </c>
      <c r="D2548" s="192" t="str">
        <f t="shared" si="1553"/>
        <v>VIII</v>
      </c>
      <c r="E2548" s="62"/>
      <c r="F2548" s="105"/>
      <c r="G2548" s="105"/>
      <c r="H2548" s="61"/>
      <c r="I2548" s="61"/>
      <c r="J2548" s="62"/>
      <c r="K2548" s="63"/>
      <c r="L2548" s="61"/>
      <c r="M2548" s="61"/>
      <c r="N2548" s="111"/>
      <c r="O2548" s="112"/>
      <c r="P2548" s="113"/>
      <c r="Q2548" s="114"/>
      <c r="R2548" s="64"/>
      <c r="S2548" s="108"/>
      <c r="T2548" s="203">
        <f t="shared" si="1551"/>
        <v>43647</v>
      </c>
      <c r="U2548" s="204">
        <f t="shared" si="1552"/>
        <v>43677</v>
      </c>
      <c r="V2548" s="207">
        <f t="shared" ref="V2548:V2553" si="1577">IF(G2548-F2548+1-IF(G2548-U2548&gt;0,G2548-U2548,0)-IF(T2548-F2548&gt;0,T2548-F2548,0)&gt;0,G2548-F2548+1-IF(G2548-U2548&gt;0,G2548-U2548,0)-IF(T2548-F2548&gt;0,T2548-F2548,0),0)</f>
        <v>0</v>
      </c>
      <c r="W2548" s="206" t="str">
        <f t="shared" si="1574"/>
        <v/>
      </c>
      <c r="X2548" s="206">
        <f t="shared" si="1575"/>
        <v>0</v>
      </c>
      <c r="Y2548" s="209">
        <f t="shared" si="1576"/>
        <v>0</v>
      </c>
    </row>
    <row r="2549" spans="2:25" ht="16.5" hidden="1" thickTop="1" thickBot="1" x14ac:dyDescent="0.3">
      <c r="B2549" s="60">
        <f>B2547</f>
        <v>34</v>
      </c>
      <c r="C2549" s="102">
        <v>234</v>
      </c>
      <c r="D2549" s="192" t="str">
        <f t="shared" si="1553"/>
        <v>VIII</v>
      </c>
      <c r="E2549" s="62"/>
      <c r="F2549" s="105"/>
      <c r="G2549" s="105"/>
      <c r="H2549" s="61"/>
      <c r="I2549" s="61"/>
      <c r="J2549" s="62"/>
      <c r="K2549" s="63"/>
      <c r="L2549" s="61"/>
      <c r="M2549" s="61"/>
      <c r="N2549" s="111"/>
      <c r="O2549" s="112"/>
      <c r="P2549" s="113"/>
      <c r="Q2549" s="114"/>
      <c r="R2549" s="64"/>
      <c r="S2549" s="108"/>
      <c r="T2549" s="203">
        <f t="shared" si="1551"/>
        <v>43647</v>
      </c>
      <c r="U2549" s="204">
        <f t="shared" si="1552"/>
        <v>43677</v>
      </c>
      <c r="V2549" s="207">
        <f t="shared" si="1577"/>
        <v>0</v>
      </c>
      <c r="W2549" s="206" t="str">
        <f t="shared" si="1574"/>
        <v/>
      </c>
      <c r="X2549" s="206">
        <f t="shared" si="1575"/>
        <v>0</v>
      </c>
      <c r="Y2549" s="209">
        <f t="shared" si="1576"/>
        <v>0</v>
      </c>
    </row>
    <row r="2550" spans="2:25" ht="16.5" hidden="1" thickTop="1" thickBot="1" x14ac:dyDescent="0.3">
      <c r="B2550" s="60">
        <f>B2547</f>
        <v>34</v>
      </c>
      <c r="C2550" s="102">
        <v>235</v>
      </c>
      <c r="D2550" s="192" t="str">
        <f t="shared" si="1553"/>
        <v>VIII</v>
      </c>
      <c r="E2550" s="62"/>
      <c r="F2550" s="105"/>
      <c r="G2550" s="105"/>
      <c r="H2550" s="61"/>
      <c r="I2550" s="61"/>
      <c r="J2550" s="62"/>
      <c r="K2550" s="63"/>
      <c r="L2550" s="61"/>
      <c r="M2550" s="61"/>
      <c r="N2550" s="111"/>
      <c r="O2550" s="112"/>
      <c r="P2550" s="113"/>
      <c r="Q2550" s="114"/>
      <c r="R2550" s="64"/>
      <c r="S2550" s="108"/>
      <c r="T2550" s="203">
        <f t="shared" si="1551"/>
        <v>43647</v>
      </c>
      <c r="U2550" s="204">
        <f t="shared" si="1552"/>
        <v>43677</v>
      </c>
      <c r="V2550" s="207">
        <f t="shared" si="1577"/>
        <v>0</v>
      </c>
      <c r="W2550" s="206" t="str">
        <f t="shared" si="1574"/>
        <v/>
      </c>
      <c r="X2550" s="206">
        <f t="shared" si="1575"/>
        <v>0</v>
      </c>
      <c r="Y2550" s="209">
        <f t="shared" si="1576"/>
        <v>0</v>
      </c>
    </row>
    <row r="2551" spans="2:25" ht="16.5" hidden="1" thickTop="1" thickBot="1" x14ac:dyDescent="0.3">
      <c r="B2551" s="60">
        <f>B2547</f>
        <v>34</v>
      </c>
      <c r="C2551" s="102">
        <v>236</v>
      </c>
      <c r="D2551" s="192" t="str">
        <f t="shared" si="1553"/>
        <v>VIII</v>
      </c>
      <c r="E2551" s="62"/>
      <c r="F2551" s="105"/>
      <c r="G2551" s="105"/>
      <c r="H2551" s="61"/>
      <c r="I2551" s="61"/>
      <c r="J2551" s="62"/>
      <c r="K2551" s="63"/>
      <c r="L2551" s="61"/>
      <c r="M2551" s="61"/>
      <c r="N2551" s="111"/>
      <c r="O2551" s="112"/>
      <c r="P2551" s="113"/>
      <c r="Q2551" s="114"/>
      <c r="R2551" s="64"/>
      <c r="S2551" s="108"/>
      <c r="T2551" s="203">
        <f t="shared" si="1551"/>
        <v>43647</v>
      </c>
      <c r="U2551" s="204">
        <f t="shared" si="1552"/>
        <v>43677</v>
      </c>
      <c r="V2551" s="207">
        <f t="shared" si="1577"/>
        <v>0</v>
      </c>
      <c r="W2551" s="206" t="str">
        <f t="shared" si="1574"/>
        <v/>
      </c>
      <c r="X2551" s="206">
        <f t="shared" si="1575"/>
        <v>0</v>
      </c>
      <c r="Y2551" s="209">
        <f t="shared" si="1576"/>
        <v>0</v>
      </c>
    </row>
    <row r="2552" spans="2:25" ht="16.5" hidden="1" thickTop="1" thickBot="1" x14ac:dyDescent="0.3">
      <c r="B2552" s="60">
        <f>B2547</f>
        <v>34</v>
      </c>
      <c r="C2552" s="102">
        <v>237</v>
      </c>
      <c r="D2552" s="192" t="str">
        <f t="shared" si="1553"/>
        <v>VIII</v>
      </c>
      <c r="E2552" s="62"/>
      <c r="F2552" s="105"/>
      <c r="G2552" s="105"/>
      <c r="H2552" s="61"/>
      <c r="I2552" s="61"/>
      <c r="J2552" s="62"/>
      <c r="K2552" s="63"/>
      <c r="L2552" s="61"/>
      <c r="M2552" s="61"/>
      <c r="N2552" s="111"/>
      <c r="O2552" s="112"/>
      <c r="P2552" s="113"/>
      <c r="Q2552" s="114"/>
      <c r="R2552" s="64"/>
      <c r="S2552" s="108"/>
      <c r="T2552" s="203">
        <f t="shared" si="1551"/>
        <v>43647</v>
      </c>
      <c r="U2552" s="204">
        <f t="shared" si="1552"/>
        <v>43677</v>
      </c>
      <c r="V2552" s="207">
        <f t="shared" si="1577"/>
        <v>0</v>
      </c>
      <c r="W2552" s="206" t="str">
        <f t="shared" si="1574"/>
        <v/>
      </c>
      <c r="X2552" s="206">
        <f t="shared" si="1575"/>
        <v>0</v>
      </c>
      <c r="Y2552" s="209">
        <f t="shared" si="1576"/>
        <v>0</v>
      </c>
    </row>
    <row r="2553" spans="2:25" ht="16.5" hidden="1" thickTop="1" thickBot="1" x14ac:dyDescent="0.3">
      <c r="B2553" s="141">
        <f>B2547</f>
        <v>34</v>
      </c>
      <c r="C2553" s="142">
        <v>238</v>
      </c>
      <c r="D2553" s="194" t="str">
        <f t="shared" si="1553"/>
        <v>VIII</v>
      </c>
      <c r="E2553" s="143"/>
      <c r="F2553" s="144"/>
      <c r="G2553" s="144"/>
      <c r="H2553" s="145"/>
      <c r="I2553" s="145"/>
      <c r="J2553" s="436" t="s">
        <v>181</v>
      </c>
      <c r="K2553" s="437"/>
      <c r="L2553" s="438"/>
      <c r="M2553" s="145"/>
      <c r="N2553" s="146"/>
      <c r="O2553" s="147"/>
      <c r="P2553" s="148"/>
      <c r="Q2553" s="149"/>
      <c r="R2553" s="150"/>
      <c r="S2553" s="151"/>
      <c r="T2553" s="213">
        <f t="shared" si="1551"/>
        <v>43647</v>
      </c>
      <c r="U2553" s="214">
        <f t="shared" si="1552"/>
        <v>43677</v>
      </c>
      <c r="V2553" s="210">
        <f t="shared" si="1577"/>
        <v>0</v>
      </c>
      <c r="W2553" s="211"/>
      <c r="X2553" s="211">
        <f>IF(AND($V2553&gt;0,$I2553=1),IF($E2553=10,P2553/10,P2553/$V2553),0)</f>
        <v>0</v>
      </c>
      <c r="Y2553" s="212">
        <f>IF(AND($V2547&gt;0,$I2553&lt;&gt;1),Q2553/E2547*V2547,0)</f>
        <v>0</v>
      </c>
    </row>
    <row r="2554" spans="2:25" ht="16.5" hidden="1" thickTop="1" thickBot="1" x14ac:dyDescent="0.3">
      <c r="B2554" s="129">
        <f>B2552+1</f>
        <v>35</v>
      </c>
      <c r="C2554" s="130">
        <v>239</v>
      </c>
      <c r="D2554" s="196" t="str">
        <f t="shared" si="1553"/>
        <v>VIII</v>
      </c>
      <c r="E2554" s="152"/>
      <c r="F2554" s="153"/>
      <c r="G2554" s="153"/>
      <c r="H2554" s="154"/>
      <c r="I2554" s="154"/>
      <c r="J2554" s="152"/>
      <c r="K2554" s="155"/>
      <c r="L2554" s="154"/>
      <c r="M2554" s="154"/>
      <c r="N2554" s="156"/>
      <c r="O2554" s="157"/>
      <c r="P2554" s="158"/>
      <c r="Q2554" s="159"/>
      <c r="R2554" s="160"/>
      <c r="S2554" s="161"/>
      <c r="T2554" s="203">
        <f t="shared" si="1551"/>
        <v>43647</v>
      </c>
      <c r="U2554" s="204">
        <f t="shared" si="1552"/>
        <v>43677</v>
      </c>
      <c r="V2554" s="207">
        <f>IF(G2554-F2554+1-IF(G2554-U2554&gt;0,G2554-U2554,0)-IF(T2554-F2554&gt;0,T2554-F2554,0)&gt;0,G2554-F2554+1-IF(G2554-U2554&gt;0,G2554-U2554,0)-IF(T2554-F2554&gt;0,T2554-F2554,0),0)</f>
        <v>0</v>
      </c>
      <c r="W2554" s="206" t="str">
        <f t="shared" ref="W2554:W2559" si="1578">IF(V2554&gt;0,H2554,"")</f>
        <v/>
      </c>
      <c r="X2554" s="206">
        <f t="shared" ref="X2554:X2559" si="1579">IF(AND($V2554&gt;0,$I2554=1),P2554/$E2554*$V2554,0)</f>
        <v>0</v>
      </c>
      <c r="Y2554" s="209">
        <f t="shared" ref="Y2554:Y2559" si="1580">IF(AND($V2554&gt;0,$I2554&lt;&gt;1),Q2554/$E2554*$V2554,0)</f>
        <v>0</v>
      </c>
    </row>
    <row r="2555" spans="2:25" ht="16.5" hidden="1" thickTop="1" thickBot="1" x14ac:dyDescent="0.3">
      <c r="B2555" s="60">
        <f>B2554</f>
        <v>35</v>
      </c>
      <c r="C2555" s="102">
        <v>240</v>
      </c>
      <c r="D2555" s="192" t="str">
        <f t="shared" si="1553"/>
        <v>VIII</v>
      </c>
      <c r="E2555" s="162"/>
      <c r="F2555" s="163"/>
      <c r="G2555" s="163"/>
      <c r="H2555" s="164"/>
      <c r="I2555" s="164"/>
      <c r="J2555" s="162"/>
      <c r="K2555" s="165"/>
      <c r="L2555" s="164"/>
      <c r="M2555" s="164"/>
      <c r="N2555" s="166"/>
      <c r="O2555" s="167"/>
      <c r="P2555" s="168"/>
      <c r="Q2555" s="169"/>
      <c r="R2555" s="170"/>
      <c r="S2555" s="171"/>
      <c r="T2555" s="203">
        <f t="shared" si="1551"/>
        <v>43647</v>
      </c>
      <c r="U2555" s="204">
        <f t="shared" si="1552"/>
        <v>43677</v>
      </c>
      <c r="V2555" s="207">
        <f t="shared" ref="V2555:V2560" si="1581">IF(G2555-F2555+1-IF(G2555-U2555&gt;0,G2555-U2555,0)-IF(T2555-F2555&gt;0,T2555-F2555,0)&gt;0,G2555-F2555+1-IF(G2555-U2555&gt;0,G2555-U2555,0)-IF(T2555-F2555&gt;0,T2555-F2555,0),0)</f>
        <v>0</v>
      </c>
      <c r="W2555" s="206" t="str">
        <f t="shared" si="1578"/>
        <v/>
      </c>
      <c r="X2555" s="206">
        <f t="shared" si="1579"/>
        <v>0</v>
      </c>
      <c r="Y2555" s="209">
        <f t="shared" si="1580"/>
        <v>0</v>
      </c>
    </row>
    <row r="2556" spans="2:25" ht="16.5" hidden="1" thickTop="1" thickBot="1" x14ac:dyDescent="0.3">
      <c r="B2556" s="60">
        <f>B2554</f>
        <v>35</v>
      </c>
      <c r="C2556" s="102">
        <v>241</v>
      </c>
      <c r="D2556" s="192" t="str">
        <f t="shared" si="1553"/>
        <v>VIII</v>
      </c>
      <c r="E2556" s="162"/>
      <c r="F2556" s="163"/>
      <c r="G2556" s="163"/>
      <c r="H2556" s="164"/>
      <c r="I2556" s="164"/>
      <c r="J2556" s="162"/>
      <c r="K2556" s="165"/>
      <c r="L2556" s="164"/>
      <c r="M2556" s="164"/>
      <c r="N2556" s="166"/>
      <c r="O2556" s="167"/>
      <c r="P2556" s="168"/>
      <c r="Q2556" s="169"/>
      <c r="R2556" s="170"/>
      <c r="S2556" s="171"/>
      <c r="T2556" s="203">
        <f t="shared" si="1551"/>
        <v>43647</v>
      </c>
      <c r="U2556" s="204">
        <f t="shared" si="1552"/>
        <v>43677</v>
      </c>
      <c r="V2556" s="207">
        <f t="shared" si="1581"/>
        <v>0</v>
      </c>
      <c r="W2556" s="206" t="str">
        <f t="shared" si="1578"/>
        <v/>
      </c>
      <c r="X2556" s="206">
        <f t="shared" si="1579"/>
        <v>0</v>
      </c>
      <c r="Y2556" s="209">
        <f t="shared" si="1580"/>
        <v>0</v>
      </c>
    </row>
    <row r="2557" spans="2:25" ht="16.5" hidden="1" thickTop="1" thickBot="1" x14ac:dyDescent="0.3">
      <c r="B2557" s="60">
        <f>B2554</f>
        <v>35</v>
      </c>
      <c r="C2557" s="102">
        <v>242</v>
      </c>
      <c r="D2557" s="192" t="str">
        <f t="shared" si="1553"/>
        <v>VIII</v>
      </c>
      <c r="E2557" s="162"/>
      <c r="F2557" s="163"/>
      <c r="G2557" s="163"/>
      <c r="H2557" s="164"/>
      <c r="I2557" s="164"/>
      <c r="J2557" s="162"/>
      <c r="K2557" s="165"/>
      <c r="L2557" s="164"/>
      <c r="M2557" s="164"/>
      <c r="N2557" s="166"/>
      <c r="O2557" s="167"/>
      <c r="P2557" s="168"/>
      <c r="Q2557" s="169"/>
      <c r="R2557" s="170"/>
      <c r="S2557" s="171"/>
      <c r="T2557" s="203">
        <f t="shared" si="1551"/>
        <v>43647</v>
      </c>
      <c r="U2557" s="204">
        <f t="shared" si="1552"/>
        <v>43677</v>
      </c>
      <c r="V2557" s="207">
        <f t="shared" si="1581"/>
        <v>0</v>
      </c>
      <c r="W2557" s="206" t="str">
        <f t="shared" si="1578"/>
        <v/>
      </c>
      <c r="X2557" s="206">
        <f t="shared" si="1579"/>
        <v>0</v>
      </c>
      <c r="Y2557" s="209">
        <f t="shared" si="1580"/>
        <v>0</v>
      </c>
    </row>
    <row r="2558" spans="2:25" ht="16.5" hidden="1" thickTop="1" thickBot="1" x14ac:dyDescent="0.3">
      <c r="B2558" s="60">
        <f>B2554</f>
        <v>35</v>
      </c>
      <c r="C2558" s="102">
        <v>243</v>
      </c>
      <c r="D2558" s="192" t="str">
        <f t="shared" si="1553"/>
        <v>VIII</v>
      </c>
      <c r="E2558" s="162"/>
      <c r="F2558" s="163"/>
      <c r="G2558" s="163"/>
      <c r="H2558" s="164"/>
      <c r="I2558" s="164"/>
      <c r="J2558" s="162"/>
      <c r="K2558" s="165"/>
      <c r="L2558" s="164"/>
      <c r="M2558" s="164"/>
      <c r="N2558" s="166"/>
      <c r="O2558" s="167"/>
      <c r="P2558" s="168"/>
      <c r="Q2558" s="169"/>
      <c r="R2558" s="170"/>
      <c r="S2558" s="171"/>
      <c r="T2558" s="203">
        <f t="shared" si="1551"/>
        <v>43647</v>
      </c>
      <c r="U2558" s="204">
        <f t="shared" si="1552"/>
        <v>43677</v>
      </c>
      <c r="V2558" s="207">
        <f t="shared" si="1581"/>
        <v>0</v>
      </c>
      <c r="W2558" s="206" t="str">
        <f t="shared" si="1578"/>
        <v/>
      </c>
      <c r="X2558" s="206">
        <f t="shared" si="1579"/>
        <v>0</v>
      </c>
      <c r="Y2558" s="209">
        <f t="shared" si="1580"/>
        <v>0</v>
      </c>
    </row>
    <row r="2559" spans="2:25" ht="16.5" hidden="1" thickTop="1" thickBot="1" x14ac:dyDescent="0.3">
      <c r="B2559" s="60">
        <f>B2554</f>
        <v>35</v>
      </c>
      <c r="C2559" s="102">
        <v>244</v>
      </c>
      <c r="D2559" s="192" t="str">
        <f t="shared" si="1553"/>
        <v>VIII</v>
      </c>
      <c r="E2559" s="172"/>
      <c r="F2559" s="173"/>
      <c r="G2559" s="173"/>
      <c r="H2559" s="174"/>
      <c r="I2559" s="174"/>
      <c r="J2559" s="172"/>
      <c r="K2559" s="175"/>
      <c r="L2559" s="174"/>
      <c r="M2559" s="174"/>
      <c r="N2559" s="176"/>
      <c r="O2559" s="177"/>
      <c r="P2559" s="178"/>
      <c r="Q2559" s="179"/>
      <c r="R2559" s="180"/>
      <c r="S2559" s="181"/>
      <c r="T2559" s="203">
        <f t="shared" si="1551"/>
        <v>43647</v>
      </c>
      <c r="U2559" s="204">
        <f t="shared" si="1552"/>
        <v>43677</v>
      </c>
      <c r="V2559" s="207">
        <f t="shared" si="1581"/>
        <v>0</v>
      </c>
      <c r="W2559" s="206" t="str">
        <f t="shared" si="1578"/>
        <v/>
      </c>
      <c r="X2559" s="206">
        <f t="shared" si="1579"/>
        <v>0</v>
      </c>
      <c r="Y2559" s="209">
        <f t="shared" si="1580"/>
        <v>0</v>
      </c>
    </row>
    <row r="2560" spans="2:25" ht="16.5" hidden="1" thickTop="1" thickBot="1" x14ac:dyDescent="0.3">
      <c r="B2560" s="141">
        <f>B2554</f>
        <v>35</v>
      </c>
      <c r="C2560" s="142">
        <v>245</v>
      </c>
      <c r="D2560" s="194" t="str">
        <f t="shared" si="1553"/>
        <v>VIII</v>
      </c>
      <c r="E2560" s="189"/>
      <c r="F2560" s="190"/>
      <c r="G2560" s="190"/>
      <c r="H2560" s="182"/>
      <c r="I2560" s="182"/>
      <c r="J2560" s="436" t="s">
        <v>181</v>
      </c>
      <c r="K2560" s="437"/>
      <c r="L2560" s="438"/>
      <c r="M2560" s="182"/>
      <c r="N2560" s="183"/>
      <c r="O2560" s="184"/>
      <c r="P2560" s="185"/>
      <c r="Q2560" s="186"/>
      <c r="R2560" s="187"/>
      <c r="S2560" s="188"/>
      <c r="T2560" s="213">
        <f t="shared" si="1551"/>
        <v>43647</v>
      </c>
      <c r="U2560" s="214">
        <f t="shared" si="1552"/>
        <v>43677</v>
      </c>
      <c r="V2560" s="210">
        <f t="shared" si="1581"/>
        <v>0</v>
      </c>
      <c r="W2560" s="211"/>
      <c r="X2560" s="211">
        <f>IF(AND($V2560&gt;0,$I2560=1),IF($E2560=10,P2560/10,P2560/$V2560),0)</f>
        <v>0</v>
      </c>
      <c r="Y2560" s="212">
        <f>IF(AND($V2554&gt;0,$I2560&lt;&gt;1),Q2560/E2554*V2554,0)</f>
        <v>0</v>
      </c>
    </row>
    <row r="2561" spans="2:25" ht="16.5" hidden="1" thickTop="1" thickBot="1" x14ac:dyDescent="0.3">
      <c r="B2561" s="129">
        <f>B2559+1</f>
        <v>36</v>
      </c>
      <c r="C2561" s="130">
        <v>246</v>
      </c>
      <c r="D2561" s="196" t="str">
        <f t="shared" si="1553"/>
        <v>VIII</v>
      </c>
      <c r="E2561" s="131"/>
      <c r="F2561" s="132"/>
      <c r="G2561" s="132"/>
      <c r="H2561" s="133"/>
      <c r="I2561" s="133"/>
      <c r="J2561" s="131"/>
      <c r="K2561" s="134"/>
      <c r="L2561" s="133"/>
      <c r="M2561" s="133"/>
      <c r="N2561" s="135"/>
      <c r="O2561" s="136"/>
      <c r="P2561" s="137"/>
      <c r="Q2561" s="138"/>
      <c r="R2561" s="139"/>
      <c r="S2561" s="140"/>
      <c r="T2561" s="203">
        <f t="shared" si="1551"/>
        <v>43647</v>
      </c>
      <c r="U2561" s="204">
        <f t="shared" si="1552"/>
        <v>43677</v>
      </c>
      <c r="V2561" s="207">
        <f>IF(G2561-F2561+1-IF(G2561-U2561&gt;0,G2561-U2561,0)-IF(T2561-F2561&gt;0,T2561-F2561,0)&gt;0,G2561-F2561+1-IF(G2561-U2561&gt;0,G2561-U2561,0)-IF(T2561-F2561&gt;0,T2561-F2561,0),0)</f>
        <v>0</v>
      </c>
      <c r="W2561" s="206" t="str">
        <f t="shared" ref="W2561:W2566" si="1582">IF(V2561&gt;0,H2561,"")</f>
        <v/>
      </c>
      <c r="X2561" s="206">
        <f t="shared" ref="X2561:X2566" si="1583">IF(AND($V2561&gt;0,$I2561=1),P2561/$E2561*$V2561,0)</f>
        <v>0</v>
      </c>
      <c r="Y2561" s="209">
        <f t="shared" ref="Y2561:Y2566" si="1584">IF(AND($V2561&gt;0,$I2561&lt;&gt;1),Q2561/$E2561*$V2561,0)</f>
        <v>0</v>
      </c>
    </row>
    <row r="2562" spans="2:25" ht="16.5" hidden="1" thickTop="1" thickBot="1" x14ac:dyDescent="0.3">
      <c r="B2562" s="60">
        <f>B2561</f>
        <v>36</v>
      </c>
      <c r="C2562" s="102">
        <v>247</v>
      </c>
      <c r="D2562" s="192" t="str">
        <f t="shared" si="1553"/>
        <v>VIII</v>
      </c>
      <c r="E2562" s="62"/>
      <c r="F2562" s="105"/>
      <c r="G2562" s="105"/>
      <c r="H2562" s="61"/>
      <c r="I2562" s="61"/>
      <c r="J2562" s="62"/>
      <c r="K2562" s="63"/>
      <c r="L2562" s="61"/>
      <c r="M2562" s="61"/>
      <c r="N2562" s="111"/>
      <c r="O2562" s="112"/>
      <c r="P2562" s="113"/>
      <c r="Q2562" s="114"/>
      <c r="R2562" s="64"/>
      <c r="S2562" s="108"/>
      <c r="T2562" s="203">
        <f t="shared" si="1551"/>
        <v>43647</v>
      </c>
      <c r="U2562" s="204">
        <f t="shared" si="1552"/>
        <v>43677</v>
      </c>
      <c r="V2562" s="207">
        <f t="shared" ref="V2562:V2567" si="1585">IF(G2562-F2562+1-IF(G2562-U2562&gt;0,G2562-U2562,0)-IF(T2562-F2562&gt;0,T2562-F2562,0)&gt;0,G2562-F2562+1-IF(G2562-U2562&gt;0,G2562-U2562,0)-IF(T2562-F2562&gt;0,T2562-F2562,0),0)</f>
        <v>0</v>
      </c>
      <c r="W2562" s="206" t="str">
        <f t="shared" si="1582"/>
        <v/>
      </c>
      <c r="X2562" s="206">
        <f t="shared" si="1583"/>
        <v>0</v>
      </c>
      <c r="Y2562" s="209">
        <f t="shared" si="1584"/>
        <v>0</v>
      </c>
    </row>
    <row r="2563" spans="2:25" ht="16.5" hidden="1" thickTop="1" thickBot="1" x14ac:dyDescent="0.3">
      <c r="B2563" s="60">
        <f>B2561</f>
        <v>36</v>
      </c>
      <c r="C2563" s="102">
        <v>248</v>
      </c>
      <c r="D2563" s="192" t="str">
        <f t="shared" si="1553"/>
        <v>VIII</v>
      </c>
      <c r="E2563" s="62"/>
      <c r="F2563" s="105"/>
      <c r="G2563" s="105"/>
      <c r="H2563" s="61"/>
      <c r="I2563" s="61"/>
      <c r="J2563" s="62"/>
      <c r="K2563" s="63"/>
      <c r="L2563" s="61"/>
      <c r="M2563" s="61"/>
      <c r="N2563" s="111"/>
      <c r="O2563" s="112"/>
      <c r="P2563" s="113"/>
      <c r="Q2563" s="114"/>
      <c r="R2563" s="64"/>
      <c r="S2563" s="108"/>
      <c r="T2563" s="203">
        <f t="shared" si="1551"/>
        <v>43647</v>
      </c>
      <c r="U2563" s="204">
        <f t="shared" si="1552"/>
        <v>43677</v>
      </c>
      <c r="V2563" s="207">
        <f t="shared" si="1585"/>
        <v>0</v>
      </c>
      <c r="W2563" s="206" t="str">
        <f t="shared" si="1582"/>
        <v/>
      </c>
      <c r="X2563" s="206">
        <f t="shared" si="1583"/>
        <v>0</v>
      </c>
      <c r="Y2563" s="209">
        <f t="shared" si="1584"/>
        <v>0</v>
      </c>
    </row>
    <row r="2564" spans="2:25" ht="16.5" hidden="1" thickTop="1" thickBot="1" x14ac:dyDescent="0.3">
      <c r="B2564" s="60">
        <f>B2561</f>
        <v>36</v>
      </c>
      <c r="C2564" s="102">
        <v>249</v>
      </c>
      <c r="D2564" s="192" t="str">
        <f t="shared" si="1553"/>
        <v>VIII</v>
      </c>
      <c r="E2564" s="62"/>
      <c r="F2564" s="105"/>
      <c r="G2564" s="105"/>
      <c r="H2564" s="61"/>
      <c r="I2564" s="61"/>
      <c r="J2564" s="62"/>
      <c r="K2564" s="63"/>
      <c r="L2564" s="61"/>
      <c r="M2564" s="61"/>
      <c r="N2564" s="111"/>
      <c r="O2564" s="112"/>
      <c r="P2564" s="113"/>
      <c r="Q2564" s="114"/>
      <c r="R2564" s="64"/>
      <c r="S2564" s="108"/>
      <c r="T2564" s="203">
        <f t="shared" si="1551"/>
        <v>43647</v>
      </c>
      <c r="U2564" s="204">
        <f t="shared" si="1552"/>
        <v>43677</v>
      </c>
      <c r="V2564" s="207">
        <f t="shared" si="1585"/>
        <v>0</v>
      </c>
      <c r="W2564" s="206" t="str">
        <f t="shared" si="1582"/>
        <v/>
      </c>
      <c r="X2564" s="206">
        <f t="shared" si="1583"/>
        <v>0</v>
      </c>
      <c r="Y2564" s="209">
        <f t="shared" si="1584"/>
        <v>0</v>
      </c>
    </row>
    <row r="2565" spans="2:25" ht="16.5" hidden="1" thickTop="1" thickBot="1" x14ac:dyDescent="0.3">
      <c r="B2565" s="60">
        <f>B2561</f>
        <v>36</v>
      </c>
      <c r="C2565" s="102">
        <v>250</v>
      </c>
      <c r="D2565" s="192" t="str">
        <f t="shared" si="1553"/>
        <v>VIII</v>
      </c>
      <c r="E2565" s="62"/>
      <c r="F2565" s="105"/>
      <c r="G2565" s="105"/>
      <c r="H2565" s="61"/>
      <c r="I2565" s="61"/>
      <c r="J2565" s="62"/>
      <c r="K2565" s="63"/>
      <c r="L2565" s="61"/>
      <c r="M2565" s="61"/>
      <c r="N2565" s="111"/>
      <c r="O2565" s="112"/>
      <c r="P2565" s="113"/>
      <c r="Q2565" s="114"/>
      <c r="R2565" s="64"/>
      <c r="S2565" s="108"/>
      <c r="T2565" s="203">
        <f t="shared" si="1551"/>
        <v>43647</v>
      </c>
      <c r="U2565" s="204">
        <f t="shared" si="1552"/>
        <v>43677</v>
      </c>
      <c r="V2565" s="207">
        <f t="shared" si="1585"/>
        <v>0</v>
      </c>
      <c r="W2565" s="206" t="str">
        <f t="shared" si="1582"/>
        <v/>
      </c>
      <c r="X2565" s="206">
        <f t="shared" si="1583"/>
        <v>0</v>
      </c>
      <c r="Y2565" s="209">
        <f t="shared" si="1584"/>
        <v>0</v>
      </c>
    </row>
    <row r="2566" spans="2:25" ht="16.5" hidden="1" thickTop="1" thickBot="1" x14ac:dyDescent="0.3">
      <c r="B2566" s="60">
        <f>B2561</f>
        <v>36</v>
      </c>
      <c r="C2566" s="102">
        <v>251</v>
      </c>
      <c r="D2566" s="192" t="str">
        <f t="shared" si="1553"/>
        <v>VIII</v>
      </c>
      <c r="E2566" s="62"/>
      <c r="F2566" s="105"/>
      <c r="G2566" s="105"/>
      <c r="H2566" s="61"/>
      <c r="I2566" s="61"/>
      <c r="J2566" s="62"/>
      <c r="K2566" s="63"/>
      <c r="L2566" s="61"/>
      <c r="M2566" s="61"/>
      <c r="N2566" s="111"/>
      <c r="O2566" s="112"/>
      <c r="P2566" s="113"/>
      <c r="Q2566" s="114"/>
      <c r="R2566" s="64"/>
      <c r="S2566" s="108"/>
      <c r="T2566" s="203">
        <f t="shared" si="1551"/>
        <v>43647</v>
      </c>
      <c r="U2566" s="204">
        <f t="shared" si="1552"/>
        <v>43677</v>
      </c>
      <c r="V2566" s="207">
        <f t="shared" si="1585"/>
        <v>0</v>
      </c>
      <c r="W2566" s="206" t="str">
        <f t="shared" si="1582"/>
        <v/>
      </c>
      <c r="X2566" s="206">
        <f t="shared" si="1583"/>
        <v>0</v>
      </c>
      <c r="Y2566" s="209">
        <f t="shared" si="1584"/>
        <v>0</v>
      </c>
    </row>
    <row r="2567" spans="2:25" ht="16.5" hidden="1" thickTop="1" thickBot="1" x14ac:dyDescent="0.3">
      <c r="B2567" s="141">
        <f>B2561</f>
        <v>36</v>
      </c>
      <c r="C2567" s="142">
        <v>252</v>
      </c>
      <c r="D2567" s="194" t="str">
        <f t="shared" si="1553"/>
        <v>VIII</v>
      </c>
      <c r="E2567" s="143"/>
      <c r="F2567" s="144"/>
      <c r="G2567" s="144"/>
      <c r="H2567" s="145"/>
      <c r="I2567" s="145"/>
      <c r="J2567" s="436" t="s">
        <v>181</v>
      </c>
      <c r="K2567" s="437"/>
      <c r="L2567" s="438"/>
      <c r="M2567" s="145"/>
      <c r="N2567" s="146"/>
      <c r="O2567" s="147"/>
      <c r="P2567" s="148"/>
      <c r="Q2567" s="149"/>
      <c r="R2567" s="150"/>
      <c r="S2567" s="151"/>
      <c r="T2567" s="213">
        <f t="shared" si="1551"/>
        <v>43647</v>
      </c>
      <c r="U2567" s="214">
        <f t="shared" si="1552"/>
        <v>43677</v>
      </c>
      <c r="V2567" s="210">
        <f t="shared" si="1585"/>
        <v>0</v>
      </c>
      <c r="W2567" s="211"/>
      <c r="X2567" s="211">
        <f>IF(AND($V2567&gt;0,$I2567=1),IF($E2567=10,P2567/10,P2567/$V2567),0)</f>
        <v>0</v>
      </c>
      <c r="Y2567" s="212">
        <f>IF(AND($V2561&gt;0,$I2567&lt;&gt;1),Q2567/E2561*V2561,0)</f>
        <v>0</v>
      </c>
    </row>
    <row r="2568" spans="2:25" ht="16.5" hidden="1" thickTop="1" thickBot="1" x14ac:dyDescent="0.3">
      <c r="B2568" s="129">
        <f>B2566+1</f>
        <v>37</v>
      </c>
      <c r="C2568" s="130">
        <v>253</v>
      </c>
      <c r="D2568" s="196" t="str">
        <f t="shared" si="1553"/>
        <v>VIII</v>
      </c>
      <c r="E2568" s="152"/>
      <c r="F2568" s="153"/>
      <c r="G2568" s="153"/>
      <c r="H2568" s="154"/>
      <c r="I2568" s="154"/>
      <c r="J2568" s="152"/>
      <c r="K2568" s="155"/>
      <c r="L2568" s="154"/>
      <c r="M2568" s="154"/>
      <c r="N2568" s="156"/>
      <c r="O2568" s="157"/>
      <c r="P2568" s="158"/>
      <c r="Q2568" s="159"/>
      <c r="R2568" s="160"/>
      <c r="S2568" s="161"/>
      <c r="T2568" s="203">
        <f t="shared" si="1551"/>
        <v>43647</v>
      </c>
      <c r="U2568" s="204">
        <f t="shared" si="1552"/>
        <v>43677</v>
      </c>
      <c r="V2568" s="207">
        <f>IF(G2568-F2568+1-IF(G2568-U2568&gt;0,G2568-U2568,0)-IF(T2568-F2568&gt;0,T2568-F2568,0)&gt;0,G2568-F2568+1-IF(G2568-U2568&gt;0,G2568-U2568,0)-IF(T2568-F2568&gt;0,T2568-F2568,0),0)</f>
        <v>0</v>
      </c>
      <c r="W2568" s="206" t="str">
        <f t="shared" ref="W2568:W2573" si="1586">IF(V2568&gt;0,H2568,"")</f>
        <v/>
      </c>
      <c r="X2568" s="206">
        <f t="shared" ref="X2568:X2573" si="1587">IF(AND($V2568&gt;0,$I2568=1),P2568/$E2568*$V2568,0)</f>
        <v>0</v>
      </c>
      <c r="Y2568" s="209">
        <f t="shared" ref="Y2568:Y2573" si="1588">IF(AND($V2568&gt;0,$I2568&lt;&gt;1),Q2568/$E2568*$V2568,0)</f>
        <v>0</v>
      </c>
    </row>
    <row r="2569" spans="2:25" ht="16.5" hidden="1" thickTop="1" thickBot="1" x14ac:dyDescent="0.3">
      <c r="B2569" s="60">
        <f>B2568</f>
        <v>37</v>
      </c>
      <c r="C2569" s="102">
        <v>254</v>
      </c>
      <c r="D2569" s="192" t="str">
        <f t="shared" si="1553"/>
        <v>VIII</v>
      </c>
      <c r="E2569" s="162"/>
      <c r="F2569" s="163"/>
      <c r="G2569" s="163"/>
      <c r="H2569" s="164"/>
      <c r="I2569" s="164"/>
      <c r="J2569" s="162"/>
      <c r="K2569" s="165"/>
      <c r="L2569" s="164"/>
      <c r="M2569" s="164"/>
      <c r="N2569" s="166"/>
      <c r="O2569" s="167"/>
      <c r="P2569" s="168"/>
      <c r="Q2569" s="169"/>
      <c r="R2569" s="170"/>
      <c r="S2569" s="171"/>
      <c r="T2569" s="203">
        <f t="shared" si="1551"/>
        <v>43647</v>
      </c>
      <c r="U2569" s="204">
        <f t="shared" si="1552"/>
        <v>43677</v>
      </c>
      <c r="V2569" s="207">
        <f t="shared" ref="V2569:V2574" si="1589">IF(G2569-F2569+1-IF(G2569-U2569&gt;0,G2569-U2569,0)-IF(T2569-F2569&gt;0,T2569-F2569,0)&gt;0,G2569-F2569+1-IF(G2569-U2569&gt;0,G2569-U2569,0)-IF(T2569-F2569&gt;0,T2569-F2569,0),0)</f>
        <v>0</v>
      </c>
      <c r="W2569" s="206" t="str">
        <f t="shared" si="1586"/>
        <v/>
      </c>
      <c r="X2569" s="206">
        <f t="shared" si="1587"/>
        <v>0</v>
      </c>
      <c r="Y2569" s="209">
        <f t="shared" si="1588"/>
        <v>0</v>
      </c>
    </row>
    <row r="2570" spans="2:25" ht="16.5" hidden="1" thickTop="1" thickBot="1" x14ac:dyDescent="0.3">
      <c r="B2570" s="60">
        <f>B2568</f>
        <v>37</v>
      </c>
      <c r="C2570" s="102">
        <v>255</v>
      </c>
      <c r="D2570" s="192" t="str">
        <f t="shared" si="1553"/>
        <v>VIII</v>
      </c>
      <c r="E2570" s="162"/>
      <c r="F2570" s="163"/>
      <c r="G2570" s="163"/>
      <c r="H2570" s="164"/>
      <c r="I2570" s="164"/>
      <c r="J2570" s="162"/>
      <c r="K2570" s="165"/>
      <c r="L2570" s="164"/>
      <c r="M2570" s="164"/>
      <c r="N2570" s="166"/>
      <c r="O2570" s="167"/>
      <c r="P2570" s="168"/>
      <c r="Q2570" s="169"/>
      <c r="R2570" s="170"/>
      <c r="S2570" s="171"/>
      <c r="T2570" s="203">
        <f t="shared" si="1551"/>
        <v>43647</v>
      </c>
      <c r="U2570" s="204">
        <f t="shared" si="1552"/>
        <v>43677</v>
      </c>
      <c r="V2570" s="207">
        <f t="shared" si="1589"/>
        <v>0</v>
      </c>
      <c r="W2570" s="206" t="str">
        <f t="shared" si="1586"/>
        <v/>
      </c>
      <c r="X2570" s="206">
        <f t="shared" si="1587"/>
        <v>0</v>
      </c>
      <c r="Y2570" s="209">
        <f t="shared" si="1588"/>
        <v>0</v>
      </c>
    </row>
    <row r="2571" spans="2:25" ht="16.5" hidden="1" thickTop="1" thickBot="1" x14ac:dyDescent="0.3">
      <c r="B2571" s="60">
        <f>B2568</f>
        <v>37</v>
      </c>
      <c r="C2571" s="102">
        <v>256</v>
      </c>
      <c r="D2571" s="192" t="str">
        <f t="shared" si="1553"/>
        <v>VIII</v>
      </c>
      <c r="E2571" s="162"/>
      <c r="F2571" s="163"/>
      <c r="G2571" s="163"/>
      <c r="H2571" s="164"/>
      <c r="I2571" s="164"/>
      <c r="J2571" s="162"/>
      <c r="K2571" s="165"/>
      <c r="L2571" s="164"/>
      <c r="M2571" s="164"/>
      <c r="N2571" s="166"/>
      <c r="O2571" s="167"/>
      <c r="P2571" s="168"/>
      <c r="Q2571" s="169"/>
      <c r="R2571" s="170"/>
      <c r="S2571" s="171"/>
      <c r="T2571" s="203">
        <f t="shared" si="1551"/>
        <v>43647</v>
      </c>
      <c r="U2571" s="204">
        <f t="shared" si="1552"/>
        <v>43677</v>
      </c>
      <c r="V2571" s="207">
        <f t="shared" si="1589"/>
        <v>0</v>
      </c>
      <c r="W2571" s="206" t="str">
        <f t="shared" si="1586"/>
        <v/>
      </c>
      <c r="X2571" s="206">
        <f t="shared" si="1587"/>
        <v>0</v>
      </c>
      <c r="Y2571" s="209">
        <f t="shared" si="1588"/>
        <v>0</v>
      </c>
    </row>
    <row r="2572" spans="2:25" ht="16.5" hidden="1" thickTop="1" thickBot="1" x14ac:dyDescent="0.3">
      <c r="B2572" s="60">
        <f>B2568</f>
        <v>37</v>
      </c>
      <c r="C2572" s="102">
        <v>257</v>
      </c>
      <c r="D2572" s="192" t="str">
        <f t="shared" si="1553"/>
        <v>VIII</v>
      </c>
      <c r="E2572" s="162"/>
      <c r="F2572" s="163"/>
      <c r="G2572" s="163"/>
      <c r="H2572" s="164"/>
      <c r="I2572" s="164"/>
      <c r="J2572" s="162"/>
      <c r="K2572" s="165"/>
      <c r="L2572" s="164"/>
      <c r="M2572" s="164"/>
      <c r="N2572" s="166"/>
      <c r="O2572" s="167"/>
      <c r="P2572" s="168"/>
      <c r="Q2572" s="169"/>
      <c r="R2572" s="170"/>
      <c r="S2572" s="171"/>
      <c r="T2572" s="203">
        <f t="shared" si="1551"/>
        <v>43647</v>
      </c>
      <c r="U2572" s="204">
        <f t="shared" si="1552"/>
        <v>43677</v>
      </c>
      <c r="V2572" s="207">
        <f t="shared" si="1589"/>
        <v>0</v>
      </c>
      <c r="W2572" s="206" t="str">
        <f t="shared" si="1586"/>
        <v/>
      </c>
      <c r="X2572" s="206">
        <f t="shared" si="1587"/>
        <v>0</v>
      </c>
      <c r="Y2572" s="209">
        <f t="shared" si="1588"/>
        <v>0</v>
      </c>
    </row>
    <row r="2573" spans="2:25" ht="16.5" hidden="1" thickTop="1" thickBot="1" x14ac:dyDescent="0.3">
      <c r="B2573" s="60">
        <f>B2568</f>
        <v>37</v>
      </c>
      <c r="C2573" s="102">
        <v>258</v>
      </c>
      <c r="D2573" s="192" t="str">
        <f t="shared" si="1553"/>
        <v>VIII</v>
      </c>
      <c r="E2573" s="172"/>
      <c r="F2573" s="173"/>
      <c r="G2573" s="173"/>
      <c r="H2573" s="174"/>
      <c r="I2573" s="174"/>
      <c r="J2573" s="172"/>
      <c r="K2573" s="175"/>
      <c r="L2573" s="174"/>
      <c r="M2573" s="174"/>
      <c r="N2573" s="176"/>
      <c r="O2573" s="177"/>
      <c r="P2573" s="178"/>
      <c r="Q2573" s="179"/>
      <c r="R2573" s="180"/>
      <c r="S2573" s="181"/>
      <c r="T2573" s="203">
        <f t="shared" ref="T2573:T2636" si="1590">$F$4</f>
        <v>43647</v>
      </c>
      <c r="U2573" s="204">
        <f t="shared" ref="U2573:U2636" si="1591">$G$4</f>
        <v>43677</v>
      </c>
      <c r="V2573" s="207">
        <f t="shared" si="1589"/>
        <v>0</v>
      </c>
      <c r="W2573" s="206" t="str">
        <f t="shared" si="1586"/>
        <v/>
      </c>
      <c r="X2573" s="206">
        <f t="shared" si="1587"/>
        <v>0</v>
      </c>
      <c r="Y2573" s="209">
        <f t="shared" si="1588"/>
        <v>0</v>
      </c>
    </row>
    <row r="2574" spans="2:25" ht="16.5" hidden="1" thickTop="1" thickBot="1" x14ac:dyDescent="0.3">
      <c r="B2574" s="141">
        <f>B2568</f>
        <v>37</v>
      </c>
      <c r="C2574" s="142">
        <v>259</v>
      </c>
      <c r="D2574" s="194" t="str">
        <f t="shared" ref="D2574:D2637" si="1592">D2573</f>
        <v>VIII</v>
      </c>
      <c r="E2574" s="189"/>
      <c r="F2574" s="190"/>
      <c r="G2574" s="190"/>
      <c r="H2574" s="182"/>
      <c r="I2574" s="182"/>
      <c r="J2574" s="436" t="s">
        <v>181</v>
      </c>
      <c r="K2574" s="437"/>
      <c r="L2574" s="438"/>
      <c r="M2574" s="182"/>
      <c r="N2574" s="183"/>
      <c r="O2574" s="184"/>
      <c r="P2574" s="185"/>
      <c r="Q2574" s="186"/>
      <c r="R2574" s="187"/>
      <c r="S2574" s="188"/>
      <c r="T2574" s="213">
        <f t="shared" si="1590"/>
        <v>43647</v>
      </c>
      <c r="U2574" s="214">
        <f t="shared" si="1591"/>
        <v>43677</v>
      </c>
      <c r="V2574" s="210">
        <f t="shared" si="1589"/>
        <v>0</v>
      </c>
      <c r="W2574" s="211"/>
      <c r="X2574" s="211">
        <f>IF(AND($V2574&gt;0,$I2574=1),IF($E2574=10,P2574/10,P2574/$V2574),0)</f>
        <v>0</v>
      </c>
      <c r="Y2574" s="212">
        <f>IF(AND($V2568&gt;0,$I2574&lt;&gt;1),Q2574/E2568*V2568,0)</f>
        <v>0</v>
      </c>
    </row>
    <row r="2575" spans="2:25" ht="30.75" thickTop="1" x14ac:dyDescent="0.25">
      <c r="B2575" s="129">
        <f>B2573+1</f>
        <v>38</v>
      </c>
      <c r="C2575" s="130">
        <v>260</v>
      </c>
      <c r="D2575" s="196" t="str">
        <f t="shared" si="1592"/>
        <v>VIII</v>
      </c>
      <c r="E2575" s="131">
        <v>10</v>
      </c>
      <c r="F2575" s="132">
        <v>43708</v>
      </c>
      <c r="G2575" s="132">
        <v>43717</v>
      </c>
      <c r="H2575" s="133" t="s">
        <v>403</v>
      </c>
      <c r="I2575" s="133">
        <v>1</v>
      </c>
      <c r="J2575" s="131" t="s">
        <v>168</v>
      </c>
      <c r="K2575" s="134" t="s">
        <v>61</v>
      </c>
      <c r="L2575" s="133">
        <v>1.5</v>
      </c>
      <c r="M2575" s="133">
        <v>4</v>
      </c>
      <c r="N2575" s="135">
        <v>67.5</v>
      </c>
      <c r="O2575" s="136">
        <v>67.5</v>
      </c>
      <c r="P2575" s="137">
        <v>67.5</v>
      </c>
      <c r="Q2575" s="138"/>
      <c r="R2575" s="139" t="s">
        <v>4</v>
      </c>
      <c r="S2575" s="140">
        <v>43656</v>
      </c>
      <c r="T2575" s="203">
        <f t="shared" si="1590"/>
        <v>43647</v>
      </c>
      <c r="U2575" s="204">
        <f t="shared" si="1591"/>
        <v>43677</v>
      </c>
      <c r="V2575" s="207">
        <f>IF(G2575-F2575+1-IF(G2575-U2575&gt;0,G2575-U2575,0)-IF(T2575-F2575&gt;0,T2575-F2575,0)&gt;0,G2575-F2575+1-IF(G2575-U2575&gt;0,G2575-U2575,0)-IF(T2575-F2575&gt;0,T2575-F2575,0),0)</f>
        <v>0</v>
      </c>
      <c r="W2575" s="206" t="str">
        <f t="shared" ref="W2575:W2580" si="1593">IF(V2575&gt;0,H2575,"")</f>
        <v/>
      </c>
      <c r="X2575" s="206">
        <f t="shared" ref="X2575:X2580" si="1594">IF(AND($V2575&gt;0,$I2575=1),P2575/$E2575*$V2575,0)</f>
        <v>0</v>
      </c>
      <c r="Y2575" s="209">
        <f t="shared" ref="Y2575:Y2580" si="1595">IF(AND($V2575&gt;0,$I2575&lt;&gt;1),Q2575/$E2575*$V2575,0)</f>
        <v>0</v>
      </c>
    </row>
    <row r="2576" spans="2:25" ht="30" x14ac:dyDescent="0.25">
      <c r="B2576" s="60">
        <f>B2575</f>
        <v>38</v>
      </c>
      <c r="C2576" s="102">
        <v>261</v>
      </c>
      <c r="D2576" s="192" t="str">
        <f t="shared" si="1592"/>
        <v>VIII</v>
      </c>
      <c r="E2576" s="62">
        <v>10</v>
      </c>
      <c r="F2576" s="105">
        <v>43708</v>
      </c>
      <c r="G2576" s="105">
        <v>43717</v>
      </c>
      <c r="H2576" s="61" t="s">
        <v>404</v>
      </c>
      <c r="I2576" s="61">
        <v>1</v>
      </c>
      <c r="J2576" s="62" t="s">
        <v>168</v>
      </c>
      <c r="K2576" s="63" t="s">
        <v>61</v>
      </c>
      <c r="L2576" s="61">
        <v>1.5</v>
      </c>
      <c r="M2576" s="61">
        <v>4</v>
      </c>
      <c r="N2576" s="111">
        <v>67.5</v>
      </c>
      <c r="O2576" s="112">
        <v>67.5</v>
      </c>
      <c r="P2576" s="113">
        <v>67.5</v>
      </c>
      <c r="Q2576" s="114"/>
      <c r="R2576" s="64" t="s">
        <v>4</v>
      </c>
      <c r="S2576" s="108">
        <v>43656</v>
      </c>
      <c r="T2576" s="203">
        <f t="shared" si="1590"/>
        <v>43647</v>
      </c>
      <c r="U2576" s="204">
        <f t="shared" si="1591"/>
        <v>43677</v>
      </c>
      <c r="V2576" s="207">
        <f t="shared" ref="V2576:V2581" si="1596">IF(G2576-F2576+1-IF(G2576-U2576&gt;0,G2576-U2576,0)-IF(T2576-F2576&gt;0,T2576-F2576,0)&gt;0,G2576-F2576+1-IF(G2576-U2576&gt;0,G2576-U2576,0)-IF(T2576-F2576&gt;0,T2576-F2576,0),0)</f>
        <v>0</v>
      </c>
      <c r="W2576" s="206" t="str">
        <f t="shared" si="1593"/>
        <v/>
      </c>
      <c r="X2576" s="206">
        <f t="shared" si="1594"/>
        <v>0</v>
      </c>
      <c r="Y2576" s="209">
        <f t="shared" si="1595"/>
        <v>0</v>
      </c>
    </row>
    <row r="2577" spans="2:25" hidden="1" x14ac:dyDescent="0.25">
      <c r="B2577" s="60">
        <f>B2575</f>
        <v>38</v>
      </c>
      <c r="C2577" s="102">
        <v>262</v>
      </c>
      <c r="D2577" s="192" t="str">
        <f t="shared" si="1592"/>
        <v>VIII</v>
      </c>
      <c r="E2577" s="62">
        <v>10</v>
      </c>
      <c r="F2577" s="105">
        <v>43708</v>
      </c>
      <c r="G2577" s="105">
        <v>43717</v>
      </c>
      <c r="H2577" s="61" t="s">
        <v>405</v>
      </c>
      <c r="I2577" s="61">
        <v>4</v>
      </c>
      <c r="J2577" s="62" t="s">
        <v>171</v>
      </c>
      <c r="K2577" s="63"/>
      <c r="L2577" s="61"/>
      <c r="M2577" s="61"/>
      <c r="N2577" s="111"/>
      <c r="O2577" s="112"/>
      <c r="P2577" s="113"/>
      <c r="Q2577" s="114"/>
      <c r="R2577" s="64" t="s">
        <v>4</v>
      </c>
      <c r="S2577" s="108">
        <v>43656</v>
      </c>
      <c r="T2577" s="203">
        <f t="shared" si="1590"/>
        <v>43647</v>
      </c>
      <c r="U2577" s="204">
        <f t="shared" si="1591"/>
        <v>43677</v>
      </c>
      <c r="V2577" s="207">
        <f t="shared" si="1596"/>
        <v>0</v>
      </c>
      <c r="W2577" s="206" t="str">
        <f t="shared" si="1593"/>
        <v/>
      </c>
      <c r="X2577" s="206">
        <f t="shared" si="1594"/>
        <v>0</v>
      </c>
      <c r="Y2577" s="209">
        <f t="shared" si="1595"/>
        <v>0</v>
      </c>
    </row>
    <row r="2578" spans="2:25" hidden="1" x14ac:dyDescent="0.25">
      <c r="B2578" s="60">
        <f>B2575</f>
        <v>38</v>
      </c>
      <c r="C2578" s="102">
        <v>263</v>
      </c>
      <c r="D2578" s="192" t="str">
        <f t="shared" si="1592"/>
        <v>VIII</v>
      </c>
      <c r="E2578" s="62"/>
      <c r="F2578" s="105"/>
      <c r="G2578" s="105"/>
      <c r="H2578" s="61"/>
      <c r="I2578" s="61"/>
      <c r="J2578" s="62"/>
      <c r="K2578" s="63"/>
      <c r="L2578" s="61"/>
      <c r="M2578" s="61"/>
      <c r="N2578" s="111"/>
      <c r="O2578" s="112"/>
      <c r="P2578" s="113"/>
      <c r="Q2578" s="114"/>
      <c r="R2578" s="64"/>
      <c r="S2578" s="108"/>
      <c r="T2578" s="203">
        <f t="shared" si="1590"/>
        <v>43647</v>
      </c>
      <c r="U2578" s="204">
        <f t="shared" si="1591"/>
        <v>43677</v>
      </c>
      <c r="V2578" s="207">
        <f t="shared" si="1596"/>
        <v>0</v>
      </c>
      <c r="W2578" s="206" t="str">
        <f t="shared" si="1593"/>
        <v/>
      </c>
      <c r="X2578" s="206">
        <f t="shared" si="1594"/>
        <v>0</v>
      </c>
      <c r="Y2578" s="209">
        <f t="shared" si="1595"/>
        <v>0</v>
      </c>
    </row>
    <row r="2579" spans="2:25" hidden="1" x14ac:dyDescent="0.25">
      <c r="B2579" s="60">
        <f>B2575</f>
        <v>38</v>
      </c>
      <c r="C2579" s="102">
        <v>264</v>
      </c>
      <c r="D2579" s="192" t="str">
        <f t="shared" si="1592"/>
        <v>VIII</v>
      </c>
      <c r="E2579" s="62"/>
      <c r="F2579" s="105"/>
      <c r="G2579" s="105"/>
      <c r="H2579" s="61"/>
      <c r="I2579" s="61"/>
      <c r="J2579" s="62"/>
      <c r="K2579" s="63"/>
      <c r="L2579" s="61"/>
      <c r="M2579" s="61"/>
      <c r="N2579" s="111"/>
      <c r="O2579" s="112"/>
      <c r="P2579" s="113"/>
      <c r="Q2579" s="114"/>
      <c r="R2579" s="64"/>
      <c r="S2579" s="108"/>
      <c r="T2579" s="203">
        <f t="shared" si="1590"/>
        <v>43647</v>
      </c>
      <c r="U2579" s="204">
        <f t="shared" si="1591"/>
        <v>43677</v>
      </c>
      <c r="V2579" s="207">
        <f t="shared" si="1596"/>
        <v>0</v>
      </c>
      <c r="W2579" s="206" t="str">
        <f t="shared" si="1593"/>
        <v/>
      </c>
      <c r="X2579" s="206">
        <f t="shared" si="1594"/>
        <v>0</v>
      </c>
      <c r="Y2579" s="209">
        <f t="shared" si="1595"/>
        <v>0</v>
      </c>
    </row>
    <row r="2580" spans="2:25" hidden="1" x14ac:dyDescent="0.25">
      <c r="B2580" s="60">
        <f>B2575</f>
        <v>38</v>
      </c>
      <c r="C2580" s="102">
        <v>265</v>
      </c>
      <c r="D2580" s="192" t="str">
        <f t="shared" si="1592"/>
        <v>VIII</v>
      </c>
      <c r="E2580" s="62"/>
      <c r="F2580" s="105"/>
      <c r="G2580" s="105"/>
      <c r="H2580" s="61"/>
      <c r="I2580" s="61"/>
      <c r="J2580" s="62"/>
      <c r="K2580" s="63"/>
      <c r="L2580" s="61"/>
      <c r="M2580" s="61"/>
      <c r="N2580" s="111"/>
      <c r="O2580" s="112"/>
      <c r="P2580" s="113"/>
      <c r="Q2580" s="114"/>
      <c r="R2580" s="64"/>
      <c r="S2580" s="108"/>
      <c r="T2580" s="203">
        <f t="shared" si="1590"/>
        <v>43647</v>
      </c>
      <c r="U2580" s="204">
        <f t="shared" si="1591"/>
        <v>43677</v>
      </c>
      <c r="V2580" s="207">
        <f t="shared" si="1596"/>
        <v>0</v>
      </c>
      <c r="W2580" s="206" t="str">
        <f t="shared" si="1593"/>
        <v/>
      </c>
      <c r="X2580" s="206">
        <f t="shared" si="1594"/>
        <v>0</v>
      </c>
      <c r="Y2580" s="209">
        <f t="shared" si="1595"/>
        <v>0</v>
      </c>
    </row>
    <row r="2581" spans="2:25" ht="15.75" thickBot="1" x14ac:dyDescent="0.3">
      <c r="B2581" s="141">
        <f>B2575</f>
        <v>38</v>
      </c>
      <c r="C2581" s="142">
        <v>266</v>
      </c>
      <c r="D2581" s="194" t="str">
        <f t="shared" si="1592"/>
        <v>VIII</v>
      </c>
      <c r="E2581" s="143"/>
      <c r="F2581" s="144"/>
      <c r="G2581" s="144"/>
      <c r="H2581" s="145"/>
      <c r="I2581" s="145"/>
      <c r="J2581" s="436" t="s">
        <v>181</v>
      </c>
      <c r="K2581" s="437"/>
      <c r="L2581" s="438"/>
      <c r="M2581" s="145"/>
      <c r="N2581" s="146">
        <v>10</v>
      </c>
      <c r="O2581" s="147">
        <v>10</v>
      </c>
      <c r="P2581" s="148"/>
      <c r="Q2581" s="149">
        <v>10</v>
      </c>
      <c r="R2581" s="150" t="s">
        <v>4</v>
      </c>
      <c r="S2581" s="151">
        <v>43656</v>
      </c>
      <c r="T2581" s="213">
        <f t="shared" si="1590"/>
        <v>43647</v>
      </c>
      <c r="U2581" s="214">
        <f t="shared" si="1591"/>
        <v>43677</v>
      </c>
      <c r="V2581" s="210">
        <f t="shared" si="1596"/>
        <v>0</v>
      </c>
      <c r="W2581" s="211"/>
      <c r="X2581" s="211">
        <f>IF(AND($V2581&gt;0,$I2581=1),IF($E2581=10,P2581/10,P2581/$V2581),0)</f>
        <v>0</v>
      </c>
      <c r="Y2581" s="212">
        <f>IF(AND($V2575&gt;0,$I2581&lt;&gt;1),Q2581/E2575*V2575,0)</f>
        <v>0</v>
      </c>
    </row>
    <row r="2582" spans="2:25" ht="30.75" thickTop="1" x14ac:dyDescent="0.25">
      <c r="B2582" s="129">
        <f>B2580+1</f>
        <v>39</v>
      </c>
      <c r="C2582" s="130">
        <v>267</v>
      </c>
      <c r="D2582" s="196" t="str">
        <f t="shared" si="1592"/>
        <v>VIII</v>
      </c>
      <c r="E2582" s="152">
        <v>10</v>
      </c>
      <c r="F2582" s="153">
        <v>43708</v>
      </c>
      <c r="G2582" s="153">
        <v>43717</v>
      </c>
      <c r="H2582" s="154" t="s">
        <v>399</v>
      </c>
      <c r="I2582" s="154">
        <v>1</v>
      </c>
      <c r="J2582" s="152" t="s">
        <v>168</v>
      </c>
      <c r="K2582" s="155" t="s">
        <v>16</v>
      </c>
      <c r="L2582" s="154">
        <v>1</v>
      </c>
      <c r="M2582" s="154">
        <v>4</v>
      </c>
      <c r="N2582" s="156">
        <v>45</v>
      </c>
      <c r="O2582" s="157">
        <v>45</v>
      </c>
      <c r="P2582" s="158">
        <v>45</v>
      </c>
      <c r="Q2582" s="159"/>
      <c r="R2582" s="160" t="s">
        <v>4</v>
      </c>
      <c r="S2582" s="161">
        <v>43656</v>
      </c>
      <c r="T2582" s="203">
        <f t="shared" si="1590"/>
        <v>43647</v>
      </c>
      <c r="U2582" s="204">
        <f t="shared" si="1591"/>
        <v>43677</v>
      </c>
      <c r="V2582" s="207">
        <f>IF(G2582-F2582+1-IF(G2582-U2582&gt;0,G2582-U2582,0)-IF(T2582-F2582&gt;0,T2582-F2582,0)&gt;0,G2582-F2582+1-IF(G2582-U2582&gt;0,G2582-U2582,0)-IF(T2582-F2582&gt;0,T2582-F2582,0),0)</f>
        <v>0</v>
      </c>
      <c r="W2582" s="206" t="str">
        <f t="shared" ref="W2582:W2587" si="1597">IF(V2582&gt;0,H2582,"")</f>
        <v/>
      </c>
      <c r="X2582" s="206">
        <f t="shared" ref="X2582:X2587" si="1598">IF(AND($V2582&gt;0,$I2582=1),P2582/$E2582*$V2582,0)</f>
        <v>0</v>
      </c>
      <c r="Y2582" s="209">
        <f t="shared" ref="Y2582:Y2587" si="1599">IF(AND($V2582&gt;0,$I2582&lt;&gt;1),Q2582/$E2582*$V2582,0)</f>
        <v>0</v>
      </c>
    </row>
    <row r="2583" spans="2:25" ht="30" x14ac:dyDescent="0.25">
      <c r="B2583" s="60">
        <f>B2582</f>
        <v>39</v>
      </c>
      <c r="C2583" s="102">
        <v>268</v>
      </c>
      <c r="D2583" s="192" t="str">
        <f t="shared" si="1592"/>
        <v>VIII</v>
      </c>
      <c r="E2583" s="162">
        <v>10</v>
      </c>
      <c r="F2583" s="163">
        <v>43708</v>
      </c>
      <c r="G2583" s="163">
        <v>43717</v>
      </c>
      <c r="H2583" s="164" t="s">
        <v>406</v>
      </c>
      <c r="I2583" s="164">
        <v>1</v>
      </c>
      <c r="J2583" s="162" t="s">
        <v>168</v>
      </c>
      <c r="K2583" s="165" t="s">
        <v>16</v>
      </c>
      <c r="L2583" s="164">
        <v>1</v>
      </c>
      <c r="M2583" s="164">
        <v>4</v>
      </c>
      <c r="N2583" s="166">
        <v>45</v>
      </c>
      <c r="O2583" s="167">
        <v>45</v>
      </c>
      <c r="P2583" s="168">
        <v>45</v>
      </c>
      <c r="Q2583" s="169"/>
      <c r="R2583" s="170" t="s">
        <v>4</v>
      </c>
      <c r="S2583" s="171">
        <v>43656</v>
      </c>
      <c r="T2583" s="203">
        <f t="shared" si="1590"/>
        <v>43647</v>
      </c>
      <c r="U2583" s="204">
        <f t="shared" si="1591"/>
        <v>43677</v>
      </c>
      <c r="V2583" s="207">
        <f t="shared" ref="V2583:V2588" si="1600">IF(G2583-F2583+1-IF(G2583-U2583&gt;0,G2583-U2583,0)-IF(T2583-F2583&gt;0,T2583-F2583,0)&gt;0,G2583-F2583+1-IF(G2583-U2583&gt;0,G2583-U2583,0)-IF(T2583-F2583&gt;0,T2583-F2583,0),0)</f>
        <v>0</v>
      </c>
      <c r="W2583" s="206" t="str">
        <f t="shared" si="1597"/>
        <v/>
      </c>
      <c r="X2583" s="206">
        <f t="shared" si="1598"/>
        <v>0</v>
      </c>
      <c r="Y2583" s="209">
        <f t="shared" si="1599"/>
        <v>0</v>
      </c>
    </row>
    <row r="2584" spans="2:25" hidden="1" x14ac:dyDescent="0.25">
      <c r="B2584" s="60">
        <f>B2582</f>
        <v>39</v>
      </c>
      <c r="C2584" s="102">
        <v>269</v>
      </c>
      <c r="D2584" s="192" t="str">
        <f t="shared" si="1592"/>
        <v>VIII</v>
      </c>
      <c r="E2584" s="162"/>
      <c r="F2584" s="163"/>
      <c r="G2584" s="163"/>
      <c r="H2584" s="164"/>
      <c r="I2584" s="164"/>
      <c r="J2584" s="162"/>
      <c r="K2584" s="165"/>
      <c r="L2584" s="164"/>
      <c r="M2584" s="164"/>
      <c r="N2584" s="166"/>
      <c r="O2584" s="167"/>
      <c r="P2584" s="168"/>
      <c r="Q2584" s="169"/>
      <c r="R2584" s="170"/>
      <c r="S2584" s="171"/>
      <c r="T2584" s="203">
        <f t="shared" si="1590"/>
        <v>43647</v>
      </c>
      <c r="U2584" s="204">
        <f t="shared" si="1591"/>
        <v>43677</v>
      </c>
      <c r="V2584" s="207">
        <f t="shared" si="1600"/>
        <v>0</v>
      </c>
      <c r="W2584" s="206" t="str">
        <f t="shared" si="1597"/>
        <v/>
      </c>
      <c r="X2584" s="206">
        <f t="shared" si="1598"/>
        <v>0</v>
      </c>
      <c r="Y2584" s="209">
        <f t="shared" si="1599"/>
        <v>0</v>
      </c>
    </row>
    <row r="2585" spans="2:25" hidden="1" x14ac:dyDescent="0.25">
      <c r="B2585" s="60">
        <f>B2582</f>
        <v>39</v>
      </c>
      <c r="C2585" s="102">
        <v>270</v>
      </c>
      <c r="D2585" s="192" t="str">
        <f t="shared" si="1592"/>
        <v>VIII</v>
      </c>
      <c r="E2585" s="162"/>
      <c r="F2585" s="163"/>
      <c r="G2585" s="163"/>
      <c r="H2585" s="164"/>
      <c r="I2585" s="164"/>
      <c r="J2585" s="162"/>
      <c r="K2585" s="165"/>
      <c r="L2585" s="164"/>
      <c r="M2585" s="164"/>
      <c r="N2585" s="166"/>
      <c r="O2585" s="167"/>
      <c r="P2585" s="168"/>
      <c r="Q2585" s="169"/>
      <c r="R2585" s="170"/>
      <c r="S2585" s="171"/>
      <c r="T2585" s="203">
        <f t="shared" si="1590"/>
        <v>43647</v>
      </c>
      <c r="U2585" s="204">
        <f t="shared" si="1591"/>
        <v>43677</v>
      </c>
      <c r="V2585" s="207">
        <f t="shared" si="1600"/>
        <v>0</v>
      </c>
      <c r="W2585" s="206" t="str">
        <f t="shared" si="1597"/>
        <v/>
      </c>
      <c r="X2585" s="206">
        <f t="shared" si="1598"/>
        <v>0</v>
      </c>
      <c r="Y2585" s="209">
        <f t="shared" si="1599"/>
        <v>0</v>
      </c>
    </row>
    <row r="2586" spans="2:25" hidden="1" x14ac:dyDescent="0.25">
      <c r="B2586" s="60">
        <f>B2582</f>
        <v>39</v>
      </c>
      <c r="C2586" s="102">
        <v>271</v>
      </c>
      <c r="D2586" s="192" t="str">
        <f t="shared" si="1592"/>
        <v>VIII</v>
      </c>
      <c r="E2586" s="162"/>
      <c r="F2586" s="163"/>
      <c r="G2586" s="163"/>
      <c r="H2586" s="164"/>
      <c r="I2586" s="164"/>
      <c r="J2586" s="162"/>
      <c r="K2586" s="165"/>
      <c r="L2586" s="164"/>
      <c r="M2586" s="164"/>
      <c r="N2586" s="166"/>
      <c r="O2586" s="167"/>
      <c r="P2586" s="168"/>
      <c r="Q2586" s="169"/>
      <c r="R2586" s="170"/>
      <c r="S2586" s="171"/>
      <c r="T2586" s="203">
        <f t="shared" si="1590"/>
        <v>43647</v>
      </c>
      <c r="U2586" s="204">
        <f t="shared" si="1591"/>
        <v>43677</v>
      </c>
      <c r="V2586" s="207">
        <f t="shared" si="1600"/>
        <v>0</v>
      </c>
      <c r="W2586" s="206" t="str">
        <f t="shared" si="1597"/>
        <v/>
      </c>
      <c r="X2586" s="206">
        <f t="shared" si="1598"/>
        <v>0</v>
      </c>
      <c r="Y2586" s="209">
        <f t="shared" si="1599"/>
        <v>0</v>
      </c>
    </row>
    <row r="2587" spans="2:25" hidden="1" x14ac:dyDescent="0.25">
      <c r="B2587" s="60">
        <f>B2582</f>
        <v>39</v>
      </c>
      <c r="C2587" s="102">
        <v>272</v>
      </c>
      <c r="D2587" s="192" t="str">
        <f t="shared" si="1592"/>
        <v>VIII</v>
      </c>
      <c r="E2587" s="172"/>
      <c r="F2587" s="173"/>
      <c r="G2587" s="173"/>
      <c r="H2587" s="174"/>
      <c r="I2587" s="174"/>
      <c r="J2587" s="172"/>
      <c r="K2587" s="175"/>
      <c r="L2587" s="174"/>
      <c r="M2587" s="174"/>
      <c r="N2587" s="176"/>
      <c r="O2587" s="177"/>
      <c r="P2587" s="178"/>
      <c r="Q2587" s="179"/>
      <c r="R2587" s="180"/>
      <c r="S2587" s="181"/>
      <c r="T2587" s="203">
        <f t="shared" si="1590"/>
        <v>43647</v>
      </c>
      <c r="U2587" s="204">
        <f t="shared" si="1591"/>
        <v>43677</v>
      </c>
      <c r="V2587" s="207">
        <f t="shared" si="1600"/>
        <v>0</v>
      </c>
      <c r="W2587" s="206" t="str">
        <f t="shared" si="1597"/>
        <v/>
      </c>
      <c r="X2587" s="206">
        <f t="shared" si="1598"/>
        <v>0</v>
      </c>
      <c r="Y2587" s="209">
        <f t="shared" si="1599"/>
        <v>0</v>
      </c>
    </row>
    <row r="2588" spans="2:25" ht="15.75" thickBot="1" x14ac:dyDescent="0.3">
      <c r="B2588" s="141">
        <f>B2582</f>
        <v>39</v>
      </c>
      <c r="C2588" s="142">
        <v>273</v>
      </c>
      <c r="D2588" s="194" t="str">
        <f t="shared" si="1592"/>
        <v>VIII</v>
      </c>
      <c r="E2588" s="189"/>
      <c r="F2588" s="190"/>
      <c r="G2588" s="190"/>
      <c r="H2588" s="182"/>
      <c r="I2588" s="182"/>
      <c r="J2588" s="436" t="s">
        <v>181</v>
      </c>
      <c r="K2588" s="437"/>
      <c r="L2588" s="438"/>
      <c r="M2588" s="182"/>
      <c r="N2588" s="183">
        <v>10</v>
      </c>
      <c r="O2588" s="184">
        <v>10</v>
      </c>
      <c r="P2588" s="185"/>
      <c r="Q2588" s="186">
        <v>10</v>
      </c>
      <c r="R2588" s="187" t="s">
        <v>4</v>
      </c>
      <c r="S2588" s="188">
        <v>43656</v>
      </c>
      <c r="T2588" s="213">
        <f t="shared" si="1590"/>
        <v>43647</v>
      </c>
      <c r="U2588" s="214">
        <f t="shared" si="1591"/>
        <v>43677</v>
      </c>
      <c r="V2588" s="210">
        <f t="shared" si="1600"/>
        <v>0</v>
      </c>
      <c r="W2588" s="211"/>
      <c r="X2588" s="211">
        <f>IF(AND($V2588&gt;0,$I2588=1),IF($E2588=10,P2588/10,P2588/$V2588),0)</f>
        <v>0</v>
      </c>
      <c r="Y2588" s="212">
        <f>IF(AND($V2582&gt;0,$I2588&lt;&gt;1),Q2588/E2582*V2582,0)</f>
        <v>0</v>
      </c>
    </row>
    <row r="2589" spans="2:25" ht="15.75" hidden="1" thickTop="1" x14ac:dyDescent="0.25">
      <c r="B2589" s="129">
        <f>B2587+1</f>
        <v>40</v>
      </c>
      <c r="C2589" s="130">
        <v>274</v>
      </c>
      <c r="D2589" s="196" t="str">
        <f t="shared" si="1592"/>
        <v>VIII</v>
      </c>
      <c r="E2589" s="131"/>
      <c r="F2589" s="132"/>
      <c r="G2589" s="132"/>
      <c r="H2589" s="133"/>
      <c r="I2589" s="133"/>
      <c r="J2589" s="131"/>
      <c r="K2589" s="134"/>
      <c r="L2589" s="133"/>
      <c r="M2589" s="133"/>
      <c r="N2589" s="135"/>
      <c r="O2589" s="136"/>
      <c r="P2589" s="137"/>
      <c r="Q2589" s="138"/>
      <c r="R2589" s="139"/>
      <c r="S2589" s="140"/>
      <c r="T2589" s="203">
        <f t="shared" si="1590"/>
        <v>43647</v>
      </c>
      <c r="U2589" s="204">
        <f t="shared" si="1591"/>
        <v>43677</v>
      </c>
      <c r="V2589" s="207">
        <f>IF(G2589-F2589+1-IF(G2589-U2589&gt;0,G2589-U2589,0)-IF(T2589-F2589&gt;0,T2589-F2589,0)&gt;0,G2589-F2589+1-IF(G2589-U2589&gt;0,G2589-U2589,0)-IF(T2589-F2589&gt;0,T2589-F2589,0),0)</f>
        <v>0</v>
      </c>
      <c r="W2589" s="206" t="str">
        <f t="shared" ref="W2589:W2594" si="1601">IF(V2589&gt;0,H2589,"")</f>
        <v/>
      </c>
      <c r="X2589" s="206">
        <f t="shared" ref="X2589:X2594" si="1602">IF(AND($V2589&gt;0,$I2589=1),P2589/$E2589*$V2589,0)</f>
        <v>0</v>
      </c>
      <c r="Y2589" s="209">
        <f t="shared" ref="Y2589:Y2594" si="1603">IF(AND($V2589&gt;0,$I2589&lt;&gt;1),Q2589/$E2589*$V2589,0)</f>
        <v>0</v>
      </c>
    </row>
    <row r="2590" spans="2:25" ht="15.75" hidden="1" thickTop="1" x14ac:dyDescent="0.25">
      <c r="B2590" s="60">
        <f>B2589</f>
        <v>40</v>
      </c>
      <c r="C2590" s="102">
        <v>275</v>
      </c>
      <c r="D2590" s="192" t="str">
        <f t="shared" si="1592"/>
        <v>VIII</v>
      </c>
      <c r="E2590" s="62"/>
      <c r="F2590" s="105"/>
      <c r="G2590" s="105"/>
      <c r="H2590" s="61"/>
      <c r="I2590" s="61"/>
      <c r="J2590" s="62"/>
      <c r="K2590" s="63"/>
      <c r="L2590" s="61"/>
      <c r="M2590" s="61"/>
      <c r="N2590" s="111"/>
      <c r="O2590" s="112"/>
      <c r="P2590" s="113"/>
      <c r="Q2590" s="114"/>
      <c r="R2590" s="64"/>
      <c r="S2590" s="108"/>
      <c r="T2590" s="203">
        <f t="shared" si="1590"/>
        <v>43647</v>
      </c>
      <c r="U2590" s="204">
        <f t="shared" si="1591"/>
        <v>43677</v>
      </c>
      <c r="V2590" s="207">
        <f t="shared" ref="V2590:V2595" si="1604">IF(G2590-F2590+1-IF(G2590-U2590&gt;0,G2590-U2590,0)-IF(T2590-F2590&gt;0,T2590-F2590,0)&gt;0,G2590-F2590+1-IF(G2590-U2590&gt;0,G2590-U2590,0)-IF(T2590-F2590&gt;0,T2590-F2590,0),0)</f>
        <v>0</v>
      </c>
      <c r="W2590" s="206" t="str">
        <f t="shared" si="1601"/>
        <v/>
      </c>
      <c r="X2590" s="206">
        <f t="shared" si="1602"/>
        <v>0</v>
      </c>
      <c r="Y2590" s="209">
        <f t="shared" si="1603"/>
        <v>0</v>
      </c>
    </row>
    <row r="2591" spans="2:25" ht="15.75" hidden="1" thickTop="1" x14ac:dyDescent="0.25">
      <c r="B2591" s="60">
        <f>B2589</f>
        <v>40</v>
      </c>
      <c r="C2591" s="102">
        <v>276</v>
      </c>
      <c r="D2591" s="192" t="str">
        <f t="shared" si="1592"/>
        <v>VIII</v>
      </c>
      <c r="E2591" s="62"/>
      <c r="F2591" s="105"/>
      <c r="G2591" s="105"/>
      <c r="H2591" s="61"/>
      <c r="I2591" s="61"/>
      <c r="J2591" s="62"/>
      <c r="K2591" s="63"/>
      <c r="L2591" s="61"/>
      <c r="M2591" s="61"/>
      <c r="N2591" s="111"/>
      <c r="O2591" s="112"/>
      <c r="P2591" s="113"/>
      <c r="Q2591" s="114"/>
      <c r="R2591" s="64"/>
      <c r="S2591" s="108"/>
      <c r="T2591" s="203">
        <f t="shared" si="1590"/>
        <v>43647</v>
      </c>
      <c r="U2591" s="204">
        <f t="shared" si="1591"/>
        <v>43677</v>
      </c>
      <c r="V2591" s="207">
        <f t="shared" si="1604"/>
        <v>0</v>
      </c>
      <c r="W2591" s="206" t="str">
        <f t="shared" si="1601"/>
        <v/>
      </c>
      <c r="X2591" s="206">
        <f t="shared" si="1602"/>
        <v>0</v>
      </c>
      <c r="Y2591" s="209">
        <f t="shared" si="1603"/>
        <v>0</v>
      </c>
    </row>
    <row r="2592" spans="2:25" ht="15.75" hidden="1" thickTop="1" x14ac:dyDescent="0.25">
      <c r="B2592" s="60">
        <f>B2589</f>
        <v>40</v>
      </c>
      <c r="C2592" s="102">
        <v>277</v>
      </c>
      <c r="D2592" s="192" t="str">
        <f t="shared" si="1592"/>
        <v>VIII</v>
      </c>
      <c r="E2592" s="62"/>
      <c r="F2592" s="105"/>
      <c r="G2592" s="105"/>
      <c r="H2592" s="61"/>
      <c r="I2592" s="61"/>
      <c r="J2592" s="62"/>
      <c r="K2592" s="63"/>
      <c r="L2592" s="61"/>
      <c r="M2592" s="61"/>
      <c r="N2592" s="111"/>
      <c r="O2592" s="112"/>
      <c r="P2592" s="113"/>
      <c r="Q2592" s="114"/>
      <c r="R2592" s="64"/>
      <c r="S2592" s="108"/>
      <c r="T2592" s="203">
        <f t="shared" si="1590"/>
        <v>43647</v>
      </c>
      <c r="U2592" s="204">
        <f t="shared" si="1591"/>
        <v>43677</v>
      </c>
      <c r="V2592" s="207">
        <f t="shared" si="1604"/>
        <v>0</v>
      </c>
      <c r="W2592" s="206" t="str">
        <f t="shared" si="1601"/>
        <v/>
      </c>
      <c r="X2592" s="206">
        <f t="shared" si="1602"/>
        <v>0</v>
      </c>
      <c r="Y2592" s="209">
        <f t="shared" si="1603"/>
        <v>0</v>
      </c>
    </row>
    <row r="2593" spans="2:25" ht="15.75" hidden="1" thickTop="1" x14ac:dyDescent="0.25">
      <c r="B2593" s="60">
        <f>B2589</f>
        <v>40</v>
      </c>
      <c r="C2593" s="102">
        <v>278</v>
      </c>
      <c r="D2593" s="192" t="str">
        <f t="shared" si="1592"/>
        <v>VIII</v>
      </c>
      <c r="E2593" s="62"/>
      <c r="F2593" s="105"/>
      <c r="G2593" s="105"/>
      <c r="H2593" s="61"/>
      <c r="I2593" s="61"/>
      <c r="J2593" s="62"/>
      <c r="K2593" s="63"/>
      <c r="L2593" s="61"/>
      <c r="M2593" s="61"/>
      <c r="N2593" s="111"/>
      <c r="O2593" s="112"/>
      <c r="P2593" s="113"/>
      <c r="Q2593" s="114"/>
      <c r="R2593" s="64"/>
      <c r="S2593" s="108"/>
      <c r="T2593" s="203">
        <f t="shared" si="1590"/>
        <v>43647</v>
      </c>
      <c r="U2593" s="204">
        <f t="shared" si="1591"/>
        <v>43677</v>
      </c>
      <c r="V2593" s="207">
        <f t="shared" si="1604"/>
        <v>0</v>
      </c>
      <c r="W2593" s="206" t="str">
        <f t="shared" si="1601"/>
        <v/>
      </c>
      <c r="X2593" s="206">
        <f t="shared" si="1602"/>
        <v>0</v>
      </c>
      <c r="Y2593" s="209">
        <f t="shared" si="1603"/>
        <v>0</v>
      </c>
    </row>
    <row r="2594" spans="2:25" ht="15.75" hidden="1" thickTop="1" x14ac:dyDescent="0.25">
      <c r="B2594" s="60">
        <f>B2589</f>
        <v>40</v>
      </c>
      <c r="C2594" s="102">
        <v>279</v>
      </c>
      <c r="D2594" s="192" t="str">
        <f t="shared" si="1592"/>
        <v>VIII</v>
      </c>
      <c r="E2594" s="62"/>
      <c r="F2594" s="105"/>
      <c r="G2594" s="105"/>
      <c r="H2594" s="61"/>
      <c r="I2594" s="61"/>
      <c r="J2594" s="62"/>
      <c r="K2594" s="63"/>
      <c r="L2594" s="61"/>
      <c r="M2594" s="61"/>
      <c r="N2594" s="111"/>
      <c r="O2594" s="112"/>
      <c r="P2594" s="113"/>
      <c r="Q2594" s="114"/>
      <c r="R2594" s="64"/>
      <c r="S2594" s="108"/>
      <c r="T2594" s="203">
        <f t="shared" si="1590"/>
        <v>43647</v>
      </c>
      <c r="U2594" s="204">
        <f t="shared" si="1591"/>
        <v>43677</v>
      </c>
      <c r="V2594" s="207">
        <f t="shared" si="1604"/>
        <v>0</v>
      </c>
      <c r="W2594" s="206" t="str">
        <f t="shared" si="1601"/>
        <v/>
      </c>
      <c r="X2594" s="206">
        <f t="shared" si="1602"/>
        <v>0</v>
      </c>
      <c r="Y2594" s="209">
        <f t="shared" si="1603"/>
        <v>0</v>
      </c>
    </row>
    <row r="2595" spans="2:25" ht="16.5" hidden="1" thickTop="1" thickBot="1" x14ac:dyDescent="0.3">
      <c r="B2595" s="141">
        <f>B2589</f>
        <v>40</v>
      </c>
      <c r="C2595" s="142">
        <v>280</v>
      </c>
      <c r="D2595" s="194" t="str">
        <f t="shared" si="1592"/>
        <v>VIII</v>
      </c>
      <c r="E2595" s="143"/>
      <c r="F2595" s="144"/>
      <c r="G2595" s="144"/>
      <c r="H2595" s="145"/>
      <c r="I2595" s="145"/>
      <c r="J2595" s="436" t="s">
        <v>181</v>
      </c>
      <c r="K2595" s="437"/>
      <c r="L2595" s="438"/>
      <c r="M2595" s="145"/>
      <c r="N2595" s="146"/>
      <c r="O2595" s="147"/>
      <c r="P2595" s="148"/>
      <c r="Q2595" s="149"/>
      <c r="R2595" s="150"/>
      <c r="S2595" s="151"/>
      <c r="T2595" s="213">
        <f t="shared" si="1590"/>
        <v>43647</v>
      </c>
      <c r="U2595" s="214">
        <f t="shared" si="1591"/>
        <v>43677</v>
      </c>
      <c r="V2595" s="210">
        <f t="shared" si="1604"/>
        <v>0</v>
      </c>
      <c r="W2595" s="211"/>
      <c r="X2595" s="211">
        <f>IF(AND($V2595&gt;0,$I2595=1),IF($E2595=10,P2595/10,P2595/$V2595),0)</f>
        <v>0</v>
      </c>
      <c r="Y2595" s="212">
        <f>IF(AND($V2589&gt;0,$I2595&lt;&gt;1),Q2595/E2589*V2589,0)</f>
        <v>0</v>
      </c>
    </row>
    <row r="2596" spans="2:25" ht="15.75" hidden="1" thickTop="1" x14ac:dyDescent="0.25">
      <c r="B2596" s="129">
        <f>B2594+1</f>
        <v>41</v>
      </c>
      <c r="C2596" s="130">
        <v>281</v>
      </c>
      <c r="D2596" s="196" t="str">
        <f t="shared" si="1592"/>
        <v>VIII</v>
      </c>
      <c r="E2596" s="152"/>
      <c r="F2596" s="153"/>
      <c r="G2596" s="153"/>
      <c r="H2596" s="154"/>
      <c r="I2596" s="154"/>
      <c r="J2596" s="152"/>
      <c r="K2596" s="155"/>
      <c r="L2596" s="154"/>
      <c r="M2596" s="154"/>
      <c r="N2596" s="156"/>
      <c r="O2596" s="157"/>
      <c r="P2596" s="158"/>
      <c r="Q2596" s="159"/>
      <c r="R2596" s="160"/>
      <c r="S2596" s="161"/>
      <c r="T2596" s="203">
        <f t="shared" si="1590"/>
        <v>43647</v>
      </c>
      <c r="U2596" s="204">
        <f t="shared" si="1591"/>
        <v>43677</v>
      </c>
      <c r="V2596" s="207">
        <f>IF(G2596-F2596+1-IF(G2596-U2596&gt;0,G2596-U2596,0)-IF(T2596-F2596&gt;0,T2596-F2596,0)&gt;0,G2596-F2596+1-IF(G2596-U2596&gt;0,G2596-U2596,0)-IF(T2596-F2596&gt;0,T2596-F2596,0),0)</f>
        <v>0</v>
      </c>
      <c r="W2596" s="206" t="str">
        <f t="shared" ref="W2596:W2601" si="1605">IF(V2596&gt;0,H2596,"")</f>
        <v/>
      </c>
      <c r="X2596" s="206">
        <f t="shared" ref="X2596:X2601" si="1606">IF(AND($V2596&gt;0,$I2596=1),P2596/$E2596*$V2596,0)</f>
        <v>0</v>
      </c>
      <c r="Y2596" s="209">
        <f t="shared" ref="Y2596:Y2601" si="1607">IF(AND($V2596&gt;0,$I2596&lt;&gt;1),Q2596/$E2596*$V2596,0)</f>
        <v>0</v>
      </c>
    </row>
    <row r="2597" spans="2:25" ht="15.75" hidden="1" thickTop="1" x14ac:dyDescent="0.25">
      <c r="B2597" s="60">
        <f>B2596</f>
        <v>41</v>
      </c>
      <c r="C2597" s="102">
        <v>282</v>
      </c>
      <c r="D2597" s="192" t="str">
        <f t="shared" si="1592"/>
        <v>VIII</v>
      </c>
      <c r="E2597" s="162"/>
      <c r="F2597" s="163"/>
      <c r="G2597" s="163"/>
      <c r="H2597" s="164"/>
      <c r="I2597" s="164"/>
      <c r="J2597" s="162"/>
      <c r="K2597" s="165"/>
      <c r="L2597" s="164"/>
      <c r="M2597" s="164"/>
      <c r="N2597" s="166"/>
      <c r="O2597" s="167"/>
      <c r="P2597" s="168"/>
      <c r="Q2597" s="169"/>
      <c r="R2597" s="170"/>
      <c r="S2597" s="171"/>
      <c r="T2597" s="203">
        <f t="shared" si="1590"/>
        <v>43647</v>
      </c>
      <c r="U2597" s="204">
        <f t="shared" si="1591"/>
        <v>43677</v>
      </c>
      <c r="V2597" s="207">
        <f t="shared" ref="V2597:V2602" si="1608">IF(G2597-F2597+1-IF(G2597-U2597&gt;0,G2597-U2597,0)-IF(T2597-F2597&gt;0,T2597-F2597,0)&gt;0,G2597-F2597+1-IF(G2597-U2597&gt;0,G2597-U2597,0)-IF(T2597-F2597&gt;0,T2597-F2597,0),0)</f>
        <v>0</v>
      </c>
      <c r="W2597" s="206" t="str">
        <f t="shared" si="1605"/>
        <v/>
      </c>
      <c r="X2597" s="206">
        <f t="shared" si="1606"/>
        <v>0</v>
      </c>
      <c r="Y2597" s="209">
        <f t="shared" si="1607"/>
        <v>0</v>
      </c>
    </row>
    <row r="2598" spans="2:25" ht="15.75" hidden="1" thickTop="1" x14ac:dyDescent="0.25">
      <c r="B2598" s="60">
        <f>B2596</f>
        <v>41</v>
      </c>
      <c r="C2598" s="102">
        <v>283</v>
      </c>
      <c r="D2598" s="192" t="str">
        <f t="shared" si="1592"/>
        <v>VIII</v>
      </c>
      <c r="E2598" s="162"/>
      <c r="F2598" s="163"/>
      <c r="G2598" s="163"/>
      <c r="H2598" s="164"/>
      <c r="I2598" s="164"/>
      <c r="J2598" s="162"/>
      <c r="K2598" s="165"/>
      <c r="L2598" s="164"/>
      <c r="M2598" s="164"/>
      <c r="N2598" s="166"/>
      <c r="O2598" s="167"/>
      <c r="P2598" s="168"/>
      <c r="Q2598" s="169"/>
      <c r="R2598" s="170"/>
      <c r="S2598" s="171"/>
      <c r="T2598" s="203">
        <f t="shared" si="1590"/>
        <v>43647</v>
      </c>
      <c r="U2598" s="204">
        <f t="shared" si="1591"/>
        <v>43677</v>
      </c>
      <c r="V2598" s="207">
        <f t="shared" si="1608"/>
        <v>0</v>
      </c>
      <c r="W2598" s="206" t="str">
        <f t="shared" si="1605"/>
        <v/>
      </c>
      <c r="X2598" s="206">
        <f t="shared" si="1606"/>
        <v>0</v>
      </c>
      <c r="Y2598" s="209">
        <f t="shared" si="1607"/>
        <v>0</v>
      </c>
    </row>
    <row r="2599" spans="2:25" ht="15.75" hidden="1" thickTop="1" x14ac:dyDescent="0.25">
      <c r="B2599" s="60">
        <f>B2596</f>
        <v>41</v>
      </c>
      <c r="C2599" s="102">
        <v>284</v>
      </c>
      <c r="D2599" s="192" t="str">
        <f t="shared" si="1592"/>
        <v>VIII</v>
      </c>
      <c r="E2599" s="162"/>
      <c r="F2599" s="163"/>
      <c r="G2599" s="163"/>
      <c r="H2599" s="164"/>
      <c r="I2599" s="164"/>
      <c r="J2599" s="162"/>
      <c r="K2599" s="165"/>
      <c r="L2599" s="164"/>
      <c r="M2599" s="164"/>
      <c r="N2599" s="166"/>
      <c r="O2599" s="167"/>
      <c r="P2599" s="168"/>
      <c r="Q2599" s="169"/>
      <c r="R2599" s="170"/>
      <c r="S2599" s="171"/>
      <c r="T2599" s="203">
        <f t="shared" si="1590"/>
        <v>43647</v>
      </c>
      <c r="U2599" s="204">
        <f t="shared" si="1591"/>
        <v>43677</v>
      </c>
      <c r="V2599" s="207">
        <f t="shared" si="1608"/>
        <v>0</v>
      </c>
      <c r="W2599" s="206" t="str">
        <f t="shared" si="1605"/>
        <v/>
      </c>
      <c r="X2599" s="206">
        <f t="shared" si="1606"/>
        <v>0</v>
      </c>
      <c r="Y2599" s="209">
        <f t="shared" si="1607"/>
        <v>0</v>
      </c>
    </row>
    <row r="2600" spans="2:25" ht="15.75" hidden="1" thickTop="1" x14ac:dyDescent="0.25">
      <c r="B2600" s="60">
        <f>B2596</f>
        <v>41</v>
      </c>
      <c r="C2600" s="102">
        <v>285</v>
      </c>
      <c r="D2600" s="192" t="str">
        <f t="shared" si="1592"/>
        <v>VIII</v>
      </c>
      <c r="E2600" s="162"/>
      <c r="F2600" s="163"/>
      <c r="G2600" s="163"/>
      <c r="H2600" s="164"/>
      <c r="I2600" s="164"/>
      <c r="J2600" s="162"/>
      <c r="K2600" s="165"/>
      <c r="L2600" s="164"/>
      <c r="M2600" s="164"/>
      <c r="N2600" s="166"/>
      <c r="O2600" s="167"/>
      <c r="P2600" s="168"/>
      <c r="Q2600" s="169"/>
      <c r="R2600" s="170"/>
      <c r="S2600" s="171"/>
      <c r="T2600" s="203">
        <f t="shared" si="1590"/>
        <v>43647</v>
      </c>
      <c r="U2600" s="204">
        <f t="shared" si="1591"/>
        <v>43677</v>
      </c>
      <c r="V2600" s="207">
        <f t="shared" si="1608"/>
        <v>0</v>
      </c>
      <c r="W2600" s="206" t="str">
        <f t="shared" si="1605"/>
        <v/>
      </c>
      <c r="X2600" s="206">
        <f t="shared" si="1606"/>
        <v>0</v>
      </c>
      <c r="Y2600" s="209">
        <f t="shared" si="1607"/>
        <v>0</v>
      </c>
    </row>
    <row r="2601" spans="2:25" ht="15.75" hidden="1" thickTop="1" x14ac:dyDescent="0.25">
      <c r="B2601" s="60">
        <f>B2596</f>
        <v>41</v>
      </c>
      <c r="C2601" s="102">
        <v>286</v>
      </c>
      <c r="D2601" s="192" t="str">
        <f t="shared" si="1592"/>
        <v>VIII</v>
      </c>
      <c r="E2601" s="172"/>
      <c r="F2601" s="173"/>
      <c r="G2601" s="173"/>
      <c r="H2601" s="174"/>
      <c r="I2601" s="174"/>
      <c r="J2601" s="172"/>
      <c r="K2601" s="175"/>
      <c r="L2601" s="174"/>
      <c r="M2601" s="174"/>
      <c r="N2601" s="176"/>
      <c r="O2601" s="177"/>
      <c r="P2601" s="178"/>
      <c r="Q2601" s="179"/>
      <c r="R2601" s="180"/>
      <c r="S2601" s="181"/>
      <c r="T2601" s="203">
        <f t="shared" si="1590"/>
        <v>43647</v>
      </c>
      <c r="U2601" s="204">
        <f t="shared" si="1591"/>
        <v>43677</v>
      </c>
      <c r="V2601" s="207">
        <f t="shared" si="1608"/>
        <v>0</v>
      </c>
      <c r="W2601" s="206" t="str">
        <f t="shared" si="1605"/>
        <v/>
      </c>
      <c r="X2601" s="206">
        <f t="shared" si="1606"/>
        <v>0</v>
      </c>
      <c r="Y2601" s="209">
        <f t="shared" si="1607"/>
        <v>0</v>
      </c>
    </row>
    <row r="2602" spans="2:25" ht="16.5" hidden="1" thickTop="1" thickBot="1" x14ac:dyDescent="0.3">
      <c r="B2602" s="141">
        <f>B2596</f>
        <v>41</v>
      </c>
      <c r="C2602" s="142">
        <v>287</v>
      </c>
      <c r="D2602" s="194" t="str">
        <f t="shared" si="1592"/>
        <v>VIII</v>
      </c>
      <c r="E2602" s="189"/>
      <c r="F2602" s="190"/>
      <c r="G2602" s="190"/>
      <c r="H2602" s="182"/>
      <c r="I2602" s="182"/>
      <c r="J2602" s="436" t="s">
        <v>181</v>
      </c>
      <c r="K2602" s="437"/>
      <c r="L2602" s="438"/>
      <c r="M2602" s="182"/>
      <c r="N2602" s="183"/>
      <c r="O2602" s="184"/>
      <c r="P2602" s="185"/>
      <c r="Q2602" s="186"/>
      <c r="R2602" s="187"/>
      <c r="S2602" s="188"/>
      <c r="T2602" s="213">
        <f t="shared" si="1590"/>
        <v>43647</v>
      </c>
      <c r="U2602" s="214">
        <f t="shared" si="1591"/>
        <v>43677</v>
      </c>
      <c r="V2602" s="210">
        <f t="shared" si="1608"/>
        <v>0</v>
      </c>
      <c r="W2602" s="211"/>
      <c r="X2602" s="211">
        <f>IF(AND($V2602&gt;0,$I2602=1),IF($E2602=10,P2602/10,P2602/$V2602),0)</f>
        <v>0</v>
      </c>
      <c r="Y2602" s="212">
        <f>IF(AND($V2596&gt;0,$I2602&lt;&gt;1),Q2602/E2596*V2596,0)</f>
        <v>0</v>
      </c>
    </row>
    <row r="2603" spans="2:25" ht="15.75" hidden="1" thickTop="1" x14ac:dyDescent="0.25">
      <c r="B2603" s="129">
        <f>B2601+1</f>
        <v>42</v>
      </c>
      <c r="C2603" s="130">
        <v>288</v>
      </c>
      <c r="D2603" s="196" t="str">
        <f t="shared" si="1592"/>
        <v>VIII</v>
      </c>
      <c r="E2603" s="131"/>
      <c r="F2603" s="132"/>
      <c r="G2603" s="132"/>
      <c r="H2603" s="133"/>
      <c r="I2603" s="133"/>
      <c r="J2603" s="131"/>
      <c r="K2603" s="134"/>
      <c r="L2603" s="133"/>
      <c r="M2603" s="133"/>
      <c r="N2603" s="135"/>
      <c r="O2603" s="136"/>
      <c r="P2603" s="137"/>
      <c r="Q2603" s="138"/>
      <c r="R2603" s="139"/>
      <c r="S2603" s="140"/>
      <c r="T2603" s="203">
        <f t="shared" si="1590"/>
        <v>43647</v>
      </c>
      <c r="U2603" s="204">
        <f t="shared" si="1591"/>
        <v>43677</v>
      </c>
      <c r="V2603" s="207">
        <f>IF(G2603-F2603+1-IF(G2603-U2603&gt;0,G2603-U2603,0)-IF(T2603-F2603&gt;0,T2603-F2603,0)&gt;0,G2603-F2603+1-IF(G2603-U2603&gt;0,G2603-U2603,0)-IF(T2603-F2603&gt;0,T2603-F2603,0),0)</f>
        <v>0</v>
      </c>
      <c r="W2603" s="206" t="str">
        <f t="shared" ref="W2603:W2608" si="1609">IF(V2603&gt;0,H2603,"")</f>
        <v/>
      </c>
      <c r="X2603" s="206">
        <f t="shared" ref="X2603:X2608" si="1610">IF(AND($V2603&gt;0,$I2603=1),P2603/$E2603*$V2603,0)</f>
        <v>0</v>
      </c>
      <c r="Y2603" s="209">
        <f t="shared" ref="Y2603:Y2608" si="1611">IF(AND($V2603&gt;0,$I2603&lt;&gt;1),Q2603/$E2603*$V2603,0)</f>
        <v>0</v>
      </c>
    </row>
    <row r="2604" spans="2:25" ht="15.75" hidden="1" thickTop="1" x14ac:dyDescent="0.25">
      <c r="B2604" s="60">
        <f>B2603</f>
        <v>42</v>
      </c>
      <c r="C2604" s="102">
        <v>289</v>
      </c>
      <c r="D2604" s="192" t="str">
        <f t="shared" si="1592"/>
        <v>VIII</v>
      </c>
      <c r="E2604" s="62"/>
      <c r="F2604" s="105"/>
      <c r="G2604" s="105"/>
      <c r="H2604" s="61"/>
      <c r="I2604" s="61"/>
      <c r="J2604" s="62"/>
      <c r="K2604" s="63"/>
      <c r="L2604" s="61"/>
      <c r="M2604" s="61"/>
      <c r="N2604" s="111"/>
      <c r="O2604" s="112"/>
      <c r="P2604" s="113"/>
      <c r="Q2604" s="114"/>
      <c r="R2604" s="64"/>
      <c r="S2604" s="108"/>
      <c r="T2604" s="203">
        <f t="shared" si="1590"/>
        <v>43647</v>
      </c>
      <c r="U2604" s="204">
        <f t="shared" si="1591"/>
        <v>43677</v>
      </c>
      <c r="V2604" s="207">
        <f t="shared" ref="V2604:V2609" si="1612">IF(G2604-F2604+1-IF(G2604-U2604&gt;0,G2604-U2604,0)-IF(T2604-F2604&gt;0,T2604-F2604,0)&gt;0,G2604-F2604+1-IF(G2604-U2604&gt;0,G2604-U2604,0)-IF(T2604-F2604&gt;0,T2604-F2604,0),0)</f>
        <v>0</v>
      </c>
      <c r="W2604" s="206" t="str">
        <f t="shared" si="1609"/>
        <v/>
      </c>
      <c r="X2604" s="206">
        <f t="shared" si="1610"/>
        <v>0</v>
      </c>
      <c r="Y2604" s="209">
        <f t="shared" si="1611"/>
        <v>0</v>
      </c>
    </row>
    <row r="2605" spans="2:25" ht="15.75" hidden="1" thickTop="1" x14ac:dyDescent="0.25">
      <c r="B2605" s="60">
        <f>B2603</f>
        <v>42</v>
      </c>
      <c r="C2605" s="102">
        <v>290</v>
      </c>
      <c r="D2605" s="192" t="str">
        <f t="shared" si="1592"/>
        <v>VIII</v>
      </c>
      <c r="E2605" s="62"/>
      <c r="F2605" s="105"/>
      <c r="G2605" s="105"/>
      <c r="H2605" s="61"/>
      <c r="I2605" s="61"/>
      <c r="J2605" s="62"/>
      <c r="K2605" s="63"/>
      <c r="L2605" s="61"/>
      <c r="M2605" s="61"/>
      <c r="N2605" s="111"/>
      <c r="O2605" s="112"/>
      <c r="P2605" s="113"/>
      <c r="Q2605" s="114"/>
      <c r="R2605" s="64"/>
      <c r="S2605" s="108"/>
      <c r="T2605" s="203">
        <f t="shared" si="1590"/>
        <v>43647</v>
      </c>
      <c r="U2605" s="204">
        <f t="shared" si="1591"/>
        <v>43677</v>
      </c>
      <c r="V2605" s="207">
        <f t="shared" si="1612"/>
        <v>0</v>
      </c>
      <c r="W2605" s="206" t="str">
        <f t="shared" si="1609"/>
        <v/>
      </c>
      <c r="X2605" s="206">
        <f t="shared" si="1610"/>
        <v>0</v>
      </c>
      <c r="Y2605" s="209">
        <f t="shared" si="1611"/>
        <v>0</v>
      </c>
    </row>
    <row r="2606" spans="2:25" ht="15.75" hidden="1" thickTop="1" x14ac:dyDescent="0.25">
      <c r="B2606" s="60">
        <f>B2603</f>
        <v>42</v>
      </c>
      <c r="C2606" s="102">
        <v>291</v>
      </c>
      <c r="D2606" s="192" t="str">
        <f t="shared" si="1592"/>
        <v>VIII</v>
      </c>
      <c r="E2606" s="62"/>
      <c r="F2606" s="105"/>
      <c r="G2606" s="105"/>
      <c r="H2606" s="61"/>
      <c r="I2606" s="61"/>
      <c r="J2606" s="62"/>
      <c r="K2606" s="63"/>
      <c r="L2606" s="61"/>
      <c r="M2606" s="61"/>
      <c r="N2606" s="111"/>
      <c r="O2606" s="112"/>
      <c r="P2606" s="113"/>
      <c r="Q2606" s="114"/>
      <c r="R2606" s="64"/>
      <c r="S2606" s="108"/>
      <c r="T2606" s="203">
        <f t="shared" si="1590"/>
        <v>43647</v>
      </c>
      <c r="U2606" s="204">
        <f t="shared" si="1591"/>
        <v>43677</v>
      </c>
      <c r="V2606" s="207">
        <f t="shared" si="1612"/>
        <v>0</v>
      </c>
      <c r="W2606" s="206" t="str">
        <f t="shared" si="1609"/>
        <v/>
      </c>
      <c r="X2606" s="206">
        <f t="shared" si="1610"/>
        <v>0</v>
      </c>
      <c r="Y2606" s="209">
        <f t="shared" si="1611"/>
        <v>0</v>
      </c>
    </row>
    <row r="2607" spans="2:25" ht="15.75" hidden="1" thickTop="1" x14ac:dyDescent="0.25">
      <c r="B2607" s="60">
        <f>B2603</f>
        <v>42</v>
      </c>
      <c r="C2607" s="102">
        <v>292</v>
      </c>
      <c r="D2607" s="192" t="str">
        <f t="shared" si="1592"/>
        <v>VIII</v>
      </c>
      <c r="E2607" s="62"/>
      <c r="F2607" s="105"/>
      <c r="G2607" s="105"/>
      <c r="H2607" s="61"/>
      <c r="I2607" s="61"/>
      <c r="J2607" s="62"/>
      <c r="K2607" s="63"/>
      <c r="L2607" s="61"/>
      <c r="M2607" s="61"/>
      <c r="N2607" s="111"/>
      <c r="O2607" s="112"/>
      <c r="P2607" s="113"/>
      <c r="Q2607" s="114"/>
      <c r="R2607" s="64"/>
      <c r="S2607" s="108"/>
      <c r="T2607" s="203">
        <f t="shared" si="1590"/>
        <v>43647</v>
      </c>
      <c r="U2607" s="204">
        <f t="shared" si="1591"/>
        <v>43677</v>
      </c>
      <c r="V2607" s="207">
        <f t="shared" si="1612"/>
        <v>0</v>
      </c>
      <c r="W2607" s="206" t="str">
        <f t="shared" si="1609"/>
        <v/>
      </c>
      <c r="X2607" s="206">
        <f t="shared" si="1610"/>
        <v>0</v>
      </c>
      <c r="Y2607" s="209">
        <f t="shared" si="1611"/>
        <v>0</v>
      </c>
    </row>
    <row r="2608" spans="2:25" ht="15.75" hidden="1" thickTop="1" x14ac:dyDescent="0.25">
      <c r="B2608" s="60">
        <f>B2603</f>
        <v>42</v>
      </c>
      <c r="C2608" s="102">
        <v>293</v>
      </c>
      <c r="D2608" s="192" t="str">
        <f t="shared" si="1592"/>
        <v>VIII</v>
      </c>
      <c r="E2608" s="62"/>
      <c r="F2608" s="105"/>
      <c r="G2608" s="105"/>
      <c r="H2608" s="61"/>
      <c r="I2608" s="61"/>
      <c r="J2608" s="62"/>
      <c r="K2608" s="63"/>
      <c r="L2608" s="61"/>
      <c r="M2608" s="61"/>
      <c r="N2608" s="111"/>
      <c r="O2608" s="112"/>
      <c r="P2608" s="113"/>
      <c r="Q2608" s="114"/>
      <c r="R2608" s="64"/>
      <c r="S2608" s="108"/>
      <c r="T2608" s="203">
        <f t="shared" si="1590"/>
        <v>43647</v>
      </c>
      <c r="U2608" s="204">
        <f t="shared" si="1591"/>
        <v>43677</v>
      </c>
      <c r="V2608" s="207">
        <f t="shared" si="1612"/>
        <v>0</v>
      </c>
      <c r="W2608" s="206" t="str">
        <f t="shared" si="1609"/>
        <v/>
      </c>
      <c r="X2608" s="206">
        <f t="shared" si="1610"/>
        <v>0</v>
      </c>
      <c r="Y2608" s="209">
        <f t="shared" si="1611"/>
        <v>0</v>
      </c>
    </row>
    <row r="2609" spans="2:25" ht="16.5" hidden="1" thickTop="1" thickBot="1" x14ac:dyDescent="0.3">
      <c r="B2609" s="141">
        <f>B2603</f>
        <v>42</v>
      </c>
      <c r="C2609" s="142">
        <v>294</v>
      </c>
      <c r="D2609" s="194" t="str">
        <f t="shared" si="1592"/>
        <v>VIII</v>
      </c>
      <c r="E2609" s="143"/>
      <c r="F2609" s="144"/>
      <c r="G2609" s="144"/>
      <c r="H2609" s="145"/>
      <c r="I2609" s="145"/>
      <c r="J2609" s="436" t="s">
        <v>181</v>
      </c>
      <c r="K2609" s="437"/>
      <c r="L2609" s="438"/>
      <c r="M2609" s="145"/>
      <c r="N2609" s="146"/>
      <c r="O2609" s="147"/>
      <c r="P2609" s="148"/>
      <c r="Q2609" s="149"/>
      <c r="R2609" s="150"/>
      <c r="S2609" s="151"/>
      <c r="T2609" s="213">
        <f t="shared" si="1590"/>
        <v>43647</v>
      </c>
      <c r="U2609" s="214">
        <f t="shared" si="1591"/>
        <v>43677</v>
      </c>
      <c r="V2609" s="210">
        <f t="shared" si="1612"/>
        <v>0</v>
      </c>
      <c r="W2609" s="211"/>
      <c r="X2609" s="211">
        <f>IF(AND($V2609&gt;0,$I2609=1),IF($E2609=10,P2609/10,P2609/$V2609),0)</f>
        <v>0</v>
      </c>
      <c r="Y2609" s="212">
        <f>IF(AND($V2603&gt;0,$I2609&lt;&gt;1),Q2609/E2603*V2603,0)</f>
        <v>0</v>
      </c>
    </row>
    <row r="2610" spans="2:25" ht="15.75" hidden="1" thickTop="1" x14ac:dyDescent="0.25">
      <c r="B2610" s="129">
        <f>B2608+1</f>
        <v>43</v>
      </c>
      <c r="C2610" s="130">
        <v>295</v>
      </c>
      <c r="D2610" s="196" t="str">
        <f t="shared" si="1592"/>
        <v>VIII</v>
      </c>
      <c r="E2610" s="152"/>
      <c r="F2610" s="153"/>
      <c r="G2610" s="153"/>
      <c r="H2610" s="154"/>
      <c r="I2610" s="154"/>
      <c r="J2610" s="152"/>
      <c r="K2610" s="155"/>
      <c r="L2610" s="154"/>
      <c r="M2610" s="154"/>
      <c r="N2610" s="156"/>
      <c r="O2610" s="157"/>
      <c r="P2610" s="158"/>
      <c r="Q2610" s="159"/>
      <c r="R2610" s="160"/>
      <c r="S2610" s="161"/>
      <c r="T2610" s="203">
        <f t="shared" si="1590"/>
        <v>43647</v>
      </c>
      <c r="U2610" s="204">
        <f t="shared" si="1591"/>
        <v>43677</v>
      </c>
      <c r="V2610" s="207">
        <f>IF(G2610-F2610+1-IF(G2610-U2610&gt;0,G2610-U2610,0)-IF(T2610-F2610&gt;0,T2610-F2610,0)&gt;0,G2610-F2610+1-IF(G2610-U2610&gt;0,G2610-U2610,0)-IF(T2610-F2610&gt;0,T2610-F2610,0),0)</f>
        <v>0</v>
      </c>
      <c r="W2610" s="206" t="str">
        <f t="shared" ref="W2610:W2615" si="1613">IF(V2610&gt;0,H2610,"")</f>
        <v/>
      </c>
      <c r="X2610" s="206">
        <f t="shared" ref="X2610:X2615" si="1614">IF(AND($V2610&gt;0,$I2610=1),P2610/$E2610*$V2610,0)</f>
        <v>0</v>
      </c>
      <c r="Y2610" s="209">
        <f t="shared" ref="Y2610:Y2615" si="1615">IF(AND($V2610&gt;0,$I2610&lt;&gt;1),Q2610/$E2610*$V2610,0)</f>
        <v>0</v>
      </c>
    </row>
    <row r="2611" spans="2:25" ht="15.75" hidden="1" thickTop="1" x14ac:dyDescent="0.25">
      <c r="B2611" s="60">
        <f>B2610</f>
        <v>43</v>
      </c>
      <c r="C2611" s="102">
        <v>296</v>
      </c>
      <c r="D2611" s="192" t="str">
        <f t="shared" si="1592"/>
        <v>VIII</v>
      </c>
      <c r="E2611" s="162"/>
      <c r="F2611" s="163"/>
      <c r="G2611" s="163"/>
      <c r="H2611" s="164"/>
      <c r="I2611" s="164"/>
      <c r="J2611" s="162"/>
      <c r="K2611" s="165"/>
      <c r="L2611" s="164"/>
      <c r="M2611" s="164"/>
      <c r="N2611" s="166"/>
      <c r="O2611" s="167"/>
      <c r="P2611" s="168"/>
      <c r="Q2611" s="169"/>
      <c r="R2611" s="170"/>
      <c r="S2611" s="171"/>
      <c r="T2611" s="203">
        <f t="shared" si="1590"/>
        <v>43647</v>
      </c>
      <c r="U2611" s="204">
        <f t="shared" si="1591"/>
        <v>43677</v>
      </c>
      <c r="V2611" s="207">
        <f t="shared" ref="V2611:V2616" si="1616">IF(G2611-F2611+1-IF(G2611-U2611&gt;0,G2611-U2611,0)-IF(T2611-F2611&gt;0,T2611-F2611,0)&gt;0,G2611-F2611+1-IF(G2611-U2611&gt;0,G2611-U2611,0)-IF(T2611-F2611&gt;0,T2611-F2611,0),0)</f>
        <v>0</v>
      </c>
      <c r="W2611" s="206" t="str">
        <f t="shared" si="1613"/>
        <v/>
      </c>
      <c r="X2611" s="206">
        <f t="shared" si="1614"/>
        <v>0</v>
      </c>
      <c r="Y2611" s="209">
        <f t="shared" si="1615"/>
        <v>0</v>
      </c>
    </row>
    <row r="2612" spans="2:25" ht="15.75" hidden="1" thickTop="1" x14ac:dyDescent="0.25">
      <c r="B2612" s="60">
        <f>B2610</f>
        <v>43</v>
      </c>
      <c r="C2612" s="102">
        <v>297</v>
      </c>
      <c r="D2612" s="192" t="str">
        <f t="shared" si="1592"/>
        <v>VIII</v>
      </c>
      <c r="E2612" s="162"/>
      <c r="F2612" s="163"/>
      <c r="G2612" s="163"/>
      <c r="H2612" s="164"/>
      <c r="I2612" s="164"/>
      <c r="J2612" s="162"/>
      <c r="K2612" s="165"/>
      <c r="L2612" s="164"/>
      <c r="M2612" s="164"/>
      <c r="N2612" s="166"/>
      <c r="O2612" s="167"/>
      <c r="P2612" s="168"/>
      <c r="Q2612" s="169"/>
      <c r="R2612" s="170"/>
      <c r="S2612" s="171"/>
      <c r="T2612" s="203">
        <f t="shared" si="1590"/>
        <v>43647</v>
      </c>
      <c r="U2612" s="204">
        <f t="shared" si="1591"/>
        <v>43677</v>
      </c>
      <c r="V2612" s="207">
        <f t="shared" si="1616"/>
        <v>0</v>
      </c>
      <c r="W2612" s="206" t="str">
        <f t="shared" si="1613"/>
        <v/>
      </c>
      <c r="X2612" s="206">
        <f t="shared" si="1614"/>
        <v>0</v>
      </c>
      <c r="Y2612" s="209">
        <f t="shared" si="1615"/>
        <v>0</v>
      </c>
    </row>
    <row r="2613" spans="2:25" ht="15.75" hidden="1" thickTop="1" x14ac:dyDescent="0.25">
      <c r="B2613" s="60">
        <f>B2610</f>
        <v>43</v>
      </c>
      <c r="C2613" s="102">
        <v>298</v>
      </c>
      <c r="D2613" s="192" t="str">
        <f t="shared" si="1592"/>
        <v>VIII</v>
      </c>
      <c r="E2613" s="162"/>
      <c r="F2613" s="163"/>
      <c r="G2613" s="163"/>
      <c r="H2613" s="164"/>
      <c r="I2613" s="164"/>
      <c r="J2613" s="162"/>
      <c r="K2613" s="165"/>
      <c r="L2613" s="164"/>
      <c r="M2613" s="164"/>
      <c r="N2613" s="166"/>
      <c r="O2613" s="167"/>
      <c r="P2613" s="168"/>
      <c r="Q2613" s="169"/>
      <c r="R2613" s="170"/>
      <c r="S2613" s="171"/>
      <c r="T2613" s="203">
        <f t="shared" si="1590"/>
        <v>43647</v>
      </c>
      <c r="U2613" s="204">
        <f t="shared" si="1591"/>
        <v>43677</v>
      </c>
      <c r="V2613" s="207">
        <f t="shared" si="1616"/>
        <v>0</v>
      </c>
      <c r="W2613" s="206" t="str">
        <f t="shared" si="1613"/>
        <v/>
      </c>
      <c r="X2613" s="206">
        <f t="shared" si="1614"/>
        <v>0</v>
      </c>
      <c r="Y2613" s="209">
        <f t="shared" si="1615"/>
        <v>0</v>
      </c>
    </row>
    <row r="2614" spans="2:25" ht="15.75" hidden="1" thickTop="1" x14ac:dyDescent="0.25">
      <c r="B2614" s="60">
        <f>B2610</f>
        <v>43</v>
      </c>
      <c r="C2614" s="102">
        <v>299</v>
      </c>
      <c r="D2614" s="192" t="str">
        <f t="shared" si="1592"/>
        <v>VIII</v>
      </c>
      <c r="E2614" s="162"/>
      <c r="F2614" s="163"/>
      <c r="G2614" s="163"/>
      <c r="H2614" s="164"/>
      <c r="I2614" s="164"/>
      <c r="J2614" s="162"/>
      <c r="K2614" s="165"/>
      <c r="L2614" s="164"/>
      <c r="M2614" s="164"/>
      <c r="N2614" s="166"/>
      <c r="O2614" s="167"/>
      <c r="P2614" s="168"/>
      <c r="Q2614" s="169"/>
      <c r="R2614" s="170"/>
      <c r="S2614" s="171"/>
      <c r="T2614" s="203">
        <f t="shared" si="1590"/>
        <v>43647</v>
      </c>
      <c r="U2614" s="204">
        <f t="shared" si="1591"/>
        <v>43677</v>
      </c>
      <c r="V2614" s="207">
        <f t="shared" si="1616"/>
        <v>0</v>
      </c>
      <c r="W2614" s="206" t="str">
        <f t="shared" si="1613"/>
        <v/>
      </c>
      <c r="X2614" s="206">
        <f t="shared" si="1614"/>
        <v>0</v>
      </c>
      <c r="Y2614" s="209">
        <f t="shared" si="1615"/>
        <v>0</v>
      </c>
    </row>
    <row r="2615" spans="2:25" ht="15.75" hidden="1" thickTop="1" x14ac:dyDescent="0.25">
      <c r="B2615" s="60">
        <f>B2610</f>
        <v>43</v>
      </c>
      <c r="C2615" s="102">
        <v>300</v>
      </c>
      <c r="D2615" s="192" t="str">
        <f t="shared" si="1592"/>
        <v>VIII</v>
      </c>
      <c r="E2615" s="172"/>
      <c r="F2615" s="173"/>
      <c r="G2615" s="173"/>
      <c r="H2615" s="174"/>
      <c r="I2615" s="174"/>
      <c r="J2615" s="172"/>
      <c r="K2615" s="175"/>
      <c r="L2615" s="174"/>
      <c r="M2615" s="174"/>
      <c r="N2615" s="176"/>
      <c r="O2615" s="177"/>
      <c r="P2615" s="178"/>
      <c r="Q2615" s="179"/>
      <c r="R2615" s="180"/>
      <c r="S2615" s="181"/>
      <c r="T2615" s="203">
        <f t="shared" si="1590"/>
        <v>43647</v>
      </c>
      <c r="U2615" s="204">
        <f t="shared" si="1591"/>
        <v>43677</v>
      </c>
      <c r="V2615" s="207">
        <f t="shared" si="1616"/>
        <v>0</v>
      </c>
      <c r="W2615" s="206" t="str">
        <f t="shared" si="1613"/>
        <v/>
      </c>
      <c r="X2615" s="206">
        <f t="shared" si="1614"/>
        <v>0</v>
      </c>
      <c r="Y2615" s="209">
        <f t="shared" si="1615"/>
        <v>0</v>
      </c>
    </row>
    <row r="2616" spans="2:25" ht="16.5" hidden="1" thickTop="1" thickBot="1" x14ac:dyDescent="0.3">
      <c r="B2616" s="141">
        <f>B2610</f>
        <v>43</v>
      </c>
      <c r="C2616" s="142">
        <v>301</v>
      </c>
      <c r="D2616" s="194" t="str">
        <f t="shared" si="1592"/>
        <v>VIII</v>
      </c>
      <c r="E2616" s="189"/>
      <c r="F2616" s="190"/>
      <c r="G2616" s="190"/>
      <c r="H2616" s="182"/>
      <c r="I2616" s="182"/>
      <c r="J2616" s="436" t="s">
        <v>181</v>
      </c>
      <c r="K2616" s="437"/>
      <c r="L2616" s="438"/>
      <c r="M2616" s="182"/>
      <c r="N2616" s="183"/>
      <c r="O2616" s="184"/>
      <c r="P2616" s="185"/>
      <c r="Q2616" s="186"/>
      <c r="R2616" s="187"/>
      <c r="S2616" s="188"/>
      <c r="T2616" s="213">
        <f t="shared" si="1590"/>
        <v>43647</v>
      </c>
      <c r="U2616" s="214">
        <f t="shared" si="1591"/>
        <v>43677</v>
      </c>
      <c r="V2616" s="210">
        <f t="shared" si="1616"/>
        <v>0</v>
      </c>
      <c r="W2616" s="211"/>
      <c r="X2616" s="211">
        <f>IF(AND($V2616&gt;0,$I2616=1),IF($E2616=10,P2616/10,P2616/$V2616),0)</f>
        <v>0</v>
      </c>
      <c r="Y2616" s="212">
        <f>IF(AND($V2610&gt;0,$I2616&lt;&gt;1),Q2616/E2610*V2610,0)</f>
        <v>0</v>
      </c>
    </row>
    <row r="2617" spans="2:25" ht="15.75" hidden="1" thickTop="1" x14ac:dyDescent="0.25">
      <c r="B2617" s="129">
        <f>B2615+1</f>
        <v>44</v>
      </c>
      <c r="C2617" s="130">
        <v>302</v>
      </c>
      <c r="D2617" s="196" t="str">
        <f t="shared" si="1592"/>
        <v>VIII</v>
      </c>
      <c r="E2617" s="131"/>
      <c r="F2617" s="132"/>
      <c r="G2617" s="132"/>
      <c r="H2617" s="133"/>
      <c r="I2617" s="133"/>
      <c r="J2617" s="131"/>
      <c r="K2617" s="134"/>
      <c r="L2617" s="133"/>
      <c r="M2617" s="133"/>
      <c r="N2617" s="135"/>
      <c r="O2617" s="136"/>
      <c r="P2617" s="137"/>
      <c r="Q2617" s="138"/>
      <c r="R2617" s="139"/>
      <c r="S2617" s="140"/>
      <c r="T2617" s="203">
        <f t="shared" si="1590"/>
        <v>43647</v>
      </c>
      <c r="U2617" s="204">
        <f t="shared" si="1591"/>
        <v>43677</v>
      </c>
      <c r="V2617" s="207">
        <f>IF(G2617-F2617+1-IF(G2617-U2617&gt;0,G2617-U2617,0)-IF(T2617-F2617&gt;0,T2617-F2617,0)&gt;0,G2617-F2617+1-IF(G2617-U2617&gt;0,G2617-U2617,0)-IF(T2617-F2617&gt;0,T2617-F2617,0),0)</f>
        <v>0</v>
      </c>
      <c r="W2617" s="206" t="str">
        <f t="shared" ref="W2617:W2622" si="1617">IF(V2617&gt;0,H2617,"")</f>
        <v/>
      </c>
      <c r="X2617" s="206">
        <f t="shared" ref="X2617:X2622" si="1618">IF(AND($V2617&gt;0,$I2617=1),P2617/$E2617*$V2617,0)</f>
        <v>0</v>
      </c>
      <c r="Y2617" s="209">
        <f t="shared" ref="Y2617:Y2622" si="1619">IF(AND($V2617&gt;0,$I2617&lt;&gt;1),Q2617/$E2617*$V2617,0)</f>
        <v>0</v>
      </c>
    </row>
    <row r="2618" spans="2:25" ht="15.75" hidden="1" thickTop="1" x14ac:dyDescent="0.25">
      <c r="B2618" s="60">
        <f>B2617</f>
        <v>44</v>
      </c>
      <c r="C2618" s="102">
        <v>303</v>
      </c>
      <c r="D2618" s="192" t="str">
        <f t="shared" si="1592"/>
        <v>VIII</v>
      </c>
      <c r="E2618" s="62"/>
      <c r="F2618" s="105"/>
      <c r="G2618" s="105"/>
      <c r="H2618" s="61"/>
      <c r="I2618" s="61"/>
      <c r="J2618" s="62"/>
      <c r="K2618" s="63"/>
      <c r="L2618" s="61"/>
      <c r="M2618" s="61"/>
      <c r="N2618" s="111"/>
      <c r="O2618" s="112"/>
      <c r="P2618" s="113"/>
      <c r="Q2618" s="114"/>
      <c r="R2618" s="64"/>
      <c r="S2618" s="108"/>
      <c r="T2618" s="203">
        <f t="shared" si="1590"/>
        <v>43647</v>
      </c>
      <c r="U2618" s="204">
        <f t="shared" si="1591"/>
        <v>43677</v>
      </c>
      <c r="V2618" s="207">
        <f t="shared" ref="V2618:V2623" si="1620">IF(G2618-F2618+1-IF(G2618-U2618&gt;0,G2618-U2618,0)-IF(T2618-F2618&gt;0,T2618-F2618,0)&gt;0,G2618-F2618+1-IF(G2618-U2618&gt;0,G2618-U2618,0)-IF(T2618-F2618&gt;0,T2618-F2618,0),0)</f>
        <v>0</v>
      </c>
      <c r="W2618" s="206" t="str">
        <f t="shared" si="1617"/>
        <v/>
      </c>
      <c r="X2618" s="206">
        <f t="shared" si="1618"/>
        <v>0</v>
      </c>
      <c r="Y2618" s="209">
        <f t="shared" si="1619"/>
        <v>0</v>
      </c>
    </row>
    <row r="2619" spans="2:25" ht="15.75" hidden="1" thickTop="1" x14ac:dyDescent="0.25">
      <c r="B2619" s="60">
        <f>B2617</f>
        <v>44</v>
      </c>
      <c r="C2619" s="102">
        <v>304</v>
      </c>
      <c r="D2619" s="192" t="str">
        <f t="shared" si="1592"/>
        <v>VIII</v>
      </c>
      <c r="E2619" s="62"/>
      <c r="F2619" s="105"/>
      <c r="G2619" s="105"/>
      <c r="H2619" s="61"/>
      <c r="I2619" s="61"/>
      <c r="J2619" s="62"/>
      <c r="K2619" s="63"/>
      <c r="L2619" s="61"/>
      <c r="M2619" s="61"/>
      <c r="N2619" s="111"/>
      <c r="O2619" s="112"/>
      <c r="P2619" s="113"/>
      <c r="Q2619" s="114"/>
      <c r="R2619" s="64"/>
      <c r="S2619" s="108"/>
      <c r="T2619" s="203">
        <f t="shared" si="1590"/>
        <v>43647</v>
      </c>
      <c r="U2619" s="204">
        <f t="shared" si="1591"/>
        <v>43677</v>
      </c>
      <c r="V2619" s="207">
        <f t="shared" si="1620"/>
        <v>0</v>
      </c>
      <c r="W2619" s="206" t="str">
        <f t="shared" si="1617"/>
        <v/>
      </c>
      <c r="X2619" s="206">
        <f t="shared" si="1618"/>
        <v>0</v>
      </c>
      <c r="Y2619" s="209">
        <f t="shared" si="1619"/>
        <v>0</v>
      </c>
    </row>
    <row r="2620" spans="2:25" ht="15.75" hidden="1" thickTop="1" x14ac:dyDescent="0.25">
      <c r="B2620" s="60">
        <f>B2617</f>
        <v>44</v>
      </c>
      <c r="C2620" s="102">
        <v>305</v>
      </c>
      <c r="D2620" s="192" t="str">
        <f t="shared" si="1592"/>
        <v>VIII</v>
      </c>
      <c r="E2620" s="62"/>
      <c r="F2620" s="105"/>
      <c r="G2620" s="105"/>
      <c r="H2620" s="61"/>
      <c r="I2620" s="61"/>
      <c r="J2620" s="62"/>
      <c r="K2620" s="63"/>
      <c r="L2620" s="61"/>
      <c r="M2620" s="61"/>
      <c r="N2620" s="111"/>
      <c r="O2620" s="112"/>
      <c r="P2620" s="113"/>
      <c r="Q2620" s="114"/>
      <c r="R2620" s="64"/>
      <c r="S2620" s="108"/>
      <c r="T2620" s="203">
        <f t="shared" si="1590"/>
        <v>43647</v>
      </c>
      <c r="U2620" s="204">
        <f t="shared" si="1591"/>
        <v>43677</v>
      </c>
      <c r="V2620" s="207">
        <f t="shared" si="1620"/>
        <v>0</v>
      </c>
      <c r="W2620" s="206" t="str">
        <f t="shared" si="1617"/>
        <v/>
      </c>
      <c r="X2620" s="206">
        <f t="shared" si="1618"/>
        <v>0</v>
      </c>
      <c r="Y2620" s="209">
        <f t="shared" si="1619"/>
        <v>0</v>
      </c>
    </row>
    <row r="2621" spans="2:25" ht="15.75" hidden="1" thickTop="1" x14ac:dyDescent="0.25">
      <c r="B2621" s="60">
        <f>B2617</f>
        <v>44</v>
      </c>
      <c r="C2621" s="102">
        <v>306</v>
      </c>
      <c r="D2621" s="192" t="str">
        <f t="shared" si="1592"/>
        <v>VIII</v>
      </c>
      <c r="E2621" s="62"/>
      <c r="F2621" s="105"/>
      <c r="G2621" s="105"/>
      <c r="H2621" s="61"/>
      <c r="I2621" s="61"/>
      <c r="J2621" s="62"/>
      <c r="K2621" s="63"/>
      <c r="L2621" s="61"/>
      <c r="M2621" s="61"/>
      <c r="N2621" s="111"/>
      <c r="O2621" s="112"/>
      <c r="P2621" s="113"/>
      <c r="Q2621" s="114"/>
      <c r="R2621" s="64"/>
      <c r="S2621" s="108"/>
      <c r="T2621" s="203">
        <f t="shared" si="1590"/>
        <v>43647</v>
      </c>
      <c r="U2621" s="204">
        <f t="shared" si="1591"/>
        <v>43677</v>
      </c>
      <c r="V2621" s="207">
        <f t="shared" si="1620"/>
        <v>0</v>
      </c>
      <c r="W2621" s="206" t="str">
        <f t="shared" si="1617"/>
        <v/>
      </c>
      <c r="X2621" s="206">
        <f t="shared" si="1618"/>
        <v>0</v>
      </c>
      <c r="Y2621" s="209">
        <f t="shared" si="1619"/>
        <v>0</v>
      </c>
    </row>
    <row r="2622" spans="2:25" ht="15.75" hidden="1" thickTop="1" x14ac:dyDescent="0.25">
      <c r="B2622" s="60">
        <f>B2617</f>
        <v>44</v>
      </c>
      <c r="C2622" s="102">
        <v>307</v>
      </c>
      <c r="D2622" s="192" t="str">
        <f t="shared" si="1592"/>
        <v>VIII</v>
      </c>
      <c r="E2622" s="62"/>
      <c r="F2622" s="105"/>
      <c r="G2622" s="105"/>
      <c r="H2622" s="61"/>
      <c r="I2622" s="61"/>
      <c r="J2622" s="62"/>
      <c r="K2622" s="63"/>
      <c r="L2622" s="61"/>
      <c r="M2622" s="61"/>
      <c r="N2622" s="111"/>
      <c r="O2622" s="112"/>
      <c r="P2622" s="113"/>
      <c r="Q2622" s="114"/>
      <c r="R2622" s="64"/>
      <c r="S2622" s="108"/>
      <c r="T2622" s="203">
        <f t="shared" si="1590"/>
        <v>43647</v>
      </c>
      <c r="U2622" s="204">
        <f t="shared" si="1591"/>
        <v>43677</v>
      </c>
      <c r="V2622" s="207">
        <f t="shared" si="1620"/>
        <v>0</v>
      </c>
      <c r="W2622" s="206" t="str">
        <f t="shared" si="1617"/>
        <v/>
      </c>
      <c r="X2622" s="206">
        <f t="shared" si="1618"/>
        <v>0</v>
      </c>
      <c r="Y2622" s="209">
        <f t="shared" si="1619"/>
        <v>0</v>
      </c>
    </row>
    <row r="2623" spans="2:25" ht="16.5" hidden="1" thickTop="1" thickBot="1" x14ac:dyDescent="0.3">
      <c r="B2623" s="141">
        <f>B2617</f>
        <v>44</v>
      </c>
      <c r="C2623" s="142">
        <v>308</v>
      </c>
      <c r="D2623" s="194" t="str">
        <f t="shared" si="1592"/>
        <v>VIII</v>
      </c>
      <c r="E2623" s="143"/>
      <c r="F2623" s="144"/>
      <c r="G2623" s="144"/>
      <c r="H2623" s="145"/>
      <c r="I2623" s="145"/>
      <c r="J2623" s="436" t="s">
        <v>181</v>
      </c>
      <c r="K2623" s="437"/>
      <c r="L2623" s="438"/>
      <c r="M2623" s="145"/>
      <c r="N2623" s="146"/>
      <c r="O2623" s="147"/>
      <c r="P2623" s="148"/>
      <c r="Q2623" s="149"/>
      <c r="R2623" s="150"/>
      <c r="S2623" s="151"/>
      <c r="T2623" s="213">
        <f t="shared" si="1590"/>
        <v>43647</v>
      </c>
      <c r="U2623" s="214">
        <f t="shared" si="1591"/>
        <v>43677</v>
      </c>
      <c r="V2623" s="210">
        <f t="shared" si="1620"/>
        <v>0</v>
      </c>
      <c r="W2623" s="211"/>
      <c r="X2623" s="211">
        <f>IF(AND($V2623&gt;0,$I2623=1),IF($E2623=10,P2623/10,P2623/$V2623),0)</f>
        <v>0</v>
      </c>
      <c r="Y2623" s="212">
        <f>IF(AND($V2617&gt;0,$I2623&lt;&gt;1),Q2623/E2617*V2617,0)</f>
        <v>0</v>
      </c>
    </row>
    <row r="2624" spans="2:25" ht="15.75" hidden="1" thickTop="1" x14ac:dyDescent="0.25">
      <c r="B2624" s="129">
        <f>B2622+1</f>
        <v>45</v>
      </c>
      <c r="C2624" s="130">
        <v>309</v>
      </c>
      <c r="D2624" s="196" t="str">
        <f t="shared" si="1592"/>
        <v>VIII</v>
      </c>
      <c r="E2624" s="152"/>
      <c r="F2624" s="153"/>
      <c r="G2624" s="153"/>
      <c r="H2624" s="154"/>
      <c r="I2624" s="154"/>
      <c r="J2624" s="152"/>
      <c r="K2624" s="155"/>
      <c r="L2624" s="154"/>
      <c r="M2624" s="154"/>
      <c r="N2624" s="156"/>
      <c r="O2624" s="157"/>
      <c r="P2624" s="158"/>
      <c r="Q2624" s="159"/>
      <c r="R2624" s="160"/>
      <c r="S2624" s="161"/>
      <c r="T2624" s="203">
        <f t="shared" si="1590"/>
        <v>43647</v>
      </c>
      <c r="U2624" s="204">
        <f t="shared" si="1591"/>
        <v>43677</v>
      </c>
      <c r="V2624" s="207">
        <f>IF(G2624-F2624+1-IF(G2624-U2624&gt;0,G2624-U2624,0)-IF(T2624-F2624&gt;0,T2624-F2624,0)&gt;0,G2624-F2624+1-IF(G2624-U2624&gt;0,G2624-U2624,0)-IF(T2624-F2624&gt;0,T2624-F2624,0),0)</f>
        <v>0</v>
      </c>
      <c r="W2624" s="206" t="str">
        <f t="shared" ref="W2624:W2629" si="1621">IF(V2624&gt;0,H2624,"")</f>
        <v/>
      </c>
      <c r="X2624" s="206">
        <f t="shared" ref="X2624:X2629" si="1622">IF(AND($V2624&gt;0,$I2624=1),P2624/$E2624*$V2624,0)</f>
        <v>0</v>
      </c>
      <c r="Y2624" s="209">
        <f t="shared" ref="Y2624:Y2629" si="1623">IF(AND($V2624&gt;0,$I2624&lt;&gt;1),Q2624/$E2624*$V2624,0)</f>
        <v>0</v>
      </c>
    </row>
    <row r="2625" spans="2:25" ht="15.75" hidden="1" thickTop="1" x14ac:dyDescent="0.25">
      <c r="B2625" s="60">
        <f>B2624</f>
        <v>45</v>
      </c>
      <c r="C2625" s="102">
        <v>310</v>
      </c>
      <c r="D2625" s="192" t="str">
        <f t="shared" si="1592"/>
        <v>VIII</v>
      </c>
      <c r="E2625" s="162"/>
      <c r="F2625" s="163"/>
      <c r="G2625" s="163"/>
      <c r="H2625" s="164"/>
      <c r="I2625" s="164"/>
      <c r="J2625" s="162"/>
      <c r="K2625" s="165"/>
      <c r="L2625" s="164"/>
      <c r="M2625" s="164"/>
      <c r="N2625" s="166"/>
      <c r="O2625" s="167"/>
      <c r="P2625" s="168"/>
      <c r="Q2625" s="169"/>
      <c r="R2625" s="170"/>
      <c r="S2625" s="171"/>
      <c r="T2625" s="203">
        <f t="shared" si="1590"/>
        <v>43647</v>
      </c>
      <c r="U2625" s="204">
        <f t="shared" si="1591"/>
        <v>43677</v>
      </c>
      <c r="V2625" s="207">
        <f t="shared" ref="V2625:V2630" si="1624">IF(G2625-F2625+1-IF(G2625-U2625&gt;0,G2625-U2625,0)-IF(T2625-F2625&gt;0,T2625-F2625,0)&gt;0,G2625-F2625+1-IF(G2625-U2625&gt;0,G2625-U2625,0)-IF(T2625-F2625&gt;0,T2625-F2625,0),0)</f>
        <v>0</v>
      </c>
      <c r="W2625" s="206" t="str">
        <f t="shared" si="1621"/>
        <v/>
      </c>
      <c r="X2625" s="206">
        <f t="shared" si="1622"/>
        <v>0</v>
      </c>
      <c r="Y2625" s="209">
        <f t="shared" si="1623"/>
        <v>0</v>
      </c>
    </row>
    <row r="2626" spans="2:25" ht="15.75" hidden="1" thickTop="1" x14ac:dyDescent="0.25">
      <c r="B2626" s="60">
        <f>B2624</f>
        <v>45</v>
      </c>
      <c r="C2626" s="102">
        <v>311</v>
      </c>
      <c r="D2626" s="192" t="str">
        <f t="shared" si="1592"/>
        <v>VIII</v>
      </c>
      <c r="E2626" s="162"/>
      <c r="F2626" s="163"/>
      <c r="G2626" s="163"/>
      <c r="H2626" s="164"/>
      <c r="I2626" s="164"/>
      <c r="J2626" s="162"/>
      <c r="K2626" s="165"/>
      <c r="L2626" s="164"/>
      <c r="M2626" s="164"/>
      <c r="N2626" s="166"/>
      <c r="O2626" s="167"/>
      <c r="P2626" s="168"/>
      <c r="Q2626" s="169"/>
      <c r="R2626" s="170"/>
      <c r="S2626" s="171"/>
      <c r="T2626" s="203">
        <f t="shared" si="1590"/>
        <v>43647</v>
      </c>
      <c r="U2626" s="204">
        <f t="shared" si="1591"/>
        <v>43677</v>
      </c>
      <c r="V2626" s="207">
        <f t="shared" si="1624"/>
        <v>0</v>
      </c>
      <c r="W2626" s="206" t="str">
        <f t="shared" si="1621"/>
        <v/>
      </c>
      <c r="X2626" s="206">
        <f t="shared" si="1622"/>
        <v>0</v>
      </c>
      <c r="Y2626" s="209">
        <f t="shared" si="1623"/>
        <v>0</v>
      </c>
    </row>
    <row r="2627" spans="2:25" ht="15.75" hidden="1" thickTop="1" x14ac:dyDescent="0.25">
      <c r="B2627" s="60">
        <f>B2624</f>
        <v>45</v>
      </c>
      <c r="C2627" s="102">
        <v>312</v>
      </c>
      <c r="D2627" s="192" t="str">
        <f t="shared" si="1592"/>
        <v>VIII</v>
      </c>
      <c r="E2627" s="162"/>
      <c r="F2627" s="163"/>
      <c r="G2627" s="163"/>
      <c r="H2627" s="164"/>
      <c r="I2627" s="164"/>
      <c r="J2627" s="162"/>
      <c r="K2627" s="165"/>
      <c r="L2627" s="164"/>
      <c r="M2627" s="164"/>
      <c r="N2627" s="166"/>
      <c r="O2627" s="167"/>
      <c r="P2627" s="168"/>
      <c r="Q2627" s="169"/>
      <c r="R2627" s="170"/>
      <c r="S2627" s="171"/>
      <c r="T2627" s="203">
        <f t="shared" si="1590"/>
        <v>43647</v>
      </c>
      <c r="U2627" s="204">
        <f t="shared" si="1591"/>
        <v>43677</v>
      </c>
      <c r="V2627" s="207">
        <f t="shared" si="1624"/>
        <v>0</v>
      </c>
      <c r="W2627" s="206" t="str">
        <f t="shared" si="1621"/>
        <v/>
      </c>
      <c r="X2627" s="206">
        <f t="shared" si="1622"/>
        <v>0</v>
      </c>
      <c r="Y2627" s="209">
        <f t="shared" si="1623"/>
        <v>0</v>
      </c>
    </row>
    <row r="2628" spans="2:25" ht="15.75" hidden="1" thickTop="1" x14ac:dyDescent="0.25">
      <c r="B2628" s="60">
        <f>B2624</f>
        <v>45</v>
      </c>
      <c r="C2628" s="102">
        <v>313</v>
      </c>
      <c r="D2628" s="192" t="str">
        <f t="shared" si="1592"/>
        <v>VIII</v>
      </c>
      <c r="E2628" s="162"/>
      <c r="F2628" s="163"/>
      <c r="G2628" s="163"/>
      <c r="H2628" s="164"/>
      <c r="I2628" s="164"/>
      <c r="J2628" s="162"/>
      <c r="K2628" s="165"/>
      <c r="L2628" s="164"/>
      <c r="M2628" s="164"/>
      <c r="N2628" s="166"/>
      <c r="O2628" s="167"/>
      <c r="P2628" s="168"/>
      <c r="Q2628" s="169"/>
      <c r="R2628" s="170"/>
      <c r="S2628" s="171"/>
      <c r="T2628" s="203">
        <f t="shared" si="1590"/>
        <v>43647</v>
      </c>
      <c r="U2628" s="204">
        <f t="shared" si="1591"/>
        <v>43677</v>
      </c>
      <c r="V2628" s="207">
        <f t="shared" si="1624"/>
        <v>0</v>
      </c>
      <c r="W2628" s="206" t="str">
        <f t="shared" si="1621"/>
        <v/>
      </c>
      <c r="X2628" s="206">
        <f t="shared" si="1622"/>
        <v>0</v>
      </c>
      <c r="Y2628" s="209">
        <f t="shared" si="1623"/>
        <v>0</v>
      </c>
    </row>
    <row r="2629" spans="2:25" ht="15.75" hidden="1" thickTop="1" x14ac:dyDescent="0.25">
      <c r="B2629" s="60">
        <f>B2624</f>
        <v>45</v>
      </c>
      <c r="C2629" s="102">
        <v>314</v>
      </c>
      <c r="D2629" s="192" t="str">
        <f t="shared" si="1592"/>
        <v>VIII</v>
      </c>
      <c r="E2629" s="172"/>
      <c r="F2629" s="173"/>
      <c r="G2629" s="173"/>
      <c r="H2629" s="174"/>
      <c r="I2629" s="174"/>
      <c r="J2629" s="172"/>
      <c r="K2629" s="175"/>
      <c r="L2629" s="174"/>
      <c r="M2629" s="174"/>
      <c r="N2629" s="176"/>
      <c r="O2629" s="177"/>
      <c r="P2629" s="178"/>
      <c r="Q2629" s="179"/>
      <c r="R2629" s="180"/>
      <c r="S2629" s="181"/>
      <c r="T2629" s="203">
        <f t="shared" si="1590"/>
        <v>43647</v>
      </c>
      <c r="U2629" s="204">
        <f t="shared" si="1591"/>
        <v>43677</v>
      </c>
      <c r="V2629" s="207">
        <f t="shared" si="1624"/>
        <v>0</v>
      </c>
      <c r="W2629" s="206" t="str">
        <f t="shared" si="1621"/>
        <v/>
      </c>
      <c r="X2629" s="206">
        <f t="shared" si="1622"/>
        <v>0</v>
      </c>
      <c r="Y2629" s="209">
        <f t="shared" si="1623"/>
        <v>0</v>
      </c>
    </row>
    <row r="2630" spans="2:25" ht="16.5" hidden="1" thickTop="1" thickBot="1" x14ac:dyDescent="0.3">
      <c r="B2630" s="141">
        <f>B2624</f>
        <v>45</v>
      </c>
      <c r="C2630" s="142">
        <v>315</v>
      </c>
      <c r="D2630" s="194" t="str">
        <f t="shared" si="1592"/>
        <v>VIII</v>
      </c>
      <c r="E2630" s="189"/>
      <c r="F2630" s="190"/>
      <c r="G2630" s="190"/>
      <c r="H2630" s="182"/>
      <c r="I2630" s="182"/>
      <c r="J2630" s="436" t="s">
        <v>181</v>
      </c>
      <c r="K2630" s="437"/>
      <c r="L2630" s="438"/>
      <c r="M2630" s="182"/>
      <c r="N2630" s="183"/>
      <c r="O2630" s="184"/>
      <c r="P2630" s="185"/>
      <c r="Q2630" s="186"/>
      <c r="R2630" s="187"/>
      <c r="S2630" s="188"/>
      <c r="T2630" s="213">
        <f t="shared" si="1590"/>
        <v>43647</v>
      </c>
      <c r="U2630" s="214">
        <f t="shared" si="1591"/>
        <v>43677</v>
      </c>
      <c r="V2630" s="210">
        <f t="shared" si="1624"/>
        <v>0</v>
      </c>
      <c r="W2630" s="211"/>
      <c r="X2630" s="211">
        <f>IF(AND($V2630&gt;0,$I2630=1),IF($E2630=10,P2630/10,P2630/$V2630),0)</f>
        <v>0</v>
      </c>
      <c r="Y2630" s="212">
        <f>IF(AND($V2624&gt;0,$I2630&lt;&gt;1),Q2630/E2624*V2624,0)</f>
        <v>0</v>
      </c>
    </row>
    <row r="2631" spans="2:25" ht="15.75" hidden="1" thickTop="1" x14ac:dyDescent="0.25">
      <c r="B2631" s="129">
        <f>B2629+1</f>
        <v>46</v>
      </c>
      <c r="C2631" s="130">
        <v>316</v>
      </c>
      <c r="D2631" s="196" t="str">
        <f t="shared" si="1592"/>
        <v>VIII</v>
      </c>
      <c r="E2631" s="131"/>
      <c r="F2631" s="132"/>
      <c r="G2631" s="132"/>
      <c r="H2631" s="133"/>
      <c r="I2631" s="133"/>
      <c r="J2631" s="131"/>
      <c r="K2631" s="134"/>
      <c r="L2631" s="133"/>
      <c r="M2631" s="133"/>
      <c r="N2631" s="135"/>
      <c r="O2631" s="136"/>
      <c r="P2631" s="137"/>
      <c r="Q2631" s="138"/>
      <c r="R2631" s="139"/>
      <c r="S2631" s="140"/>
      <c r="T2631" s="203">
        <f t="shared" si="1590"/>
        <v>43647</v>
      </c>
      <c r="U2631" s="204">
        <f t="shared" si="1591"/>
        <v>43677</v>
      </c>
      <c r="V2631" s="207">
        <f>IF(G2631-F2631+1-IF(G2631-U2631&gt;0,G2631-U2631,0)-IF(T2631-F2631&gt;0,T2631-F2631,0)&gt;0,G2631-F2631+1-IF(G2631-U2631&gt;0,G2631-U2631,0)-IF(T2631-F2631&gt;0,T2631-F2631,0),0)</f>
        <v>0</v>
      </c>
      <c r="W2631" s="206" t="str">
        <f t="shared" ref="W2631:W2636" si="1625">IF(V2631&gt;0,H2631,"")</f>
        <v/>
      </c>
      <c r="X2631" s="206">
        <f t="shared" ref="X2631:X2636" si="1626">IF(AND($V2631&gt;0,$I2631=1),P2631/$E2631*$V2631,0)</f>
        <v>0</v>
      </c>
      <c r="Y2631" s="209">
        <f t="shared" ref="Y2631:Y2636" si="1627">IF(AND($V2631&gt;0,$I2631&lt;&gt;1),Q2631/$E2631*$V2631,0)</f>
        <v>0</v>
      </c>
    </row>
    <row r="2632" spans="2:25" ht="15.75" hidden="1" thickTop="1" x14ac:dyDescent="0.25">
      <c r="B2632" s="60">
        <f>B2631</f>
        <v>46</v>
      </c>
      <c r="C2632" s="102">
        <v>317</v>
      </c>
      <c r="D2632" s="192" t="str">
        <f t="shared" si="1592"/>
        <v>VIII</v>
      </c>
      <c r="E2632" s="62"/>
      <c r="F2632" s="105"/>
      <c r="G2632" s="105"/>
      <c r="H2632" s="61"/>
      <c r="I2632" s="61"/>
      <c r="J2632" s="62"/>
      <c r="K2632" s="63"/>
      <c r="L2632" s="61"/>
      <c r="M2632" s="61"/>
      <c r="N2632" s="111"/>
      <c r="O2632" s="112"/>
      <c r="P2632" s="113"/>
      <c r="Q2632" s="114"/>
      <c r="R2632" s="64"/>
      <c r="S2632" s="108"/>
      <c r="T2632" s="203">
        <f t="shared" si="1590"/>
        <v>43647</v>
      </c>
      <c r="U2632" s="204">
        <f t="shared" si="1591"/>
        <v>43677</v>
      </c>
      <c r="V2632" s="207">
        <f t="shared" ref="V2632:V2637" si="1628">IF(G2632-F2632+1-IF(G2632-U2632&gt;0,G2632-U2632,0)-IF(T2632-F2632&gt;0,T2632-F2632,0)&gt;0,G2632-F2632+1-IF(G2632-U2632&gt;0,G2632-U2632,0)-IF(T2632-F2632&gt;0,T2632-F2632,0),0)</f>
        <v>0</v>
      </c>
      <c r="W2632" s="206" t="str">
        <f t="shared" si="1625"/>
        <v/>
      </c>
      <c r="X2632" s="206">
        <f t="shared" si="1626"/>
        <v>0</v>
      </c>
      <c r="Y2632" s="209">
        <f t="shared" si="1627"/>
        <v>0</v>
      </c>
    </row>
    <row r="2633" spans="2:25" ht="15.75" hidden="1" thickTop="1" x14ac:dyDescent="0.25">
      <c r="B2633" s="60">
        <f>B2631</f>
        <v>46</v>
      </c>
      <c r="C2633" s="102">
        <v>318</v>
      </c>
      <c r="D2633" s="192" t="str">
        <f t="shared" si="1592"/>
        <v>VIII</v>
      </c>
      <c r="E2633" s="62"/>
      <c r="F2633" s="105"/>
      <c r="G2633" s="105"/>
      <c r="H2633" s="61"/>
      <c r="I2633" s="61"/>
      <c r="J2633" s="62"/>
      <c r="K2633" s="63"/>
      <c r="L2633" s="61"/>
      <c r="M2633" s="61"/>
      <c r="N2633" s="111"/>
      <c r="O2633" s="112"/>
      <c r="P2633" s="113"/>
      <c r="Q2633" s="114"/>
      <c r="R2633" s="64"/>
      <c r="S2633" s="108"/>
      <c r="T2633" s="203">
        <f t="shared" si="1590"/>
        <v>43647</v>
      </c>
      <c r="U2633" s="204">
        <f t="shared" si="1591"/>
        <v>43677</v>
      </c>
      <c r="V2633" s="207">
        <f t="shared" si="1628"/>
        <v>0</v>
      </c>
      <c r="W2633" s="206" t="str">
        <f t="shared" si="1625"/>
        <v/>
      </c>
      <c r="X2633" s="206">
        <f t="shared" si="1626"/>
        <v>0</v>
      </c>
      <c r="Y2633" s="209">
        <f t="shared" si="1627"/>
        <v>0</v>
      </c>
    </row>
    <row r="2634" spans="2:25" ht="15.75" hidden="1" thickTop="1" x14ac:dyDescent="0.25">
      <c r="B2634" s="60">
        <f>B2631</f>
        <v>46</v>
      </c>
      <c r="C2634" s="102">
        <v>319</v>
      </c>
      <c r="D2634" s="192" t="str">
        <f t="shared" si="1592"/>
        <v>VIII</v>
      </c>
      <c r="E2634" s="62"/>
      <c r="F2634" s="105"/>
      <c r="G2634" s="105"/>
      <c r="H2634" s="61"/>
      <c r="I2634" s="61"/>
      <c r="J2634" s="62"/>
      <c r="K2634" s="63"/>
      <c r="L2634" s="61"/>
      <c r="M2634" s="61"/>
      <c r="N2634" s="111"/>
      <c r="O2634" s="112"/>
      <c r="P2634" s="113"/>
      <c r="Q2634" s="114"/>
      <c r="R2634" s="64"/>
      <c r="S2634" s="108"/>
      <c r="T2634" s="203">
        <f t="shared" si="1590"/>
        <v>43647</v>
      </c>
      <c r="U2634" s="204">
        <f t="shared" si="1591"/>
        <v>43677</v>
      </c>
      <c r="V2634" s="207">
        <f t="shared" si="1628"/>
        <v>0</v>
      </c>
      <c r="W2634" s="206" t="str">
        <f t="shared" si="1625"/>
        <v/>
      </c>
      <c r="X2634" s="206">
        <f t="shared" si="1626"/>
        <v>0</v>
      </c>
      <c r="Y2634" s="209">
        <f t="shared" si="1627"/>
        <v>0</v>
      </c>
    </row>
    <row r="2635" spans="2:25" ht="15.75" hidden="1" thickTop="1" x14ac:dyDescent="0.25">
      <c r="B2635" s="60">
        <f>B2631</f>
        <v>46</v>
      </c>
      <c r="C2635" s="102">
        <v>320</v>
      </c>
      <c r="D2635" s="192" t="str">
        <f t="shared" si="1592"/>
        <v>VIII</v>
      </c>
      <c r="E2635" s="62"/>
      <c r="F2635" s="105"/>
      <c r="G2635" s="105"/>
      <c r="H2635" s="61"/>
      <c r="I2635" s="61"/>
      <c r="J2635" s="62"/>
      <c r="K2635" s="63"/>
      <c r="L2635" s="61"/>
      <c r="M2635" s="61"/>
      <c r="N2635" s="111"/>
      <c r="O2635" s="112"/>
      <c r="P2635" s="113"/>
      <c r="Q2635" s="114"/>
      <c r="R2635" s="64"/>
      <c r="S2635" s="108"/>
      <c r="T2635" s="203">
        <f t="shared" si="1590"/>
        <v>43647</v>
      </c>
      <c r="U2635" s="204">
        <f t="shared" si="1591"/>
        <v>43677</v>
      </c>
      <c r="V2635" s="207">
        <f t="shared" si="1628"/>
        <v>0</v>
      </c>
      <c r="W2635" s="206" t="str">
        <f t="shared" si="1625"/>
        <v/>
      </c>
      <c r="X2635" s="206">
        <f t="shared" si="1626"/>
        <v>0</v>
      </c>
      <c r="Y2635" s="209">
        <f t="shared" si="1627"/>
        <v>0</v>
      </c>
    </row>
    <row r="2636" spans="2:25" ht="15.75" hidden="1" thickTop="1" x14ac:dyDescent="0.25">
      <c r="B2636" s="60">
        <f>B2631</f>
        <v>46</v>
      </c>
      <c r="C2636" s="102">
        <v>321</v>
      </c>
      <c r="D2636" s="192" t="str">
        <f t="shared" si="1592"/>
        <v>VIII</v>
      </c>
      <c r="E2636" s="62"/>
      <c r="F2636" s="105"/>
      <c r="G2636" s="105"/>
      <c r="H2636" s="61"/>
      <c r="I2636" s="61"/>
      <c r="J2636" s="62"/>
      <c r="K2636" s="63"/>
      <c r="L2636" s="61"/>
      <c r="M2636" s="61"/>
      <c r="N2636" s="111"/>
      <c r="O2636" s="112"/>
      <c r="P2636" s="113"/>
      <c r="Q2636" s="114"/>
      <c r="R2636" s="64"/>
      <c r="S2636" s="108"/>
      <c r="T2636" s="203">
        <f t="shared" si="1590"/>
        <v>43647</v>
      </c>
      <c r="U2636" s="204">
        <f t="shared" si="1591"/>
        <v>43677</v>
      </c>
      <c r="V2636" s="207">
        <f t="shared" si="1628"/>
        <v>0</v>
      </c>
      <c r="W2636" s="206" t="str">
        <f t="shared" si="1625"/>
        <v/>
      </c>
      <c r="X2636" s="206">
        <f t="shared" si="1626"/>
        <v>0</v>
      </c>
      <c r="Y2636" s="209">
        <f t="shared" si="1627"/>
        <v>0</v>
      </c>
    </row>
    <row r="2637" spans="2:25" ht="16.5" hidden="1" thickTop="1" thickBot="1" x14ac:dyDescent="0.3">
      <c r="B2637" s="141">
        <f>B2631</f>
        <v>46</v>
      </c>
      <c r="C2637" s="142">
        <v>322</v>
      </c>
      <c r="D2637" s="194" t="str">
        <f t="shared" si="1592"/>
        <v>VIII</v>
      </c>
      <c r="E2637" s="143"/>
      <c r="F2637" s="144"/>
      <c r="G2637" s="144"/>
      <c r="H2637" s="145"/>
      <c r="I2637" s="145"/>
      <c r="J2637" s="436" t="s">
        <v>181</v>
      </c>
      <c r="K2637" s="437"/>
      <c r="L2637" s="438"/>
      <c r="M2637" s="145"/>
      <c r="N2637" s="146"/>
      <c r="O2637" s="147"/>
      <c r="P2637" s="148"/>
      <c r="Q2637" s="149"/>
      <c r="R2637" s="150"/>
      <c r="S2637" s="151"/>
      <c r="T2637" s="213">
        <f t="shared" ref="T2637:T2700" si="1629">$F$4</f>
        <v>43647</v>
      </c>
      <c r="U2637" s="214">
        <f t="shared" ref="U2637:U2700" si="1630">$G$4</f>
        <v>43677</v>
      </c>
      <c r="V2637" s="210">
        <f t="shared" si="1628"/>
        <v>0</v>
      </c>
      <c r="W2637" s="211"/>
      <c r="X2637" s="211">
        <f>IF(AND($V2637&gt;0,$I2637=1),IF($E2637=10,P2637/10,P2637/$V2637),0)</f>
        <v>0</v>
      </c>
      <c r="Y2637" s="212">
        <f>IF(AND($V2631&gt;0,$I2637&lt;&gt;1),Q2637/E2631*V2631,0)</f>
        <v>0</v>
      </c>
    </row>
    <row r="2638" spans="2:25" ht="15.75" hidden="1" thickTop="1" x14ac:dyDescent="0.25">
      <c r="B2638" s="129">
        <f>B2636+1</f>
        <v>47</v>
      </c>
      <c r="C2638" s="130">
        <v>323</v>
      </c>
      <c r="D2638" s="196" t="str">
        <f t="shared" ref="D2638:D2644" si="1631">D2637</f>
        <v>VIII</v>
      </c>
      <c r="E2638" s="152"/>
      <c r="F2638" s="153"/>
      <c r="G2638" s="153"/>
      <c r="H2638" s="154"/>
      <c r="I2638" s="154"/>
      <c r="J2638" s="152"/>
      <c r="K2638" s="155"/>
      <c r="L2638" s="154"/>
      <c r="M2638" s="154"/>
      <c r="N2638" s="156"/>
      <c r="O2638" s="157"/>
      <c r="P2638" s="158"/>
      <c r="Q2638" s="159"/>
      <c r="R2638" s="160"/>
      <c r="S2638" s="161"/>
      <c r="T2638" s="215">
        <f t="shared" si="1629"/>
        <v>43647</v>
      </c>
      <c r="U2638" s="216">
        <f t="shared" si="1630"/>
        <v>43677</v>
      </c>
      <c r="V2638" s="217">
        <f>IF(G2638-F2638+1-IF(G2638-U2638&gt;0,G2638-U2638,0)-IF(T2638-F2638&gt;0,T2638-F2638,0)&gt;0,G2638-F2638+1-IF(G2638-U2638&gt;0,G2638-U2638,0)-IF(T2638-F2638&gt;0,T2638-F2638,0),0)</f>
        <v>0</v>
      </c>
      <c r="W2638" s="218" t="str">
        <f t="shared" ref="W2638:W2643" si="1632">IF(V2638&gt;0,H2638,"")</f>
        <v/>
      </c>
      <c r="X2638" s="218">
        <f t="shared" ref="X2638:X2643" si="1633">IF(AND($V2638&gt;0,$I2638=1),P2638/$E2638*$V2638,0)</f>
        <v>0</v>
      </c>
      <c r="Y2638" s="219">
        <f t="shared" ref="Y2638:Y2643" si="1634">IF(AND($V2638&gt;0,$I2638&lt;&gt;1),Q2638/$E2638*$V2638,0)</f>
        <v>0</v>
      </c>
    </row>
    <row r="2639" spans="2:25" ht="15.75" hidden="1" thickTop="1" x14ac:dyDescent="0.25">
      <c r="B2639" s="60">
        <f>B2638</f>
        <v>47</v>
      </c>
      <c r="C2639" s="102">
        <v>324</v>
      </c>
      <c r="D2639" s="192" t="str">
        <f t="shared" si="1631"/>
        <v>VIII</v>
      </c>
      <c r="E2639" s="162"/>
      <c r="F2639" s="163"/>
      <c r="G2639" s="163"/>
      <c r="H2639" s="164"/>
      <c r="I2639" s="164"/>
      <c r="J2639" s="162"/>
      <c r="K2639" s="165"/>
      <c r="L2639" s="164"/>
      <c r="M2639" s="164"/>
      <c r="N2639" s="166"/>
      <c r="O2639" s="167"/>
      <c r="P2639" s="168"/>
      <c r="Q2639" s="169"/>
      <c r="R2639" s="170"/>
      <c r="S2639" s="171"/>
      <c r="T2639" s="203">
        <f t="shared" si="1629"/>
        <v>43647</v>
      </c>
      <c r="U2639" s="205">
        <f t="shared" si="1630"/>
        <v>43677</v>
      </c>
      <c r="V2639" s="207">
        <f t="shared" ref="V2639:V2644" si="1635">IF(G2639-F2639+1-IF(G2639-U2639&gt;0,G2639-U2639,0)-IF(T2639-F2639&gt;0,T2639-F2639,0)&gt;0,G2639-F2639+1-IF(G2639-U2639&gt;0,G2639-U2639,0)-IF(T2639-F2639&gt;0,T2639-F2639,0),0)</f>
        <v>0</v>
      </c>
      <c r="W2639" s="206" t="str">
        <f t="shared" si="1632"/>
        <v/>
      </c>
      <c r="X2639" s="206">
        <f t="shared" si="1633"/>
        <v>0</v>
      </c>
      <c r="Y2639" s="208">
        <f t="shared" si="1634"/>
        <v>0</v>
      </c>
    </row>
    <row r="2640" spans="2:25" ht="15.75" hidden="1" thickTop="1" x14ac:dyDescent="0.25">
      <c r="B2640" s="60">
        <f>B2638</f>
        <v>47</v>
      </c>
      <c r="C2640" s="102">
        <v>325</v>
      </c>
      <c r="D2640" s="192" t="str">
        <f t="shared" si="1631"/>
        <v>VIII</v>
      </c>
      <c r="E2640" s="162"/>
      <c r="F2640" s="163"/>
      <c r="G2640" s="163"/>
      <c r="H2640" s="164"/>
      <c r="I2640" s="164"/>
      <c r="J2640" s="162"/>
      <c r="K2640" s="165"/>
      <c r="L2640" s="164"/>
      <c r="M2640" s="164"/>
      <c r="N2640" s="166"/>
      <c r="O2640" s="167"/>
      <c r="P2640" s="168"/>
      <c r="Q2640" s="169"/>
      <c r="R2640" s="170"/>
      <c r="S2640" s="171"/>
      <c r="T2640" s="203">
        <f t="shared" si="1629"/>
        <v>43647</v>
      </c>
      <c r="U2640" s="205">
        <f t="shared" si="1630"/>
        <v>43677</v>
      </c>
      <c r="V2640" s="207">
        <f t="shared" si="1635"/>
        <v>0</v>
      </c>
      <c r="W2640" s="206" t="str">
        <f t="shared" si="1632"/>
        <v/>
      </c>
      <c r="X2640" s="206">
        <f t="shared" si="1633"/>
        <v>0</v>
      </c>
      <c r="Y2640" s="208">
        <f t="shared" si="1634"/>
        <v>0</v>
      </c>
    </row>
    <row r="2641" spans="2:25" ht="15.75" hidden="1" thickTop="1" x14ac:dyDescent="0.25">
      <c r="B2641" s="60">
        <f>B2638</f>
        <v>47</v>
      </c>
      <c r="C2641" s="102">
        <v>326</v>
      </c>
      <c r="D2641" s="192" t="str">
        <f t="shared" si="1631"/>
        <v>VIII</v>
      </c>
      <c r="E2641" s="162"/>
      <c r="F2641" s="163"/>
      <c r="G2641" s="163"/>
      <c r="H2641" s="164"/>
      <c r="I2641" s="164"/>
      <c r="J2641" s="162"/>
      <c r="K2641" s="165"/>
      <c r="L2641" s="164"/>
      <c r="M2641" s="164"/>
      <c r="N2641" s="166"/>
      <c r="O2641" s="167"/>
      <c r="P2641" s="168"/>
      <c r="Q2641" s="169"/>
      <c r="R2641" s="170"/>
      <c r="S2641" s="171"/>
      <c r="T2641" s="203">
        <f t="shared" si="1629"/>
        <v>43647</v>
      </c>
      <c r="U2641" s="205">
        <f t="shared" si="1630"/>
        <v>43677</v>
      </c>
      <c r="V2641" s="207">
        <f t="shared" si="1635"/>
        <v>0</v>
      </c>
      <c r="W2641" s="206" t="str">
        <f t="shared" si="1632"/>
        <v/>
      </c>
      <c r="X2641" s="206">
        <f t="shared" si="1633"/>
        <v>0</v>
      </c>
      <c r="Y2641" s="208">
        <f t="shared" si="1634"/>
        <v>0</v>
      </c>
    </row>
    <row r="2642" spans="2:25" ht="15.75" hidden="1" thickTop="1" x14ac:dyDescent="0.25">
      <c r="B2642" s="60">
        <f>B2638</f>
        <v>47</v>
      </c>
      <c r="C2642" s="102">
        <v>327</v>
      </c>
      <c r="D2642" s="192" t="str">
        <f t="shared" si="1631"/>
        <v>VIII</v>
      </c>
      <c r="E2642" s="162"/>
      <c r="F2642" s="163"/>
      <c r="G2642" s="163"/>
      <c r="H2642" s="164"/>
      <c r="I2642" s="164"/>
      <c r="J2642" s="162"/>
      <c r="K2642" s="165"/>
      <c r="L2642" s="164"/>
      <c r="M2642" s="164"/>
      <c r="N2642" s="166"/>
      <c r="O2642" s="167"/>
      <c r="P2642" s="168"/>
      <c r="Q2642" s="169"/>
      <c r="R2642" s="170"/>
      <c r="S2642" s="171"/>
      <c r="T2642" s="203">
        <f t="shared" si="1629"/>
        <v>43647</v>
      </c>
      <c r="U2642" s="205">
        <f t="shared" si="1630"/>
        <v>43677</v>
      </c>
      <c r="V2642" s="207">
        <f t="shared" si="1635"/>
        <v>0</v>
      </c>
      <c r="W2642" s="206" t="str">
        <f t="shared" si="1632"/>
        <v/>
      </c>
      <c r="X2642" s="206">
        <f t="shared" si="1633"/>
        <v>0</v>
      </c>
      <c r="Y2642" s="208">
        <f t="shared" si="1634"/>
        <v>0</v>
      </c>
    </row>
    <row r="2643" spans="2:25" ht="15.75" hidden="1" thickTop="1" x14ac:dyDescent="0.25">
      <c r="B2643" s="60">
        <f>B2638</f>
        <v>47</v>
      </c>
      <c r="C2643" s="102">
        <v>328</v>
      </c>
      <c r="D2643" s="192" t="str">
        <f t="shared" si="1631"/>
        <v>VIII</v>
      </c>
      <c r="E2643" s="172"/>
      <c r="F2643" s="173"/>
      <c r="G2643" s="173"/>
      <c r="H2643" s="174"/>
      <c r="I2643" s="174"/>
      <c r="J2643" s="172"/>
      <c r="K2643" s="175"/>
      <c r="L2643" s="174"/>
      <c r="M2643" s="174"/>
      <c r="N2643" s="176"/>
      <c r="O2643" s="177"/>
      <c r="P2643" s="178"/>
      <c r="Q2643" s="179"/>
      <c r="R2643" s="180"/>
      <c r="S2643" s="181"/>
      <c r="T2643" s="203">
        <f t="shared" si="1629"/>
        <v>43647</v>
      </c>
      <c r="U2643" s="205">
        <f t="shared" si="1630"/>
        <v>43677</v>
      </c>
      <c r="V2643" s="207">
        <f t="shared" si="1635"/>
        <v>0</v>
      </c>
      <c r="W2643" s="206" t="str">
        <f t="shared" si="1632"/>
        <v/>
      </c>
      <c r="X2643" s="206">
        <f t="shared" si="1633"/>
        <v>0</v>
      </c>
      <c r="Y2643" s="208">
        <f t="shared" si="1634"/>
        <v>0</v>
      </c>
    </row>
    <row r="2644" spans="2:25" ht="16.5" hidden="1" thickTop="1" thickBot="1" x14ac:dyDescent="0.3">
      <c r="B2644" s="141">
        <f>B2638</f>
        <v>47</v>
      </c>
      <c r="C2644" s="142">
        <v>329</v>
      </c>
      <c r="D2644" s="194" t="str">
        <f t="shared" si="1631"/>
        <v>VIII</v>
      </c>
      <c r="E2644" s="189"/>
      <c r="F2644" s="190"/>
      <c r="G2644" s="190"/>
      <c r="H2644" s="182"/>
      <c r="I2644" s="182"/>
      <c r="J2644" s="436" t="s">
        <v>181</v>
      </c>
      <c r="K2644" s="437"/>
      <c r="L2644" s="438"/>
      <c r="M2644" s="182"/>
      <c r="N2644" s="183"/>
      <c r="O2644" s="184"/>
      <c r="P2644" s="185"/>
      <c r="Q2644" s="186"/>
      <c r="R2644" s="187"/>
      <c r="S2644" s="188"/>
      <c r="T2644" s="213">
        <f t="shared" si="1629"/>
        <v>43647</v>
      </c>
      <c r="U2644" s="214">
        <f t="shared" si="1630"/>
        <v>43677</v>
      </c>
      <c r="V2644" s="210">
        <f t="shared" si="1635"/>
        <v>0</v>
      </c>
      <c r="W2644" s="211"/>
      <c r="X2644" s="211">
        <f>IF(AND($V2644&gt;0,$I2644=1),IF($E2644=10,P2644/10,P2644/$V2644),0)</f>
        <v>0</v>
      </c>
      <c r="Y2644" s="212">
        <f>IF(AND($V2638&gt;0,$I2644&lt;&gt;1),Q2644/E2638*V2638,0)</f>
        <v>0</v>
      </c>
    </row>
    <row r="2645" spans="2:25" ht="60.75" hidden="1" thickTop="1" x14ac:dyDescent="0.25">
      <c r="B2645" s="129">
        <v>1</v>
      </c>
      <c r="C2645" s="130">
        <v>1</v>
      </c>
      <c r="D2645" s="191" t="s">
        <v>22</v>
      </c>
      <c r="E2645" s="152"/>
      <c r="F2645" s="153"/>
      <c r="G2645" s="153"/>
      <c r="H2645" s="154"/>
      <c r="I2645" s="154"/>
      <c r="J2645" s="152"/>
      <c r="K2645" s="155"/>
      <c r="L2645" s="154"/>
      <c r="M2645" s="154"/>
      <c r="N2645" s="156"/>
      <c r="O2645" s="157"/>
      <c r="P2645" s="158"/>
      <c r="Q2645" s="159"/>
      <c r="R2645" s="160"/>
      <c r="S2645" s="161"/>
      <c r="T2645" s="215">
        <f t="shared" si="1629"/>
        <v>43647</v>
      </c>
      <c r="U2645" s="216">
        <f t="shared" si="1630"/>
        <v>43677</v>
      </c>
      <c r="V2645" s="217">
        <f>IF(G2645-F2645+1-IF(G2645-U2645&gt;0,G2645-U2645,0)-IF(T2645-F2645&gt;0,T2645-F2645,0)&gt;0,G2645-F2645+1-IF(G2645-U2645&gt;0,G2645-U2645,0)-IF(T2645-F2645&gt;0,T2645-F2645,0),0)</f>
        <v>0</v>
      </c>
      <c r="W2645" s="206" t="str">
        <f t="shared" ref="W2645:W2650" si="1636">IF(V2645&gt;0,H2645,"")</f>
        <v/>
      </c>
      <c r="X2645" s="218">
        <f t="shared" ref="X2645:X2650" si="1637">IF(AND($V2645&gt;0,$I2645=1),P2645/$E2645*$V2645,0)</f>
        <v>0</v>
      </c>
      <c r="Y2645" s="219">
        <f t="shared" ref="Y2645:Y2650" si="1638">IF(AND($V2645&gt;0,$I2645&lt;&gt;1),Q2645/$E2645*$V2645,0)</f>
        <v>0</v>
      </c>
    </row>
    <row r="2646" spans="2:25" ht="60.75" hidden="1" thickTop="1" x14ac:dyDescent="0.25">
      <c r="B2646" s="60">
        <f>B2645</f>
        <v>1</v>
      </c>
      <c r="C2646" s="102">
        <v>2</v>
      </c>
      <c r="D2646" s="192" t="str">
        <f>D2645</f>
        <v>Извън сезона</v>
      </c>
      <c r="E2646" s="162"/>
      <c r="F2646" s="163"/>
      <c r="G2646" s="163"/>
      <c r="H2646" s="164"/>
      <c r="I2646" s="164"/>
      <c r="J2646" s="162"/>
      <c r="K2646" s="165"/>
      <c r="L2646" s="164"/>
      <c r="M2646" s="164"/>
      <c r="N2646" s="166"/>
      <c r="O2646" s="167"/>
      <c r="P2646" s="168"/>
      <c r="Q2646" s="169"/>
      <c r="R2646" s="170"/>
      <c r="S2646" s="171"/>
      <c r="T2646" s="203">
        <f t="shared" si="1629"/>
        <v>43647</v>
      </c>
      <c r="U2646" s="205">
        <f t="shared" si="1630"/>
        <v>43677</v>
      </c>
      <c r="V2646" s="207">
        <f t="shared" ref="V2646:V2651" si="1639">IF(G2646-F2646+1-IF(G2646-U2646&gt;0,G2646-U2646,0)-IF(T2646-F2646&gt;0,T2646-F2646,0)&gt;0,G2646-F2646+1-IF(G2646-U2646&gt;0,G2646-U2646,0)-IF(T2646-F2646&gt;0,T2646-F2646,0),0)</f>
        <v>0</v>
      </c>
      <c r="W2646" s="206" t="str">
        <f t="shared" si="1636"/>
        <v/>
      </c>
      <c r="X2646" s="206">
        <f t="shared" si="1637"/>
        <v>0</v>
      </c>
      <c r="Y2646" s="208">
        <f t="shared" si="1638"/>
        <v>0</v>
      </c>
    </row>
    <row r="2647" spans="2:25" ht="60.75" hidden="1" thickTop="1" x14ac:dyDescent="0.25">
      <c r="B2647" s="60">
        <f>B2645</f>
        <v>1</v>
      </c>
      <c r="C2647" s="102">
        <v>3</v>
      </c>
      <c r="D2647" s="192" t="str">
        <f t="shared" ref="D2647:D2710" si="1640">D2646</f>
        <v>Извън сезона</v>
      </c>
      <c r="E2647" s="162"/>
      <c r="F2647" s="163"/>
      <c r="G2647" s="163"/>
      <c r="H2647" s="164"/>
      <c r="I2647" s="164"/>
      <c r="J2647" s="162"/>
      <c r="K2647" s="165"/>
      <c r="L2647" s="164"/>
      <c r="M2647" s="164"/>
      <c r="N2647" s="166"/>
      <c r="O2647" s="167"/>
      <c r="P2647" s="168"/>
      <c r="Q2647" s="169"/>
      <c r="R2647" s="170"/>
      <c r="S2647" s="171"/>
      <c r="T2647" s="203">
        <f t="shared" si="1629"/>
        <v>43647</v>
      </c>
      <c r="U2647" s="205">
        <f t="shared" si="1630"/>
        <v>43677</v>
      </c>
      <c r="V2647" s="207">
        <f t="shared" si="1639"/>
        <v>0</v>
      </c>
      <c r="W2647" s="206" t="str">
        <f t="shared" si="1636"/>
        <v/>
      </c>
      <c r="X2647" s="206">
        <f t="shared" si="1637"/>
        <v>0</v>
      </c>
      <c r="Y2647" s="208">
        <f t="shared" si="1638"/>
        <v>0</v>
      </c>
    </row>
    <row r="2648" spans="2:25" ht="60.75" hidden="1" thickTop="1" x14ac:dyDescent="0.25">
      <c r="B2648" s="60">
        <f>B2645</f>
        <v>1</v>
      </c>
      <c r="C2648" s="102">
        <v>4</v>
      </c>
      <c r="D2648" s="192" t="str">
        <f t="shared" si="1640"/>
        <v>Извън сезона</v>
      </c>
      <c r="E2648" s="162"/>
      <c r="F2648" s="163"/>
      <c r="G2648" s="163"/>
      <c r="H2648" s="164"/>
      <c r="I2648" s="164"/>
      <c r="J2648" s="162"/>
      <c r="K2648" s="165"/>
      <c r="L2648" s="164"/>
      <c r="M2648" s="164"/>
      <c r="N2648" s="166"/>
      <c r="O2648" s="167"/>
      <c r="P2648" s="168"/>
      <c r="Q2648" s="169"/>
      <c r="R2648" s="170"/>
      <c r="S2648" s="171"/>
      <c r="T2648" s="203">
        <f t="shared" si="1629"/>
        <v>43647</v>
      </c>
      <c r="U2648" s="205">
        <f t="shared" si="1630"/>
        <v>43677</v>
      </c>
      <c r="V2648" s="207">
        <f t="shared" si="1639"/>
        <v>0</v>
      </c>
      <c r="W2648" s="206" t="str">
        <f t="shared" si="1636"/>
        <v/>
      </c>
      <c r="X2648" s="206">
        <f t="shared" si="1637"/>
        <v>0</v>
      </c>
      <c r="Y2648" s="208">
        <f t="shared" si="1638"/>
        <v>0</v>
      </c>
    </row>
    <row r="2649" spans="2:25" ht="60.75" hidden="1" thickTop="1" x14ac:dyDescent="0.25">
      <c r="B2649" s="60">
        <f>B2645</f>
        <v>1</v>
      </c>
      <c r="C2649" s="102">
        <v>5</v>
      </c>
      <c r="D2649" s="192" t="str">
        <f t="shared" si="1640"/>
        <v>Извън сезона</v>
      </c>
      <c r="E2649" s="162"/>
      <c r="F2649" s="163"/>
      <c r="G2649" s="163"/>
      <c r="H2649" s="164"/>
      <c r="I2649" s="164"/>
      <c r="J2649" s="162"/>
      <c r="K2649" s="165"/>
      <c r="L2649" s="164"/>
      <c r="M2649" s="164"/>
      <c r="N2649" s="166"/>
      <c r="O2649" s="167"/>
      <c r="P2649" s="168"/>
      <c r="Q2649" s="169"/>
      <c r="R2649" s="170"/>
      <c r="S2649" s="171"/>
      <c r="T2649" s="203">
        <f t="shared" si="1629"/>
        <v>43647</v>
      </c>
      <c r="U2649" s="205">
        <f t="shared" si="1630"/>
        <v>43677</v>
      </c>
      <c r="V2649" s="207">
        <f t="shared" si="1639"/>
        <v>0</v>
      </c>
      <c r="W2649" s="206" t="str">
        <f t="shared" si="1636"/>
        <v/>
      </c>
      <c r="X2649" s="206">
        <f t="shared" si="1637"/>
        <v>0</v>
      </c>
      <c r="Y2649" s="208">
        <f t="shared" si="1638"/>
        <v>0</v>
      </c>
    </row>
    <row r="2650" spans="2:25" ht="60.75" hidden="1" thickTop="1" x14ac:dyDescent="0.25">
      <c r="B2650" s="86">
        <f>B2649</f>
        <v>1</v>
      </c>
      <c r="C2650" s="103">
        <v>6</v>
      </c>
      <c r="D2650" s="193" t="str">
        <f t="shared" si="1640"/>
        <v>Извън сезона</v>
      </c>
      <c r="E2650" s="172"/>
      <c r="F2650" s="173"/>
      <c r="G2650" s="173"/>
      <c r="H2650" s="174"/>
      <c r="I2650" s="174"/>
      <c r="J2650" s="172"/>
      <c r="K2650" s="175"/>
      <c r="L2650" s="174"/>
      <c r="M2650" s="174"/>
      <c r="N2650" s="176"/>
      <c r="O2650" s="177"/>
      <c r="P2650" s="178"/>
      <c r="Q2650" s="179"/>
      <c r="R2650" s="180"/>
      <c r="S2650" s="181"/>
      <c r="T2650" s="203">
        <f t="shared" si="1629"/>
        <v>43647</v>
      </c>
      <c r="U2650" s="205">
        <f t="shared" si="1630"/>
        <v>43677</v>
      </c>
      <c r="V2650" s="207">
        <f t="shared" si="1639"/>
        <v>0</v>
      </c>
      <c r="W2650" s="206" t="str">
        <f t="shared" si="1636"/>
        <v/>
      </c>
      <c r="X2650" s="206">
        <f t="shared" si="1637"/>
        <v>0</v>
      </c>
      <c r="Y2650" s="208">
        <f t="shared" si="1638"/>
        <v>0</v>
      </c>
    </row>
    <row r="2651" spans="2:25" ht="61.5" hidden="1" thickTop="1" thickBot="1" x14ac:dyDescent="0.3">
      <c r="B2651" s="141">
        <f>B2645</f>
        <v>1</v>
      </c>
      <c r="C2651" s="142">
        <v>7</v>
      </c>
      <c r="D2651" s="194" t="str">
        <f t="shared" si="1640"/>
        <v>Извън сезона</v>
      </c>
      <c r="E2651" s="189"/>
      <c r="F2651" s="190"/>
      <c r="G2651" s="190"/>
      <c r="H2651" s="182"/>
      <c r="I2651" s="182"/>
      <c r="J2651" s="436" t="s">
        <v>181</v>
      </c>
      <c r="K2651" s="437"/>
      <c r="L2651" s="438"/>
      <c r="M2651" s="182"/>
      <c r="N2651" s="183"/>
      <c r="O2651" s="184"/>
      <c r="P2651" s="185"/>
      <c r="Q2651" s="186"/>
      <c r="R2651" s="187"/>
      <c r="S2651" s="188"/>
      <c r="T2651" s="213">
        <f t="shared" si="1629"/>
        <v>43647</v>
      </c>
      <c r="U2651" s="214">
        <f t="shared" si="1630"/>
        <v>43677</v>
      </c>
      <c r="V2651" s="210">
        <f t="shared" si="1639"/>
        <v>0</v>
      </c>
      <c r="W2651" s="211"/>
      <c r="X2651" s="211">
        <f>IF(AND($V2651&gt;0,$I2651=1),IF($E2651=10,P2651/10,P2651/$V2651),0)</f>
        <v>0</v>
      </c>
      <c r="Y2651" s="212">
        <f>IF(AND($V2645&gt;0,$I2651&lt;&gt;1),Q2651/E2645*V2645,0)</f>
        <v>0</v>
      </c>
    </row>
    <row r="2652" spans="2:25" ht="60.75" hidden="1" thickTop="1" x14ac:dyDescent="0.25">
      <c r="B2652" s="91">
        <f>B2651+1</f>
        <v>2</v>
      </c>
      <c r="C2652" s="104">
        <v>8</v>
      </c>
      <c r="D2652" s="195" t="str">
        <f t="shared" si="1640"/>
        <v>Извън сезона</v>
      </c>
      <c r="E2652" s="92"/>
      <c r="F2652" s="107"/>
      <c r="G2652" s="107"/>
      <c r="H2652" s="93"/>
      <c r="I2652" s="93"/>
      <c r="J2652" s="92"/>
      <c r="K2652" s="94"/>
      <c r="L2652" s="93"/>
      <c r="M2652" s="93"/>
      <c r="N2652" s="119"/>
      <c r="O2652" s="120"/>
      <c r="P2652" s="121"/>
      <c r="Q2652" s="122"/>
      <c r="R2652" s="95"/>
      <c r="S2652" s="110"/>
      <c r="T2652" s="201">
        <f t="shared" si="1629"/>
        <v>43647</v>
      </c>
      <c r="U2652" s="202">
        <f t="shared" si="1630"/>
        <v>43677</v>
      </c>
      <c r="V2652" s="207">
        <f>IF(G2652-F2652+1-IF(G2652-U2652&gt;0,G2652-U2652,0)-IF(T2652-F2652&gt;0,T2652-F2652,0)&gt;0,G2652-F2652+1-IF(G2652-U2652&gt;0,G2652-U2652,0)-IF(T2652-F2652&gt;0,T2652-F2652,0),0)</f>
        <v>0</v>
      </c>
      <c r="W2652" s="206" t="str">
        <f t="shared" ref="W2652:W2657" si="1641">IF(V2652&gt;0,H2652,"")</f>
        <v/>
      </c>
      <c r="X2652" s="206">
        <f t="shared" ref="X2652:X2657" si="1642">IF(AND($V2652&gt;0,$I2652=1),P2652/$E2652*$V2652,0)</f>
        <v>0</v>
      </c>
      <c r="Y2652" s="209">
        <f t="shared" ref="Y2652:Y2657" si="1643">IF(AND($V2652&gt;0,$I2652&lt;&gt;1),Q2652/$E2652*$V2652,0)</f>
        <v>0</v>
      </c>
    </row>
    <row r="2653" spans="2:25" ht="60.75" hidden="1" thickTop="1" x14ac:dyDescent="0.25">
      <c r="B2653" s="60">
        <f>B2652</f>
        <v>2</v>
      </c>
      <c r="C2653" s="102">
        <v>9</v>
      </c>
      <c r="D2653" s="192" t="str">
        <f t="shared" si="1640"/>
        <v>Извън сезона</v>
      </c>
      <c r="E2653" s="62"/>
      <c r="F2653" s="105"/>
      <c r="G2653" s="105"/>
      <c r="H2653" s="61"/>
      <c r="I2653" s="61"/>
      <c r="J2653" s="62"/>
      <c r="K2653" s="63"/>
      <c r="L2653" s="61"/>
      <c r="M2653" s="61"/>
      <c r="N2653" s="111"/>
      <c r="O2653" s="112"/>
      <c r="P2653" s="113"/>
      <c r="Q2653" s="114"/>
      <c r="R2653" s="64"/>
      <c r="S2653" s="108"/>
      <c r="T2653" s="203">
        <f t="shared" si="1629"/>
        <v>43647</v>
      </c>
      <c r="U2653" s="204">
        <f t="shared" si="1630"/>
        <v>43677</v>
      </c>
      <c r="V2653" s="207">
        <f t="shared" ref="V2653:V2658" si="1644">IF(G2653-F2653+1-IF(G2653-U2653&gt;0,G2653-U2653,0)-IF(T2653-F2653&gt;0,T2653-F2653,0)&gt;0,G2653-F2653+1-IF(G2653-U2653&gt;0,G2653-U2653,0)-IF(T2653-F2653&gt;0,T2653-F2653,0),0)</f>
        <v>0</v>
      </c>
      <c r="W2653" s="206" t="str">
        <f t="shared" si="1641"/>
        <v/>
      </c>
      <c r="X2653" s="206">
        <f t="shared" si="1642"/>
        <v>0</v>
      </c>
      <c r="Y2653" s="209">
        <f t="shared" si="1643"/>
        <v>0</v>
      </c>
    </row>
    <row r="2654" spans="2:25" ht="60.75" hidden="1" thickTop="1" x14ac:dyDescent="0.25">
      <c r="B2654" s="60">
        <f>B2652</f>
        <v>2</v>
      </c>
      <c r="C2654" s="102">
        <v>10</v>
      </c>
      <c r="D2654" s="192" t="str">
        <f t="shared" si="1640"/>
        <v>Извън сезона</v>
      </c>
      <c r="E2654" s="62"/>
      <c r="F2654" s="105"/>
      <c r="G2654" s="105"/>
      <c r="H2654" s="61"/>
      <c r="I2654" s="61"/>
      <c r="J2654" s="62"/>
      <c r="K2654" s="63"/>
      <c r="L2654" s="61"/>
      <c r="M2654" s="61"/>
      <c r="N2654" s="111"/>
      <c r="O2654" s="112"/>
      <c r="P2654" s="113"/>
      <c r="Q2654" s="114"/>
      <c r="R2654" s="64"/>
      <c r="S2654" s="108"/>
      <c r="T2654" s="203">
        <f t="shared" si="1629"/>
        <v>43647</v>
      </c>
      <c r="U2654" s="204">
        <f t="shared" si="1630"/>
        <v>43677</v>
      </c>
      <c r="V2654" s="207">
        <f t="shared" si="1644"/>
        <v>0</v>
      </c>
      <c r="W2654" s="206" t="str">
        <f t="shared" si="1641"/>
        <v/>
      </c>
      <c r="X2654" s="206">
        <f t="shared" si="1642"/>
        <v>0</v>
      </c>
      <c r="Y2654" s="209">
        <f t="shared" si="1643"/>
        <v>0</v>
      </c>
    </row>
    <row r="2655" spans="2:25" ht="60.75" hidden="1" thickTop="1" x14ac:dyDescent="0.25">
      <c r="B2655" s="60">
        <f>B2652</f>
        <v>2</v>
      </c>
      <c r="C2655" s="102">
        <v>11</v>
      </c>
      <c r="D2655" s="192" t="str">
        <f t="shared" si="1640"/>
        <v>Извън сезона</v>
      </c>
      <c r="E2655" s="62"/>
      <c r="F2655" s="105"/>
      <c r="G2655" s="105"/>
      <c r="H2655" s="61"/>
      <c r="I2655" s="61"/>
      <c r="J2655" s="62"/>
      <c r="K2655" s="63"/>
      <c r="L2655" s="61"/>
      <c r="M2655" s="61"/>
      <c r="N2655" s="111"/>
      <c r="O2655" s="112"/>
      <c r="P2655" s="113"/>
      <c r="Q2655" s="114"/>
      <c r="R2655" s="64"/>
      <c r="S2655" s="108"/>
      <c r="T2655" s="203">
        <f t="shared" si="1629"/>
        <v>43647</v>
      </c>
      <c r="U2655" s="204">
        <f t="shared" si="1630"/>
        <v>43677</v>
      </c>
      <c r="V2655" s="207">
        <f t="shared" si="1644"/>
        <v>0</v>
      </c>
      <c r="W2655" s="206" t="str">
        <f t="shared" si="1641"/>
        <v/>
      </c>
      <c r="X2655" s="206">
        <f t="shared" si="1642"/>
        <v>0</v>
      </c>
      <c r="Y2655" s="209">
        <f t="shared" si="1643"/>
        <v>0</v>
      </c>
    </row>
    <row r="2656" spans="2:25" ht="60.75" hidden="1" thickTop="1" x14ac:dyDescent="0.25">
      <c r="B2656" s="60">
        <f>B2652</f>
        <v>2</v>
      </c>
      <c r="C2656" s="102">
        <v>12</v>
      </c>
      <c r="D2656" s="192" t="str">
        <f t="shared" si="1640"/>
        <v>Извън сезона</v>
      </c>
      <c r="E2656" s="62"/>
      <c r="F2656" s="105"/>
      <c r="G2656" s="105"/>
      <c r="H2656" s="61"/>
      <c r="I2656" s="61"/>
      <c r="J2656" s="62"/>
      <c r="K2656" s="63"/>
      <c r="L2656" s="61"/>
      <c r="M2656" s="61"/>
      <c r="N2656" s="111"/>
      <c r="O2656" s="112"/>
      <c r="P2656" s="113"/>
      <c r="Q2656" s="114"/>
      <c r="R2656" s="64"/>
      <c r="S2656" s="108"/>
      <c r="T2656" s="203">
        <f t="shared" si="1629"/>
        <v>43647</v>
      </c>
      <c r="U2656" s="204">
        <f t="shared" si="1630"/>
        <v>43677</v>
      </c>
      <c r="V2656" s="207">
        <f t="shared" si="1644"/>
        <v>0</v>
      </c>
      <c r="W2656" s="206" t="str">
        <f t="shared" si="1641"/>
        <v/>
      </c>
      <c r="X2656" s="206">
        <f t="shared" si="1642"/>
        <v>0</v>
      </c>
      <c r="Y2656" s="209">
        <f t="shared" si="1643"/>
        <v>0</v>
      </c>
    </row>
    <row r="2657" spans="2:25" ht="60.75" hidden="1" thickTop="1" x14ac:dyDescent="0.25">
      <c r="B2657" s="86">
        <f>B2652</f>
        <v>2</v>
      </c>
      <c r="C2657" s="103">
        <v>13</v>
      </c>
      <c r="D2657" s="193" t="str">
        <f t="shared" si="1640"/>
        <v>Извън сезона</v>
      </c>
      <c r="E2657" s="87"/>
      <c r="F2657" s="106"/>
      <c r="G2657" s="106"/>
      <c r="H2657" s="88"/>
      <c r="I2657" s="88"/>
      <c r="J2657" s="87"/>
      <c r="K2657" s="89"/>
      <c r="L2657" s="88"/>
      <c r="M2657" s="88"/>
      <c r="N2657" s="115"/>
      <c r="O2657" s="116"/>
      <c r="P2657" s="117"/>
      <c r="Q2657" s="118"/>
      <c r="R2657" s="90"/>
      <c r="S2657" s="109"/>
      <c r="T2657" s="203">
        <f t="shared" si="1629"/>
        <v>43647</v>
      </c>
      <c r="U2657" s="204">
        <f t="shared" si="1630"/>
        <v>43677</v>
      </c>
      <c r="V2657" s="207">
        <f t="shared" si="1644"/>
        <v>0</v>
      </c>
      <c r="W2657" s="206" t="str">
        <f t="shared" si="1641"/>
        <v/>
      </c>
      <c r="X2657" s="206">
        <f t="shared" si="1642"/>
        <v>0</v>
      </c>
      <c r="Y2657" s="209">
        <f t="shared" si="1643"/>
        <v>0</v>
      </c>
    </row>
    <row r="2658" spans="2:25" ht="61.5" hidden="1" thickTop="1" thickBot="1" x14ac:dyDescent="0.3">
      <c r="B2658" s="141">
        <f>B2652</f>
        <v>2</v>
      </c>
      <c r="C2658" s="142">
        <v>14</v>
      </c>
      <c r="D2658" s="194" t="str">
        <f t="shared" si="1640"/>
        <v>Извън сезона</v>
      </c>
      <c r="E2658" s="143"/>
      <c r="F2658" s="144"/>
      <c r="G2658" s="144"/>
      <c r="H2658" s="145"/>
      <c r="I2658" s="145"/>
      <c r="J2658" s="436" t="s">
        <v>181</v>
      </c>
      <c r="K2658" s="437"/>
      <c r="L2658" s="438"/>
      <c r="M2658" s="145"/>
      <c r="N2658" s="146"/>
      <c r="O2658" s="147"/>
      <c r="P2658" s="148"/>
      <c r="Q2658" s="149"/>
      <c r="R2658" s="150"/>
      <c r="S2658" s="151"/>
      <c r="T2658" s="213">
        <f t="shared" si="1629"/>
        <v>43647</v>
      </c>
      <c r="U2658" s="214">
        <f t="shared" si="1630"/>
        <v>43677</v>
      </c>
      <c r="V2658" s="210">
        <f t="shared" si="1644"/>
        <v>0</v>
      </c>
      <c r="W2658" s="211"/>
      <c r="X2658" s="211">
        <f>IF(AND($V2658&gt;0,$I2658=1),IF($E2658=10,P2658/10,P2658/$V2658),0)</f>
        <v>0</v>
      </c>
      <c r="Y2658" s="212">
        <f>IF(AND($V2652&gt;0,$I2658&lt;&gt;1),Q2658/E2652*V2652,0)</f>
        <v>0</v>
      </c>
    </row>
    <row r="2659" spans="2:25" ht="60.75" hidden="1" thickTop="1" x14ac:dyDescent="0.25">
      <c r="B2659" s="129">
        <f>B2657+1</f>
        <v>3</v>
      </c>
      <c r="C2659" s="130">
        <v>15</v>
      </c>
      <c r="D2659" s="196" t="str">
        <f t="shared" si="1640"/>
        <v>Извън сезона</v>
      </c>
      <c r="E2659" s="152"/>
      <c r="F2659" s="153"/>
      <c r="G2659" s="153"/>
      <c r="H2659" s="154"/>
      <c r="I2659" s="154"/>
      <c r="J2659" s="152"/>
      <c r="K2659" s="155"/>
      <c r="L2659" s="154"/>
      <c r="M2659" s="154"/>
      <c r="N2659" s="156"/>
      <c r="O2659" s="157"/>
      <c r="P2659" s="158"/>
      <c r="Q2659" s="159"/>
      <c r="R2659" s="160"/>
      <c r="S2659" s="161"/>
      <c r="T2659" s="203">
        <f t="shared" si="1629"/>
        <v>43647</v>
      </c>
      <c r="U2659" s="204">
        <f t="shared" si="1630"/>
        <v>43677</v>
      </c>
      <c r="V2659" s="207">
        <f>IF(G2659-F2659+1-IF(G2659-U2659&gt;0,G2659-U2659,0)-IF(T2659-F2659&gt;0,T2659-F2659,0)&gt;0,G2659-F2659+1-IF(G2659-U2659&gt;0,G2659-U2659,0)-IF(T2659-F2659&gt;0,T2659-F2659,0),0)</f>
        <v>0</v>
      </c>
      <c r="W2659" s="206" t="str">
        <f t="shared" ref="W2659:W2664" si="1645">IF(V2659&gt;0,H2659,"")</f>
        <v/>
      </c>
      <c r="X2659" s="206">
        <f t="shared" ref="X2659:X2664" si="1646">IF(AND($V2659&gt;0,$I2659=1),P2659/$E2659*$V2659,0)</f>
        <v>0</v>
      </c>
      <c r="Y2659" s="209">
        <f t="shared" ref="Y2659:Y2664" si="1647">IF(AND($V2659&gt;0,$I2659&lt;&gt;1),Q2659/$E2659*$V2659,0)</f>
        <v>0</v>
      </c>
    </row>
    <row r="2660" spans="2:25" ht="60.75" hidden="1" thickTop="1" x14ac:dyDescent="0.25">
      <c r="B2660" s="60">
        <f>B2659</f>
        <v>3</v>
      </c>
      <c r="C2660" s="102">
        <v>16</v>
      </c>
      <c r="D2660" s="192" t="str">
        <f t="shared" si="1640"/>
        <v>Извън сезона</v>
      </c>
      <c r="E2660" s="162"/>
      <c r="F2660" s="163"/>
      <c r="G2660" s="163"/>
      <c r="H2660" s="164"/>
      <c r="I2660" s="164"/>
      <c r="J2660" s="162"/>
      <c r="K2660" s="165"/>
      <c r="L2660" s="164"/>
      <c r="M2660" s="164"/>
      <c r="N2660" s="166"/>
      <c r="O2660" s="167"/>
      <c r="P2660" s="168"/>
      <c r="Q2660" s="169"/>
      <c r="R2660" s="170"/>
      <c r="S2660" s="171"/>
      <c r="T2660" s="203">
        <f t="shared" si="1629"/>
        <v>43647</v>
      </c>
      <c r="U2660" s="204">
        <f t="shared" si="1630"/>
        <v>43677</v>
      </c>
      <c r="V2660" s="207">
        <f t="shared" ref="V2660:V2665" si="1648">IF(G2660-F2660+1-IF(G2660-U2660&gt;0,G2660-U2660,0)-IF(T2660-F2660&gt;0,T2660-F2660,0)&gt;0,G2660-F2660+1-IF(G2660-U2660&gt;0,G2660-U2660,0)-IF(T2660-F2660&gt;0,T2660-F2660,0),0)</f>
        <v>0</v>
      </c>
      <c r="W2660" s="206" t="str">
        <f t="shared" si="1645"/>
        <v/>
      </c>
      <c r="X2660" s="206">
        <f t="shared" si="1646"/>
        <v>0</v>
      </c>
      <c r="Y2660" s="209">
        <f t="shared" si="1647"/>
        <v>0</v>
      </c>
    </row>
    <row r="2661" spans="2:25" ht="60.75" hidden="1" thickTop="1" x14ac:dyDescent="0.25">
      <c r="B2661" s="60">
        <f>B2659</f>
        <v>3</v>
      </c>
      <c r="C2661" s="102">
        <v>17</v>
      </c>
      <c r="D2661" s="192" t="str">
        <f t="shared" si="1640"/>
        <v>Извън сезона</v>
      </c>
      <c r="E2661" s="162"/>
      <c r="F2661" s="163"/>
      <c r="G2661" s="163"/>
      <c r="H2661" s="164"/>
      <c r="I2661" s="164"/>
      <c r="J2661" s="162"/>
      <c r="K2661" s="165"/>
      <c r="L2661" s="164"/>
      <c r="M2661" s="164"/>
      <c r="N2661" s="166"/>
      <c r="O2661" s="167"/>
      <c r="P2661" s="168"/>
      <c r="Q2661" s="169"/>
      <c r="R2661" s="170"/>
      <c r="S2661" s="171"/>
      <c r="T2661" s="203">
        <f t="shared" si="1629"/>
        <v>43647</v>
      </c>
      <c r="U2661" s="204">
        <f t="shared" si="1630"/>
        <v>43677</v>
      </c>
      <c r="V2661" s="207">
        <f t="shared" si="1648"/>
        <v>0</v>
      </c>
      <c r="W2661" s="206" t="str">
        <f t="shared" si="1645"/>
        <v/>
      </c>
      <c r="X2661" s="206">
        <f t="shared" si="1646"/>
        <v>0</v>
      </c>
      <c r="Y2661" s="209">
        <f t="shared" si="1647"/>
        <v>0</v>
      </c>
    </row>
    <row r="2662" spans="2:25" ht="60.75" hidden="1" thickTop="1" x14ac:dyDescent="0.25">
      <c r="B2662" s="60">
        <f>B2659</f>
        <v>3</v>
      </c>
      <c r="C2662" s="102">
        <v>18</v>
      </c>
      <c r="D2662" s="192" t="str">
        <f t="shared" si="1640"/>
        <v>Извън сезона</v>
      </c>
      <c r="E2662" s="162"/>
      <c r="F2662" s="163"/>
      <c r="G2662" s="163"/>
      <c r="H2662" s="164"/>
      <c r="I2662" s="164"/>
      <c r="J2662" s="162"/>
      <c r="K2662" s="165"/>
      <c r="L2662" s="164"/>
      <c r="M2662" s="164"/>
      <c r="N2662" s="166"/>
      <c r="O2662" s="167"/>
      <c r="P2662" s="168"/>
      <c r="Q2662" s="169"/>
      <c r="R2662" s="170"/>
      <c r="S2662" s="171"/>
      <c r="T2662" s="203">
        <f t="shared" si="1629"/>
        <v>43647</v>
      </c>
      <c r="U2662" s="204">
        <f t="shared" si="1630"/>
        <v>43677</v>
      </c>
      <c r="V2662" s="207">
        <f t="shared" si="1648"/>
        <v>0</v>
      </c>
      <c r="W2662" s="206" t="str">
        <f t="shared" si="1645"/>
        <v/>
      </c>
      <c r="X2662" s="206">
        <f t="shared" si="1646"/>
        <v>0</v>
      </c>
      <c r="Y2662" s="209">
        <f t="shared" si="1647"/>
        <v>0</v>
      </c>
    </row>
    <row r="2663" spans="2:25" ht="60.75" hidden="1" thickTop="1" x14ac:dyDescent="0.25">
      <c r="B2663" s="60">
        <f>B2659</f>
        <v>3</v>
      </c>
      <c r="C2663" s="102">
        <v>19</v>
      </c>
      <c r="D2663" s="192" t="str">
        <f t="shared" si="1640"/>
        <v>Извън сезона</v>
      </c>
      <c r="E2663" s="162"/>
      <c r="F2663" s="163"/>
      <c r="G2663" s="163"/>
      <c r="H2663" s="164"/>
      <c r="I2663" s="164"/>
      <c r="J2663" s="162"/>
      <c r="K2663" s="165"/>
      <c r="L2663" s="164"/>
      <c r="M2663" s="164"/>
      <c r="N2663" s="166"/>
      <c r="O2663" s="167"/>
      <c r="P2663" s="168"/>
      <c r="Q2663" s="169"/>
      <c r="R2663" s="170"/>
      <c r="S2663" s="171"/>
      <c r="T2663" s="203">
        <f t="shared" si="1629"/>
        <v>43647</v>
      </c>
      <c r="U2663" s="204">
        <f t="shared" si="1630"/>
        <v>43677</v>
      </c>
      <c r="V2663" s="207">
        <f t="shared" si="1648"/>
        <v>0</v>
      </c>
      <c r="W2663" s="206" t="str">
        <f t="shared" si="1645"/>
        <v/>
      </c>
      <c r="X2663" s="206">
        <f t="shared" si="1646"/>
        <v>0</v>
      </c>
      <c r="Y2663" s="209">
        <f t="shared" si="1647"/>
        <v>0</v>
      </c>
    </row>
    <row r="2664" spans="2:25" ht="60.75" hidden="1" thickTop="1" x14ac:dyDescent="0.25">
      <c r="B2664" s="60">
        <f>B2659</f>
        <v>3</v>
      </c>
      <c r="C2664" s="102">
        <v>20</v>
      </c>
      <c r="D2664" s="192" t="str">
        <f t="shared" si="1640"/>
        <v>Извън сезона</v>
      </c>
      <c r="E2664" s="172"/>
      <c r="F2664" s="173"/>
      <c r="G2664" s="173"/>
      <c r="H2664" s="174"/>
      <c r="I2664" s="174"/>
      <c r="J2664" s="172"/>
      <c r="K2664" s="175"/>
      <c r="L2664" s="174"/>
      <c r="M2664" s="174"/>
      <c r="N2664" s="176"/>
      <c r="O2664" s="177"/>
      <c r="P2664" s="178"/>
      <c r="Q2664" s="179"/>
      <c r="R2664" s="180"/>
      <c r="S2664" s="181"/>
      <c r="T2664" s="203">
        <f t="shared" si="1629"/>
        <v>43647</v>
      </c>
      <c r="U2664" s="204">
        <f t="shared" si="1630"/>
        <v>43677</v>
      </c>
      <c r="V2664" s="207">
        <f t="shared" si="1648"/>
        <v>0</v>
      </c>
      <c r="W2664" s="206" t="str">
        <f t="shared" si="1645"/>
        <v/>
      </c>
      <c r="X2664" s="206">
        <f t="shared" si="1646"/>
        <v>0</v>
      </c>
      <c r="Y2664" s="209">
        <f t="shared" si="1647"/>
        <v>0</v>
      </c>
    </row>
    <row r="2665" spans="2:25" ht="61.5" hidden="1" thickTop="1" thickBot="1" x14ac:dyDescent="0.3">
      <c r="B2665" s="141">
        <f>B2659</f>
        <v>3</v>
      </c>
      <c r="C2665" s="142">
        <v>21</v>
      </c>
      <c r="D2665" s="194" t="str">
        <f t="shared" si="1640"/>
        <v>Извън сезона</v>
      </c>
      <c r="E2665" s="189"/>
      <c r="F2665" s="190"/>
      <c r="G2665" s="190"/>
      <c r="H2665" s="182"/>
      <c r="I2665" s="182"/>
      <c r="J2665" s="436" t="s">
        <v>181</v>
      </c>
      <c r="K2665" s="437"/>
      <c r="L2665" s="438"/>
      <c r="M2665" s="182"/>
      <c r="N2665" s="183"/>
      <c r="O2665" s="184"/>
      <c r="P2665" s="185"/>
      <c r="Q2665" s="186"/>
      <c r="R2665" s="187"/>
      <c r="S2665" s="188"/>
      <c r="T2665" s="213">
        <f t="shared" si="1629"/>
        <v>43647</v>
      </c>
      <c r="U2665" s="214">
        <f t="shared" si="1630"/>
        <v>43677</v>
      </c>
      <c r="V2665" s="210">
        <f t="shared" si="1648"/>
        <v>0</v>
      </c>
      <c r="W2665" s="211"/>
      <c r="X2665" s="211">
        <f>IF(AND($V2665&gt;0,$I2665=1),IF($E2665=10,P2665/10,P2665/$V2665),0)</f>
        <v>0</v>
      </c>
      <c r="Y2665" s="212">
        <f>IF(AND($V2659&gt;0,$I2665&lt;&gt;1),Q2665/E2659*V2659,0)</f>
        <v>0</v>
      </c>
    </row>
    <row r="2666" spans="2:25" ht="60.75" hidden="1" thickTop="1" x14ac:dyDescent="0.25">
      <c r="B2666" s="129">
        <f>B2664+1</f>
        <v>4</v>
      </c>
      <c r="C2666" s="130">
        <v>22</v>
      </c>
      <c r="D2666" s="196" t="str">
        <f t="shared" si="1640"/>
        <v>Извън сезона</v>
      </c>
      <c r="E2666" s="131"/>
      <c r="F2666" s="132"/>
      <c r="G2666" s="132"/>
      <c r="H2666" s="133"/>
      <c r="I2666" s="133"/>
      <c r="J2666" s="131"/>
      <c r="K2666" s="134"/>
      <c r="L2666" s="133"/>
      <c r="M2666" s="133"/>
      <c r="N2666" s="135"/>
      <c r="O2666" s="136"/>
      <c r="P2666" s="137"/>
      <c r="Q2666" s="138"/>
      <c r="R2666" s="139"/>
      <c r="S2666" s="140"/>
      <c r="T2666" s="203">
        <f t="shared" si="1629"/>
        <v>43647</v>
      </c>
      <c r="U2666" s="204">
        <f t="shared" si="1630"/>
        <v>43677</v>
      </c>
      <c r="V2666" s="207">
        <f>IF(G2666-F2666+1-IF(G2666-U2666&gt;0,G2666-U2666,0)-IF(T2666-F2666&gt;0,T2666-F2666,0)&gt;0,G2666-F2666+1-IF(G2666-U2666&gt;0,G2666-U2666,0)-IF(T2666-F2666&gt;0,T2666-F2666,0),0)</f>
        <v>0</v>
      </c>
      <c r="W2666" s="206" t="str">
        <f t="shared" ref="W2666:W2671" si="1649">IF(V2666&gt;0,H2666,"")</f>
        <v/>
      </c>
      <c r="X2666" s="206">
        <f t="shared" ref="X2666:X2671" si="1650">IF(AND($V2666&gt;0,$I2666=1),P2666/$E2666*$V2666,0)</f>
        <v>0</v>
      </c>
      <c r="Y2666" s="209">
        <f t="shared" ref="Y2666:Y2671" si="1651">IF(AND($V2666&gt;0,$I2666&lt;&gt;1),Q2666/$E2666*$V2666,0)</f>
        <v>0</v>
      </c>
    </row>
    <row r="2667" spans="2:25" ht="60.75" hidden="1" thickTop="1" x14ac:dyDescent="0.25">
      <c r="B2667" s="60">
        <f>B2666</f>
        <v>4</v>
      </c>
      <c r="C2667" s="102">
        <v>23</v>
      </c>
      <c r="D2667" s="192" t="str">
        <f t="shared" si="1640"/>
        <v>Извън сезона</v>
      </c>
      <c r="E2667" s="62"/>
      <c r="F2667" s="105"/>
      <c r="G2667" s="105"/>
      <c r="H2667" s="61"/>
      <c r="I2667" s="61"/>
      <c r="J2667" s="62"/>
      <c r="K2667" s="63"/>
      <c r="L2667" s="61"/>
      <c r="M2667" s="61"/>
      <c r="N2667" s="111"/>
      <c r="O2667" s="112"/>
      <c r="P2667" s="113"/>
      <c r="Q2667" s="114"/>
      <c r="R2667" s="64"/>
      <c r="S2667" s="108"/>
      <c r="T2667" s="203">
        <f t="shared" si="1629"/>
        <v>43647</v>
      </c>
      <c r="U2667" s="204">
        <f t="shared" si="1630"/>
        <v>43677</v>
      </c>
      <c r="V2667" s="207">
        <f t="shared" ref="V2667:V2672" si="1652">IF(G2667-F2667+1-IF(G2667-U2667&gt;0,G2667-U2667,0)-IF(T2667-F2667&gt;0,T2667-F2667,0)&gt;0,G2667-F2667+1-IF(G2667-U2667&gt;0,G2667-U2667,0)-IF(T2667-F2667&gt;0,T2667-F2667,0),0)</f>
        <v>0</v>
      </c>
      <c r="W2667" s="206" t="str">
        <f t="shared" si="1649"/>
        <v/>
      </c>
      <c r="X2667" s="206">
        <f t="shared" si="1650"/>
        <v>0</v>
      </c>
      <c r="Y2667" s="209">
        <f t="shared" si="1651"/>
        <v>0</v>
      </c>
    </row>
    <row r="2668" spans="2:25" ht="60.75" hidden="1" thickTop="1" x14ac:dyDescent="0.25">
      <c r="B2668" s="60">
        <f>B2666</f>
        <v>4</v>
      </c>
      <c r="C2668" s="102">
        <v>24</v>
      </c>
      <c r="D2668" s="192" t="str">
        <f t="shared" si="1640"/>
        <v>Извън сезона</v>
      </c>
      <c r="E2668" s="62"/>
      <c r="F2668" s="105"/>
      <c r="G2668" s="105"/>
      <c r="H2668" s="61"/>
      <c r="I2668" s="61"/>
      <c r="J2668" s="62"/>
      <c r="K2668" s="63"/>
      <c r="L2668" s="61"/>
      <c r="M2668" s="61"/>
      <c r="N2668" s="111"/>
      <c r="O2668" s="112"/>
      <c r="P2668" s="113"/>
      <c r="Q2668" s="114"/>
      <c r="R2668" s="64"/>
      <c r="S2668" s="108"/>
      <c r="T2668" s="203">
        <f t="shared" si="1629"/>
        <v>43647</v>
      </c>
      <c r="U2668" s="204">
        <f t="shared" si="1630"/>
        <v>43677</v>
      </c>
      <c r="V2668" s="207">
        <f t="shared" si="1652"/>
        <v>0</v>
      </c>
      <c r="W2668" s="206" t="str">
        <f t="shared" si="1649"/>
        <v/>
      </c>
      <c r="X2668" s="206">
        <f t="shared" si="1650"/>
        <v>0</v>
      </c>
      <c r="Y2668" s="209">
        <f t="shared" si="1651"/>
        <v>0</v>
      </c>
    </row>
    <row r="2669" spans="2:25" ht="60.75" hidden="1" thickTop="1" x14ac:dyDescent="0.25">
      <c r="B2669" s="60">
        <f>B2666</f>
        <v>4</v>
      </c>
      <c r="C2669" s="102">
        <v>25</v>
      </c>
      <c r="D2669" s="192" t="str">
        <f t="shared" si="1640"/>
        <v>Извън сезона</v>
      </c>
      <c r="E2669" s="62"/>
      <c r="F2669" s="105"/>
      <c r="G2669" s="105"/>
      <c r="H2669" s="61"/>
      <c r="I2669" s="61"/>
      <c r="J2669" s="62"/>
      <c r="K2669" s="63"/>
      <c r="L2669" s="61"/>
      <c r="M2669" s="61"/>
      <c r="N2669" s="111"/>
      <c r="O2669" s="112"/>
      <c r="P2669" s="113"/>
      <c r="Q2669" s="114"/>
      <c r="R2669" s="64"/>
      <c r="S2669" s="108"/>
      <c r="T2669" s="203">
        <f t="shared" si="1629"/>
        <v>43647</v>
      </c>
      <c r="U2669" s="204">
        <f t="shared" si="1630"/>
        <v>43677</v>
      </c>
      <c r="V2669" s="207">
        <f t="shared" si="1652"/>
        <v>0</v>
      </c>
      <c r="W2669" s="206" t="str">
        <f t="shared" si="1649"/>
        <v/>
      </c>
      <c r="X2669" s="206">
        <f t="shared" si="1650"/>
        <v>0</v>
      </c>
      <c r="Y2669" s="209">
        <f t="shared" si="1651"/>
        <v>0</v>
      </c>
    </row>
    <row r="2670" spans="2:25" ht="60.75" hidden="1" thickTop="1" x14ac:dyDescent="0.25">
      <c r="B2670" s="60">
        <f>B2666</f>
        <v>4</v>
      </c>
      <c r="C2670" s="102">
        <v>26</v>
      </c>
      <c r="D2670" s="192" t="str">
        <f t="shared" si="1640"/>
        <v>Извън сезона</v>
      </c>
      <c r="E2670" s="62"/>
      <c r="F2670" s="105"/>
      <c r="G2670" s="105"/>
      <c r="H2670" s="61"/>
      <c r="I2670" s="61"/>
      <c r="J2670" s="62"/>
      <c r="K2670" s="63"/>
      <c r="L2670" s="61"/>
      <c r="M2670" s="61"/>
      <c r="N2670" s="111"/>
      <c r="O2670" s="112"/>
      <c r="P2670" s="113"/>
      <c r="Q2670" s="114"/>
      <c r="R2670" s="64"/>
      <c r="S2670" s="108"/>
      <c r="T2670" s="203">
        <f t="shared" si="1629"/>
        <v>43647</v>
      </c>
      <c r="U2670" s="204">
        <f t="shared" si="1630"/>
        <v>43677</v>
      </c>
      <c r="V2670" s="207">
        <f t="shared" si="1652"/>
        <v>0</v>
      </c>
      <c r="W2670" s="206" t="str">
        <f t="shared" si="1649"/>
        <v/>
      </c>
      <c r="X2670" s="206">
        <f t="shared" si="1650"/>
        <v>0</v>
      </c>
      <c r="Y2670" s="209">
        <f t="shared" si="1651"/>
        <v>0</v>
      </c>
    </row>
    <row r="2671" spans="2:25" ht="60.75" hidden="1" thickTop="1" x14ac:dyDescent="0.25">
      <c r="B2671" s="60">
        <f>B2666</f>
        <v>4</v>
      </c>
      <c r="C2671" s="102">
        <v>27</v>
      </c>
      <c r="D2671" s="192" t="str">
        <f t="shared" si="1640"/>
        <v>Извън сезона</v>
      </c>
      <c r="E2671" s="62"/>
      <c r="F2671" s="105"/>
      <c r="G2671" s="105"/>
      <c r="H2671" s="61"/>
      <c r="I2671" s="61"/>
      <c r="J2671" s="62"/>
      <c r="K2671" s="63"/>
      <c r="L2671" s="61"/>
      <c r="M2671" s="61"/>
      <c r="N2671" s="111"/>
      <c r="O2671" s="112"/>
      <c r="P2671" s="113"/>
      <c r="Q2671" s="114"/>
      <c r="R2671" s="64"/>
      <c r="S2671" s="108"/>
      <c r="T2671" s="203">
        <f t="shared" si="1629"/>
        <v>43647</v>
      </c>
      <c r="U2671" s="204">
        <f t="shared" si="1630"/>
        <v>43677</v>
      </c>
      <c r="V2671" s="207">
        <f t="shared" si="1652"/>
        <v>0</v>
      </c>
      <c r="W2671" s="206" t="str">
        <f t="shared" si="1649"/>
        <v/>
      </c>
      <c r="X2671" s="206">
        <f t="shared" si="1650"/>
        <v>0</v>
      </c>
      <c r="Y2671" s="209">
        <f t="shared" si="1651"/>
        <v>0</v>
      </c>
    </row>
    <row r="2672" spans="2:25" ht="61.5" hidden="1" thickTop="1" thickBot="1" x14ac:dyDescent="0.3">
      <c r="B2672" s="141">
        <f>B2666</f>
        <v>4</v>
      </c>
      <c r="C2672" s="142">
        <v>28</v>
      </c>
      <c r="D2672" s="194" t="str">
        <f t="shared" si="1640"/>
        <v>Извън сезона</v>
      </c>
      <c r="E2672" s="143"/>
      <c r="F2672" s="144"/>
      <c r="G2672" s="144"/>
      <c r="H2672" s="145"/>
      <c r="I2672" s="145"/>
      <c r="J2672" s="436" t="s">
        <v>181</v>
      </c>
      <c r="K2672" s="437"/>
      <c r="L2672" s="438"/>
      <c r="M2672" s="145"/>
      <c r="N2672" s="146"/>
      <c r="O2672" s="147"/>
      <c r="P2672" s="148"/>
      <c r="Q2672" s="149"/>
      <c r="R2672" s="150"/>
      <c r="S2672" s="151"/>
      <c r="T2672" s="213">
        <f t="shared" si="1629"/>
        <v>43647</v>
      </c>
      <c r="U2672" s="214">
        <f t="shared" si="1630"/>
        <v>43677</v>
      </c>
      <c r="V2672" s="210">
        <f t="shared" si="1652"/>
        <v>0</v>
      </c>
      <c r="W2672" s="211"/>
      <c r="X2672" s="211">
        <f>IF(AND($V2672&gt;0,$I2672=1),IF($E2672=10,P2672/10,P2672/$V2672),0)</f>
        <v>0</v>
      </c>
      <c r="Y2672" s="212">
        <f>IF(AND($V2666&gt;0,$I2672&lt;&gt;1),Q2672/E2666*V2666,0)</f>
        <v>0</v>
      </c>
    </row>
    <row r="2673" spans="2:25" ht="60.75" hidden="1" thickTop="1" x14ac:dyDescent="0.25">
      <c r="B2673" s="129">
        <f>B2671+1</f>
        <v>5</v>
      </c>
      <c r="C2673" s="130">
        <v>29</v>
      </c>
      <c r="D2673" s="196" t="str">
        <f t="shared" si="1640"/>
        <v>Извън сезона</v>
      </c>
      <c r="E2673" s="152"/>
      <c r="F2673" s="153"/>
      <c r="G2673" s="153"/>
      <c r="H2673" s="154"/>
      <c r="I2673" s="154"/>
      <c r="J2673" s="152"/>
      <c r="K2673" s="155"/>
      <c r="L2673" s="154"/>
      <c r="M2673" s="154"/>
      <c r="N2673" s="156"/>
      <c r="O2673" s="157"/>
      <c r="P2673" s="158"/>
      <c r="Q2673" s="159"/>
      <c r="R2673" s="160"/>
      <c r="S2673" s="161"/>
      <c r="T2673" s="203">
        <f t="shared" si="1629"/>
        <v>43647</v>
      </c>
      <c r="U2673" s="204">
        <f t="shared" si="1630"/>
        <v>43677</v>
      </c>
      <c r="V2673" s="207">
        <f>IF(G2673-F2673+1-IF(G2673-U2673&gt;0,G2673-U2673,0)-IF(T2673-F2673&gt;0,T2673-F2673,0)&gt;0,G2673-F2673+1-IF(G2673-U2673&gt;0,G2673-U2673,0)-IF(T2673-F2673&gt;0,T2673-F2673,0),0)</f>
        <v>0</v>
      </c>
      <c r="W2673" s="206" t="str">
        <f t="shared" ref="W2673:W2678" si="1653">IF(V2673&gt;0,H2673,"")</f>
        <v/>
      </c>
      <c r="X2673" s="206">
        <f t="shared" ref="X2673:X2678" si="1654">IF(AND($V2673&gt;0,$I2673=1),P2673/$E2673*$V2673,0)</f>
        <v>0</v>
      </c>
      <c r="Y2673" s="209">
        <f t="shared" ref="Y2673:Y2678" si="1655">IF(AND($V2673&gt;0,$I2673&lt;&gt;1),Q2673/$E2673*$V2673,0)</f>
        <v>0</v>
      </c>
    </row>
    <row r="2674" spans="2:25" ht="60.75" hidden="1" thickTop="1" x14ac:dyDescent="0.25">
      <c r="B2674" s="60">
        <f>B2673</f>
        <v>5</v>
      </c>
      <c r="C2674" s="102">
        <v>30</v>
      </c>
      <c r="D2674" s="192" t="str">
        <f t="shared" si="1640"/>
        <v>Извън сезона</v>
      </c>
      <c r="E2674" s="162"/>
      <c r="F2674" s="163"/>
      <c r="G2674" s="163"/>
      <c r="H2674" s="164"/>
      <c r="I2674" s="164"/>
      <c r="J2674" s="162"/>
      <c r="K2674" s="165"/>
      <c r="L2674" s="164"/>
      <c r="M2674" s="164"/>
      <c r="N2674" s="166"/>
      <c r="O2674" s="167"/>
      <c r="P2674" s="168"/>
      <c r="Q2674" s="169"/>
      <c r="R2674" s="170"/>
      <c r="S2674" s="171"/>
      <c r="T2674" s="203">
        <f t="shared" si="1629"/>
        <v>43647</v>
      </c>
      <c r="U2674" s="204">
        <f t="shared" si="1630"/>
        <v>43677</v>
      </c>
      <c r="V2674" s="207">
        <f t="shared" ref="V2674:V2679" si="1656">IF(G2674-F2674+1-IF(G2674-U2674&gt;0,G2674-U2674,0)-IF(T2674-F2674&gt;0,T2674-F2674,0)&gt;0,G2674-F2674+1-IF(G2674-U2674&gt;0,G2674-U2674,0)-IF(T2674-F2674&gt;0,T2674-F2674,0),0)</f>
        <v>0</v>
      </c>
      <c r="W2674" s="206" t="str">
        <f t="shared" si="1653"/>
        <v/>
      </c>
      <c r="X2674" s="206">
        <f t="shared" si="1654"/>
        <v>0</v>
      </c>
      <c r="Y2674" s="209">
        <f t="shared" si="1655"/>
        <v>0</v>
      </c>
    </row>
    <row r="2675" spans="2:25" ht="60.75" hidden="1" thickTop="1" x14ac:dyDescent="0.25">
      <c r="B2675" s="60">
        <f>B2673</f>
        <v>5</v>
      </c>
      <c r="C2675" s="102">
        <v>31</v>
      </c>
      <c r="D2675" s="192" t="str">
        <f t="shared" si="1640"/>
        <v>Извън сезона</v>
      </c>
      <c r="E2675" s="162"/>
      <c r="F2675" s="163"/>
      <c r="G2675" s="163"/>
      <c r="H2675" s="164"/>
      <c r="I2675" s="164"/>
      <c r="J2675" s="162"/>
      <c r="K2675" s="165"/>
      <c r="L2675" s="164"/>
      <c r="M2675" s="164"/>
      <c r="N2675" s="166"/>
      <c r="O2675" s="167"/>
      <c r="P2675" s="168"/>
      <c r="Q2675" s="169"/>
      <c r="R2675" s="170"/>
      <c r="S2675" s="171"/>
      <c r="T2675" s="203">
        <f t="shared" si="1629"/>
        <v>43647</v>
      </c>
      <c r="U2675" s="204">
        <f t="shared" si="1630"/>
        <v>43677</v>
      </c>
      <c r="V2675" s="207">
        <f t="shared" si="1656"/>
        <v>0</v>
      </c>
      <c r="W2675" s="206" t="str">
        <f t="shared" si="1653"/>
        <v/>
      </c>
      <c r="X2675" s="206">
        <f t="shared" si="1654"/>
        <v>0</v>
      </c>
      <c r="Y2675" s="209">
        <f t="shared" si="1655"/>
        <v>0</v>
      </c>
    </row>
    <row r="2676" spans="2:25" ht="60.75" hidden="1" thickTop="1" x14ac:dyDescent="0.25">
      <c r="B2676" s="60">
        <f>B2673</f>
        <v>5</v>
      </c>
      <c r="C2676" s="102">
        <v>32</v>
      </c>
      <c r="D2676" s="192" t="str">
        <f t="shared" si="1640"/>
        <v>Извън сезона</v>
      </c>
      <c r="E2676" s="162"/>
      <c r="F2676" s="163"/>
      <c r="G2676" s="163"/>
      <c r="H2676" s="164"/>
      <c r="I2676" s="164"/>
      <c r="J2676" s="162"/>
      <c r="K2676" s="165"/>
      <c r="L2676" s="164"/>
      <c r="M2676" s="164"/>
      <c r="N2676" s="166"/>
      <c r="O2676" s="167"/>
      <c r="P2676" s="168"/>
      <c r="Q2676" s="169"/>
      <c r="R2676" s="170"/>
      <c r="S2676" s="171"/>
      <c r="T2676" s="203">
        <f t="shared" si="1629"/>
        <v>43647</v>
      </c>
      <c r="U2676" s="204">
        <f t="shared" si="1630"/>
        <v>43677</v>
      </c>
      <c r="V2676" s="207">
        <f t="shared" si="1656"/>
        <v>0</v>
      </c>
      <c r="W2676" s="206" t="str">
        <f t="shared" si="1653"/>
        <v/>
      </c>
      <c r="X2676" s="206">
        <f t="shared" si="1654"/>
        <v>0</v>
      </c>
      <c r="Y2676" s="209">
        <f t="shared" si="1655"/>
        <v>0</v>
      </c>
    </row>
    <row r="2677" spans="2:25" ht="60.75" hidden="1" thickTop="1" x14ac:dyDescent="0.25">
      <c r="B2677" s="60">
        <f>B2673</f>
        <v>5</v>
      </c>
      <c r="C2677" s="102">
        <v>33</v>
      </c>
      <c r="D2677" s="192" t="str">
        <f t="shared" si="1640"/>
        <v>Извън сезона</v>
      </c>
      <c r="E2677" s="162"/>
      <c r="F2677" s="163"/>
      <c r="G2677" s="163"/>
      <c r="H2677" s="164"/>
      <c r="I2677" s="164"/>
      <c r="J2677" s="162"/>
      <c r="K2677" s="165"/>
      <c r="L2677" s="164"/>
      <c r="M2677" s="164"/>
      <c r="N2677" s="166"/>
      <c r="O2677" s="167"/>
      <c r="P2677" s="168"/>
      <c r="Q2677" s="169"/>
      <c r="R2677" s="170"/>
      <c r="S2677" s="171"/>
      <c r="T2677" s="203">
        <f t="shared" si="1629"/>
        <v>43647</v>
      </c>
      <c r="U2677" s="204">
        <f t="shared" si="1630"/>
        <v>43677</v>
      </c>
      <c r="V2677" s="207">
        <f t="shared" si="1656"/>
        <v>0</v>
      </c>
      <c r="W2677" s="206" t="str">
        <f t="shared" si="1653"/>
        <v/>
      </c>
      <c r="X2677" s="206">
        <f t="shared" si="1654"/>
        <v>0</v>
      </c>
      <c r="Y2677" s="209">
        <f t="shared" si="1655"/>
        <v>0</v>
      </c>
    </row>
    <row r="2678" spans="2:25" ht="60.75" hidden="1" thickTop="1" x14ac:dyDescent="0.25">
      <c r="B2678" s="60">
        <f>B2673</f>
        <v>5</v>
      </c>
      <c r="C2678" s="102">
        <v>34</v>
      </c>
      <c r="D2678" s="192" t="str">
        <f t="shared" si="1640"/>
        <v>Извън сезона</v>
      </c>
      <c r="E2678" s="172"/>
      <c r="F2678" s="173"/>
      <c r="G2678" s="173"/>
      <c r="H2678" s="174"/>
      <c r="I2678" s="174"/>
      <c r="J2678" s="172"/>
      <c r="K2678" s="175"/>
      <c r="L2678" s="174"/>
      <c r="M2678" s="174"/>
      <c r="N2678" s="176"/>
      <c r="O2678" s="177"/>
      <c r="P2678" s="178"/>
      <c r="Q2678" s="179"/>
      <c r="R2678" s="180"/>
      <c r="S2678" s="181"/>
      <c r="T2678" s="203">
        <f t="shared" si="1629"/>
        <v>43647</v>
      </c>
      <c r="U2678" s="204">
        <f t="shared" si="1630"/>
        <v>43677</v>
      </c>
      <c r="V2678" s="207">
        <f t="shared" si="1656"/>
        <v>0</v>
      </c>
      <c r="W2678" s="206" t="str">
        <f t="shared" si="1653"/>
        <v/>
      </c>
      <c r="X2678" s="206">
        <f t="shared" si="1654"/>
        <v>0</v>
      </c>
      <c r="Y2678" s="209">
        <f t="shared" si="1655"/>
        <v>0</v>
      </c>
    </row>
    <row r="2679" spans="2:25" ht="61.5" hidden="1" thickTop="1" thickBot="1" x14ac:dyDescent="0.3">
      <c r="B2679" s="141">
        <f>B2673</f>
        <v>5</v>
      </c>
      <c r="C2679" s="142">
        <v>35</v>
      </c>
      <c r="D2679" s="194" t="str">
        <f t="shared" si="1640"/>
        <v>Извън сезона</v>
      </c>
      <c r="E2679" s="189"/>
      <c r="F2679" s="190"/>
      <c r="G2679" s="190"/>
      <c r="H2679" s="182"/>
      <c r="I2679" s="182"/>
      <c r="J2679" s="436" t="s">
        <v>181</v>
      </c>
      <c r="K2679" s="437"/>
      <c r="L2679" s="438"/>
      <c r="M2679" s="182"/>
      <c r="N2679" s="183"/>
      <c r="O2679" s="184"/>
      <c r="P2679" s="185"/>
      <c r="Q2679" s="186"/>
      <c r="R2679" s="187"/>
      <c r="S2679" s="188"/>
      <c r="T2679" s="213">
        <f t="shared" si="1629"/>
        <v>43647</v>
      </c>
      <c r="U2679" s="214">
        <f t="shared" si="1630"/>
        <v>43677</v>
      </c>
      <c r="V2679" s="210">
        <f t="shared" si="1656"/>
        <v>0</v>
      </c>
      <c r="W2679" s="211"/>
      <c r="X2679" s="211">
        <f>IF(AND($V2679&gt;0,$I2679=1),IF($E2679=10,P2679/10,P2679/$V2679),0)</f>
        <v>0</v>
      </c>
      <c r="Y2679" s="212">
        <f>IF(AND($V2673&gt;0,$I2679&lt;&gt;1),Q2679/E2673*V2673,0)</f>
        <v>0</v>
      </c>
    </row>
    <row r="2680" spans="2:25" ht="60.75" hidden="1" thickTop="1" x14ac:dyDescent="0.25">
      <c r="B2680" s="129">
        <f>B2678+1</f>
        <v>6</v>
      </c>
      <c r="C2680" s="130">
        <v>36</v>
      </c>
      <c r="D2680" s="196" t="str">
        <f t="shared" si="1640"/>
        <v>Извън сезона</v>
      </c>
      <c r="E2680" s="131"/>
      <c r="F2680" s="132"/>
      <c r="G2680" s="132"/>
      <c r="H2680" s="133"/>
      <c r="I2680" s="133"/>
      <c r="J2680" s="131"/>
      <c r="K2680" s="134"/>
      <c r="L2680" s="133"/>
      <c r="M2680" s="133"/>
      <c r="N2680" s="135"/>
      <c r="O2680" s="136"/>
      <c r="P2680" s="137"/>
      <c r="Q2680" s="138"/>
      <c r="R2680" s="139"/>
      <c r="S2680" s="140"/>
      <c r="T2680" s="203">
        <f t="shared" si="1629"/>
        <v>43647</v>
      </c>
      <c r="U2680" s="204">
        <f t="shared" si="1630"/>
        <v>43677</v>
      </c>
      <c r="V2680" s="207">
        <f>IF(G2680-F2680+1-IF(G2680-U2680&gt;0,G2680-U2680,0)-IF(T2680-F2680&gt;0,T2680-F2680,0)&gt;0,G2680-F2680+1-IF(G2680-U2680&gt;0,G2680-U2680,0)-IF(T2680-F2680&gt;0,T2680-F2680,0),0)</f>
        <v>0</v>
      </c>
      <c r="W2680" s="206" t="str">
        <f t="shared" ref="W2680:W2685" si="1657">IF(V2680&gt;0,H2680,"")</f>
        <v/>
      </c>
      <c r="X2680" s="206">
        <f t="shared" ref="X2680:X2685" si="1658">IF(AND($V2680&gt;0,$I2680=1),P2680/$E2680*$V2680,0)</f>
        <v>0</v>
      </c>
      <c r="Y2680" s="209">
        <f t="shared" ref="Y2680:Y2685" si="1659">IF(AND($V2680&gt;0,$I2680&lt;&gt;1),Q2680/$E2680*$V2680,0)</f>
        <v>0</v>
      </c>
    </row>
    <row r="2681" spans="2:25" ht="60.75" hidden="1" thickTop="1" x14ac:dyDescent="0.25">
      <c r="B2681" s="60">
        <f>B2680</f>
        <v>6</v>
      </c>
      <c r="C2681" s="102">
        <v>37</v>
      </c>
      <c r="D2681" s="192" t="str">
        <f t="shared" si="1640"/>
        <v>Извън сезона</v>
      </c>
      <c r="E2681" s="62"/>
      <c r="F2681" s="105"/>
      <c r="G2681" s="105"/>
      <c r="H2681" s="61"/>
      <c r="I2681" s="61"/>
      <c r="J2681" s="62"/>
      <c r="K2681" s="63"/>
      <c r="L2681" s="61"/>
      <c r="M2681" s="61"/>
      <c r="N2681" s="111"/>
      <c r="O2681" s="112"/>
      <c r="P2681" s="113"/>
      <c r="Q2681" s="114"/>
      <c r="R2681" s="64"/>
      <c r="S2681" s="108"/>
      <c r="T2681" s="203">
        <f t="shared" si="1629"/>
        <v>43647</v>
      </c>
      <c r="U2681" s="204">
        <f t="shared" si="1630"/>
        <v>43677</v>
      </c>
      <c r="V2681" s="207">
        <f t="shared" ref="V2681:V2686" si="1660">IF(G2681-F2681+1-IF(G2681-U2681&gt;0,G2681-U2681,0)-IF(T2681-F2681&gt;0,T2681-F2681,0)&gt;0,G2681-F2681+1-IF(G2681-U2681&gt;0,G2681-U2681,0)-IF(T2681-F2681&gt;0,T2681-F2681,0),0)</f>
        <v>0</v>
      </c>
      <c r="W2681" s="206" t="str">
        <f t="shared" si="1657"/>
        <v/>
      </c>
      <c r="X2681" s="206">
        <f t="shared" si="1658"/>
        <v>0</v>
      </c>
      <c r="Y2681" s="209">
        <f t="shared" si="1659"/>
        <v>0</v>
      </c>
    </row>
    <row r="2682" spans="2:25" ht="60.75" hidden="1" thickTop="1" x14ac:dyDescent="0.25">
      <c r="B2682" s="60">
        <f>B2680</f>
        <v>6</v>
      </c>
      <c r="C2682" s="102">
        <v>38</v>
      </c>
      <c r="D2682" s="192" t="str">
        <f t="shared" si="1640"/>
        <v>Извън сезона</v>
      </c>
      <c r="E2682" s="62"/>
      <c r="F2682" s="105"/>
      <c r="G2682" s="105"/>
      <c r="H2682" s="61"/>
      <c r="I2682" s="61"/>
      <c r="J2682" s="62"/>
      <c r="K2682" s="63"/>
      <c r="L2682" s="61"/>
      <c r="M2682" s="61"/>
      <c r="N2682" s="111"/>
      <c r="O2682" s="112"/>
      <c r="P2682" s="113"/>
      <c r="Q2682" s="114"/>
      <c r="R2682" s="64"/>
      <c r="S2682" s="108"/>
      <c r="T2682" s="203">
        <f t="shared" si="1629"/>
        <v>43647</v>
      </c>
      <c r="U2682" s="204">
        <f t="shared" si="1630"/>
        <v>43677</v>
      </c>
      <c r="V2682" s="207">
        <f t="shared" si="1660"/>
        <v>0</v>
      </c>
      <c r="W2682" s="206" t="str">
        <f t="shared" si="1657"/>
        <v/>
      </c>
      <c r="X2682" s="206">
        <f t="shared" si="1658"/>
        <v>0</v>
      </c>
      <c r="Y2682" s="209">
        <f t="shared" si="1659"/>
        <v>0</v>
      </c>
    </row>
    <row r="2683" spans="2:25" ht="60.75" hidden="1" thickTop="1" x14ac:dyDescent="0.25">
      <c r="B2683" s="60">
        <f>B2680</f>
        <v>6</v>
      </c>
      <c r="C2683" s="102">
        <v>39</v>
      </c>
      <c r="D2683" s="192" t="str">
        <f t="shared" si="1640"/>
        <v>Извън сезона</v>
      </c>
      <c r="E2683" s="62"/>
      <c r="F2683" s="105"/>
      <c r="G2683" s="105"/>
      <c r="H2683" s="61"/>
      <c r="I2683" s="61"/>
      <c r="J2683" s="62"/>
      <c r="K2683" s="63"/>
      <c r="L2683" s="61"/>
      <c r="M2683" s="61"/>
      <c r="N2683" s="111"/>
      <c r="O2683" s="112"/>
      <c r="P2683" s="113"/>
      <c r="Q2683" s="114"/>
      <c r="R2683" s="64"/>
      <c r="S2683" s="108"/>
      <c r="T2683" s="203">
        <f t="shared" si="1629"/>
        <v>43647</v>
      </c>
      <c r="U2683" s="204">
        <f t="shared" si="1630"/>
        <v>43677</v>
      </c>
      <c r="V2683" s="207">
        <f t="shared" si="1660"/>
        <v>0</v>
      </c>
      <c r="W2683" s="206" t="str">
        <f t="shared" si="1657"/>
        <v/>
      </c>
      <c r="X2683" s="206">
        <f t="shared" si="1658"/>
        <v>0</v>
      </c>
      <c r="Y2683" s="209">
        <f t="shared" si="1659"/>
        <v>0</v>
      </c>
    </row>
    <row r="2684" spans="2:25" ht="60.75" hidden="1" thickTop="1" x14ac:dyDescent="0.25">
      <c r="B2684" s="60">
        <f>B2680</f>
        <v>6</v>
      </c>
      <c r="C2684" s="102">
        <v>40</v>
      </c>
      <c r="D2684" s="192" t="str">
        <f t="shared" si="1640"/>
        <v>Извън сезона</v>
      </c>
      <c r="E2684" s="62"/>
      <c r="F2684" s="105"/>
      <c r="G2684" s="105"/>
      <c r="H2684" s="61"/>
      <c r="I2684" s="61"/>
      <c r="J2684" s="62"/>
      <c r="K2684" s="63"/>
      <c r="L2684" s="61"/>
      <c r="M2684" s="61"/>
      <c r="N2684" s="111"/>
      <c r="O2684" s="112"/>
      <c r="P2684" s="113"/>
      <c r="Q2684" s="114"/>
      <c r="R2684" s="64"/>
      <c r="S2684" s="108"/>
      <c r="T2684" s="203">
        <f t="shared" si="1629"/>
        <v>43647</v>
      </c>
      <c r="U2684" s="204">
        <f t="shared" si="1630"/>
        <v>43677</v>
      </c>
      <c r="V2684" s="207">
        <f t="shared" si="1660"/>
        <v>0</v>
      </c>
      <c r="W2684" s="206" t="str">
        <f t="shared" si="1657"/>
        <v/>
      </c>
      <c r="X2684" s="206">
        <f t="shared" si="1658"/>
        <v>0</v>
      </c>
      <c r="Y2684" s="209">
        <f t="shared" si="1659"/>
        <v>0</v>
      </c>
    </row>
    <row r="2685" spans="2:25" ht="60.75" hidden="1" thickTop="1" x14ac:dyDescent="0.25">
      <c r="B2685" s="60">
        <f>B2680</f>
        <v>6</v>
      </c>
      <c r="C2685" s="102">
        <v>41</v>
      </c>
      <c r="D2685" s="192" t="str">
        <f t="shared" si="1640"/>
        <v>Извън сезона</v>
      </c>
      <c r="E2685" s="62"/>
      <c r="F2685" s="105"/>
      <c r="G2685" s="105"/>
      <c r="H2685" s="61"/>
      <c r="I2685" s="61"/>
      <c r="J2685" s="62"/>
      <c r="K2685" s="63"/>
      <c r="L2685" s="61"/>
      <c r="M2685" s="61"/>
      <c r="N2685" s="111"/>
      <c r="O2685" s="112"/>
      <c r="P2685" s="113"/>
      <c r="Q2685" s="114"/>
      <c r="R2685" s="64"/>
      <c r="S2685" s="108"/>
      <c r="T2685" s="203">
        <f t="shared" si="1629"/>
        <v>43647</v>
      </c>
      <c r="U2685" s="204">
        <f t="shared" si="1630"/>
        <v>43677</v>
      </c>
      <c r="V2685" s="207">
        <f t="shared" si="1660"/>
        <v>0</v>
      </c>
      <c r="W2685" s="206" t="str">
        <f t="shared" si="1657"/>
        <v/>
      </c>
      <c r="X2685" s="206">
        <f t="shared" si="1658"/>
        <v>0</v>
      </c>
      <c r="Y2685" s="209">
        <f t="shared" si="1659"/>
        <v>0</v>
      </c>
    </row>
    <row r="2686" spans="2:25" ht="61.5" hidden="1" thickTop="1" thickBot="1" x14ac:dyDescent="0.3">
      <c r="B2686" s="141">
        <f>B2680</f>
        <v>6</v>
      </c>
      <c r="C2686" s="142">
        <v>42</v>
      </c>
      <c r="D2686" s="194" t="str">
        <f t="shared" si="1640"/>
        <v>Извън сезона</v>
      </c>
      <c r="E2686" s="143"/>
      <c r="F2686" s="144"/>
      <c r="G2686" s="144"/>
      <c r="H2686" s="145"/>
      <c r="I2686" s="145"/>
      <c r="J2686" s="436" t="s">
        <v>181</v>
      </c>
      <c r="K2686" s="437"/>
      <c r="L2686" s="438"/>
      <c r="M2686" s="145"/>
      <c r="N2686" s="146"/>
      <c r="O2686" s="147"/>
      <c r="P2686" s="148"/>
      <c r="Q2686" s="149"/>
      <c r="R2686" s="150"/>
      <c r="S2686" s="151"/>
      <c r="T2686" s="213">
        <f t="shared" si="1629"/>
        <v>43647</v>
      </c>
      <c r="U2686" s="214">
        <f t="shared" si="1630"/>
        <v>43677</v>
      </c>
      <c r="V2686" s="210">
        <f t="shared" si="1660"/>
        <v>0</v>
      </c>
      <c r="W2686" s="211"/>
      <c r="X2686" s="211">
        <f>IF(AND($V2686&gt;0,$I2686=1),IF($E2686=10,P2686/10,P2686/$V2686),0)</f>
        <v>0</v>
      </c>
      <c r="Y2686" s="212">
        <f>IF(AND($V2680&gt;0,$I2686&lt;&gt;1),Q2686/E2680*V2680,0)</f>
        <v>0</v>
      </c>
    </row>
    <row r="2687" spans="2:25" ht="60.75" hidden="1" thickTop="1" x14ac:dyDescent="0.25">
      <c r="B2687" s="129">
        <f>B2685+1</f>
        <v>7</v>
      </c>
      <c r="C2687" s="130">
        <v>43</v>
      </c>
      <c r="D2687" s="196" t="str">
        <f t="shared" si="1640"/>
        <v>Извън сезона</v>
      </c>
      <c r="E2687" s="152"/>
      <c r="F2687" s="153"/>
      <c r="G2687" s="153"/>
      <c r="H2687" s="154"/>
      <c r="I2687" s="154"/>
      <c r="J2687" s="152"/>
      <c r="K2687" s="155"/>
      <c r="L2687" s="154"/>
      <c r="M2687" s="154"/>
      <c r="N2687" s="156"/>
      <c r="O2687" s="157"/>
      <c r="P2687" s="158"/>
      <c r="Q2687" s="159"/>
      <c r="R2687" s="160"/>
      <c r="S2687" s="161"/>
      <c r="T2687" s="203">
        <f t="shared" si="1629"/>
        <v>43647</v>
      </c>
      <c r="U2687" s="204">
        <f t="shared" si="1630"/>
        <v>43677</v>
      </c>
      <c r="V2687" s="207">
        <f>IF(G2687-F2687+1-IF(G2687-U2687&gt;0,G2687-U2687,0)-IF(T2687-F2687&gt;0,T2687-F2687,0)&gt;0,G2687-F2687+1-IF(G2687-U2687&gt;0,G2687-U2687,0)-IF(T2687-F2687&gt;0,T2687-F2687,0),0)</f>
        <v>0</v>
      </c>
      <c r="W2687" s="206" t="str">
        <f t="shared" ref="W2687:W2692" si="1661">IF(V2687&gt;0,H2687,"")</f>
        <v/>
      </c>
      <c r="X2687" s="206">
        <f t="shared" ref="X2687:X2692" si="1662">IF(AND($V2687&gt;0,$I2687=1),P2687/$E2687*$V2687,0)</f>
        <v>0</v>
      </c>
      <c r="Y2687" s="209">
        <f t="shared" ref="Y2687:Y2692" si="1663">IF(AND($V2687&gt;0,$I2687&lt;&gt;1),Q2687/$E2687*$V2687,0)</f>
        <v>0</v>
      </c>
    </row>
    <row r="2688" spans="2:25" ht="60.75" hidden="1" thickTop="1" x14ac:dyDescent="0.25">
      <c r="B2688" s="60">
        <f>B2687</f>
        <v>7</v>
      </c>
      <c r="C2688" s="102">
        <v>44</v>
      </c>
      <c r="D2688" s="192" t="str">
        <f t="shared" si="1640"/>
        <v>Извън сезона</v>
      </c>
      <c r="E2688" s="162"/>
      <c r="F2688" s="163"/>
      <c r="G2688" s="163"/>
      <c r="H2688" s="164"/>
      <c r="I2688" s="164"/>
      <c r="J2688" s="162"/>
      <c r="K2688" s="165"/>
      <c r="L2688" s="164"/>
      <c r="M2688" s="164"/>
      <c r="N2688" s="166"/>
      <c r="O2688" s="167"/>
      <c r="P2688" s="168"/>
      <c r="Q2688" s="169"/>
      <c r="R2688" s="170"/>
      <c r="S2688" s="171"/>
      <c r="T2688" s="203">
        <f t="shared" si="1629"/>
        <v>43647</v>
      </c>
      <c r="U2688" s="204">
        <f t="shared" si="1630"/>
        <v>43677</v>
      </c>
      <c r="V2688" s="207">
        <f t="shared" ref="V2688:V2693" si="1664">IF(G2688-F2688+1-IF(G2688-U2688&gt;0,G2688-U2688,0)-IF(T2688-F2688&gt;0,T2688-F2688,0)&gt;0,G2688-F2688+1-IF(G2688-U2688&gt;0,G2688-U2688,0)-IF(T2688-F2688&gt;0,T2688-F2688,0),0)</f>
        <v>0</v>
      </c>
      <c r="W2688" s="206" t="str">
        <f t="shared" si="1661"/>
        <v/>
      </c>
      <c r="X2688" s="206">
        <f t="shared" si="1662"/>
        <v>0</v>
      </c>
      <c r="Y2688" s="209">
        <f t="shared" si="1663"/>
        <v>0</v>
      </c>
    </row>
    <row r="2689" spans="2:25" ht="60.75" hidden="1" thickTop="1" x14ac:dyDescent="0.25">
      <c r="B2689" s="60">
        <f>B2687</f>
        <v>7</v>
      </c>
      <c r="C2689" s="102">
        <v>45</v>
      </c>
      <c r="D2689" s="192" t="str">
        <f t="shared" si="1640"/>
        <v>Извън сезона</v>
      </c>
      <c r="E2689" s="162"/>
      <c r="F2689" s="163"/>
      <c r="G2689" s="163"/>
      <c r="H2689" s="164"/>
      <c r="I2689" s="164"/>
      <c r="J2689" s="162"/>
      <c r="K2689" s="165"/>
      <c r="L2689" s="164"/>
      <c r="M2689" s="164"/>
      <c r="N2689" s="166"/>
      <c r="O2689" s="167"/>
      <c r="P2689" s="168"/>
      <c r="Q2689" s="169"/>
      <c r="R2689" s="170"/>
      <c r="S2689" s="171"/>
      <c r="T2689" s="203">
        <f t="shared" si="1629"/>
        <v>43647</v>
      </c>
      <c r="U2689" s="204">
        <f t="shared" si="1630"/>
        <v>43677</v>
      </c>
      <c r="V2689" s="207">
        <f t="shared" si="1664"/>
        <v>0</v>
      </c>
      <c r="W2689" s="206" t="str">
        <f t="shared" si="1661"/>
        <v/>
      </c>
      <c r="X2689" s="206">
        <f t="shared" si="1662"/>
        <v>0</v>
      </c>
      <c r="Y2689" s="209">
        <f t="shared" si="1663"/>
        <v>0</v>
      </c>
    </row>
    <row r="2690" spans="2:25" ht="60.75" hidden="1" thickTop="1" x14ac:dyDescent="0.25">
      <c r="B2690" s="60">
        <f>B2687</f>
        <v>7</v>
      </c>
      <c r="C2690" s="102">
        <v>46</v>
      </c>
      <c r="D2690" s="192" t="str">
        <f t="shared" si="1640"/>
        <v>Извън сезона</v>
      </c>
      <c r="E2690" s="162"/>
      <c r="F2690" s="163"/>
      <c r="G2690" s="163"/>
      <c r="H2690" s="164"/>
      <c r="I2690" s="164"/>
      <c r="J2690" s="162"/>
      <c r="K2690" s="165"/>
      <c r="L2690" s="164"/>
      <c r="M2690" s="164"/>
      <c r="N2690" s="166"/>
      <c r="O2690" s="167"/>
      <c r="P2690" s="168"/>
      <c r="Q2690" s="169"/>
      <c r="R2690" s="170"/>
      <c r="S2690" s="171"/>
      <c r="T2690" s="203">
        <f t="shared" si="1629"/>
        <v>43647</v>
      </c>
      <c r="U2690" s="204">
        <f t="shared" si="1630"/>
        <v>43677</v>
      </c>
      <c r="V2690" s="207">
        <f t="shared" si="1664"/>
        <v>0</v>
      </c>
      <c r="W2690" s="206" t="str">
        <f t="shared" si="1661"/>
        <v/>
      </c>
      <c r="X2690" s="206">
        <f t="shared" si="1662"/>
        <v>0</v>
      </c>
      <c r="Y2690" s="209">
        <f t="shared" si="1663"/>
        <v>0</v>
      </c>
    </row>
    <row r="2691" spans="2:25" ht="60.75" hidden="1" thickTop="1" x14ac:dyDescent="0.25">
      <c r="B2691" s="60">
        <f>B2687</f>
        <v>7</v>
      </c>
      <c r="C2691" s="102">
        <v>47</v>
      </c>
      <c r="D2691" s="192" t="str">
        <f t="shared" si="1640"/>
        <v>Извън сезона</v>
      </c>
      <c r="E2691" s="162"/>
      <c r="F2691" s="163"/>
      <c r="G2691" s="163"/>
      <c r="H2691" s="164"/>
      <c r="I2691" s="164"/>
      <c r="J2691" s="162"/>
      <c r="K2691" s="165"/>
      <c r="L2691" s="164"/>
      <c r="M2691" s="164"/>
      <c r="N2691" s="166"/>
      <c r="O2691" s="167"/>
      <c r="P2691" s="168"/>
      <c r="Q2691" s="169"/>
      <c r="R2691" s="170"/>
      <c r="S2691" s="171"/>
      <c r="T2691" s="203">
        <f t="shared" si="1629"/>
        <v>43647</v>
      </c>
      <c r="U2691" s="204">
        <f t="shared" si="1630"/>
        <v>43677</v>
      </c>
      <c r="V2691" s="207">
        <f t="shared" si="1664"/>
        <v>0</v>
      </c>
      <c r="W2691" s="206" t="str">
        <f t="shared" si="1661"/>
        <v/>
      </c>
      <c r="X2691" s="206">
        <f t="shared" si="1662"/>
        <v>0</v>
      </c>
      <c r="Y2691" s="209">
        <f t="shared" si="1663"/>
        <v>0</v>
      </c>
    </row>
    <row r="2692" spans="2:25" ht="60.75" hidden="1" thickTop="1" x14ac:dyDescent="0.25">
      <c r="B2692" s="60">
        <f>B2687</f>
        <v>7</v>
      </c>
      <c r="C2692" s="102">
        <v>48</v>
      </c>
      <c r="D2692" s="192" t="str">
        <f t="shared" si="1640"/>
        <v>Извън сезона</v>
      </c>
      <c r="E2692" s="172"/>
      <c r="F2692" s="173"/>
      <c r="G2692" s="173"/>
      <c r="H2692" s="174"/>
      <c r="I2692" s="174"/>
      <c r="J2692" s="172"/>
      <c r="K2692" s="175"/>
      <c r="L2692" s="174"/>
      <c r="M2692" s="174"/>
      <c r="N2692" s="176"/>
      <c r="O2692" s="177"/>
      <c r="P2692" s="178"/>
      <c r="Q2692" s="179"/>
      <c r="R2692" s="180"/>
      <c r="S2692" s="181"/>
      <c r="T2692" s="203">
        <f t="shared" si="1629"/>
        <v>43647</v>
      </c>
      <c r="U2692" s="204">
        <f t="shared" si="1630"/>
        <v>43677</v>
      </c>
      <c r="V2692" s="207">
        <f t="shared" si="1664"/>
        <v>0</v>
      </c>
      <c r="W2692" s="206" t="str">
        <f t="shared" si="1661"/>
        <v/>
      </c>
      <c r="X2692" s="206">
        <f t="shared" si="1662"/>
        <v>0</v>
      </c>
      <c r="Y2692" s="209">
        <f t="shared" si="1663"/>
        <v>0</v>
      </c>
    </row>
    <row r="2693" spans="2:25" ht="61.5" hidden="1" thickTop="1" thickBot="1" x14ac:dyDescent="0.3">
      <c r="B2693" s="141">
        <f>B2687</f>
        <v>7</v>
      </c>
      <c r="C2693" s="142">
        <v>49</v>
      </c>
      <c r="D2693" s="194" t="str">
        <f t="shared" si="1640"/>
        <v>Извън сезона</v>
      </c>
      <c r="E2693" s="189"/>
      <c r="F2693" s="190"/>
      <c r="G2693" s="190"/>
      <c r="H2693" s="182"/>
      <c r="I2693" s="182"/>
      <c r="J2693" s="436" t="s">
        <v>181</v>
      </c>
      <c r="K2693" s="437"/>
      <c r="L2693" s="438"/>
      <c r="M2693" s="182"/>
      <c r="N2693" s="183"/>
      <c r="O2693" s="184"/>
      <c r="P2693" s="185"/>
      <c r="Q2693" s="186"/>
      <c r="R2693" s="187"/>
      <c r="S2693" s="188"/>
      <c r="T2693" s="213">
        <f t="shared" si="1629"/>
        <v>43647</v>
      </c>
      <c r="U2693" s="214">
        <f t="shared" si="1630"/>
        <v>43677</v>
      </c>
      <c r="V2693" s="210">
        <f t="shared" si="1664"/>
        <v>0</v>
      </c>
      <c r="W2693" s="211"/>
      <c r="X2693" s="211">
        <f>IF(AND($V2693&gt;0,$I2693=1),IF($E2693=10,P2693/10,P2693/$V2693),0)</f>
        <v>0</v>
      </c>
      <c r="Y2693" s="212">
        <f>IF(AND($V2687&gt;0,$I2693&lt;&gt;1),Q2693/E2687*V2687,0)</f>
        <v>0</v>
      </c>
    </row>
    <row r="2694" spans="2:25" ht="60.75" hidden="1" thickTop="1" x14ac:dyDescent="0.25">
      <c r="B2694" s="129">
        <f>B2692+1</f>
        <v>8</v>
      </c>
      <c r="C2694" s="130">
        <v>50</v>
      </c>
      <c r="D2694" s="196" t="str">
        <f t="shared" si="1640"/>
        <v>Извън сезона</v>
      </c>
      <c r="E2694" s="131"/>
      <c r="F2694" s="132"/>
      <c r="G2694" s="132"/>
      <c r="H2694" s="133"/>
      <c r="I2694" s="133"/>
      <c r="J2694" s="131"/>
      <c r="K2694" s="134"/>
      <c r="L2694" s="133"/>
      <c r="M2694" s="133"/>
      <c r="N2694" s="135"/>
      <c r="O2694" s="136"/>
      <c r="P2694" s="137"/>
      <c r="Q2694" s="138"/>
      <c r="R2694" s="139"/>
      <c r="S2694" s="140"/>
      <c r="T2694" s="203">
        <f t="shared" si="1629"/>
        <v>43647</v>
      </c>
      <c r="U2694" s="204">
        <f t="shared" si="1630"/>
        <v>43677</v>
      </c>
      <c r="V2694" s="207">
        <f>IF(G2694-F2694+1-IF(G2694-U2694&gt;0,G2694-U2694,0)-IF(T2694-F2694&gt;0,T2694-F2694,0)&gt;0,G2694-F2694+1-IF(G2694-U2694&gt;0,G2694-U2694,0)-IF(T2694-F2694&gt;0,T2694-F2694,0),0)</f>
        <v>0</v>
      </c>
      <c r="W2694" s="206" t="str">
        <f t="shared" ref="W2694:W2699" si="1665">IF(V2694&gt;0,H2694,"")</f>
        <v/>
      </c>
      <c r="X2694" s="206">
        <f t="shared" ref="X2694:X2699" si="1666">IF(AND($V2694&gt;0,$I2694=1),P2694/$E2694*$V2694,0)</f>
        <v>0</v>
      </c>
      <c r="Y2694" s="209">
        <f t="shared" ref="Y2694:Y2699" si="1667">IF(AND($V2694&gt;0,$I2694&lt;&gt;1),Q2694/$E2694*$V2694,0)</f>
        <v>0</v>
      </c>
    </row>
    <row r="2695" spans="2:25" ht="60.75" hidden="1" thickTop="1" x14ac:dyDescent="0.25">
      <c r="B2695" s="60">
        <f>B2694</f>
        <v>8</v>
      </c>
      <c r="C2695" s="102">
        <v>51</v>
      </c>
      <c r="D2695" s="192" t="str">
        <f t="shared" si="1640"/>
        <v>Извън сезона</v>
      </c>
      <c r="E2695" s="62"/>
      <c r="F2695" s="105"/>
      <c r="G2695" s="105"/>
      <c r="H2695" s="61"/>
      <c r="I2695" s="61"/>
      <c r="J2695" s="62"/>
      <c r="K2695" s="63"/>
      <c r="L2695" s="61"/>
      <c r="M2695" s="61"/>
      <c r="N2695" s="111"/>
      <c r="O2695" s="112"/>
      <c r="P2695" s="113"/>
      <c r="Q2695" s="114"/>
      <c r="R2695" s="64"/>
      <c r="S2695" s="108"/>
      <c r="T2695" s="203">
        <f t="shared" si="1629"/>
        <v>43647</v>
      </c>
      <c r="U2695" s="204">
        <f t="shared" si="1630"/>
        <v>43677</v>
      </c>
      <c r="V2695" s="207">
        <f t="shared" ref="V2695:V2700" si="1668">IF(G2695-F2695+1-IF(G2695-U2695&gt;0,G2695-U2695,0)-IF(T2695-F2695&gt;0,T2695-F2695,0)&gt;0,G2695-F2695+1-IF(G2695-U2695&gt;0,G2695-U2695,0)-IF(T2695-F2695&gt;0,T2695-F2695,0),0)</f>
        <v>0</v>
      </c>
      <c r="W2695" s="206" t="str">
        <f t="shared" si="1665"/>
        <v/>
      </c>
      <c r="X2695" s="206">
        <f t="shared" si="1666"/>
        <v>0</v>
      </c>
      <c r="Y2695" s="209">
        <f t="shared" si="1667"/>
        <v>0</v>
      </c>
    </row>
    <row r="2696" spans="2:25" ht="60.75" hidden="1" thickTop="1" x14ac:dyDescent="0.25">
      <c r="B2696" s="60">
        <f>B2694</f>
        <v>8</v>
      </c>
      <c r="C2696" s="102">
        <v>52</v>
      </c>
      <c r="D2696" s="192" t="str">
        <f t="shared" si="1640"/>
        <v>Извън сезона</v>
      </c>
      <c r="E2696" s="62"/>
      <c r="F2696" s="105"/>
      <c r="G2696" s="105"/>
      <c r="H2696" s="61"/>
      <c r="I2696" s="61"/>
      <c r="J2696" s="62"/>
      <c r="K2696" s="63"/>
      <c r="L2696" s="61"/>
      <c r="M2696" s="61"/>
      <c r="N2696" s="111"/>
      <c r="O2696" s="112"/>
      <c r="P2696" s="113"/>
      <c r="Q2696" s="114"/>
      <c r="R2696" s="64"/>
      <c r="S2696" s="108"/>
      <c r="T2696" s="203">
        <f t="shared" si="1629"/>
        <v>43647</v>
      </c>
      <c r="U2696" s="204">
        <f t="shared" si="1630"/>
        <v>43677</v>
      </c>
      <c r="V2696" s="207">
        <f t="shared" si="1668"/>
        <v>0</v>
      </c>
      <c r="W2696" s="206" t="str">
        <f t="shared" si="1665"/>
        <v/>
      </c>
      <c r="X2696" s="206">
        <f t="shared" si="1666"/>
        <v>0</v>
      </c>
      <c r="Y2696" s="209">
        <f t="shared" si="1667"/>
        <v>0</v>
      </c>
    </row>
    <row r="2697" spans="2:25" ht="60.75" hidden="1" thickTop="1" x14ac:dyDescent="0.25">
      <c r="B2697" s="60">
        <f>B2694</f>
        <v>8</v>
      </c>
      <c r="C2697" s="102">
        <v>53</v>
      </c>
      <c r="D2697" s="192" t="str">
        <f t="shared" si="1640"/>
        <v>Извън сезона</v>
      </c>
      <c r="E2697" s="62"/>
      <c r="F2697" s="105"/>
      <c r="G2697" s="105"/>
      <c r="H2697" s="61"/>
      <c r="I2697" s="61"/>
      <c r="J2697" s="62"/>
      <c r="K2697" s="63"/>
      <c r="L2697" s="61"/>
      <c r="M2697" s="61"/>
      <c r="N2697" s="111"/>
      <c r="O2697" s="112"/>
      <c r="P2697" s="113"/>
      <c r="Q2697" s="114"/>
      <c r="R2697" s="64"/>
      <c r="S2697" s="108"/>
      <c r="T2697" s="203">
        <f t="shared" si="1629"/>
        <v>43647</v>
      </c>
      <c r="U2697" s="204">
        <f t="shared" si="1630"/>
        <v>43677</v>
      </c>
      <c r="V2697" s="207">
        <f t="shared" si="1668"/>
        <v>0</v>
      </c>
      <c r="W2697" s="206" t="str">
        <f t="shared" si="1665"/>
        <v/>
      </c>
      <c r="X2697" s="206">
        <f t="shared" si="1666"/>
        <v>0</v>
      </c>
      <c r="Y2697" s="209">
        <f t="shared" si="1667"/>
        <v>0</v>
      </c>
    </row>
    <row r="2698" spans="2:25" ht="60.75" hidden="1" thickTop="1" x14ac:dyDescent="0.25">
      <c r="B2698" s="60">
        <f>B2694</f>
        <v>8</v>
      </c>
      <c r="C2698" s="102">
        <v>54</v>
      </c>
      <c r="D2698" s="192" t="str">
        <f t="shared" si="1640"/>
        <v>Извън сезона</v>
      </c>
      <c r="E2698" s="62"/>
      <c r="F2698" s="105"/>
      <c r="G2698" s="105"/>
      <c r="H2698" s="61"/>
      <c r="I2698" s="61"/>
      <c r="J2698" s="62"/>
      <c r="K2698" s="63"/>
      <c r="L2698" s="61"/>
      <c r="M2698" s="61"/>
      <c r="N2698" s="111"/>
      <c r="O2698" s="112"/>
      <c r="P2698" s="113"/>
      <c r="Q2698" s="114"/>
      <c r="R2698" s="64"/>
      <c r="S2698" s="108"/>
      <c r="T2698" s="203">
        <f t="shared" si="1629"/>
        <v>43647</v>
      </c>
      <c r="U2698" s="204">
        <f t="shared" si="1630"/>
        <v>43677</v>
      </c>
      <c r="V2698" s="207">
        <f t="shared" si="1668"/>
        <v>0</v>
      </c>
      <c r="W2698" s="206" t="str">
        <f t="shared" si="1665"/>
        <v/>
      </c>
      <c r="X2698" s="206">
        <f t="shared" si="1666"/>
        <v>0</v>
      </c>
      <c r="Y2698" s="209">
        <f t="shared" si="1667"/>
        <v>0</v>
      </c>
    </row>
    <row r="2699" spans="2:25" ht="60.75" hidden="1" thickTop="1" x14ac:dyDescent="0.25">
      <c r="B2699" s="60">
        <f>B2694</f>
        <v>8</v>
      </c>
      <c r="C2699" s="102">
        <v>55</v>
      </c>
      <c r="D2699" s="192" t="str">
        <f t="shared" si="1640"/>
        <v>Извън сезона</v>
      </c>
      <c r="E2699" s="62"/>
      <c r="F2699" s="105"/>
      <c r="G2699" s="105"/>
      <c r="H2699" s="61"/>
      <c r="I2699" s="61"/>
      <c r="J2699" s="62"/>
      <c r="K2699" s="63"/>
      <c r="L2699" s="61"/>
      <c r="M2699" s="61"/>
      <c r="N2699" s="111"/>
      <c r="O2699" s="112"/>
      <c r="P2699" s="113"/>
      <c r="Q2699" s="114"/>
      <c r="R2699" s="64"/>
      <c r="S2699" s="108"/>
      <c r="T2699" s="203">
        <f t="shared" si="1629"/>
        <v>43647</v>
      </c>
      <c r="U2699" s="204">
        <f t="shared" si="1630"/>
        <v>43677</v>
      </c>
      <c r="V2699" s="207">
        <f t="shared" si="1668"/>
        <v>0</v>
      </c>
      <c r="W2699" s="206" t="str">
        <f t="shared" si="1665"/>
        <v/>
      </c>
      <c r="X2699" s="206">
        <f t="shared" si="1666"/>
        <v>0</v>
      </c>
      <c r="Y2699" s="209">
        <f t="shared" si="1667"/>
        <v>0</v>
      </c>
    </row>
    <row r="2700" spans="2:25" ht="61.5" hidden="1" thickTop="1" thickBot="1" x14ac:dyDescent="0.3">
      <c r="B2700" s="141">
        <f>B2694</f>
        <v>8</v>
      </c>
      <c r="C2700" s="142">
        <v>56</v>
      </c>
      <c r="D2700" s="194" t="str">
        <f t="shared" si="1640"/>
        <v>Извън сезона</v>
      </c>
      <c r="E2700" s="143"/>
      <c r="F2700" s="144"/>
      <c r="G2700" s="144"/>
      <c r="H2700" s="145"/>
      <c r="I2700" s="145"/>
      <c r="J2700" s="436" t="s">
        <v>181</v>
      </c>
      <c r="K2700" s="437"/>
      <c r="L2700" s="438"/>
      <c r="M2700" s="145"/>
      <c r="N2700" s="146"/>
      <c r="O2700" s="147"/>
      <c r="P2700" s="148"/>
      <c r="Q2700" s="149"/>
      <c r="R2700" s="150"/>
      <c r="S2700" s="151"/>
      <c r="T2700" s="213">
        <f t="shared" si="1629"/>
        <v>43647</v>
      </c>
      <c r="U2700" s="214">
        <f t="shared" si="1630"/>
        <v>43677</v>
      </c>
      <c r="V2700" s="210">
        <f t="shared" si="1668"/>
        <v>0</v>
      </c>
      <c r="W2700" s="211"/>
      <c r="X2700" s="211">
        <f>IF(AND($V2700&gt;0,$I2700=1),IF($E2700=10,P2700/10,P2700/$V2700),0)</f>
        <v>0</v>
      </c>
      <c r="Y2700" s="212">
        <f>IF(AND($V2694&gt;0,$I2700&lt;&gt;1),Q2700/E2694*V2694,0)</f>
        <v>0</v>
      </c>
    </row>
    <row r="2701" spans="2:25" ht="60.75" hidden="1" thickTop="1" x14ac:dyDescent="0.25">
      <c r="B2701" s="129">
        <f>B2699+1</f>
        <v>9</v>
      </c>
      <c r="C2701" s="130">
        <v>57</v>
      </c>
      <c r="D2701" s="196" t="str">
        <f t="shared" si="1640"/>
        <v>Извън сезона</v>
      </c>
      <c r="E2701" s="152"/>
      <c r="F2701" s="153"/>
      <c r="G2701" s="153"/>
      <c r="H2701" s="154"/>
      <c r="I2701" s="154"/>
      <c r="J2701" s="152"/>
      <c r="K2701" s="155"/>
      <c r="L2701" s="154"/>
      <c r="M2701" s="154"/>
      <c r="N2701" s="156"/>
      <c r="O2701" s="157"/>
      <c r="P2701" s="158"/>
      <c r="Q2701" s="159"/>
      <c r="R2701" s="160"/>
      <c r="S2701" s="161"/>
      <c r="T2701" s="203">
        <f t="shared" ref="T2701:T2764" si="1669">$F$4</f>
        <v>43647</v>
      </c>
      <c r="U2701" s="204">
        <f t="shared" ref="U2701:U2764" si="1670">$G$4</f>
        <v>43677</v>
      </c>
      <c r="V2701" s="207">
        <f>IF(G2701-F2701+1-IF(G2701-U2701&gt;0,G2701-U2701,0)-IF(T2701-F2701&gt;0,T2701-F2701,0)&gt;0,G2701-F2701+1-IF(G2701-U2701&gt;0,G2701-U2701,0)-IF(T2701-F2701&gt;0,T2701-F2701,0),0)</f>
        <v>0</v>
      </c>
      <c r="W2701" s="206" t="str">
        <f t="shared" ref="W2701:W2706" si="1671">IF(V2701&gt;0,H2701,"")</f>
        <v/>
      </c>
      <c r="X2701" s="206">
        <f t="shared" ref="X2701:X2706" si="1672">IF(AND($V2701&gt;0,$I2701=1),P2701/$E2701*$V2701,0)</f>
        <v>0</v>
      </c>
      <c r="Y2701" s="209">
        <f t="shared" ref="Y2701:Y2706" si="1673">IF(AND($V2701&gt;0,$I2701&lt;&gt;1),Q2701/$E2701*$V2701,0)</f>
        <v>0</v>
      </c>
    </row>
    <row r="2702" spans="2:25" ht="60.75" hidden="1" thickTop="1" x14ac:dyDescent="0.25">
      <c r="B2702" s="60">
        <f>B2701</f>
        <v>9</v>
      </c>
      <c r="C2702" s="102">
        <v>58</v>
      </c>
      <c r="D2702" s="192" t="str">
        <f t="shared" si="1640"/>
        <v>Извън сезона</v>
      </c>
      <c r="E2702" s="162"/>
      <c r="F2702" s="163"/>
      <c r="G2702" s="163"/>
      <c r="H2702" s="164"/>
      <c r="I2702" s="164"/>
      <c r="J2702" s="162"/>
      <c r="K2702" s="165"/>
      <c r="L2702" s="164"/>
      <c r="M2702" s="164"/>
      <c r="N2702" s="166"/>
      <c r="O2702" s="167"/>
      <c r="P2702" s="168"/>
      <c r="Q2702" s="169"/>
      <c r="R2702" s="170"/>
      <c r="S2702" s="171"/>
      <c r="T2702" s="203">
        <f t="shared" si="1669"/>
        <v>43647</v>
      </c>
      <c r="U2702" s="204">
        <f t="shared" si="1670"/>
        <v>43677</v>
      </c>
      <c r="V2702" s="207">
        <f t="shared" ref="V2702:V2707" si="1674">IF(G2702-F2702+1-IF(G2702-U2702&gt;0,G2702-U2702,0)-IF(T2702-F2702&gt;0,T2702-F2702,0)&gt;0,G2702-F2702+1-IF(G2702-U2702&gt;0,G2702-U2702,0)-IF(T2702-F2702&gt;0,T2702-F2702,0),0)</f>
        <v>0</v>
      </c>
      <c r="W2702" s="206" t="str">
        <f t="shared" si="1671"/>
        <v/>
      </c>
      <c r="X2702" s="206">
        <f t="shared" si="1672"/>
        <v>0</v>
      </c>
      <c r="Y2702" s="209">
        <f t="shared" si="1673"/>
        <v>0</v>
      </c>
    </row>
    <row r="2703" spans="2:25" ht="60.75" hidden="1" thickTop="1" x14ac:dyDescent="0.25">
      <c r="B2703" s="60">
        <f>B2701</f>
        <v>9</v>
      </c>
      <c r="C2703" s="102">
        <v>59</v>
      </c>
      <c r="D2703" s="192" t="str">
        <f t="shared" si="1640"/>
        <v>Извън сезона</v>
      </c>
      <c r="E2703" s="162"/>
      <c r="F2703" s="163"/>
      <c r="G2703" s="163"/>
      <c r="H2703" s="164"/>
      <c r="I2703" s="164"/>
      <c r="J2703" s="162"/>
      <c r="K2703" s="165"/>
      <c r="L2703" s="164"/>
      <c r="M2703" s="164"/>
      <c r="N2703" s="166"/>
      <c r="O2703" s="167"/>
      <c r="P2703" s="168"/>
      <c r="Q2703" s="169"/>
      <c r="R2703" s="170"/>
      <c r="S2703" s="171"/>
      <c r="T2703" s="203">
        <f t="shared" si="1669"/>
        <v>43647</v>
      </c>
      <c r="U2703" s="204">
        <f t="shared" si="1670"/>
        <v>43677</v>
      </c>
      <c r="V2703" s="207">
        <f t="shared" si="1674"/>
        <v>0</v>
      </c>
      <c r="W2703" s="206" t="str">
        <f t="shared" si="1671"/>
        <v/>
      </c>
      <c r="X2703" s="206">
        <f t="shared" si="1672"/>
        <v>0</v>
      </c>
      <c r="Y2703" s="209">
        <f t="shared" si="1673"/>
        <v>0</v>
      </c>
    </row>
    <row r="2704" spans="2:25" ht="60.75" hidden="1" thickTop="1" x14ac:dyDescent="0.25">
      <c r="B2704" s="60">
        <f>B2701</f>
        <v>9</v>
      </c>
      <c r="C2704" s="102">
        <v>60</v>
      </c>
      <c r="D2704" s="192" t="str">
        <f t="shared" si="1640"/>
        <v>Извън сезона</v>
      </c>
      <c r="E2704" s="162"/>
      <c r="F2704" s="163"/>
      <c r="G2704" s="163"/>
      <c r="H2704" s="164"/>
      <c r="I2704" s="164"/>
      <c r="J2704" s="162"/>
      <c r="K2704" s="165"/>
      <c r="L2704" s="164"/>
      <c r="M2704" s="164"/>
      <c r="N2704" s="166"/>
      <c r="O2704" s="167"/>
      <c r="P2704" s="168"/>
      <c r="Q2704" s="169"/>
      <c r="R2704" s="170"/>
      <c r="S2704" s="171"/>
      <c r="T2704" s="203">
        <f t="shared" si="1669"/>
        <v>43647</v>
      </c>
      <c r="U2704" s="204">
        <f t="shared" si="1670"/>
        <v>43677</v>
      </c>
      <c r="V2704" s="207">
        <f t="shared" si="1674"/>
        <v>0</v>
      </c>
      <c r="W2704" s="206" t="str">
        <f t="shared" si="1671"/>
        <v/>
      </c>
      <c r="X2704" s="206">
        <f t="shared" si="1672"/>
        <v>0</v>
      </c>
      <c r="Y2704" s="209">
        <f t="shared" si="1673"/>
        <v>0</v>
      </c>
    </row>
    <row r="2705" spans="2:25" ht="60.75" hidden="1" thickTop="1" x14ac:dyDescent="0.25">
      <c r="B2705" s="60">
        <f>B2701</f>
        <v>9</v>
      </c>
      <c r="C2705" s="102">
        <v>61</v>
      </c>
      <c r="D2705" s="192" t="str">
        <f t="shared" si="1640"/>
        <v>Извън сезона</v>
      </c>
      <c r="E2705" s="162"/>
      <c r="F2705" s="163"/>
      <c r="G2705" s="163"/>
      <c r="H2705" s="164"/>
      <c r="I2705" s="164"/>
      <c r="J2705" s="162"/>
      <c r="K2705" s="165"/>
      <c r="L2705" s="164"/>
      <c r="M2705" s="164"/>
      <c r="N2705" s="166"/>
      <c r="O2705" s="167"/>
      <c r="P2705" s="168"/>
      <c r="Q2705" s="169"/>
      <c r="R2705" s="170"/>
      <c r="S2705" s="171"/>
      <c r="T2705" s="203">
        <f t="shared" si="1669"/>
        <v>43647</v>
      </c>
      <c r="U2705" s="204">
        <f t="shared" si="1670"/>
        <v>43677</v>
      </c>
      <c r="V2705" s="207">
        <f t="shared" si="1674"/>
        <v>0</v>
      </c>
      <c r="W2705" s="206" t="str">
        <f t="shared" si="1671"/>
        <v/>
      </c>
      <c r="X2705" s="206">
        <f t="shared" si="1672"/>
        <v>0</v>
      </c>
      <c r="Y2705" s="209">
        <f t="shared" si="1673"/>
        <v>0</v>
      </c>
    </row>
    <row r="2706" spans="2:25" ht="60.75" hidden="1" thickTop="1" x14ac:dyDescent="0.25">
      <c r="B2706" s="60">
        <f>B2701</f>
        <v>9</v>
      </c>
      <c r="C2706" s="102">
        <v>62</v>
      </c>
      <c r="D2706" s="192" t="str">
        <f t="shared" si="1640"/>
        <v>Извън сезона</v>
      </c>
      <c r="E2706" s="172"/>
      <c r="F2706" s="173"/>
      <c r="G2706" s="173"/>
      <c r="H2706" s="174"/>
      <c r="I2706" s="174"/>
      <c r="J2706" s="172"/>
      <c r="K2706" s="175"/>
      <c r="L2706" s="174"/>
      <c r="M2706" s="174"/>
      <c r="N2706" s="176"/>
      <c r="O2706" s="177"/>
      <c r="P2706" s="178"/>
      <c r="Q2706" s="179"/>
      <c r="R2706" s="180"/>
      <c r="S2706" s="181"/>
      <c r="T2706" s="203">
        <f t="shared" si="1669"/>
        <v>43647</v>
      </c>
      <c r="U2706" s="204">
        <f t="shared" si="1670"/>
        <v>43677</v>
      </c>
      <c r="V2706" s="207">
        <f t="shared" si="1674"/>
        <v>0</v>
      </c>
      <c r="W2706" s="206" t="str">
        <f t="shared" si="1671"/>
        <v/>
      </c>
      <c r="X2706" s="206">
        <f t="shared" si="1672"/>
        <v>0</v>
      </c>
      <c r="Y2706" s="209">
        <f t="shared" si="1673"/>
        <v>0</v>
      </c>
    </row>
    <row r="2707" spans="2:25" ht="61.5" hidden="1" thickTop="1" thickBot="1" x14ac:dyDescent="0.3">
      <c r="B2707" s="141">
        <f>B2701</f>
        <v>9</v>
      </c>
      <c r="C2707" s="142">
        <v>63</v>
      </c>
      <c r="D2707" s="194" t="str">
        <f t="shared" si="1640"/>
        <v>Извън сезона</v>
      </c>
      <c r="E2707" s="189"/>
      <c r="F2707" s="190"/>
      <c r="G2707" s="190"/>
      <c r="H2707" s="182"/>
      <c r="I2707" s="182"/>
      <c r="J2707" s="436" t="s">
        <v>181</v>
      </c>
      <c r="K2707" s="437"/>
      <c r="L2707" s="438"/>
      <c r="M2707" s="182"/>
      <c r="N2707" s="183"/>
      <c r="O2707" s="184"/>
      <c r="P2707" s="185"/>
      <c r="Q2707" s="186"/>
      <c r="R2707" s="187"/>
      <c r="S2707" s="188"/>
      <c r="T2707" s="213">
        <f t="shared" si="1669"/>
        <v>43647</v>
      </c>
      <c r="U2707" s="214">
        <f t="shared" si="1670"/>
        <v>43677</v>
      </c>
      <c r="V2707" s="210">
        <f t="shared" si="1674"/>
        <v>0</v>
      </c>
      <c r="W2707" s="211"/>
      <c r="X2707" s="211">
        <f>IF(AND($V2707&gt;0,$I2707=1),IF($E2707=10,P2707/10,P2707/$V2707),0)</f>
        <v>0</v>
      </c>
      <c r="Y2707" s="212">
        <f>IF(AND($V2701&gt;0,$I2707&lt;&gt;1),Q2707/E2701*V2701,0)</f>
        <v>0</v>
      </c>
    </row>
    <row r="2708" spans="2:25" ht="60.75" hidden="1" thickTop="1" x14ac:dyDescent="0.25">
      <c r="B2708" s="129">
        <f>B2706+1</f>
        <v>10</v>
      </c>
      <c r="C2708" s="130">
        <v>64</v>
      </c>
      <c r="D2708" s="196" t="str">
        <f t="shared" si="1640"/>
        <v>Извън сезона</v>
      </c>
      <c r="E2708" s="131"/>
      <c r="F2708" s="132"/>
      <c r="G2708" s="132"/>
      <c r="H2708" s="133"/>
      <c r="I2708" s="133"/>
      <c r="J2708" s="131"/>
      <c r="K2708" s="134"/>
      <c r="L2708" s="133"/>
      <c r="M2708" s="133"/>
      <c r="N2708" s="135"/>
      <c r="O2708" s="136"/>
      <c r="P2708" s="137"/>
      <c r="Q2708" s="138"/>
      <c r="R2708" s="139"/>
      <c r="S2708" s="140"/>
      <c r="T2708" s="203">
        <f t="shared" si="1669"/>
        <v>43647</v>
      </c>
      <c r="U2708" s="204">
        <f t="shared" si="1670"/>
        <v>43677</v>
      </c>
      <c r="V2708" s="207">
        <f>IF(G2708-F2708+1-IF(G2708-U2708&gt;0,G2708-U2708,0)-IF(T2708-F2708&gt;0,T2708-F2708,0)&gt;0,G2708-F2708+1-IF(G2708-U2708&gt;0,G2708-U2708,0)-IF(T2708-F2708&gt;0,T2708-F2708,0),0)</f>
        <v>0</v>
      </c>
      <c r="W2708" s="206" t="str">
        <f t="shared" ref="W2708:W2713" si="1675">IF(V2708&gt;0,H2708,"")</f>
        <v/>
      </c>
      <c r="X2708" s="206">
        <f t="shared" ref="X2708:X2713" si="1676">IF(AND($V2708&gt;0,$I2708=1),P2708/$E2708*$V2708,0)</f>
        <v>0</v>
      </c>
      <c r="Y2708" s="209">
        <f t="shared" ref="Y2708:Y2713" si="1677">IF(AND($V2708&gt;0,$I2708&lt;&gt;1),Q2708/$E2708*$V2708,0)</f>
        <v>0</v>
      </c>
    </row>
    <row r="2709" spans="2:25" ht="60.75" hidden="1" thickTop="1" x14ac:dyDescent="0.25">
      <c r="B2709" s="60">
        <f>B2708</f>
        <v>10</v>
      </c>
      <c r="C2709" s="102">
        <v>65</v>
      </c>
      <c r="D2709" s="192" t="str">
        <f t="shared" si="1640"/>
        <v>Извън сезона</v>
      </c>
      <c r="E2709" s="62"/>
      <c r="F2709" s="105"/>
      <c r="G2709" s="105"/>
      <c r="H2709" s="61"/>
      <c r="I2709" s="61"/>
      <c r="J2709" s="62"/>
      <c r="K2709" s="63"/>
      <c r="L2709" s="61"/>
      <c r="M2709" s="61"/>
      <c r="N2709" s="111"/>
      <c r="O2709" s="112"/>
      <c r="P2709" s="113"/>
      <c r="Q2709" s="114"/>
      <c r="R2709" s="64"/>
      <c r="S2709" s="108"/>
      <c r="T2709" s="203">
        <f t="shared" si="1669"/>
        <v>43647</v>
      </c>
      <c r="U2709" s="204">
        <f t="shared" si="1670"/>
        <v>43677</v>
      </c>
      <c r="V2709" s="207">
        <f t="shared" ref="V2709:V2714" si="1678">IF(G2709-F2709+1-IF(G2709-U2709&gt;0,G2709-U2709,0)-IF(T2709-F2709&gt;0,T2709-F2709,0)&gt;0,G2709-F2709+1-IF(G2709-U2709&gt;0,G2709-U2709,0)-IF(T2709-F2709&gt;0,T2709-F2709,0),0)</f>
        <v>0</v>
      </c>
      <c r="W2709" s="206" t="str">
        <f t="shared" si="1675"/>
        <v/>
      </c>
      <c r="X2709" s="206">
        <f t="shared" si="1676"/>
        <v>0</v>
      </c>
      <c r="Y2709" s="209">
        <f t="shared" si="1677"/>
        <v>0</v>
      </c>
    </row>
    <row r="2710" spans="2:25" ht="60.75" hidden="1" thickTop="1" x14ac:dyDescent="0.25">
      <c r="B2710" s="60">
        <f>B2708</f>
        <v>10</v>
      </c>
      <c r="C2710" s="102">
        <v>66</v>
      </c>
      <c r="D2710" s="192" t="str">
        <f t="shared" si="1640"/>
        <v>Извън сезона</v>
      </c>
      <c r="E2710" s="62"/>
      <c r="F2710" s="105"/>
      <c r="G2710" s="105"/>
      <c r="H2710" s="61"/>
      <c r="I2710" s="61"/>
      <c r="J2710" s="62"/>
      <c r="K2710" s="63"/>
      <c r="L2710" s="61"/>
      <c r="M2710" s="61"/>
      <c r="N2710" s="111"/>
      <c r="O2710" s="112"/>
      <c r="P2710" s="113"/>
      <c r="Q2710" s="114"/>
      <c r="R2710" s="64"/>
      <c r="S2710" s="108"/>
      <c r="T2710" s="203">
        <f t="shared" si="1669"/>
        <v>43647</v>
      </c>
      <c r="U2710" s="204">
        <f t="shared" si="1670"/>
        <v>43677</v>
      </c>
      <c r="V2710" s="207">
        <f t="shared" si="1678"/>
        <v>0</v>
      </c>
      <c r="W2710" s="206" t="str">
        <f t="shared" si="1675"/>
        <v/>
      </c>
      <c r="X2710" s="206">
        <f t="shared" si="1676"/>
        <v>0</v>
      </c>
      <c r="Y2710" s="209">
        <f t="shared" si="1677"/>
        <v>0</v>
      </c>
    </row>
    <row r="2711" spans="2:25" ht="60.75" hidden="1" thickTop="1" x14ac:dyDescent="0.25">
      <c r="B2711" s="60">
        <f>B2708</f>
        <v>10</v>
      </c>
      <c r="C2711" s="102">
        <v>67</v>
      </c>
      <c r="D2711" s="192" t="str">
        <f t="shared" ref="D2711:D2774" si="1679">D2710</f>
        <v>Извън сезона</v>
      </c>
      <c r="E2711" s="62"/>
      <c r="F2711" s="105"/>
      <c r="G2711" s="105"/>
      <c r="H2711" s="61"/>
      <c r="I2711" s="61"/>
      <c r="J2711" s="62"/>
      <c r="K2711" s="63"/>
      <c r="L2711" s="61"/>
      <c r="M2711" s="61"/>
      <c r="N2711" s="111"/>
      <c r="O2711" s="112"/>
      <c r="P2711" s="113"/>
      <c r="Q2711" s="114"/>
      <c r="R2711" s="64"/>
      <c r="S2711" s="108"/>
      <c r="T2711" s="203">
        <f t="shared" si="1669"/>
        <v>43647</v>
      </c>
      <c r="U2711" s="204">
        <f t="shared" si="1670"/>
        <v>43677</v>
      </c>
      <c r="V2711" s="207">
        <f t="shared" si="1678"/>
        <v>0</v>
      </c>
      <c r="W2711" s="206" t="str">
        <f t="shared" si="1675"/>
        <v/>
      </c>
      <c r="X2711" s="206">
        <f t="shared" si="1676"/>
        <v>0</v>
      </c>
      <c r="Y2711" s="209">
        <f t="shared" si="1677"/>
        <v>0</v>
      </c>
    </row>
    <row r="2712" spans="2:25" ht="60.75" hidden="1" thickTop="1" x14ac:dyDescent="0.25">
      <c r="B2712" s="60">
        <f>B2708</f>
        <v>10</v>
      </c>
      <c r="C2712" s="102">
        <v>68</v>
      </c>
      <c r="D2712" s="192" t="str">
        <f t="shared" si="1679"/>
        <v>Извън сезона</v>
      </c>
      <c r="E2712" s="62"/>
      <c r="F2712" s="105"/>
      <c r="G2712" s="105"/>
      <c r="H2712" s="61"/>
      <c r="I2712" s="61"/>
      <c r="J2712" s="62"/>
      <c r="K2712" s="63"/>
      <c r="L2712" s="61"/>
      <c r="M2712" s="61"/>
      <c r="N2712" s="111"/>
      <c r="O2712" s="112"/>
      <c r="P2712" s="113"/>
      <c r="Q2712" s="114"/>
      <c r="R2712" s="64"/>
      <c r="S2712" s="108"/>
      <c r="T2712" s="203">
        <f t="shared" si="1669"/>
        <v>43647</v>
      </c>
      <c r="U2712" s="204">
        <f t="shared" si="1670"/>
        <v>43677</v>
      </c>
      <c r="V2712" s="207">
        <f t="shared" si="1678"/>
        <v>0</v>
      </c>
      <c r="W2712" s="206" t="str">
        <f t="shared" si="1675"/>
        <v/>
      </c>
      <c r="X2712" s="206">
        <f t="shared" si="1676"/>
        <v>0</v>
      </c>
      <c r="Y2712" s="209">
        <f t="shared" si="1677"/>
        <v>0</v>
      </c>
    </row>
    <row r="2713" spans="2:25" ht="60.75" hidden="1" thickTop="1" x14ac:dyDescent="0.25">
      <c r="B2713" s="60">
        <f>B2708</f>
        <v>10</v>
      </c>
      <c r="C2713" s="102">
        <v>69</v>
      </c>
      <c r="D2713" s="192" t="str">
        <f t="shared" si="1679"/>
        <v>Извън сезона</v>
      </c>
      <c r="E2713" s="62"/>
      <c r="F2713" s="105"/>
      <c r="G2713" s="105"/>
      <c r="H2713" s="61"/>
      <c r="I2713" s="61"/>
      <c r="J2713" s="62"/>
      <c r="K2713" s="63"/>
      <c r="L2713" s="61"/>
      <c r="M2713" s="61"/>
      <c r="N2713" s="111"/>
      <c r="O2713" s="112"/>
      <c r="P2713" s="113"/>
      <c r="Q2713" s="114"/>
      <c r="R2713" s="64"/>
      <c r="S2713" s="108"/>
      <c r="T2713" s="203">
        <f t="shared" si="1669"/>
        <v>43647</v>
      </c>
      <c r="U2713" s="204">
        <f t="shared" si="1670"/>
        <v>43677</v>
      </c>
      <c r="V2713" s="207">
        <f t="shared" si="1678"/>
        <v>0</v>
      </c>
      <c r="W2713" s="206" t="str">
        <f t="shared" si="1675"/>
        <v/>
      </c>
      <c r="X2713" s="206">
        <f t="shared" si="1676"/>
        <v>0</v>
      </c>
      <c r="Y2713" s="209">
        <f t="shared" si="1677"/>
        <v>0</v>
      </c>
    </row>
    <row r="2714" spans="2:25" ht="61.5" hidden="1" thickTop="1" thickBot="1" x14ac:dyDescent="0.3">
      <c r="B2714" s="141">
        <f>B2708</f>
        <v>10</v>
      </c>
      <c r="C2714" s="142">
        <v>70</v>
      </c>
      <c r="D2714" s="194" t="str">
        <f t="shared" si="1679"/>
        <v>Извън сезона</v>
      </c>
      <c r="E2714" s="143"/>
      <c r="F2714" s="144"/>
      <c r="G2714" s="144"/>
      <c r="H2714" s="145"/>
      <c r="I2714" s="145"/>
      <c r="J2714" s="436" t="s">
        <v>181</v>
      </c>
      <c r="K2714" s="437"/>
      <c r="L2714" s="438"/>
      <c r="M2714" s="145"/>
      <c r="N2714" s="146"/>
      <c r="O2714" s="147"/>
      <c r="P2714" s="148"/>
      <c r="Q2714" s="149"/>
      <c r="R2714" s="150"/>
      <c r="S2714" s="151"/>
      <c r="T2714" s="213">
        <f t="shared" si="1669"/>
        <v>43647</v>
      </c>
      <c r="U2714" s="214">
        <f t="shared" si="1670"/>
        <v>43677</v>
      </c>
      <c r="V2714" s="210">
        <f t="shared" si="1678"/>
        <v>0</v>
      </c>
      <c r="W2714" s="211"/>
      <c r="X2714" s="211">
        <f>IF(AND($V2714&gt;0,$I2714=1),IF($E2714=10,P2714/10,P2714/$V2714),0)</f>
        <v>0</v>
      </c>
      <c r="Y2714" s="212">
        <f>IF(AND($V2708&gt;0,$I2714&lt;&gt;1),Q2714/E2708*V2708,0)</f>
        <v>0</v>
      </c>
    </row>
    <row r="2715" spans="2:25" ht="60.75" hidden="1" thickTop="1" x14ac:dyDescent="0.25">
      <c r="B2715" s="129">
        <f>B2713+1</f>
        <v>11</v>
      </c>
      <c r="C2715" s="130">
        <v>71</v>
      </c>
      <c r="D2715" s="196" t="str">
        <f t="shared" si="1679"/>
        <v>Извън сезона</v>
      </c>
      <c r="E2715" s="152"/>
      <c r="F2715" s="153"/>
      <c r="G2715" s="153"/>
      <c r="H2715" s="154"/>
      <c r="I2715" s="154"/>
      <c r="J2715" s="152"/>
      <c r="K2715" s="155"/>
      <c r="L2715" s="154"/>
      <c r="M2715" s="154"/>
      <c r="N2715" s="156"/>
      <c r="O2715" s="157"/>
      <c r="P2715" s="158"/>
      <c r="Q2715" s="159"/>
      <c r="R2715" s="160"/>
      <c r="S2715" s="161"/>
      <c r="T2715" s="203">
        <f t="shared" si="1669"/>
        <v>43647</v>
      </c>
      <c r="U2715" s="204">
        <f t="shared" si="1670"/>
        <v>43677</v>
      </c>
      <c r="V2715" s="207">
        <f>IF(G2715-F2715+1-IF(G2715-U2715&gt;0,G2715-U2715,0)-IF(T2715-F2715&gt;0,T2715-F2715,0)&gt;0,G2715-F2715+1-IF(G2715-U2715&gt;0,G2715-U2715,0)-IF(T2715-F2715&gt;0,T2715-F2715,0),0)</f>
        <v>0</v>
      </c>
      <c r="W2715" s="206" t="str">
        <f t="shared" ref="W2715:W2720" si="1680">IF(V2715&gt;0,H2715,"")</f>
        <v/>
      </c>
      <c r="X2715" s="206">
        <f t="shared" ref="X2715:X2720" si="1681">IF(AND($V2715&gt;0,$I2715=1),P2715/$E2715*$V2715,0)</f>
        <v>0</v>
      </c>
      <c r="Y2715" s="209">
        <f t="shared" ref="Y2715:Y2720" si="1682">IF(AND($V2715&gt;0,$I2715&lt;&gt;1),Q2715/$E2715*$V2715,0)</f>
        <v>0</v>
      </c>
    </row>
    <row r="2716" spans="2:25" ht="60.75" hidden="1" thickTop="1" x14ac:dyDescent="0.25">
      <c r="B2716" s="60">
        <f>B2715</f>
        <v>11</v>
      </c>
      <c r="C2716" s="102">
        <v>72</v>
      </c>
      <c r="D2716" s="192" t="str">
        <f t="shared" si="1679"/>
        <v>Извън сезона</v>
      </c>
      <c r="E2716" s="162"/>
      <c r="F2716" s="163"/>
      <c r="G2716" s="163"/>
      <c r="H2716" s="164"/>
      <c r="I2716" s="164"/>
      <c r="J2716" s="162"/>
      <c r="K2716" s="165"/>
      <c r="L2716" s="164"/>
      <c r="M2716" s="164"/>
      <c r="N2716" s="166"/>
      <c r="O2716" s="167"/>
      <c r="P2716" s="168"/>
      <c r="Q2716" s="169"/>
      <c r="R2716" s="170"/>
      <c r="S2716" s="171"/>
      <c r="T2716" s="203">
        <f t="shared" si="1669"/>
        <v>43647</v>
      </c>
      <c r="U2716" s="204">
        <f t="shared" si="1670"/>
        <v>43677</v>
      </c>
      <c r="V2716" s="207">
        <f t="shared" ref="V2716:V2721" si="1683">IF(G2716-F2716+1-IF(G2716-U2716&gt;0,G2716-U2716,0)-IF(T2716-F2716&gt;0,T2716-F2716,0)&gt;0,G2716-F2716+1-IF(G2716-U2716&gt;0,G2716-U2716,0)-IF(T2716-F2716&gt;0,T2716-F2716,0),0)</f>
        <v>0</v>
      </c>
      <c r="W2716" s="206" t="str">
        <f t="shared" si="1680"/>
        <v/>
      </c>
      <c r="X2716" s="206">
        <f t="shared" si="1681"/>
        <v>0</v>
      </c>
      <c r="Y2716" s="209">
        <f t="shared" si="1682"/>
        <v>0</v>
      </c>
    </row>
    <row r="2717" spans="2:25" ht="60.75" hidden="1" thickTop="1" x14ac:dyDescent="0.25">
      <c r="B2717" s="60">
        <f>B2715</f>
        <v>11</v>
      </c>
      <c r="C2717" s="102">
        <v>73</v>
      </c>
      <c r="D2717" s="192" t="str">
        <f t="shared" si="1679"/>
        <v>Извън сезона</v>
      </c>
      <c r="E2717" s="162"/>
      <c r="F2717" s="163"/>
      <c r="G2717" s="163"/>
      <c r="H2717" s="164"/>
      <c r="I2717" s="164"/>
      <c r="J2717" s="162"/>
      <c r="K2717" s="165"/>
      <c r="L2717" s="164"/>
      <c r="M2717" s="164"/>
      <c r="N2717" s="166"/>
      <c r="O2717" s="167"/>
      <c r="P2717" s="168"/>
      <c r="Q2717" s="169"/>
      <c r="R2717" s="170"/>
      <c r="S2717" s="171"/>
      <c r="T2717" s="203">
        <f t="shared" si="1669"/>
        <v>43647</v>
      </c>
      <c r="U2717" s="204">
        <f t="shared" si="1670"/>
        <v>43677</v>
      </c>
      <c r="V2717" s="207">
        <f t="shared" si="1683"/>
        <v>0</v>
      </c>
      <c r="W2717" s="206" t="str">
        <f t="shared" si="1680"/>
        <v/>
      </c>
      <c r="X2717" s="206">
        <f t="shared" si="1681"/>
        <v>0</v>
      </c>
      <c r="Y2717" s="209">
        <f t="shared" si="1682"/>
        <v>0</v>
      </c>
    </row>
    <row r="2718" spans="2:25" ht="60.75" hidden="1" thickTop="1" x14ac:dyDescent="0.25">
      <c r="B2718" s="60">
        <f>B2715</f>
        <v>11</v>
      </c>
      <c r="C2718" s="102">
        <v>74</v>
      </c>
      <c r="D2718" s="192" t="str">
        <f t="shared" si="1679"/>
        <v>Извън сезона</v>
      </c>
      <c r="E2718" s="162"/>
      <c r="F2718" s="163"/>
      <c r="G2718" s="163"/>
      <c r="H2718" s="164"/>
      <c r="I2718" s="164"/>
      <c r="J2718" s="162"/>
      <c r="K2718" s="165"/>
      <c r="L2718" s="164"/>
      <c r="M2718" s="164"/>
      <c r="N2718" s="166"/>
      <c r="O2718" s="167"/>
      <c r="P2718" s="168"/>
      <c r="Q2718" s="169"/>
      <c r="R2718" s="170"/>
      <c r="S2718" s="171"/>
      <c r="T2718" s="203">
        <f t="shared" si="1669"/>
        <v>43647</v>
      </c>
      <c r="U2718" s="204">
        <f t="shared" si="1670"/>
        <v>43677</v>
      </c>
      <c r="V2718" s="207">
        <f t="shared" si="1683"/>
        <v>0</v>
      </c>
      <c r="W2718" s="206" t="str">
        <f t="shared" si="1680"/>
        <v/>
      </c>
      <c r="X2718" s="206">
        <f t="shared" si="1681"/>
        <v>0</v>
      </c>
      <c r="Y2718" s="209">
        <f t="shared" si="1682"/>
        <v>0</v>
      </c>
    </row>
    <row r="2719" spans="2:25" ht="60.75" hidden="1" thickTop="1" x14ac:dyDescent="0.25">
      <c r="B2719" s="60">
        <f>B2715</f>
        <v>11</v>
      </c>
      <c r="C2719" s="102">
        <v>75</v>
      </c>
      <c r="D2719" s="192" t="str">
        <f t="shared" si="1679"/>
        <v>Извън сезона</v>
      </c>
      <c r="E2719" s="162"/>
      <c r="F2719" s="163"/>
      <c r="G2719" s="163"/>
      <c r="H2719" s="164"/>
      <c r="I2719" s="164"/>
      <c r="J2719" s="162"/>
      <c r="K2719" s="165"/>
      <c r="L2719" s="164"/>
      <c r="M2719" s="164"/>
      <c r="N2719" s="166"/>
      <c r="O2719" s="167"/>
      <c r="P2719" s="168"/>
      <c r="Q2719" s="169"/>
      <c r="R2719" s="170"/>
      <c r="S2719" s="171"/>
      <c r="T2719" s="203">
        <f t="shared" si="1669"/>
        <v>43647</v>
      </c>
      <c r="U2719" s="204">
        <f t="shared" si="1670"/>
        <v>43677</v>
      </c>
      <c r="V2719" s="207">
        <f t="shared" si="1683"/>
        <v>0</v>
      </c>
      <c r="W2719" s="206" t="str">
        <f t="shared" si="1680"/>
        <v/>
      </c>
      <c r="X2719" s="206">
        <f t="shared" si="1681"/>
        <v>0</v>
      </c>
      <c r="Y2719" s="209">
        <f t="shared" si="1682"/>
        <v>0</v>
      </c>
    </row>
    <row r="2720" spans="2:25" ht="60.75" hidden="1" thickTop="1" x14ac:dyDescent="0.25">
      <c r="B2720" s="60">
        <f>B2715</f>
        <v>11</v>
      </c>
      <c r="C2720" s="102">
        <v>76</v>
      </c>
      <c r="D2720" s="192" t="str">
        <f t="shared" si="1679"/>
        <v>Извън сезона</v>
      </c>
      <c r="E2720" s="172"/>
      <c r="F2720" s="173"/>
      <c r="G2720" s="173"/>
      <c r="H2720" s="174"/>
      <c r="I2720" s="174"/>
      <c r="J2720" s="172"/>
      <c r="K2720" s="175"/>
      <c r="L2720" s="174"/>
      <c r="M2720" s="174"/>
      <c r="N2720" s="176"/>
      <c r="O2720" s="177"/>
      <c r="P2720" s="178"/>
      <c r="Q2720" s="179"/>
      <c r="R2720" s="180"/>
      <c r="S2720" s="181"/>
      <c r="T2720" s="203">
        <f t="shared" si="1669"/>
        <v>43647</v>
      </c>
      <c r="U2720" s="204">
        <f t="shared" si="1670"/>
        <v>43677</v>
      </c>
      <c r="V2720" s="207">
        <f t="shared" si="1683"/>
        <v>0</v>
      </c>
      <c r="W2720" s="206" t="str">
        <f t="shared" si="1680"/>
        <v/>
      </c>
      <c r="X2720" s="206">
        <f t="shared" si="1681"/>
        <v>0</v>
      </c>
      <c r="Y2720" s="209">
        <f t="shared" si="1682"/>
        <v>0</v>
      </c>
    </row>
    <row r="2721" spans="2:25" ht="61.5" hidden="1" thickTop="1" thickBot="1" x14ac:dyDescent="0.3">
      <c r="B2721" s="141">
        <f>B2715</f>
        <v>11</v>
      </c>
      <c r="C2721" s="142">
        <v>77</v>
      </c>
      <c r="D2721" s="194" t="str">
        <f t="shared" si="1679"/>
        <v>Извън сезона</v>
      </c>
      <c r="E2721" s="189"/>
      <c r="F2721" s="190"/>
      <c r="G2721" s="190"/>
      <c r="H2721" s="182"/>
      <c r="I2721" s="182"/>
      <c r="J2721" s="436" t="s">
        <v>181</v>
      </c>
      <c r="K2721" s="437"/>
      <c r="L2721" s="438"/>
      <c r="M2721" s="182"/>
      <c r="N2721" s="183"/>
      <c r="O2721" s="184"/>
      <c r="P2721" s="185"/>
      <c r="Q2721" s="186"/>
      <c r="R2721" s="187"/>
      <c r="S2721" s="188"/>
      <c r="T2721" s="213">
        <f t="shared" si="1669"/>
        <v>43647</v>
      </c>
      <c r="U2721" s="214">
        <f t="shared" si="1670"/>
        <v>43677</v>
      </c>
      <c r="V2721" s="210">
        <f t="shared" si="1683"/>
        <v>0</v>
      </c>
      <c r="W2721" s="211"/>
      <c r="X2721" s="211">
        <f>IF(AND($V2721&gt;0,$I2721=1),IF($E2721=10,P2721/10,P2721/$V2721),0)</f>
        <v>0</v>
      </c>
      <c r="Y2721" s="212">
        <f>IF(AND($V2715&gt;0,$I2721&lt;&gt;1),Q2721/E2715*V2715,0)</f>
        <v>0</v>
      </c>
    </row>
    <row r="2722" spans="2:25" ht="60.75" hidden="1" thickTop="1" x14ac:dyDescent="0.25">
      <c r="B2722" s="129">
        <f>B2720+1</f>
        <v>12</v>
      </c>
      <c r="C2722" s="130">
        <v>78</v>
      </c>
      <c r="D2722" s="196" t="str">
        <f t="shared" si="1679"/>
        <v>Извън сезона</v>
      </c>
      <c r="E2722" s="131"/>
      <c r="F2722" s="132"/>
      <c r="G2722" s="132"/>
      <c r="H2722" s="133"/>
      <c r="I2722" s="133"/>
      <c r="J2722" s="131"/>
      <c r="K2722" s="134"/>
      <c r="L2722" s="133"/>
      <c r="M2722" s="133"/>
      <c r="N2722" s="135"/>
      <c r="O2722" s="136"/>
      <c r="P2722" s="137"/>
      <c r="Q2722" s="138"/>
      <c r="R2722" s="139"/>
      <c r="S2722" s="140"/>
      <c r="T2722" s="203">
        <f t="shared" si="1669"/>
        <v>43647</v>
      </c>
      <c r="U2722" s="204">
        <f t="shared" si="1670"/>
        <v>43677</v>
      </c>
      <c r="V2722" s="207">
        <f>IF(G2722-F2722+1-IF(G2722-U2722&gt;0,G2722-U2722,0)-IF(T2722-F2722&gt;0,T2722-F2722,0)&gt;0,G2722-F2722+1-IF(G2722-U2722&gt;0,G2722-U2722,0)-IF(T2722-F2722&gt;0,T2722-F2722,0),0)</f>
        <v>0</v>
      </c>
      <c r="W2722" s="206" t="str">
        <f t="shared" ref="W2722:W2727" si="1684">IF(V2722&gt;0,H2722,"")</f>
        <v/>
      </c>
      <c r="X2722" s="206">
        <f t="shared" ref="X2722:X2727" si="1685">IF(AND($V2722&gt;0,$I2722=1),P2722/$E2722*$V2722,0)</f>
        <v>0</v>
      </c>
      <c r="Y2722" s="209">
        <f t="shared" ref="Y2722:Y2727" si="1686">IF(AND($V2722&gt;0,$I2722&lt;&gt;1),Q2722/$E2722*$V2722,0)</f>
        <v>0</v>
      </c>
    </row>
    <row r="2723" spans="2:25" ht="60.75" hidden="1" thickTop="1" x14ac:dyDescent="0.25">
      <c r="B2723" s="60">
        <f>B2722</f>
        <v>12</v>
      </c>
      <c r="C2723" s="102">
        <v>79</v>
      </c>
      <c r="D2723" s="192" t="str">
        <f t="shared" si="1679"/>
        <v>Извън сезона</v>
      </c>
      <c r="E2723" s="62"/>
      <c r="F2723" s="105"/>
      <c r="G2723" s="105"/>
      <c r="H2723" s="61"/>
      <c r="I2723" s="61"/>
      <c r="J2723" s="62"/>
      <c r="K2723" s="63"/>
      <c r="L2723" s="61"/>
      <c r="M2723" s="61"/>
      <c r="N2723" s="111"/>
      <c r="O2723" s="112"/>
      <c r="P2723" s="113"/>
      <c r="Q2723" s="114"/>
      <c r="R2723" s="64"/>
      <c r="S2723" s="108"/>
      <c r="T2723" s="203">
        <f t="shared" si="1669"/>
        <v>43647</v>
      </c>
      <c r="U2723" s="204">
        <f t="shared" si="1670"/>
        <v>43677</v>
      </c>
      <c r="V2723" s="207">
        <f t="shared" ref="V2723:V2728" si="1687">IF(G2723-F2723+1-IF(G2723-U2723&gt;0,G2723-U2723,0)-IF(T2723-F2723&gt;0,T2723-F2723,0)&gt;0,G2723-F2723+1-IF(G2723-U2723&gt;0,G2723-U2723,0)-IF(T2723-F2723&gt;0,T2723-F2723,0),0)</f>
        <v>0</v>
      </c>
      <c r="W2723" s="206" t="str">
        <f t="shared" si="1684"/>
        <v/>
      </c>
      <c r="X2723" s="206">
        <f t="shared" si="1685"/>
        <v>0</v>
      </c>
      <c r="Y2723" s="209">
        <f t="shared" si="1686"/>
        <v>0</v>
      </c>
    </row>
    <row r="2724" spans="2:25" ht="60.75" hidden="1" thickTop="1" x14ac:dyDescent="0.25">
      <c r="B2724" s="60">
        <f>B2722</f>
        <v>12</v>
      </c>
      <c r="C2724" s="102">
        <v>80</v>
      </c>
      <c r="D2724" s="192" t="str">
        <f t="shared" si="1679"/>
        <v>Извън сезона</v>
      </c>
      <c r="E2724" s="62"/>
      <c r="F2724" s="105"/>
      <c r="G2724" s="105"/>
      <c r="H2724" s="61"/>
      <c r="I2724" s="61"/>
      <c r="J2724" s="62"/>
      <c r="K2724" s="63"/>
      <c r="L2724" s="61"/>
      <c r="M2724" s="61"/>
      <c r="N2724" s="111"/>
      <c r="O2724" s="112"/>
      <c r="P2724" s="113"/>
      <c r="Q2724" s="114"/>
      <c r="R2724" s="64"/>
      <c r="S2724" s="108"/>
      <c r="T2724" s="203">
        <f t="shared" si="1669"/>
        <v>43647</v>
      </c>
      <c r="U2724" s="204">
        <f t="shared" si="1670"/>
        <v>43677</v>
      </c>
      <c r="V2724" s="207">
        <f t="shared" si="1687"/>
        <v>0</v>
      </c>
      <c r="W2724" s="206" t="str">
        <f t="shared" si="1684"/>
        <v/>
      </c>
      <c r="X2724" s="206">
        <f t="shared" si="1685"/>
        <v>0</v>
      </c>
      <c r="Y2724" s="209">
        <f t="shared" si="1686"/>
        <v>0</v>
      </c>
    </row>
    <row r="2725" spans="2:25" ht="60.75" hidden="1" thickTop="1" x14ac:dyDescent="0.25">
      <c r="B2725" s="60">
        <f>B2722</f>
        <v>12</v>
      </c>
      <c r="C2725" s="102">
        <v>81</v>
      </c>
      <c r="D2725" s="192" t="str">
        <f t="shared" si="1679"/>
        <v>Извън сезона</v>
      </c>
      <c r="E2725" s="62"/>
      <c r="F2725" s="105"/>
      <c r="G2725" s="105"/>
      <c r="H2725" s="61"/>
      <c r="I2725" s="61"/>
      <c r="J2725" s="62"/>
      <c r="K2725" s="63"/>
      <c r="L2725" s="61"/>
      <c r="M2725" s="61"/>
      <c r="N2725" s="111"/>
      <c r="O2725" s="112"/>
      <c r="P2725" s="113"/>
      <c r="Q2725" s="114"/>
      <c r="R2725" s="64"/>
      <c r="S2725" s="108"/>
      <c r="T2725" s="203">
        <f t="shared" si="1669"/>
        <v>43647</v>
      </c>
      <c r="U2725" s="204">
        <f t="shared" si="1670"/>
        <v>43677</v>
      </c>
      <c r="V2725" s="207">
        <f t="shared" si="1687"/>
        <v>0</v>
      </c>
      <c r="W2725" s="206" t="str">
        <f t="shared" si="1684"/>
        <v/>
      </c>
      <c r="X2725" s="206">
        <f t="shared" si="1685"/>
        <v>0</v>
      </c>
      <c r="Y2725" s="209">
        <f t="shared" si="1686"/>
        <v>0</v>
      </c>
    </row>
    <row r="2726" spans="2:25" ht="60.75" hidden="1" thickTop="1" x14ac:dyDescent="0.25">
      <c r="B2726" s="60">
        <f>B2722</f>
        <v>12</v>
      </c>
      <c r="C2726" s="102">
        <v>82</v>
      </c>
      <c r="D2726" s="192" t="str">
        <f t="shared" si="1679"/>
        <v>Извън сезона</v>
      </c>
      <c r="E2726" s="62"/>
      <c r="F2726" s="105"/>
      <c r="G2726" s="105"/>
      <c r="H2726" s="61"/>
      <c r="I2726" s="61"/>
      <c r="J2726" s="62"/>
      <c r="K2726" s="63"/>
      <c r="L2726" s="61"/>
      <c r="M2726" s="61"/>
      <c r="N2726" s="111"/>
      <c r="O2726" s="112"/>
      <c r="P2726" s="113"/>
      <c r="Q2726" s="114"/>
      <c r="R2726" s="64"/>
      <c r="S2726" s="108"/>
      <c r="T2726" s="203">
        <f t="shared" si="1669"/>
        <v>43647</v>
      </c>
      <c r="U2726" s="204">
        <f t="shared" si="1670"/>
        <v>43677</v>
      </c>
      <c r="V2726" s="207">
        <f t="shared" si="1687"/>
        <v>0</v>
      </c>
      <c r="W2726" s="206" t="str">
        <f t="shared" si="1684"/>
        <v/>
      </c>
      <c r="X2726" s="206">
        <f t="shared" si="1685"/>
        <v>0</v>
      </c>
      <c r="Y2726" s="209">
        <f t="shared" si="1686"/>
        <v>0</v>
      </c>
    </row>
    <row r="2727" spans="2:25" ht="60.75" hidden="1" thickTop="1" x14ac:dyDescent="0.25">
      <c r="B2727" s="60">
        <f>B2722</f>
        <v>12</v>
      </c>
      <c r="C2727" s="102">
        <v>83</v>
      </c>
      <c r="D2727" s="192" t="str">
        <f t="shared" si="1679"/>
        <v>Извън сезона</v>
      </c>
      <c r="E2727" s="62"/>
      <c r="F2727" s="105"/>
      <c r="G2727" s="105"/>
      <c r="H2727" s="61"/>
      <c r="I2727" s="61"/>
      <c r="J2727" s="62"/>
      <c r="K2727" s="63"/>
      <c r="L2727" s="61"/>
      <c r="M2727" s="61"/>
      <c r="N2727" s="111"/>
      <c r="O2727" s="112"/>
      <c r="P2727" s="113"/>
      <c r="Q2727" s="114"/>
      <c r="R2727" s="64"/>
      <c r="S2727" s="108"/>
      <c r="T2727" s="203">
        <f t="shared" si="1669"/>
        <v>43647</v>
      </c>
      <c r="U2727" s="204">
        <f t="shared" si="1670"/>
        <v>43677</v>
      </c>
      <c r="V2727" s="207">
        <f t="shared" si="1687"/>
        <v>0</v>
      </c>
      <c r="W2727" s="206" t="str">
        <f t="shared" si="1684"/>
        <v/>
      </c>
      <c r="X2727" s="206">
        <f t="shared" si="1685"/>
        <v>0</v>
      </c>
      <c r="Y2727" s="209">
        <f t="shared" si="1686"/>
        <v>0</v>
      </c>
    </row>
    <row r="2728" spans="2:25" ht="61.5" hidden="1" thickTop="1" thickBot="1" x14ac:dyDescent="0.3">
      <c r="B2728" s="141">
        <f>B2722</f>
        <v>12</v>
      </c>
      <c r="C2728" s="142">
        <v>84</v>
      </c>
      <c r="D2728" s="194" t="str">
        <f t="shared" si="1679"/>
        <v>Извън сезона</v>
      </c>
      <c r="E2728" s="143"/>
      <c r="F2728" s="144"/>
      <c r="G2728" s="144"/>
      <c r="H2728" s="145"/>
      <c r="I2728" s="145"/>
      <c r="J2728" s="436" t="s">
        <v>181</v>
      </c>
      <c r="K2728" s="437"/>
      <c r="L2728" s="438"/>
      <c r="M2728" s="145"/>
      <c r="N2728" s="146"/>
      <c r="O2728" s="147"/>
      <c r="P2728" s="148"/>
      <c r="Q2728" s="149"/>
      <c r="R2728" s="150"/>
      <c r="S2728" s="151"/>
      <c r="T2728" s="213">
        <f t="shared" si="1669"/>
        <v>43647</v>
      </c>
      <c r="U2728" s="214">
        <f t="shared" si="1670"/>
        <v>43677</v>
      </c>
      <c r="V2728" s="210">
        <f t="shared" si="1687"/>
        <v>0</v>
      </c>
      <c r="W2728" s="211"/>
      <c r="X2728" s="211">
        <f>IF(AND($V2728&gt;0,$I2728=1),IF($E2728=10,P2728/10,P2728/$V2728),0)</f>
        <v>0</v>
      </c>
      <c r="Y2728" s="212">
        <f>IF(AND($V2722&gt;0,$I2728&lt;&gt;1),Q2728/E2722*V2722,0)</f>
        <v>0</v>
      </c>
    </row>
    <row r="2729" spans="2:25" ht="60.75" hidden="1" thickTop="1" x14ac:dyDescent="0.25">
      <c r="B2729" s="129">
        <f>B2727+1</f>
        <v>13</v>
      </c>
      <c r="C2729" s="130">
        <v>85</v>
      </c>
      <c r="D2729" s="196" t="str">
        <f t="shared" si="1679"/>
        <v>Извън сезона</v>
      </c>
      <c r="E2729" s="152"/>
      <c r="F2729" s="153"/>
      <c r="G2729" s="153"/>
      <c r="H2729" s="154"/>
      <c r="I2729" s="154"/>
      <c r="J2729" s="152"/>
      <c r="K2729" s="155"/>
      <c r="L2729" s="154"/>
      <c r="M2729" s="154"/>
      <c r="N2729" s="156"/>
      <c r="O2729" s="157"/>
      <c r="P2729" s="158"/>
      <c r="Q2729" s="159"/>
      <c r="R2729" s="160"/>
      <c r="S2729" s="161"/>
      <c r="T2729" s="203">
        <f t="shared" si="1669"/>
        <v>43647</v>
      </c>
      <c r="U2729" s="204">
        <f t="shared" si="1670"/>
        <v>43677</v>
      </c>
      <c r="V2729" s="207">
        <f>IF(G2729-F2729+1-IF(G2729-U2729&gt;0,G2729-U2729,0)-IF(T2729-F2729&gt;0,T2729-F2729,0)&gt;0,G2729-F2729+1-IF(G2729-U2729&gt;0,G2729-U2729,0)-IF(T2729-F2729&gt;0,T2729-F2729,0),0)</f>
        <v>0</v>
      </c>
      <c r="W2729" s="206" t="str">
        <f t="shared" ref="W2729:W2734" si="1688">IF(V2729&gt;0,H2729,"")</f>
        <v/>
      </c>
      <c r="X2729" s="206">
        <f t="shared" ref="X2729:X2734" si="1689">IF(AND($V2729&gt;0,$I2729=1),P2729/$E2729*$V2729,0)</f>
        <v>0</v>
      </c>
      <c r="Y2729" s="209">
        <f t="shared" ref="Y2729:Y2734" si="1690">IF(AND($V2729&gt;0,$I2729&lt;&gt;1),Q2729/$E2729*$V2729,0)</f>
        <v>0</v>
      </c>
    </row>
    <row r="2730" spans="2:25" ht="60.75" hidden="1" thickTop="1" x14ac:dyDescent="0.25">
      <c r="B2730" s="60">
        <f>B2729</f>
        <v>13</v>
      </c>
      <c r="C2730" s="102">
        <v>86</v>
      </c>
      <c r="D2730" s="192" t="str">
        <f t="shared" si="1679"/>
        <v>Извън сезона</v>
      </c>
      <c r="E2730" s="162"/>
      <c r="F2730" s="163"/>
      <c r="G2730" s="163"/>
      <c r="H2730" s="164"/>
      <c r="I2730" s="164"/>
      <c r="J2730" s="162"/>
      <c r="K2730" s="165"/>
      <c r="L2730" s="164"/>
      <c r="M2730" s="164"/>
      <c r="N2730" s="166"/>
      <c r="O2730" s="167"/>
      <c r="P2730" s="168"/>
      <c r="Q2730" s="169"/>
      <c r="R2730" s="170"/>
      <c r="S2730" s="171"/>
      <c r="T2730" s="203">
        <f t="shared" si="1669"/>
        <v>43647</v>
      </c>
      <c r="U2730" s="204">
        <f t="shared" si="1670"/>
        <v>43677</v>
      </c>
      <c r="V2730" s="207">
        <f t="shared" ref="V2730:V2735" si="1691">IF(G2730-F2730+1-IF(G2730-U2730&gt;0,G2730-U2730,0)-IF(T2730-F2730&gt;0,T2730-F2730,0)&gt;0,G2730-F2730+1-IF(G2730-U2730&gt;0,G2730-U2730,0)-IF(T2730-F2730&gt;0,T2730-F2730,0),0)</f>
        <v>0</v>
      </c>
      <c r="W2730" s="206" t="str">
        <f t="shared" si="1688"/>
        <v/>
      </c>
      <c r="X2730" s="206">
        <f t="shared" si="1689"/>
        <v>0</v>
      </c>
      <c r="Y2730" s="209">
        <f t="shared" si="1690"/>
        <v>0</v>
      </c>
    </row>
    <row r="2731" spans="2:25" ht="60.75" hidden="1" thickTop="1" x14ac:dyDescent="0.25">
      <c r="B2731" s="60">
        <f>B2729</f>
        <v>13</v>
      </c>
      <c r="C2731" s="102">
        <v>87</v>
      </c>
      <c r="D2731" s="192" t="str">
        <f t="shared" si="1679"/>
        <v>Извън сезона</v>
      </c>
      <c r="E2731" s="162"/>
      <c r="F2731" s="163"/>
      <c r="G2731" s="163"/>
      <c r="H2731" s="164"/>
      <c r="I2731" s="164"/>
      <c r="J2731" s="162"/>
      <c r="K2731" s="165"/>
      <c r="L2731" s="164"/>
      <c r="M2731" s="164"/>
      <c r="N2731" s="166"/>
      <c r="O2731" s="167"/>
      <c r="P2731" s="168"/>
      <c r="Q2731" s="169"/>
      <c r="R2731" s="170"/>
      <c r="S2731" s="171"/>
      <c r="T2731" s="203">
        <f t="shared" si="1669"/>
        <v>43647</v>
      </c>
      <c r="U2731" s="204">
        <f t="shared" si="1670"/>
        <v>43677</v>
      </c>
      <c r="V2731" s="207">
        <f t="shared" si="1691"/>
        <v>0</v>
      </c>
      <c r="W2731" s="206" t="str">
        <f t="shared" si="1688"/>
        <v/>
      </c>
      <c r="X2731" s="206">
        <f t="shared" si="1689"/>
        <v>0</v>
      </c>
      <c r="Y2731" s="209">
        <f t="shared" si="1690"/>
        <v>0</v>
      </c>
    </row>
    <row r="2732" spans="2:25" ht="60.75" hidden="1" thickTop="1" x14ac:dyDescent="0.25">
      <c r="B2732" s="60">
        <f>B2729</f>
        <v>13</v>
      </c>
      <c r="C2732" s="102">
        <v>88</v>
      </c>
      <c r="D2732" s="192" t="str">
        <f t="shared" si="1679"/>
        <v>Извън сезона</v>
      </c>
      <c r="E2732" s="162"/>
      <c r="F2732" s="163"/>
      <c r="G2732" s="163"/>
      <c r="H2732" s="164"/>
      <c r="I2732" s="164"/>
      <c r="J2732" s="162"/>
      <c r="K2732" s="165"/>
      <c r="L2732" s="164"/>
      <c r="M2732" s="164"/>
      <c r="N2732" s="166"/>
      <c r="O2732" s="167"/>
      <c r="P2732" s="168"/>
      <c r="Q2732" s="169"/>
      <c r="R2732" s="170"/>
      <c r="S2732" s="171"/>
      <c r="T2732" s="203">
        <f t="shared" si="1669"/>
        <v>43647</v>
      </c>
      <c r="U2732" s="204">
        <f t="shared" si="1670"/>
        <v>43677</v>
      </c>
      <c r="V2732" s="207">
        <f t="shared" si="1691"/>
        <v>0</v>
      </c>
      <c r="W2732" s="206" t="str">
        <f t="shared" si="1688"/>
        <v/>
      </c>
      <c r="X2732" s="206">
        <f t="shared" si="1689"/>
        <v>0</v>
      </c>
      <c r="Y2732" s="209">
        <f t="shared" si="1690"/>
        <v>0</v>
      </c>
    </row>
    <row r="2733" spans="2:25" ht="60.75" hidden="1" thickTop="1" x14ac:dyDescent="0.25">
      <c r="B2733" s="60">
        <f>B2729</f>
        <v>13</v>
      </c>
      <c r="C2733" s="102">
        <v>89</v>
      </c>
      <c r="D2733" s="192" t="str">
        <f t="shared" si="1679"/>
        <v>Извън сезона</v>
      </c>
      <c r="E2733" s="162"/>
      <c r="F2733" s="163"/>
      <c r="G2733" s="163"/>
      <c r="H2733" s="164"/>
      <c r="I2733" s="164"/>
      <c r="J2733" s="162"/>
      <c r="K2733" s="165"/>
      <c r="L2733" s="164"/>
      <c r="M2733" s="164"/>
      <c r="N2733" s="166"/>
      <c r="O2733" s="167"/>
      <c r="P2733" s="168"/>
      <c r="Q2733" s="169"/>
      <c r="R2733" s="170"/>
      <c r="S2733" s="171"/>
      <c r="T2733" s="203">
        <f t="shared" si="1669"/>
        <v>43647</v>
      </c>
      <c r="U2733" s="204">
        <f t="shared" si="1670"/>
        <v>43677</v>
      </c>
      <c r="V2733" s="207">
        <f t="shared" si="1691"/>
        <v>0</v>
      </c>
      <c r="W2733" s="206" t="str">
        <f t="shared" si="1688"/>
        <v/>
      </c>
      <c r="X2733" s="206">
        <f t="shared" si="1689"/>
        <v>0</v>
      </c>
      <c r="Y2733" s="209">
        <f t="shared" si="1690"/>
        <v>0</v>
      </c>
    </row>
    <row r="2734" spans="2:25" ht="60.75" hidden="1" thickTop="1" x14ac:dyDescent="0.25">
      <c r="B2734" s="60">
        <f>B2729</f>
        <v>13</v>
      </c>
      <c r="C2734" s="102">
        <v>90</v>
      </c>
      <c r="D2734" s="192" t="str">
        <f t="shared" si="1679"/>
        <v>Извън сезона</v>
      </c>
      <c r="E2734" s="172"/>
      <c r="F2734" s="173"/>
      <c r="G2734" s="173"/>
      <c r="H2734" s="174"/>
      <c r="I2734" s="174"/>
      <c r="J2734" s="172"/>
      <c r="K2734" s="175"/>
      <c r="L2734" s="174"/>
      <c r="M2734" s="174"/>
      <c r="N2734" s="176"/>
      <c r="O2734" s="177"/>
      <c r="P2734" s="178"/>
      <c r="Q2734" s="179"/>
      <c r="R2734" s="180"/>
      <c r="S2734" s="181"/>
      <c r="T2734" s="203">
        <f t="shared" si="1669"/>
        <v>43647</v>
      </c>
      <c r="U2734" s="204">
        <f t="shared" si="1670"/>
        <v>43677</v>
      </c>
      <c r="V2734" s="207">
        <f t="shared" si="1691"/>
        <v>0</v>
      </c>
      <c r="W2734" s="206" t="str">
        <f t="shared" si="1688"/>
        <v/>
      </c>
      <c r="X2734" s="206">
        <f t="shared" si="1689"/>
        <v>0</v>
      </c>
      <c r="Y2734" s="209">
        <f t="shared" si="1690"/>
        <v>0</v>
      </c>
    </row>
    <row r="2735" spans="2:25" ht="61.5" hidden="1" thickTop="1" thickBot="1" x14ac:dyDescent="0.3">
      <c r="B2735" s="141">
        <f>B2729</f>
        <v>13</v>
      </c>
      <c r="C2735" s="142">
        <v>91</v>
      </c>
      <c r="D2735" s="194" t="str">
        <f t="shared" si="1679"/>
        <v>Извън сезона</v>
      </c>
      <c r="E2735" s="189"/>
      <c r="F2735" s="190"/>
      <c r="G2735" s="190"/>
      <c r="H2735" s="182"/>
      <c r="I2735" s="182"/>
      <c r="J2735" s="436" t="s">
        <v>181</v>
      </c>
      <c r="K2735" s="437"/>
      <c r="L2735" s="438"/>
      <c r="M2735" s="182"/>
      <c r="N2735" s="183"/>
      <c r="O2735" s="184"/>
      <c r="P2735" s="185"/>
      <c r="Q2735" s="186"/>
      <c r="R2735" s="187"/>
      <c r="S2735" s="188"/>
      <c r="T2735" s="213">
        <f t="shared" si="1669"/>
        <v>43647</v>
      </c>
      <c r="U2735" s="214">
        <f t="shared" si="1670"/>
        <v>43677</v>
      </c>
      <c r="V2735" s="210">
        <f t="shared" si="1691"/>
        <v>0</v>
      </c>
      <c r="W2735" s="211"/>
      <c r="X2735" s="211">
        <f>IF(AND($V2735&gt;0,$I2735=1),IF($E2735=10,P2735/10,P2735/$V2735),0)</f>
        <v>0</v>
      </c>
      <c r="Y2735" s="212">
        <f>IF(AND($V2729&gt;0,$I2735&lt;&gt;1),Q2735/E2729*V2729,0)</f>
        <v>0</v>
      </c>
    </row>
    <row r="2736" spans="2:25" ht="60.75" hidden="1" thickTop="1" x14ac:dyDescent="0.25">
      <c r="B2736" s="129">
        <f>B2734+1</f>
        <v>14</v>
      </c>
      <c r="C2736" s="130">
        <v>92</v>
      </c>
      <c r="D2736" s="196" t="str">
        <f t="shared" si="1679"/>
        <v>Извън сезона</v>
      </c>
      <c r="E2736" s="131"/>
      <c r="F2736" s="132"/>
      <c r="G2736" s="132"/>
      <c r="H2736" s="133"/>
      <c r="I2736" s="133"/>
      <c r="J2736" s="131"/>
      <c r="K2736" s="134"/>
      <c r="L2736" s="133"/>
      <c r="M2736" s="133"/>
      <c r="N2736" s="135"/>
      <c r="O2736" s="136"/>
      <c r="P2736" s="137"/>
      <c r="Q2736" s="138"/>
      <c r="R2736" s="139"/>
      <c r="S2736" s="140"/>
      <c r="T2736" s="203">
        <f t="shared" si="1669"/>
        <v>43647</v>
      </c>
      <c r="U2736" s="204">
        <f t="shared" si="1670"/>
        <v>43677</v>
      </c>
      <c r="V2736" s="207">
        <f>IF(G2736-F2736+1-IF(G2736-U2736&gt;0,G2736-U2736,0)-IF(T2736-F2736&gt;0,T2736-F2736,0)&gt;0,G2736-F2736+1-IF(G2736-U2736&gt;0,G2736-U2736,0)-IF(T2736-F2736&gt;0,T2736-F2736,0),0)</f>
        <v>0</v>
      </c>
      <c r="W2736" s="206" t="str">
        <f t="shared" ref="W2736:W2741" si="1692">IF(V2736&gt;0,H2736,"")</f>
        <v/>
      </c>
      <c r="X2736" s="206">
        <f t="shared" ref="X2736:X2741" si="1693">IF(AND($V2736&gt;0,$I2736=1),P2736/$E2736*$V2736,0)</f>
        <v>0</v>
      </c>
      <c r="Y2736" s="209">
        <f t="shared" ref="Y2736:Y2741" si="1694">IF(AND($V2736&gt;0,$I2736&lt;&gt;1),Q2736/$E2736*$V2736,0)</f>
        <v>0</v>
      </c>
    </row>
    <row r="2737" spans="2:25" ht="60.75" hidden="1" thickTop="1" x14ac:dyDescent="0.25">
      <c r="B2737" s="60">
        <f>B2736</f>
        <v>14</v>
      </c>
      <c r="C2737" s="102">
        <v>93</v>
      </c>
      <c r="D2737" s="192" t="str">
        <f t="shared" si="1679"/>
        <v>Извън сезона</v>
      </c>
      <c r="E2737" s="62"/>
      <c r="F2737" s="105"/>
      <c r="G2737" s="105"/>
      <c r="H2737" s="61"/>
      <c r="I2737" s="61"/>
      <c r="J2737" s="62"/>
      <c r="K2737" s="63"/>
      <c r="L2737" s="61"/>
      <c r="M2737" s="61"/>
      <c r="N2737" s="111"/>
      <c r="O2737" s="112"/>
      <c r="P2737" s="113"/>
      <c r="Q2737" s="114"/>
      <c r="R2737" s="64"/>
      <c r="S2737" s="108"/>
      <c r="T2737" s="203">
        <f t="shared" si="1669"/>
        <v>43647</v>
      </c>
      <c r="U2737" s="204">
        <f t="shared" si="1670"/>
        <v>43677</v>
      </c>
      <c r="V2737" s="207">
        <f t="shared" ref="V2737:V2742" si="1695">IF(G2737-F2737+1-IF(G2737-U2737&gt;0,G2737-U2737,0)-IF(T2737-F2737&gt;0,T2737-F2737,0)&gt;0,G2737-F2737+1-IF(G2737-U2737&gt;0,G2737-U2737,0)-IF(T2737-F2737&gt;0,T2737-F2737,0),0)</f>
        <v>0</v>
      </c>
      <c r="W2737" s="206" t="str">
        <f t="shared" si="1692"/>
        <v/>
      </c>
      <c r="X2737" s="206">
        <f t="shared" si="1693"/>
        <v>0</v>
      </c>
      <c r="Y2737" s="209">
        <f t="shared" si="1694"/>
        <v>0</v>
      </c>
    </row>
    <row r="2738" spans="2:25" ht="60.75" hidden="1" thickTop="1" x14ac:dyDescent="0.25">
      <c r="B2738" s="60">
        <f>B2736</f>
        <v>14</v>
      </c>
      <c r="C2738" s="102">
        <v>94</v>
      </c>
      <c r="D2738" s="192" t="str">
        <f t="shared" si="1679"/>
        <v>Извън сезона</v>
      </c>
      <c r="E2738" s="62"/>
      <c r="F2738" s="105"/>
      <c r="G2738" s="105"/>
      <c r="H2738" s="61"/>
      <c r="I2738" s="61"/>
      <c r="J2738" s="62"/>
      <c r="K2738" s="63"/>
      <c r="L2738" s="61"/>
      <c r="M2738" s="61"/>
      <c r="N2738" s="111"/>
      <c r="O2738" s="112"/>
      <c r="P2738" s="113"/>
      <c r="Q2738" s="114"/>
      <c r="R2738" s="64"/>
      <c r="S2738" s="108"/>
      <c r="T2738" s="203">
        <f t="shared" si="1669"/>
        <v>43647</v>
      </c>
      <c r="U2738" s="204">
        <f t="shared" si="1670"/>
        <v>43677</v>
      </c>
      <c r="V2738" s="207">
        <f t="shared" si="1695"/>
        <v>0</v>
      </c>
      <c r="W2738" s="206" t="str">
        <f t="shared" si="1692"/>
        <v/>
      </c>
      <c r="X2738" s="206">
        <f t="shared" si="1693"/>
        <v>0</v>
      </c>
      <c r="Y2738" s="209">
        <f t="shared" si="1694"/>
        <v>0</v>
      </c>
    </row>
    <row r="2739" spans="2:25" ht="60.75" hidden="1" thickTop="1" x14ac:dyDescent="0.25">
      <c r="B2739" s="60">
        <f>B2736</f>
        <v>14</v>
      </c>
      <c r="C2739" s="102">
        <v>95</v>
      </c>
      <c r="D2739" s="192" t="str">
        <f t="shared" si="1679"/>
        <v>Извън сезона</v>
      </c>
      <c r="E2739" s="62"/>
      <c r="F2739" s="105"/>
      <c r="G2739" s="105"/>
      <c r="H2739" s="61"/>
      <c r="I2739" s="61"/>
      <c r="J2739" s="62"/>
      <c r="K2739" s="63"/>
      <c r="L2739" s="61"/>
      <c r="M2739" s="61"/>
      <c r="N2739" s="111"/>
      <c r="O2739" s="112"/>
      <c r="P2739" s="113"/>
      <c r="Q2739" s="114"/>
      <c r="R2739" s="64"/>
      <c r="S2739" s="108"/>
      <c r="T2739" s="203">
        <f t="shared" si="1669"/>
        <v>43647</v>
      </c>
      <c r="U2739" s="204">
        <f t="shared" si="1670"/>
        <v>43677</v>
      </c>
      <c r="V2739" s="207">
        <f t="shared" si="1695"/>
        <v>0</v>
      </c>
      <c r="W2739" s="206" t="str">
        <f t="shared" si="1692"/>
        <v/>
      </c>
      <c r="X2739" s="206">
        <f t="shared" si="1693"/>
        <v>0</v>
      </c>
      <c r="Y2739" s="209">
        <f t="shared" si="1694"/>
        <v>0</v>
      </c>
    </row>
    <row r="2740" spans="2:25" ht="60.75" hidden="1" thickTop="1" x14ac:dyDescent="0.25">
      <c r="B2740" s="60">
        <f>B2736</f>
        <v>14</v>
      </c>
      <c r="C2740" s="102">
        <v>96</v>
      </c>
      <c r="D2740" s="192" t="str">
        <f t="shared" si="1679"/>
        <v>Извън сезона</v>
      </c>
      <c r="E2740" s="62"/>
      <c r="F2740" s="105"/>
      <c r="G2740" s="105"/>
      <c r="H2740" s="61"/>
      <c r="I2740" s="61"/>
      <c r="J2740" s="62"/>
      <c r="K2740" s="63"/>
      <c r="L2740" s="61"/>
      <c r="M2740" s="61"/>
      <c r="N2740" s="111"/>
      <c r="O2740" s="112"/>
      <c r="P2740" s="113"/>
      <c r="Q2740" s="114"/>
      <c r="R2740" s="64"/>
      <c r="S2740" s="108"/>
      <c r="T2740" s="203">
        <f t="shared" si="1669"/>
        <v>43647</v>
      </c>
      <c r="U2740" s="204">
        <f t="shared" si="1670"/>
        <v>43677</v>
      </c>
      <c r="V2740" s="207">
        <f t="shared" si="1695"/>
        <v>0</v>
      </c>
      <c r="W2740" s="206" t="str">
        <f t="shared" si="1692"/>
        <v/>
      </c>
      <c r="X2740" s="206">
        <f t="shared" si="1693"/>
        <v>0</v>
      </c>
      <c r="Y2740" s="209">
        <f t="shared" si="1694"/>
        <v>0</v>
      </c>
    </row>
    <row r="2741" spans="2:25" ht="60.75" hidden="1" thickTop="1" x14ac:dyDescent="0.25">
      <c r="B2741" s="60">
        <f>B2736</f>
        <v>14</v>
      </c>
      <c r="C2741" s="102">
        <v>97</v>
      </c>
      <c r="D2741" s="192" t="str">
        <f t="shared" si="1679"/>
        <v>Извън сезона</v>
      </c>
      <c r="E2741" s="62"/>
      <c r="F2741" s="105"/>
      <c r="G2741" s="105"/>
      <c r="H2741" s="61"/>
      <c r="I2741" s="61"/>
      <c r="J2741" s="62"/>
      <c r="K2741" s="63"/>
      <c r="L2741" s="61"/>
      <c r="M2741" s="61"/>
      <c r="N2741" s="111"/>
      <c r="O2741" s="112"/>
      <c r="P2741" s="113"/>
      <c r="Q2741" s="114"/>
      <c r="R2741" s="64"/>
      <c r="S2741" s="108"/>
      <c r="T2741" s="203">
        <f t="shared" si="1669"/>
        <v>43647</v>
      </c>
      <c r="U2741" s="204">
        <f t="shared" si="1670"/>
        <v>43677</v>
      </c>
      <c r="V2741" s="207">
        <f t="shared" si="1695"/>
        <v>0</v>
      </c>
      <c r="W2741" s="206" t="str">
        <f t="shared" si="1692"/>
        <v/>
      </c>
      <c r="X2741" s="206">
        <f t="shared" si="1693"/>
        <v>0</v>
      </c>
      <c r="Y2741" s="209">
        <f t="shared" si="1694"/>
        <v>0</v>
      </c>
    </row>
    <row r="2742" spans="2:25" ht="61.5" hidden="1" thickTop="1" thickBot="1" x14ac:dyDescent="0.3">
      <c r="B2742" s="141">
        <f>B2736</f>
        <v>14</v>
      </c>
      <c r="C2742" s="142">
        <v>98</v>
      </c>
      <c r="D2742" s="194" t="str">
        <f t="shared" si="1679"/>
        <v>Извън сезона</v>
      </c>
      <c r="E2742" s="143"/>
      <c r="F2742" s="144"/>
      <c r="G2742" s="144"/>
      <c r="H2742" s="145"/>
      <c r="I2742" s="145"/>
      <c r="J2742" s="436" t="s">
        <v>181</v>
      </c>
      <c r="K2742" s="437"/>
      <c r="L2742" s="438"/>
      <c r="M2742" s="145"/>
      <c r="N2742" s="146"/>
      <c r="O2742" s="147"/>
      <c r="P2742" s="148"/>
      <c r="Q2742" s="149"/>
      <c r="R2742" s="150"/>
      <c r="S2742" s="151"/>
      <c r="T2742" s="213">
        <f t="shared" si="1669"/>
        <v>43647</v>
      </c>
      <c r="U2742" s="214">
        <f t="shared" si="1670"/>
        <v>43677</v>
      </c>
      <c r="V2742" s="210">
        <f t="shared" si="1695"/>
        <v>0</v>
      </c>
      <c r="W2742" s="211"/>
      <c r="X2742" s="211">
        <f>IF(AND($V2742&gt;0,$I2742=1),IF($E2742=10,P2742/10,P2742/$V2742),0)</f>
        <v>0</v>
      </c>
      <c r="Y2742" s="212">
        <f>IF(AND($V2736&gt;0,$I2742&lt;&gt;1),Q2742/E2736*V2736,0)</f>
        <v>0</v>
      </c>
    </row>
    <row r="2743" spans="2:25" ht="60.75" hidden="1" thickTop="1" x14ac:dyDescent="0.25">
      <c r="B2743" s="129">
        <f>B2741+1</f>
        <v>15</v>
      </c>
      <c r="C2743" s="130">
        <v>99</v>
      </c>
      <c r="D2743" s="196" t="str">
        <f t="shared" si="1679"/>
        <v>Извън сезона</v>
      </c>
      <c r="E2743" s="152"/>
      <c r="F2743" s="153"/>
      <c r="G2743" s="153"/>
      <c r="H2743" s="154"/>
      <c r="I2743" s="154"/>
      <c r="J2743" s="152"/>
      <c r="K2743" s="155"/>
      <c r="L2743" s="154"/>
      <c r="M2743" s="154"/>
      <c r="N2743" s="156"/>
      <c r="O2743" s="157"/>
      <c r="P2743" s="158"/>
      <c r="Q2743" s="159"/>
      <c r="R2743" s="160"/>
      <c r="S2743" s="161"/>
      <c r="T2743" s="203">
        <f t="shared" si="1669"/>
        <v>43647</v>
      </c>
      <c r="U2743" s="204">
        <f t="shared" si="1670"/>
        <v>43677</v>
      </c>
      <c r="V2743" s="207">
        <f>IF(G2743-F2743+1-IF(G2743-U2743&gt;0,G2743-U2743,0)-IF(T2743-F2743&gt;0,T2743-F2743,0)&gt;0,G2743-F2743+1-IF(G2743-U2743&gt;0,G2743-U2743,0)-IF(T2743-F2743&gt;0,T2743-F2743,0),0)</f>
        <v>0</v>
      </c>
      <c r="W2743" s="206" t="str">
        <f t="shared" ref="W2743:W2748" si="1696">IF(V2743&gt;0,H2743,"")</f>
        <v/>
      </c>
      <c r="X2743" s="206">
        <f t="shared" ref="X2743:X2748" si="1697">IF(AND($V2743&gt;0,$I2743=1),P2743/$E2743*$V2743,0)</f>
        <v>0</v>
      </c>
      <c r="Y2743" s="209">
        <f t="shared" ref="Y2743:Y2748" si="1698">IF(AND($V2743&gt;0,$I2743&lt;&gt;1),Q2743/$E2743*$V2743,0)</f>
        <v>0</v>
      </c>
    </row>
    <row r="2744" spans="2:25" ht="60.75" hidden="1" thickTop="1" x14ac:dyDescent="0.25">
      <c r="B2744" s="60">
        <f>B2743</f>
        <v>15</v>
      </c>
      <c r="C2744" s="102">
        <v>100</v>
      </c>
      <c r="D2744" s="192" t="str">
        <f t="shared" si="1679"/>
        <v>Извън сезона</v>
      </c>
      <c r="E2744" s="162"/>
      <c r="F2744" s="163"/>
      <c r="G2744" s="163"/>
      <c r="H2744" s="164"/>
      <c r="I2744" s="164"/>
      <c r="J2744" s="162"/>
      <c r="K2744" s="165"/>
      <c r="L2744" s="164"/>
      <c r="M2744" s="164"/>
      <c r="N2744" s="166"/>
      <c r="O2744" s="167"/>
      <c r="P2744" s="168"/>
      <c r="Q2744" s="169"/>
      <c r="R2744" s="170"/>
      <c r="S2744" s="171"/>
      <c r="T2744" s="203">
        <f t="shared" si="1669"/>
        <v>43647</v>
      </c>
      <c r="U2744" s="204">
        <f t="shared" si="1670"/>
        <v>43677</v>
      </c>
      <c r="V2744" s="207">
        <f t="shared" ref="V2744:V2749" si="1699">IF(G2744-F2744+1-IF(G2744-U2744&gt;0,G2744-U2744,0)-IF(T2744-F2744&gt;0,T2744-F2744,0)&gt;0,G2744-F2744+1-IF(G2744-U2744&gt;0,G2744-U2744,0)-IF(T2744-F2744&gt;0,T2744-F2744,0),0)</f>
        <v>0</v>
      </c>
      <c r="W2744" s="206" t="str">
        <f t="shared" si="1696"/>
        <v/>
      </c>
      <c r="X2744" s="206">
        <f t="shared" si="1697"/>
        <v>0</v>
      </c>
      <c r="Y2744" s="209">
        <f t="shared" si="1698"/>
        <v>0</v>
      </c>
    </row>
    <row r="2745" spans="2:25" ht="60.75" hidden="1" thickTop="1" x14ac:dyDescent="0.25">
      <c r="B2745" s="60">
        <f>B2743</f>
        <v>15</v>
      </c>
      <c r="C2745" s="102">
        <v>101</v>
      </c>
      <c r="D2745" s="192" t="str">
        <f t="shared" si="1679"/>
        <v>Извън сезона</v>
      </c>
      <c r="E2745" s="162"/>
      <c r="F2745" s="163"/>
      <c r="G2745" s="163"/>
      <c r="H2745" s="164"/>
      <c r="I2745" s="164"/>
      <c r="J2745" s="162"/>
      <c r="K2745" s="165"/>
      <c r="L2745" s="164"/>
      <c r="M2745" s="164"/>
      <c r="N2745" s="166"/>
      <c r="O2745" s="167"/>
      <c r="P2745" s="168"/>
      <c r="Q2745" s="169"/>
      <c r="R2745" s="170"/>
      <c r="S2745" s="171"/>
      <c r="T2745" s="203">
        <f t="shared" si="1669"/>
        <v>43647</v>
      </c>
      <c r="U2745" s="204">
        <f t="shared" si="1670"/>
        <v>43677</v>
      </c>
      <c r="V2745" s="207">
        <f t="shared" si="1699"/>
        <v>0</v>
      </c>
      <c r="W2745" s="206" t="str">
        <f t="shared" si="1696"/>
        <v/>
      </c>
      <c r="X2745" s="206">
        <f t="shared" si="1697"/>
        <v>0</v>
      </c>
      <c r="Y2745" s="209">
        <f t="shared" si="1698"/>
        <v>0</v>
      </c>
    </row>
    <row r="2746" spans="2:25" ht="60.75" hidden="1" thickTop="1" x14ac:dyDescent="0.25">
      <c r="B2746" s="60">
        <f>B2743</f>
        <v>15</v>
      </c>
      <c r="C2746" s="102">
        <v>102</v>
      </c>
      <c r="D2746" s="192" t="str">
        <f t="shared" si="1679"/>
        <v>Извън сезона</v>
      </c>
      <c r="E2746" s="162"/>
      <c r="F2746" s="163"/>
      <c r="G2746" s="163"/>
      <c r="H2746" s="164"/>
      <c r="I2746" s="164"/>
      <c r="J2746" s="162"/>
      <c r="K2746" s="165"/>
      <c r="L2746" s="164"/>
      <c r="M2746" s="164"/>
      <c r="N2746" s="166"/>
      <c r="O2746" s="167"/>
      <c r="P2746" s="168"/>
      <c r="Q2746" s="169"/>
      <c r="R2746" s="170"/>
      <c r="S2746" s="171"/>
      <c r="T2746" s="203">
        <f t="shared" si="1669"/>
        <v>43647</v>
      </c>
      <c r="U2746" s="204">
        <f t="shared" si="1670"/>
        <v>43677</v>
      </c>
      <c r="V2746" s="207">
        <f t="shared" si="1699"/>
        <v>0</v>
      </c>
      <c r="W2746" s="206" t="str">
        <f t="shared" si="1696"/>
        <v/>
      </c>
      <c r="X2746" s="206">
        <f t="shared" si="1697"/>
        <v>0</v>
      </c>
      <c r="Y2746" s="209">
        <f t="shared" si="1698"/>
        <v>0</v>
      </c>
    </row>
    <row r="2747" spans="2:25" ht="60.75" hidden="1" thickTop="1" x14ac:dyDescent="0.25">
      <c r="B2747" s="60">
        <f>B2743</f>
        <v>15</v>
      </c>
      <c r="C2747" s="102">
        <v>103</v>
      </c>
      <c r="D2747" s="192" t="str">
        <f t="shared" si="1679"/>
        <v>Извън сезона</v>
      </c>
      <c r="E2747" s="162"/>
      <c r="F2747" s="163"/>
      <c r="G2747" s="163"/>
      <c r="H2747" s="164"/>
      <c r="I2747" s="164"/>
      <c r="J2747" s="162"/>
      <c r="K2747" s="165"/>
      <c r="L2747" s="164"/>
      <c r="M2747" s="164"/>
      <c r="N2747" s="166"/>
      <c r="O2747" s="167"/>
      <c r="P2747" s="168"/>
      <c r="Q2747" s="169"/>
      <c r="R2747" s="170"/>
      <c r="S2747" s="171"/>
      <c r="T2747" s="203">
        <f t="shared" si="1669"/>
        <v>43647</v>
      </c>
      <c r="U2747" s="204">
        <f t="shared" si="1670"/>
        <v>43677</v>
      </c>
      <c r="V2747" s="207">
        <f t="shared" si="1699"/>
        <v>0</v>
      </c>
      <c r="W2747" s="206" t="str">
        <f t="shared" si="1696"/>
        <v/>
      </c>
      <c r="X2747" s="206">
        <f t="shared" si="1697"/>
        <v>0</v>
      </c>
      <c r="Y2747" s="209">
        <f t="shared" si="1698"/>
        <v>0</v>
      </c>
    </row>
    <row r="2748" spans="2:25" ht="60.75" hidden="1" thickTop="1" x14ac:dyDescent="0.25">
      <c r="B2748" s="60">
        <f>B2743</f>
        <v>15</v>
      </c>
      <c r="C2748" s="102">
        <v>104</v>
      </c>
      <c r="D2748" s="192" t="str">
        <f t="shared" si="1679"/>
        <v>Извън сезона</v>
      </c>
      <c r="E2748" s="172"/>
      <c r="F2748" s="173"/>
      <c r="G2748" s="173"/>
      <c r="H2748" s="174"/>
      <c r="I2748" s="174"/>
      <c r="J2748" s="172"/>
      <c r="K2748" s="175"/>
      <c r="L2748" s="174"/>
      <c r="M2748" s="174"/>
      <c r="N2748" s="176"/>
      <c r="O2748" s="177"/>
      <c r="P2748" s="178"/>
      <c r="Q2748" s="179"/>
      <c r="R2748" s="180"/>
      <c r="S2748" s="181"/>
      <c r="T2748" s="203">
        <f t="shared" si="1669"/>
        <v>43647</v>
      </c>
      <c r="U2748" s="204">
        <f t="shared" si="1670"/>
        <v>43677</v>
      </c>
      <c r="V2748" s="207">
        <f t="shared" si="1699"/>
        <v>0</v>
      </c>
      <c r="W2748" s="206" t="str">
        <f t="shared" si="1696"/>
        <v/>
      </c>
      <c r="X2748" s="206">
        <f t="shared" si="1697"/>
        <v>0</v>
      </c>
      <c r="Y2748" s="209">
        <f t="shared" si="1698"/>
        <v>0</v>
      </c>
    </row>
    <row r="2749" spans="2:25" ht="61.5" hidden="1" thickTop="1" thickBot="1" x14ac:dyDescent="0.3">
      <c r="B2749" s="141">
        <f>B2743</f>
        <v>15</v>
      </c>
      <c r="C2749" s="142">
        <v>105</v>
      </c>
      <c r="D2749" s="194" t="str">
        <f t="shared" si="1679"/>
        <v>Извън сезона</v>
      </c>
      <c r="E2749" s="189"/>
      <c r="F2749" s="190"/>
      <c r="G2749" s="190"/>
      <c r="H2749" s="182"/>
      <c r="I2749" s="182"/>
      <c r="J2749" s="436" t="s">
        <v>181</v>
      </c>
      <c r="K2749" s="437"/>
      <c r="L2749" s="438"/>
      <c r="M2749" s="182"/>
      <c r="N2749" s="183"/>
      <c r="O2749" s="184"/>
      <c r="P2749" s="185"/>
      <c r="Q2749" s="186"/>
      <c r="R2749" s="187"/>
      <c r="S2749" s="188"/>
      <c r="T2749" s="213">
        <f t="shared" si="1669"/>
        <v>43647</v>
      </c>
      <c r="U2749" s="214">
        <f t="shared" si="1670"/>
        <v>43677</v>
      </c>
      <c r="V2749" s="210">
        <f t="shared" si="1699"/>
        <v>0</v>
      </c>
      <c r="W2749" s="211"/>
      <c r="X2749" s="211">
        <f>IF(AND($V2749&gt;0,$I2749=1),IF($E2749=10,P2749/10,P2749/$V2749),0)</f>
        <v>0</v>
      </c>
      <c r="Y2749" s="212">
        <f>IF(AND($V2743&gt;0,$I2749&lt;&gt;1),Q2749/E2743*V2743,0)</f>
        <v>0</v>
      </c>
    </row>
    <row r="2750" spans="2:25" ht="60.75" hidden="1" thickTop="1" x14ac:dyDescent="0.25">
      <c r="B2750" s="129">
        <f>B2748+1</f>
        <v>16</v>
      </c>
      <c r="C2750" s="130">
        <v>106</v>
      </c>
      <c r="D2750" s="196" t="str">
        <f t="shared" si="1679"/>
        <v>Извън сезона</v>
      </c>
      <c r="E2750" s="131"/>
      <c r="F2750" s="132"/>
      <c r="G2750" s="132"/>
      <c r="H2750" s="133"/>
      <c r="I2750" s="133"/>
      <c r="J2750" s="131"/>
      <c r="K2750" s="134"/>
      <c r="L2750" s="133"/>
      <c r="M2750" s="133"/>
      <c r="N2750" s="135"/>
      <c r="O2750" s="136"/>
      <c r="P2750" s="137"/>
      <c r="Q2750" s="138"/>
      <c r="R2750" s="139"/>
      <c r="S2750" s="140"/>
      <c r="T2750" s="203">
        <f t="shared" si="1669"/>
        <v>43647</v>
      </c>
      <c r="U2750" s="204">
        <f t="shared" si="1670"/>
        <v>43677</v>
      </c>
      <c r="V2750" s="207">
        <f>IF(G2750-F2750+1-IF(G2750-U2750&gt;0,G2750-U2750,0)-IF(T2750-F2750&gt;0,T2750-F2750,0)&gt;0,G2750-F2750+1-IF(G2750-U2750&gt;0,G2750-U2750,0)-IF(T2750-F2750&gt;0,T2750-F2750,0),0)</f>
        <v>0</v>
      </c>
      <c r="W2750" s="206" t="str">
        <f t="shared" ref="W2750:W2755" si="1700">IF(V2750&gt;0,H2750,"")</f>
        <v/>
      </c>
      <c r="X2750" s="206">
        <f t="shared" ref="X2750:X2755" si="1701">IF(AND($V2750&gt;0,$I2750=1),P2750/$E2750*$V2750,0)</f>
        <v>0</v>
      </c>
      <c r="Y2750" s="209">
        <f t="shared" ref="Y2750:Y2755" si="1702">IF(AND($V2750&gt;0,$I2750&lt;&gt;1),Q2750/$E2750*$V2750,0)</f>
        <v>0</v>
      </c>
    </row>
    <row r="2751" spans="2:25" ht="60.75" hidden="1" thickTop="1" x14ac:dyDescent="0.25">
      <c r="B2751" s="60">
        <f>B2750</f>
        <v>16</v>
      </c>
      <c r="C2751" s="102">
        <v>107</v>
      </c>
      <c r="D2751" s="192" t="str">
        <f t="shared" si="1679"/>
        <v>Извън сезона</v>
      </c>
      <c r="E2751" s="62"/>
      <c r="F2751" s="105"/>
      <c r="G2751" s="105"/>
      <c r="H2751" s="61"/>
      <c r="I2751" s="61"/>
      <c r="J2751" s="62"/>
      <c r="K2751" s="63"/>
      <c r="L2751" s="61"/>
      <c r="M2751" s="61"/>
      <c r="N2751" s="111"/>
      <c r="O2751" s="112"/>
      <c r="P2751" s="113"/>
      <c r="Q2751" s="114"/>
      <c r="R2751" s="64"/>
      <c r="S2751" s="108"/>
      <c r="T2751" s="203">
        <f t="shared" si="1669"/>
        <v>43647</v>
      </c>
      <c r="U2751" s="204">
        <f t="shared" si="1670"/>
        <v>43677</v>
      </c>
      <c r="V2751" s="207">
        <f t="shared" ref="V2751:V2756" si="1703">IF(G2751-F2751+1-IF(G2751-U2751&gt;0,G2751-U2751,0)-IF(T2751-F2751&gt;0,T2751-F2751,0)&gt;0,G2751-F2751+1-IF(G2751-U2751&gt;0,G2751-U2751,0)-IF(T2751-F2751&gt;0,T2751-F2751,0),0)</f>
        <v>0</v>
      </c>
      <c r="W2751" s="206" t="str">
        <f t="shared" si="1700"/>
        <v/>
      </c>
      <c r="X2751" s="206">
        <f t="shared" si="1701"/>
        <v>0</v>
      </c>
      <c r="Y2751" s="209">
        <f t="shared" si="1702"/>
        <v>0</v>
      </c>
    </row>
    <row r="2752" spans="2:25" ht="60.75" hidden="1" thickTop="1" x14ac:dyDescent="0.25">
      <c r="B2752" s="60">
        <f>B2750</f>
        <v>16</v>
      </c>
      <c r="C2752" s="102">
        <v>108</v>
      </c>
      <c r="D2752" s="192" t="str">
        <f t="shared" si="1679"/>
        <v>Извън сезона</v>
      </c>
      <c r="E2752" s="62"/>
      <c r="F2752" s="105"/>
      <c r="G2752" s="105"/>
      <c r="H2752" s="61"/>
      <c r="I2752" s="61"/>
      <c r="J2752" s="62"/>
      <c r="K2752" s="63"/>
      <c r="L2752" s="61"/>
      <c r="M2752" s="61"/>
      <c r="N2752" s="111"/>
      <c r="O2752" s="112"/>
      <c r="P2752" s="113"/>
      <c r="Q2752" s="114"/>
      <c r="R2752" s="64"/>
      <c r="S2752" s="108"/>
      <c r="T2752" s="203">
        <f t="shared" si="1669"/>
        <v>43647</v>
      </c>
      <c r="U2752" s="204">
        <f t="shared" si="1670"/>
        <v>43677</v>
      </c>
      <c r="V2752" s="207">
        <f t="shared" si="1703"/>
        <v>0</v>
      </c>
      <c r="W2752" s="206" t="str">
        <f t="shared" si="1700"/>
        <v/>
      </c>
      <c r="X2752" s="206">
        <f t="shared" si="1701"/>
        <v>0</v>
      </c>
      <c r="Y2752" s="209">
        <f t="shared" si="1702"/>
        <v>0</v>
      </c>
    </row>
    <row r="2753" spans="2:25" ht="60.75" hidden="1" thickTop="1" x14ac:dyDescent="0.25">
      <c r="B2753" s="60">
        <f>B2750</f>
        <v>16</v>
      </c>
      <c r="C2753" s="102">
        <v>109</v>
      </c>
      <c r="D2753" s="192" t="str">
        <f t="shared" si="1679"/>
        <v>Извън сезона</v>
      </c>
      <c r="E2753" s="62"/>
      <c r="F2753" s="105"/>
      <c r="G2753" s="105"/>
      <c r="H2753" s="61"/>
      <c r="I2753" s="61"/>
      <c r="J2753" s="62"/>
      <c r="K2753" s="63"/>
      <c r="L2753" s="61"/>
      <c r="M2753" s="61"/>
      <c r="N2753" s="111"/>
      <c r="O2753" s="112"/>
      <c r="P2753" s="113"/>
      <c r="Q2753" s="114"/>
      <c r="R2753" s="64"/>
      <c r="S2753" s="108"/>
      <c r="T2753" s="203">
        <f t="shared" si="1669"/>
        <v>43647</v>
      </c>
      <c r="U2753" s="204">
        <f t="shared" si="1670"/>
        <v>43677</v>
      </c>
      <c r="V2753" s="207">
        <f t="shared" si="1703"/>
        <v>0</v>
      </c>
      <c r="W2753" s="206" t="str">
        <f t="shared" si="1700"/>
        <v/>
      </c>
      <c r="X2753" s="206">
        <f t="shared" si="1701"/>
        <v>0</v>
      </c>
      <c r="Y2753" s="209">
        <f t="shared" si="1702"/>
        <v>0</v>
      </c>
    </row>
    <row r="2754" spans="2:25" ht="60.75" hidden="1" thickTop="1" x14ac:dyDescent="0.25">
      <c r="B2754" s="60">
        <f>B2750</f>
        <v>16</v>
      </c>
      <c r="C2754" s="102">
        <v>110</v>
      </c>
      <c r="D2754" s="192" t="str">
        <f t="shared" si="1679"/>
        <v>Извън сезона</v>
      </c>
      <c r="E2754" s="62"/>
      <c r="F2754" s="105"/>
      <c r="G2754" s="105"/>
      <c r="H2754" s="61"/>
      <c r="I2754" s="61"/>
      <c r="J2754" s="62"/>
      <c r="K2754" s="63"/>
      <c r="L2754" s="61"/>
      <c r="M2754" s="61"/>
      <c r="N2754" s="111"/>
      <c r="O2754" s="112"/>
      <c r="P2754" s="113"/>
      <c r="Q2754" s="114"/>
      <c r="R2754" s="64"/>
      <c r="S2754" s="108"/>
      <c r="T2754" s="203">
        <f t="shared" si="1669"/>
        <v>43647</v>
      </c>
      <c r="U2754" s="204">
        <f t="shared" si="1670"/>
        <v>43677</v>
      </c>
      <c r="V2754" s="207">
        <f t="shared" si="1703"/>
        <v>0</v>
      </c>
      <c r="W2754" s="206" t="str">
        <f t="shared" si="1700"/>
        <v/>
      </c>
      <c r="X2754" s="206">
        <f t="shared" si="1701"/>
        <v>0</v>
      </c>
      <c r="Y2754" s="209">
        <f t="shared" si="1702"/>
        <v>0</v>
      </c>
    </row>
    <row r="2755" spans="2:25" ht="60.75" hidden="1" thickTop="1" x14ac:dyDescent="0.25">
      <c r="B2755" s="60">
        <f>B2750</f>
        <v>16</v>
      </c>
      <c r="C2755" s="102">
        <v>111</v>
      </c>
      <c r="D2755" s="192" t="str">
        <f t="shared" si="1679"/>
        <v>Извън сезона</v>
      </c>
      <c r="E2755" s="62"/>
      <c r="F2755" s="105"/>
      <c r="G2755" s="105"/>
      <c r="H2755" s="61"/>
      <c r="I2755" s="61"/>
      <c r="J2755" s="62"/>
      <c r="K2755" s="63"/>
      <c r="L2755" s="61"/>
      <c r="M2755" s="61"/>
      <c r="N2755" s="111"/>
      <c r="O2755" s="112"/>
      <c r="P2755" s="113"/>
      <c r="Q2755" s="114"/>
      <c r="R2755" s="64"/>
      <c r="S2755" s="108"/>
      <c r="T2755" s="203">
        <f t="shared" si="1669"/>
        <v>43647</v>
      </c>
      <c r="U2755" s="204">
        <f t="shared" si="1670"/>
        <v>43677</v>
      </c>
      <c r="V2755" s="207">
        <f t="shared" si="1703"/>
        <v>0</v>
      </c>
      <c r="W2755" s="206" t="str">
        <f t="shared" si="1700"/>
        <v/>
      </c>
      <c r="X2755" s="206">
        <f t="shared" si="1701"/>
        <v>0</v>
      </c>
      <c r="Y2755" s="209">
        <f t="shared" si="1702"/>
        <v>0</v>
      </c>
    </row>
    <row r="2756" spans="2:25" ht="61.5" hidden="1" thickTop="1" thickBot="1" x14ac:dyDescent="0.3">
      <c r="B2756" s="141">
        <f>B2750</f>
        <v>16</v>
      </c>
      <c r="C2756" s="142">
        <v>112</v>
      </c>
      <c r="D2756" s="194" t="str">
        <f t="shared" si="1679"/>
        <v>Извън сезона</v>
      </c>
      <c r="E2756" s="143"/>
      <c r="F2756" s="144"/>
      <c r="G2756" s="144"/>
      <c r="H2756" s="145"/>
      <c r="I2756" s="145"/>
      <c r="J2756" s="436" t="s">
        <v>181</v>
      </c>
      <c r="K2756" s="437"/>
      <c r="L2756" s="438"/>
      <c r="M2756" s="145"/>
      <c r="N2756" s="146"/>
      <c r="O2756" s="147"/>
      <c r="P2756" s="148"/>
      <c r="Q2756" s="149"/>
      <c r="R2756" s="150"/>
      <c r="S2756" s="151"/>
      <c r="T2756" s="213">
        <f t="shared" si="1669"/>
        <v>43647</v>
      </c>
      <c r="U2756" s="214">
        <f t="shared" si="1670"/>
        <v>43677</v>
      </c>
      <c r="V2756" s="210">
        <f t="shared" si="1703"/>
        <v>0</v>
      </c>
      <c r="W2756" s="211"/>
      <c r="X2756" s="211">
        <f>IF(AND($V2756&gt;0,$I2756=1),IF($E2756=10,P2756/10,P2756/$V2756),0)</f>
        <v>0</v>
      </c>
      <c r="Y2756" s="212">
        <f>IF(AND($V2750&gt;0,$I2756&lt;&gt;1),Q2756/E2750*V2750,0)</f>
        <v>0</v>
      </c>
    </row>
    <row r="2757" spans="2:25" ht="60.75" hidden="1" thickTop="1" x14ac:dyDescent="0.25">
      <c r="B2757" s="129">
        <f>B2755+1</f>
        <v>17</v>
      </c>
      <c r="C2757" s="130">
        <v>113</v>
      </c>
      <c r="D2757" s="196" t="str">
        <f t="shared" si="1679"/>
        <v>Извън сезона</v>
      </c>
      <c r="E2757" s="152"/>
      <c r="F2757" s="153"/>
      <c r="G2757" s="153"/>
      <c r="H2757" s="154"/>
      <c r="I2757" s="154"/>
      <c r="J2757" s="152"/>
      <c r="K2757" s="155"/>
      <c r="L2757" s="154"/>
      <c r="M2757" s="154"/>
      <c r="N2757" s="156"/>
      <c r="O2757" s="157"/>
      <c r="P2757" s="158"/>
      <c r="Q2757" s="159"/>
      <c r="R2757" s="160"/>
      <c r="S2757" s="161"/>
      <c r="T2757" s="203">
        <f t="shared" si="1669"/>
        <v>43647</v>
      </c>
      <c r="U2757" s="204">
        <f t="shared" si="1670"/>
        <v>43677</v>
      </c>
      <c r="V2757" s="207">
        <f>IF(G2757-F2757+1-IF(G2757-U2757&gt;0,G2757-U2757,0)-IF(T2757-F2757&gt;0,T2757-F2757,0)&gt;0,G2757-F2757+1-IF(G2757-U2757&gt;0,G2757-U2757,0)-IF(T2757-F2757&gt;0,T2757-F2757,0),0)</f>
        <v>0</v>
      </c>
      <c r="W2757" s="206" t="str">
        <f t="shared" ref="W2757:W2762" si="1704">IF(V2757&gt;0,H2757,"")</f>
        <v/>
      </c>
      <c r="X2757" s="206">
        <f t="shared" ref="X2757:X2762" si="1705">IF(AND($V2757&gt;0,$I2757=1),P2757/$E2757*$V2757,0)</f>
        <v>0</v>
      </c>
      <c r="Y2757" s="209">
        <f t="shared" ref="Y2757:Y2762" si="1706">IF(AND($V2757&gt;0,$I2757&lt;&gt;1),Q2757/$E2757*$V2757,0)</f>
        <v>0</v>
      </c>
    </row>
    <row r="2758" spans="2:25" ht="60.75" hidden="1" thickTop="1" x14ac:dyDescent="0.25">
      <c r="B2758" s="60">
        <f>B2757</f>
        <v>17</v>
      </c>
      <c r="C2758" s="102">
        <v>114</v>
      </c>
      <c r="D2758" s="192" t="str">
        <f t="shared" si="1679"/>
        <v>Извън сезона</v>
      </c>
      <c r="E2758" s="162"/>
      <c r="F2758" s="163"/>
      <c r="G2758" s="163"/>
      <c r="H2758" s="164"/>
      <c r="I2758" s="164"/>
      <c r="J2758" s="162"/>
      <c r="K2758" s="165"/>
      <c r="L2758" s="164"/>
      <c r="M2758" s="164"/>
      <c r="N2758" s="166"/>
      <c r="O2758" s="167"/>
      <c r="P2758" s="168"/>
      <c r="Q2758" s="169"/>
      <c r="R2758" s="170"/>
      <c r="S2758" s="171"/>
      <c r="T2758" s="203">
        <f t="shared" si="1669"/>
        <v>43647</v>
      </c>
      <c r="U2758" s="204">
        <f t="shared" si="1670"/>
        <v>43677</v>
      </c>
      <c r="V2758" s="207">
        <f t="shared" ref="V2758:V2763" si="1707">IF(G2758-F2758+1-IF(G2758-U2758&gt;0,G2758-U2758,0)-IF(T2758-F2758&gt;0,T2758-F2758,0)&gt;0,G2758-F2758+1-IF(G2758-U2758&gt;0,G2758-U2758,0)-IF(T2758-F2758&gt;0,T2758-F2758,0),0)</f>
        <v>0</v>
      </c>
      <c r="W2758" s="206" t="str">
        <f t="shared" si="1704"/>
        <v/>
      </c>
      <c r="X2758" s="206">
        <f t="shared" si="1705"/>
        <v>0</v>
      </c>
      <c r="Y2758" s="209">
        <f t="shared" si="1706"/>
        <v>0</v>
      </c>
    </row>
    <row r="2759" spans="2:25" ht="60.75" hidden="1" thickTop="1" x14ac:dyDescent="0.25">
      <c r="B2759" s="60">
        <f>B2757</f>
        <v>17</v>
      </c>
      <c r="C2759" s="102">
        <v>115</v>
      </c>
      <c r="D2759" s="192" t="str">
        <f t="shared" si="1679"/>
        <v>Извън сезона</v>
      </c>
      <c r="E2759" s="162"/>
      <c r="F2759" s="163"/>
      <c r="G2759" s="163"/>
      <c r="H2759" s="164"/>
      <c r="I2759" s="164"/>
      <c r="J2759" s="162"/>
      <c r="K2759" s="165"/>
      <c r="L2759" s="164"/>
      <c r="M2759" s="164"/>
      <c r="N2759" s="166"/>
      <c r="O2759" s="167"/>
      <c r="P2759" s="168"/>
      <c r="Q2759" s="169"/>
      <c r="R2759" s="170"/>
      <c r="S2759" s="171"/>
      <c r="T2759" s="203">
        <f t="shared" si="1669"/>
        <v>43647</v>
      </c>
      <c r="U2759" s="204">
        <f t="shared" si="1670"/>
        <v>43677</v>
      </c>
      <c r="V2759" s="207">
        <f t="shared" si="1707"/>
        <v>0</v>
      </c>
      <c r="W2759" s="206" t="str">
        <f t="shared" si="1704"/>
        <v/>
      </c>
      <c r="X2759" s="206">
        <f t="shared" si="1705"/>
        <v>0</v>
      </c>
      <c r="Y2759" s="209">
        <f t="shared" si="1706"/>
        <v>0</v>
      </c>
    </row>
    <row r="2760" spans="2:25" ht="60.75" hidden="1" thickTop="1" x14ac:dyDescent="0.25">
      <c r="B2760" s="60">
        <f>B2757</f>
        <v>17</v>
      </c>
      <c r="C2760" s="102">
        <v>116</v>
      </c>
      <c r="D2760" s="192" t="str">
        <f t="shared" si="1679"/>
        <v>Извън сезона</v>
      </c>
      <c r="E2760" s="162"/>
      <c r="F2760" s="163"/>
      <c r="G2760" s="163"/>
      <c r="H2760" s="164"/>
      <c r="I2760" s="164"/>
      <c r="J2760" s="162"/>
      <c r="K2760" s="165"/>
      <c r="L2760" s="164"/>
      <c r="M2760" s="164"/>
      <c r="N2760" s="166"/>
      <c r="O2760" s="167"/>
      <c r="P2760" s="168"/>
      <c r="Q2760" s="169"/>
      <c r="R2760" s="170"/>
      <c r="S2760" s="171"/>
      <c r="T2760" s="203">
        <f t="shared" si="1669"/>
        <v>43647</v>
      </c>
      <c r="U2760" s="204">
        <f t="shared" si="1670"/>
        <v>43677</v>
      </c>
      <c r="V2760" s="207">
        <f t="shared" si="1707"/>
        <v>0</v>
      </c>
      <c r="W2760" s="206" t="str">
        <f t="shared" si="1704"/>
        <v/>
      </c>
      <c r="X2760" s="206">
        <f t="shared" si="1705"/>
        <v>0</v>
      </c>
      <c r="Y2760" s="209">
        <f t="shared" si="1706"/>
        <v>0</v>
      </c>
    </row>
    <row r="2761" spans="2:25" ht="60.75" hidden="1" thickTop="1" x14ac:dyDescent="0.25">
      <c r="B2761" s="60">
        <f>B2757</f>
        <v>17</v>
      </c>
      <c r="C2761" s="102">
        <v>117</v>
      </c>
      <c r="D2761" s="192" t="str">
        <f t="shared" si="1679"/>
        <v>Извън сезона</v>
      </c>
      <c r="E2761" s="162"/>
      <c r="F2761" s="163"/>
      <c r="G2761" s="163"/>
      <c r="H2761" s="164"/>
      <c r="I2761" s="164"/>
      <c r="J2761" s="162"/>
      <c r="K2761" s="165"/>
      <c r="L2761" s="164"/>
      <c r="M2761" s="164"/>
      <c r="N2761" s="166"/>
      <c r="O2761" s="167"/>
      <c r="P2761" s="168"/>
      <c r="Q2761" s="169"/>
      <c r="R2761" s="170"/>
      <c r="S2761" s="171"/>
      <c r="T2761" s="203">
        <f t="shared" si="1669"/>
        <v>43647</v>
      </c>
      <c r="U2761" s="204">
        <f t="shared" si="1670"/>
        <v>43677</v>
      </c>
      <c r="V2761" s="207">
        <f t="shared" si="1707"/>
        <v>0</v>
      </c>
      <c r="W2761" s="206" t="str">
        <f t="shared" si="1704"/>
        <v/>
      </c>
      <c r="X2761" s="206">
        <f t="shared" si="1705"/>
        <v>0</v>
      </c>
      <c r="Y2761" s="209">
        <f t="shared" si="1706"/>
        <v>0</v>
      </c>
    </row>
    <row r="2762" spans="2:25" ht="60.75" hidden="1" thickTop="1" x14ac:dyDescent="0.25">
      <c r="B2762" s="60">
        <f>B2757</f>
        <v>17</v>
      </c>
      <c r="C2762" s="102">
        <v>118</v>
      </c>
      <c r="D2762" s="192" t="str">
        <f t="shared" si="1679"/>
        <v>Извън сезона</v>
      </c>
      <c r="E2762" s="172"/>
      <c r="F2762" s="173"/>
      <c r="G2762" s="173"/>
      <c r="H2762" s="174"/>
      <c r="I2762" s="174"/>
      <c r="J2762" s="172"/>
      <c r="K2762" s="175"/>
      <c r="L2762" s="174"/>
      <c r="M2762" s="174"/>
      <c r="N2762" s="176"/>
      <c r="O2762" s="177"/>
      <c r="P2762" s="178"/>
      <c r="Q2762" s="179"/>
      <c r="R2762" s="180"/>
      <c r="S2762" s="181"/>
      <c r="T2762" s="203">
        <f t="shared" si="1669"/>
        <v>43647</v>
      </c>
      <c r="U2762" s="204">
        <f t="shared" si="1670"/>
        <v>43677</v>
      </c>
      <c r="V2762" s="207">
        <f t="shared" si="1707"/>
        <v>0</v>
      </c>
      <c r="W2762" s="206" t="str">
        <f t="shared" si="1704"/>
        <v/>
      </c>
      <c r="X2762" s="206">
        <f t="shared" si="1705"/>
        <v>0</v>
      </c>
      <c r="Y2762" s="209">
        <f t="shared" si="1706"/>
        <v>0</v>
      </c>
    </row>
    <row r="2763" spans="2:25" ht="61.5" hidden="1" thickTop="1" thickBot="1" x14ac:dyDescent="0.3">
      <c r="B2763" s="141">
        <f>B2757</f>
        <v>17</v>
      </c>
      <c r="C2763" s="142">
        <v>119</v>
      </c>
      <c r="D2763" s="194" t="str">
        <f t="shared" si="1679"/>
        <v>Извън сезона</v>
      </c>
      <c r="E2763" s="189"/>
      <c r="F2763" s="190"/>
      <c r="G2763" s="190"/>
      <c r="H2763" s="182"/>
      <c r="I2763" s="182"/>
      <c r="J2763" s="436" t="s">
        <v>181</v>
      </c>
      <c r="K2763" s="437"/>
      <c r="L2763" s="438"/>
      <c r="M2763" s="182"/>
      <c r="N2763" s="183"/>
      <c r="O2763" s="184"/>
      <c r="P2763" s="185"/>
      <c r="Q2763" s="186"/>
      <c r="R2763" s="187"/>
      <c r="S2763" s="188"/>
      <c r="T2763" s="213">
        <f t="shared" si="1669"/>
        <v>43647</v>
      </c>
      <c r="U2763" s="214">
        <f t="shared" si="1670"/>
        <v>43677</v>
      </c>
      <c r="V2763" s="210">
        <f t="shared" si="1707"/>
        <v>0</v>
      </c>
      <c r="W2763" s="211"/>
      <c r="X2763" s="211">
        <f>IF(AND($V2763&gt;0,$I2763=1),IF($E2763=10,P2763/10,P2763/$V2763),0)</f>
        <v>0</v>
      </c>
      <c r="Y2763" s="212">
        <f>IF(AND($V2757&gt;0,$I2763&lt;&gt;1),Q2763/E2757*V2757,0)</f>
        <v>0</v>
      </c>
    </row>
    <row r="2764" spans="2:25" ht="60.75" hidden="1" thickTop="1" x14ac:dyDescent="0.25">
      <c r="B2764" s="129">
        <f>B2762+1</f>
        <v>18</v>
      </c>
      <c r="C2764" s="130">
        <v>120</v>
      </c>
      <c r="D2764" s="196" t="str">
        <f t="shared" si="1679"/>
        <v>Извън сезона</v>
      </c>
      <c r="E2764" s="131"/>
      <c r="F2764" s="132"/>
      <c r="G2764" s="132"/>
      <c r="H2764" s="133"/>
      <c r="I2764" s="133"/>
      <c r="J2764" s="131"/>
      <c r="K2764" s="134"/>
      <c r="L2764" s="133"/>
      <c r="M2764" s="133"/>
      <c r="N2764" s="135"/>
      <c r="O2764" s="136"/>
      <c r="P2764" s="137"/>
      <c r="Q2764" s="138"/>
      <c r="R2764" s="139"/>
      <c r="S2764" s="140"/>
      <c r="T2764" s="203">
        <f t="shared" si="1669"/>
        <v>43647</v>
      </c>
      <c r="U2764" s="204">
        <f t="shared" si="1670"/>
        <v>43677</v>
      </c>
      <c r="V2764" s="207">
        <f>IF(G2764-F2764+1-IF(G2764-U2764&gt;0,G2764-U2764,0)-IF(T2764-F2764&gt;0,T2764-F2764,0)&gt;0,G2764-F2764+1-IF(G2764-U2764&gt;0,G2764-U2764,0)-IF(T2764-F2764&gt;0,T2764-F2764,0),0)</f>
        <v>0</v>
      </c>
      <c r="W2764" s="206" t="str">
        <f t="shared" ref="W2764:W2769" si="1708">IF(V2764&gt;0,H2764,"")</f>
        <v/>
      </c>
      <c r="X2764" s="206">
        <f t="shared" ref="X2764:X2769" si="1709">IF(AND($V2764&gt;0,$I2764=1),P2764/$E2764*$V2764,0)</f>
        <v>0</v>
      </c>
      <c r="Y2764" s="209">
        <f t="shared" ref="Y2764:Y2769" si="1710">IF(AND($V2764&gt;0,$I2764&lt;&gt;1),Q2764/$E2764*$V2764,0)</f>
        <v>0</v>
      </c>
    </row>
    <row r="2765" spans="2:25" ht="60.75" hidden="1" thickTop="1" x14ac:dyDescent="0.25">
      <c r="B2765" s="60">
        <f>B2764</f>
        <v>18</v>
      </c>
      <c r="C2765" s="102">
        <v>121</v>
      </c>
      <c r="D2765" s="192" t="str">
        <f t="shared" si="1679"/>
        <v>Извън сезона</v>
      </c>
      <c r="E2765" s="62"/>
      <c r="F2765" s="105"/>
      <c r="G2765" s="105"/>
      <c r="H2765" s="61"/>
      <c r="I2765" s="61"/>
      <c r="J2765" s="62"/>
      <c r="K2765" s="63"/>
      <c r="L2765" s="61"/>
      <c r="M2765" s="61"/>
      <c r="N2765" s="111"/>
      <c r="O2765" s="112"/>
      <c r="P2765" s="113"/>
      <c r="Q2765" s="114"/>
      <c r="R2765" s="64"/>
      <c r="S2765" s="108"/>
      <c r="T2765" s="203">
        <f t="shared" ref="T2765:T2828" si="1711">$F$4</f>
        <v>43647</v>
      </c>
      <c r="U2765" s="204">
        <f t="shared" ref="U2765:U2828" si="1712">$G$4</f>
        <v>43677</v>
      </c>
      <c r="V2765" s="207">
        <f t="shared" ref="V2765:V2770" si="1713">IF(G2765-F2765+1-IF(G2765-U2765&gt;0,G2765-U2765,0)-IF(T2765-F2765&gt;0,T2765-F2765,0)&gt;0,G2765-F2765+1-IF(G2765-U2765&gt;0,G2765-U2765,0)-IF(T2765-F2765&gt;0,T2765-F2765,0),0)</f>
        <v>0</v>
      </c>
      <c r="W2765" s="206" t="str">
        <f t="shared" si="1708"/>
        <v/>
      </c>
      <c r="X2765" s="206">
        <f t="shared" si="1709"/>
        <v>0</v>
      </c>
      <c r="Y2765" s="209">
        <f t="shared" si="1710"/>
        <v>0</v>
      </c>
    </row>
    <row r="2766" spans="2:25" ht="60.75" hidden="1" thickTop="1" x14ac:dyDescent="0.25">
      <c r="B2766" s="60">
        <f>B2764</f>
        <v>18</v>
      </c>
      <c r="C2766" s="102">
        <v>122</v>
      </c>
      <c r="D2766" s="192" t="str">
        <f t="shared" si="1679"/>
        <v>Извън сезона</v>
      </c>
      <c r="E2766" s="62"/>
      <c r="F2766" s="105"/>
      <c r="G2766" s="105"/>
      <c r="H2766" s="61"/>
      <c r="I2766" s="61"/>
      <c r="J2766" s="62"/>
      <c r="K2766" s="63"/>
      <c r="L2766" s="61"/>
      <c r="M2766" s="61"/>
      <c r="N2766" s="111"/>
      <c r="O2766" s="112"/>
      <c r="P2766" s="113"/>
      <c r="Q2766" s="114"/>
      <c r="R2766" s="64"/>
      <c r="S2766" s="108"/>
      <c r="T2766" s="203">
        <f t="shared" si="1711"/>
        <v>43647</v>
      </c>
      <c r="U2766" s="204">
        <f t="shared" si="1712"/>
        <v>43677</v>
      </c>
      <c r="V2766" s="207">
        <f t="shared" si="1713"/>
        <v>0</v>
      </c>
      <c r="W2766" s="206" t="str">
        <f t="shared" si="1708"/>
        <v/>
      </c>
      <c r="X2766" s="206">
        <f t="shared" si="1709"/>
        <v>0</v>
      </c>
      <c r="Y2766" s="209">
        <f t="shared" si="1710"/>
        <v>0</v>
      </c>
    </row>
    <row r="2767" spans="2:25" ht="60.75" hidden="1" thickTop="1" x14ac:dyDescent="0.25">
      <c r="B2767" s="60">
        <f>B2764</f>
        <v>18</v>
      </c>
      <c r="C2767" s="102">
        <v>123</v>
      </c>
      <c r="D2767" s="192" t="str">
        <f t="shared" si="1679"/>
        <v>Извън сезона</v>
      </c>
      <c r="E2767" s="62"/>
      <c r="F2767" s="105"/>
      <c r="G2767" s="105"/>
      <c r="H2767" s="61"/>
      <c r="I2767" s="61"/>
      <c r="J2767" s="62"/>
      <c r="K2767" s="63"/>
      <c r="L2767" s="61"/>
      <c r="M2767" s="61"/>
      <c r="N2767" s="111"/>
      <c r="O2767" s="112"/>
      <c r="P2767" s="113"/>
      <c r="Q2767" s="114"/>
      <c r="R2767" s="64"/>
      <c r="S2767" s="108"/>
      <c r="T2767" s="203">
        <f t="shared" si="1711"/>
        <v>43647</v>
      </c>
      <c r="U2767" s="204">
        <f t="shared" si="1712"/>
        <v>43677</v>
      </c>
      <c r="V2767" s="207">
        <f t="shared" si="1713"/>
        <v>0</v>
      </c>
      <c r="W2767" s="206" t="str">
        <f t="shared" si="1708"/>
        <v/>
      </c>
      <c r="X2767" s="206">
        <f t="shared" si="1709"/>
        <v>0</v>
      </c>
      <c r="Y2767" s="209">
        <f t="shared" si="1710"/>
        <v>0</v>
      </c>
    </row>
    <row r="2768" spans="2:25" ht="60.75" hidden="1" thickTop="1" x14ac:dyDescent="0.25">
      <c r="B2768" s="60">
        <f>B2764</f>
        <v>18</v>
      </c>
      <c r="C2768" s="102">
        <v>124</v>
      </c>
      <c r="D2768" s="192" t="str">
        <f t="shared" si="1679"/>
        <v>Извън сезона</v>
      </c>
      <c r="E2768" s="62"/>
      <c r="F2768" s="105"/>
      <c r="G2768" s="105"/>
      <c r="H2768" s="61"/>
      <c r="I2768" s="61"/>
      <c r="J2768" s="62"/>
      <c r="K2768" s="63"/>
      <c r="L2768" s="61"/>
      <c r="M2768" s="61"/>
      <c r="N2768" s="111"/>
      <c r="O2768" s="112"/>
      <c r="P2768" s="113"/>
      <c r="Q2768" s="114"/>
      <c r="R2768" s="64"/>
      <c r="S2768" s="108"/>
      <c r="T2768" s="203">
        <f t="shared" si="1711"/>
        <v>43647</v>
      </c>
      <c r="U2768" s="204">
        <f t="shared" si="1712"/>
        <v>43677</v>
      </c>
      <c r="V2768" s="207">
        <f t="shared" si="1713"/>
        <v>0</v>
      </c>
      <c r="W2768" s="206" t="str">
        <f t="shared" si="1708"/>
        <v/>
      </c>
      <c r="X2768" s="206">
        <f t="shared" si="1709"/>
        <v>0</v>
      </c>
      <c r="Y2768" s="209">
        <f t="shared" si="1710"/>
        <v>0</v>
      </c>
    </row>
    <row r="2769" spans="2:25" ht="60.75" hidden="1" thickTop="1" x14ac:dyDescent="0.25">
      <c r="B2769" s="60">
        <f>B2764</f>
        <v>18</v>
      </c>
      <c r="C2769" s="102">
        <v>125</v>
      </c>
      <c r="D2769" s="192" t="str">
        <f t="shared" si="1679"/>
        <v>Извън сезона</v>
      </c>
      <c r="E2769" s="62"/>
      <c r="F2769" s="105"/>
      <c r="G2769" s="105"/>
      <c r="H2769" s="61"/>
      <c r="I2769" s="61"/>
      <c r="J2769" s="62"/>
      <c r="K2769" s="63"/>
      <c r="L2769" s="61"/>
      <c r="M2769" s="61"/>
      <c r="N2769" s="111"/>
      <c r="O2769" s="112"/>
      <c r="P2769" s="113"/>
      <c r="Q2769" s="114"/>
      <c r="R2769" s="64"/>
      <c r="S2769" s="108"/>
      <c r="T2769" s="203">
        <f t="shared" si="1711"/>
        <v>43647</v>
      </c>
      <c r="U2769" s="204">
        <f t="shared" si="1712"/>
        <v>43677</v>
      </c>
      <c r="V2769" s="207">
        <f t="shared" si="1713"/>
        <v>0</v>
      </c>
      <c r="W2769" s="206" t="str">
        <f t="shared" si="1708"/>
        <v/>
      </c>
      <c r="X2769" s="206">
        <f t="shared" si="1709"/>
        <v>0</v>
      </c>
      <c r="Y2769" s="209">
        <f t="shared" si="1710"/>
        <v>0</v>
      </c>
    </row>
    <row r="2770" spans="2:25" ht="61.5" hidden="1" thickTop="1" thickBot="1" x14ac:dyDescent="0.3">
      <c r="B2770" s="141">
        <f>B2764</f>
        <v>18</v>
      </c>
      <c r="C2770" s="142">
        <v>126</v>
      </c>
      <c r="D2770" s="194" t="str">
        <f t="shared" si="1679"/>
        <v>Извън сезона</v>
      </c>
      <c r="E2770" s="143"/>
      <c r="F2770" s="144"/>
      <c r="G2770" s="144"/>
      <c r="H2770" s="145"/>
      <c r="I2770" s="145"/>
      <c r="J2770" s="436" t="s">
        <v>181</v>
      </c>
      <c r="K2770" s="437"/>
      <c r="L2770" s="438"/>
      <c r="M2770" s="145"/>
      <c r="N2770" s="146"/>
      <c r="O2770" s="147"/>
      <c r="P2770" s="148"/>
      <c r="Q2770" s="149"/>
      <c r="R2770" s="150"/>
      <c r="S2770" s="151"/>
      <c r="T2770" s="213">
        <f t="shared" si="1711"/>
        <v>43647</v>
      </c>
      <c r="U2770" s="214">
        <f t="shared" si="1712"/>
        <v>43677</v>
      </c>
      <c r="V2770" s="210">
        <f t="shared" si="1713"/>
        <v>0</v>
      </c>
      <c r="W2770" s="211"/>
      <c r="X2770" s="211">
        <f>IF(AND($V2770&gt;0,$I2770=1),IF($E2770=10,P2770/10,P2770/$V2770),0)</f>
        <v>0</v>
      </c>
      <c r="Y2770" s="212">
        <f>IF(AND($V2764&gt;0,$I2770&lt;&gt;1),Q2770/E2764*V2764,0)</f>
        <v>0</v>
      </c>
    </row>
    <row r="2771" spans="2:25" ht="60.75" hidden="1" thickTop="1" x14ac:dyDescent="0.25">
      <c r="B2771" s="129">
        <f>B2769+1</f>
        <v>19</v>
      </c>
      <c r="C2771" s="130">
        <v>127</v>
      </c>
      <c r="D2771" s="196" t="str">
        <f t="shared" si="1679"/>
        <v>Извън сезона</v>
      </c>
      <c r="E2771" s="152"/>
      <c r="F2771" s="153"/>
      <c r="G2771" s="153"/>
      <c r="H2771" s="154"/>
      <c r="I2771" s="154"/>
      <c r="J2771" s="152"/>
      <c r="K2771" s="155"/>
      <c r="L2771" s="154"/>
      <c r="M2771" s="154"/>
      <c r="N2771" s="156"/>
      <c r="O2771" s="157"/>
      <c r="P2771" s="158"/>
      <c r="Q2771" s="159"/>
      <c r="R2771" s="160"/>
      <c r="S2771" s="161"/>
      <c r="T2771" s="203">
        <f t="shared" si="1711"/>
        <v>43647</v>
      </c>
      <c r="U2771" s="204">
        <f t="shared" si="1712"/>
        <v>43677</v>
      </c>
      <c r="V2771" s="207">
        <f>IF(G2771-F2771+1-IF(G2771-U2771&gt;0,G2771-U2771,0)-IF(T2771-F2771&gt;0,T2771-F2771,0)&gt;0,G2771-F2771+1-IF(G2771-U2771&gt;0,G2771-U2771,0)-IF(T2771-F2771&gt;0,T2771-F2771,0),0)</f>
        <v>0</v>
      </c>
      <c r="W2771" s="206" t="str">
        <f t="shared" ref="W2771:W2776" si="1714">IF(V2771&gt;0,H2771,"")</f>
        <v/>
      </c>
      <c r="X2771" s="206">
        <f t="shared" ref="X2771:X2776" si="1715">IF(AND($V2771&gt;0,$I2771=1),P2771/$E2771*$V2771,0)</f>
        <v>0</v>
      </c>
      <c r="Y2771" s="209">
        <f t="shared" ref="Y2771:Y2776" si="1716">IF(AND($V2771&gt;0,$I2771&lt;&gt;1),Q2771/$E2771*$V2771,0)</f>
        <v>0</v>
      </c>
    </row>
    <row r="2772" spans="2:25" ht="60.75" hidden="1" thickTop="1" x14ac:dyDescent="0.25">
      <c r="B2772" s="60">
        <f>B2771</f>
        <v>19</v>
      </c>
      <c r="C2772" s="102">
        <v>128</v>
      </c>
      <c r="D2772" s="192" t="str">
        <f t="shared" si="1679"/>
        <v>Извън сезона</v>
      </c>
      <c r="E2772" s="162"/>
      <c r="F2772" s="163"/>
      <c r="G2772" s="163"/>
      <c r="H2772" s="164"/>
      <c r="I2772" s="164"/>
      <c r="J2772" s="162"/>
      <c r="K2772" s="165"/>
      <c r="L2772" s="164"/>
      <c r="M2772" s="164"/>
      <c r="N2772" s="166"/>
      <c r="O2772" s="167"/>
      <c r="P2772" s="168"/>
      <c r="Q2772" s="169"/>
      <c r="R2772" s="170"/>
      <c r="S2772" s="171"/>
      <c r="T2772" s="203">
        <f t="shared" si="1711"/>
        <v>43647</v>
      </c>
      <c r="U2772" s="204">
        <f t="shared" si="1712"/>
        <v>43677</v>
      </c>
      <c r="V2772" s="207">
        <f t="shared" ref="V2772:V2777" si="1717">IF(G2772-F2772+1-IF(G2772-U2772&gt;0,G2772-U2772,0)-IF(T2772-F2772&gt;0,T2772-F2772,0)&gt;0,G2772-F2772+1-IF(G2772-U2772&gt;0,G2772-U2772,0)-IF(T2772-F2772&gt;0,T2772-F2772,0),0)</f>
        <v>0</v>
      </c>
      <c r="W2772" s="206" t="str">
        <f t="shared" si="1714"/>
        <v/>
      </c>
      <c r="X2772" s="206">
        <f t="shared" si="1715"/>
        <v>0</v>
      </c>
      <c r="Y2772" s="209">
        <f t="shared" si="1716"/>
        <v>0</v>
      </c>
    </row>
    <row r="2773" spans="2:25" ht="60.75" hidden="1" thickTop="1" x14ac:dyDescent="0.25">
      <c r="B2773" s="60">
        <f>B2771</f>
        <v>19</v>
      </c>
      <c r="C2773" s="102">
        <v>129</v>
      </c>
      <c r="D2773" s="192" t="str">
        <f t="shared" si="1679"/>
        <v>Извън сезона</v>
      </c>
      <c r="E2773" s="162"/>
      <c r="F2773" s="163"/>
      <c r="G2773" s="163"/>
      <c r="H2773" s="164"/>
      <c r="I2773" s="164"/>
      <c r="J2773" s="162"/>
      <c r="K2773" s="165"/>
      <c r="L2773" s="164"/>
      <c r="M2773" s="164"/>
      <c r="N2773" s="166"/>
      <c r="O2773" s="167"/>
      <c r="P2773" s="168"/>
      <c r="Q2773" s="169"/>
      <c r="R2773" s="170"/>
      <c r="S2773" s="171"/>
      <c r="T2773" s="203">
        <f t="shared" si="1711"/>
        <v>43647</v>
      </c>
      <c r="U2773" s="204">
        <f t="shared" si="1712"/>
        <v>43677</v>
      </c>
      <c r="V2773" s="207">
        <f t="shared" si="1717"/>
        <v>0</v>
      </c>
      <c r="W2773" s="206" t="str">
        <f t="shared" si="1714"/>
        <v/>
      </c>
      <c r="X2773" s="206">
        <f t="shared" si="1715"/>
        <v>0</v>
      </c>
      <c r="Y2773" s="209">
        <f t="shared" si="1716"/>
        <v>0</v>
      </c>
    </row>
    <row r="2774" spans="2:25" ht="60.75" hidden="1" thickTop="1" x14ac:dyDescent="0.25">
      <c r="B2774" s="60">
        <f>B2771</f>
        <v>19</v>
      </c>
      <c r="C2774" s="102">
        <v>130</v>
      </c>
      <c r="D2774" s="192" t="str">
        <f t="shared" si="1679"/>
        <v>Извън сезона</v>
      </c>
      <c r="E2774" s="162"/>
      <c r="F2774" s="163"/>
      <c r="G2774" s="163"/>
      <c r="H2774" s="164"/>
      <c r="I2774" s="164"/>
      <c r="J2774" s="162"/>
      <c r="K2774" s="165"/>
      <c r="L2774" s="164"/>
      <c r="M2774" s="164"/>
      <c r="N2774" s="166"/>
      <c r="O2774" s="167"/>
      <c r="P2774" s="168"/>
      <c r="Q2774" s="169"/>
      <c r="R2774" s="170"/>
      <c r="S2774" s="171"/>
      <c r="T2774" s="203">
        <f t="shared" si="1711"/>
        <v>43647</v>
      </c>
      <c r="U2774" s="204">
        <f t="shared" si="1712"/>
        <v>43677</v>
      </c>
      <c r="V2774" s="207">
        <f t="shared" si="1717"/>
        <v>0</v>
      </c>
      <c r="W2774" s="206" t="str">
        <f t="shared" si="1714"/>
        <v/>
      </c>
      <c r="X2774" s="206">
        <f t="shared" si="1715"/>
        <v>0</v>
      </c>
      <c r="Y2774" s="209">
        <f t="shared" si="1716"/>
        <v>0</v>
      </c>
    </row>
    <row r="2775" spans="2:25" ht="60.75" hidden="1" thickTop="1" x14ac:dyDescent="0.25">
      <c r="B2775" s="60">
        <f>B2771</f>
        <v>19</v>
      </c>
      <c r="C2775" s="102">
        <v>131</v>
      </c>
      <c r="D2775" s="192" t="str">
        <f t="shared" ref="D2775:D2838" si="1718">D2774</f>
        <v>Извън сезона</v>
      </c>
      <c r="E2775" s="162"/>
      <c r="F2775" s="163"/>
      <c r="G2775" s="163"/>
      <c r="H2775" s="164"/>
      <c r="I2775" s="164"/>
      <c r="J2775" s="162"/>
      <c r="K2775" s="165"/>
      <c r="L2775" s="164"/>
      <c r="M2775" s="164"/>
      <c r="N2775" s="166"/>
      <c r="O2775" s="167"/>
      <c r="P2775" s="168"/>
      <c r="Q2775" s="169"/>
      <c r="R2775" s="170"/>
      <c r="S2775" s="171"/>
      <c r="T2775" s="203">
        <f t="shared" si="1711"/>
        <v>43647</v>
      </c>
      <c r="U2775" s="204">
        <f t="shared" si="1712"/>
        <v>43677</v>
      </c>
      <c r="V2775" s="207">
        <f t="shared" si="1717"/>
        <v>0</v>
      </c>
      <c r="W2775" s="206" t="str">
        <f t="shared" si="1714"/>
        <v/>
      </c>
      <c r="X2775" s="206">
        <f t="shared" si="1715"/>
        <v>0</v>
      </c>
      <c r="Y2775" s="209">
        <f t="shared" si="1716"/>
        <v>0</v>
      </c>
    </row>
    <row r="2776" spans="2:25" ht="60.75" hidden="1" thickTop="1" x14ac:dyDescent="0.25">
      <c r="B2776" s="60">
        <f>B2771</f>
        <v>19</v>
      </c>
      <c r="C2776" s="102">
        <v>132</v>
      </c>
      <c r="D2776" s="192" t="str">
        <f t="shared" si="1718"/>
        <v>Извън сезона</v>
      </c>
      <c r="E2776" s="172"/>
      <c r="F2776" s="173"/>
      <c r="G2776" s="173"/>
      <c r="H2776" s="174"/>
      <c r="I2776" s="174"/>
      <c r="J2776" s="172"/>
      <c r="K2776" s="175"/>
      <c r="L2776" s="174"/>
      <c r="M2776" s="174"/>
      <c r="N2776" s="176"/>
      <c r="O2776" s="177"/>
      <c r="P2776" s="178"/>
      <c r="Q2776" s="179"/>
      <c r="R2776" s="180"/>
      <c r="S2776" s="181"/>
      <c r="T2776" s="203">
        <f t="shared" si="1711"/>
        <v>43647</v>
      </c>
      <c r="U2776" s="204">
        <f t="shared" si="1712"/>
        <v>43677</v>
      </c>
      <c r="V2776" s="207">
        <f t="shared" si="1717"/>
        <v>0</v>
      </c>
      <c r="W2776" s="206" t="str">
        <f t="shared" si="1714"/>
        <v/>
      </c>
      <c r="X2776" s="206">
        <f t="shared" si="1715"/>
        <v>0</v>
      </c>
      <c r="Y2776" s="209">
        <f t="shared" si="1716"/>
        <v>0</v>
      </c>
    </row>
    <row r="2777" spans="2:25" ht="61.5" hidden="1" thickTop="1" thickBot="1" x14ac:dyDescent="0.3">
      <c r="B2777" s="141">
        <f>B2771</f>
        <v>19</v>
      </c>
      <c r="C2777" s="142">
        <v>133</v>
      </c>
      <c r="D2777" s="194" t="str">
        <f t="shared" si="1718"/>
        <v>Извън сезона</v>
      </c>
      <c r="E2777" s="189"/>
      <c r="F2777" s="190"/>
      <c r="G2777" s="190"/>
      <c r="H2777" s="182"/>
      <c r="I2777" s="182"/>
      <c r="J2777" s="436" t="s">
        <v>181</v>
      </c>
      <c r="K2777" s="437"/>
      <c r="L2777" s="438"/>
      <c r="M2777" s="182"/>
      <c r="N2777" s="183"/>
      <c r="O2777" s="184"/>
      <c r="P2777" s="185"/>
      <c r="Q2777" s="186"/>
      <c r="R2777" s="187"/>
      <c r="S2777" s="188"/>
      <c r="T2777" s="213">
        <f t="shared" si="1711"/>
        <v>43647</v>
      </c>
      <c r="U2777" s="214">
        <f t="shared" si="1712"/>
        <v>43677</v>
      </c>
      <c r="V2777" s="210">
        <f t="shared" si="1717"/>
        <v>0</v>
      </c>
      <c r="W2777" s="211"/>
      <c r="X2777" s="211">
        <f>IF(AND($V2777&gt;0,$I2777=1),IF($E2777=10,P2777/10,P2777/$V2777),0)</f>
        <v>0</v>
      </c>
      <c r="Y2777" s="212">
        <f>IF(AND($V2771&gt;0,$I2777&lt;&gt;1),Q2777/E2771*V2771,0)</f>
        <v>0</v>
      </c>
    </row>
    <row r="2778" spans="2:25" ht="60.75" hidden="1" thickTop="1" x14ac:dyDescent="0.25">
      <c r="B2778" s="129">
        <f>B2776+1</f>
        <v>20</v>
      </c>
      <c r="C2778" s="130">
        <v>134</v>
      </c>
      <c r="D2778" s="196" t="str">
        <f t="shared" si="1718"/>
        <v>Извън сезона</v>
      </c>
      <c r="E2778" s="131"/>
      <c r="F2778" s="132"/>
      <c r="G2778" s="132"/>
      <c r="H2778" s="133"/>
      <c r="I2778" s="133"/>
      <c r="J2778" s="131"/>
      <c r="K2778" s="134"/>
      <c r="L2778" s="133"/>
      <c r="M2778" s="133"/>
      <c r="N2778" s="135"/>
      <c r="O2778" s="136"/>
      <c r="P2778" s="137"/>
      <c r="Q2778" s="138"/>
      <c r="R2778" s="139"/>
      <c r="S2778" s="140"/>
      <c r="T2778" s="203">
        <f t="shared" si="1711"/>
        <v>43647</v>
      </c>
      <c r="U2778" s="204">
        <f t="shared" si="1712"/>
        <v>43677</v>
      </c>
      <c r="V2778" s="207">
        <f>IF(G2778-F2778+1-IF(G2778-U2778&gt;0,G2778-U2778,0)-IF(T2778-F2778&gt;0,T2778-F2778,0)&gt;0,G2778-F2778+1-IF(G2778-U2778&gt;0,G2778-U2778,0)-IF(T2778-F2778&gt;0,T2778-F2778,0),0)</f>
        <v>0</v>
      </c>
      <c r="W2778" s="206" t="str">
        <f t="shared" ref="W2778:W2783" si="1719">IF(V2778&gt;0,H2778,"")</f>
        <v/>
      </c>
      <c r="X2778" s="206">
        <f t="shared" ref="X2778:X2783" si="1720">IF(AND($V2778&gt;0,$I2778=1),P2778/$E2778*$V2778,0)</f>
        <v>0</v>
      </c>
      <c r="Y2778" s="209">
        <f t="shared" ref="Y2778:Y2783" si="1721">IF(AND($V2778&gt;0,$I2778&lt;&gt;1),Q2778/$E2778*$V2778,0)</f>
        <v>0</v>
      </c>
    </row>
    <row r="2779" spans="2:25" ht="60.75" hidden="1" thickTop="1" x14ac:dyDescent="0.25">
      <c r="B2779" s="60">
        <f>B2778</f>
        <v>20</v>
      </c>
      <c r="C2779" s="102">
        <v>135</v>
      </c>
      <c r="D2779" s="192" t="str">
        <f t="shared" si="1718"/>
        <v>Извън сезона</v>
      </c>
      <c r="E2779" s="62"/>
      <c r="F2779" s="105"/>
      <c r="G2779" s="105"/>
      <c r="H2779" s="61"/>
      <c r="I2779" s="61"/>
      <c r="J2779" s="62"/>
      <c r="K2779" s="63"/>
      <c r="L2779" s="61"/>
      <c r="M2779" s="61"/>
      <c r="N2779" s="111"/>
      <c r="O2779" s="112"/>
      <c r="P2779" s="113"/>
      <c r="Q2779" s="114"/>
      <c r="R2779" s="64"/>
      <c r="S2779" s="108"/>
      <c r="T2779" s="203">
        <f t="shared" si="1711"/>
        <v>43647</v>
      </c>
      <c r="U2779" s="204">
        <f t="shared" si="1712"/>
        <v>43677</v>
      </c>
      <c r="V2779" s="207">
        <f t="shared" ref="V2779:V2784" si="1722">IF(G2779-F2779+1-IF(G2779-U2779&gt;0,G2779-U2779,0)-IF(T2779-F2779&gt;0,T2779-F2779,0)&gt;0,G2779-F2779+1-IF(G2779-U2779&gt;0,G2779-U2779,0)-IF(T2779-F2779&gt;0,T2779-F2779,0),0)</f>
        <v>0</v>
      </c>
      <c r="W2779" s="206" t="str">
        <f t="shared" si="1719"/>
        <v/>
      </c>
      <c r="X2779" s="206">
        <f t="shared" si="1720"/>
        <v>0</v>
      </c>
      <c r="Y2779" s="209">
        <f t="shared" si="1721"/>
        <v>0</v>
      </c>
    </row>
    <row r="2780" spans="2:25" ht="60.75" hidden="1" thickTop="1" x14ac:dyDescent="0.25">
      <c r="B2780" s="60">
        <f>B2778</f>
        <v>20</v>
      </c>
      <c r="C2780" s="102">
        <v>136</v>
      </c>
      <c r="D2780" s="192" t="str">
        <f t="shared" si="1718"/>
        <v>Извън сезона</v>
      </c>
      <c r="E2780" s="62"/>
      <c r="F2780" s="105"/>
      <c r="G2780" s="105"/>
      <c r="H2780" s="61"/>
      <c r="I2780" s="61"/>
      <c r="J2780" s="62"/>
      <c r="K2780" s="63"/>
      <c r="L2780" s="61"/>
      <c r="M2780" s="61"/>
      <c r="N2780" s="111"/>
      <c r="O2780" s="112"/>
      <c r="P2780" s="113"/>
      <c r="Q2780" s="114"/>
      <c r="R2780" s="64"/>
      <c r="S2780" s="108"/>
      <c r="T2780" s="203">
        <f t="shared" si="1711"/>
        <v>43647</v>
      </c>
      <c r="U2780" s="204">
        <f t="shared" si="1712"/>
        <v>43677</v>
      </c>
      <c r="V2780" s="207">
        <f t="shared" si="1722"/>
        <v>0</v>
      </c>
      <c r="W2780" s="206" t="str">
        <f t="shared" si="1719"/>
        <v/>
      </c>
      <c r="X2780" s="206">
        <f t="shared" si="1720"/>
        <v>0</v>
      </c>
      <c r="Y2780" s="209">
        <f t="shared" si="1721"/>
        <v>0</v>
      </c>
    </row>
    <row r="2781" spans="2:25" ht="60.75" hidden="1" thickTop="1" x14ac:dyDescent="0.25">
      <c r="B2781" s="60">
        <f>B2778</f>
        <v>20</v>
      </c>
      <c r="C2781" s="102">
        <v>137</v>
      </c>
      <c r="D2781" s="192" t="str">
        <f t="shared" si="1718"/>
        <v>Извън сезона</v>
      </c>
      <c r="E2781" s="62"/>
      <c r="F2781" s="105"/>
      <c r="G2781" s="105"/>
      <c r="H2781" s="61"/>
      <c r="I2781" s="61"/>
      <c r="J2781" s="62"/>
      <c r="K2781" s="63"/>
      <c r="L2781" s="61"/>
      <c r="M2781" s="61"/>
      <c r="N2781" s="111"/>
      <c r="O2781" s="112"/>
      <c r="P2781" s="113"/>
      <c r="Q2781" s="114"/>
      <c r="R2781" s="64"/>
      <c r="S2781" s="108"/>
      <c r="T2781" s="203">
        <f t="shared" si="1711"/>
        <v>43647</v>
      </c>
      <c r="U2781" s="204">
        <f t="shared" si="1712"/>
        <v>43677</v>
      </c>
      <c r="V2781" s="207">
        <f t="shared" si="1722"/>
        <v>0</v>
      </c>
      <c r="W2781" s="206" t="str">
        <f t="shared" si="1719"/>
        <v/>
      </c>
      <c r="X2781" s="206">
        <f t="shared" si="1720"/>
        <v>0</v>
      </c>
      <c r="Y2781" s="209">
        <f t="shared" si="1721"/>
        <v>0</v>
      </c>
    </row>
    <row r="2782" spans="2:25" ht="60.75" hidden="1" thickTop="1" x14ac:dyDescent="0.25">
      <c r="B2782" s="60">
        <f>B2778</f>
        <v>20</v>
      </c>
      <c r="C2782" s="102">
        <v>138</v>
      </c>
      <c r="D2782" s="192" t="str">
        <f t="shared" si="1718"/>
        <v>Извън сезона</v>
      </c>
      <c r="E2782" s="62"/>
      <c r="F2782" s="105"/>
      <c r="G2782" s="105"/>
      <c r="H2782" s="61"/>
      <c r="I2782" s="61"/>
      <c r="J2782" s="62"/>
      <c r="K2782" s="63"/>
      <c r="L2782" s="61"/>
      <c r="M2782" s="61"/>
      <c r="N2782" s="111"/>
      <c r="O2782" s="112"/>
      <c r="P2782" s="113"/>
      <c r="Q2782" s="114"/>
      <c r="R2782" s="64"/>
      <c r="S2782" s="108"/>
      <c r="T2782" s="203">
        <f t="shared" si="1711"/>
        <v>43647</v>
      </c>
      <c r="U2782" s="204">
        <f t="shared" si="1712"/>
        <v>43677</v>
      </c>
      <c r="V2782" s="207">
        <f t="shared" si="1722"/>
        <v>0</v>
      </c>
      <c r="W2782" s="206" t="str">
        <f t="shared" si="1719"/>
        <v/>
      </c>
      <c r="X2782" s="206">
        <f t="shared" si="1720"/>
        <v>0</v>
      </c>
      <c r="Y2782" s="209">
        <f t="shared" si="1721"/>
        <v>0</v>
      </c>
    </row>
    <row r="2783" spans="2:25" ht="60.75" hidden="1" thickTop="1" x14ac:dyDescent="0.25">
      <c r="B2783" s="60">
        <f>B2778</f>
        <v>20</v>
      </c>
      <c r="C2783" s="102">
        <v>139</v>
      </c>
      <c r="D2783" s="192" t="str">
        <f t="shared" si="1718"/>
        <v>Извън сезона</v>
      </c>
      <c r="E2783" s="62"/>
      <c r="F2783" s="105"/>
      <c r="G2783" s="105"/>
      <c r="H2783" s="61"/>
      <c r="I2783" s="61"/>
      <c r="J2783" s="62"/>
      <c r="K2783" s="63"/>
      <c r="L2783" s="61"/>
      <c r="M2783" s="61"/>
      <c r="N2783" s="111"/>
      <c r="O2783" s="112"/>
      <c r="P2783" s="113"/>
      <c r="Q2783" s="114"/>
      <c r="R2783" s="64"/>
      <c r="S2783" s="108"/>
      <c r="T2783" s="203">
        <f t="shared" si="1711"/>
        <v>43647</v>
      </c>
      <c r="U2783" s="204">
        <f t="shared" si="1712"/>
        <v>43677</v>
      </c>
      <c r="V2783" s="207">
        <f t="shared" si="1722"/>
        <v>0</v>
      </c>
      <c r="W2783" s="206" t="str">
        <f t="shared" si="1719"/>
        <v/>
      </c>
      <c r="X2783" s="206">
        <f t="shared" si="1720"/>
        <v>0</v>
      </c>
      <c r="Y2783" s="209">
        <f t="shared" si="1721"/>
        <v>0</v>
      </c>
    </row>
    <row r="2784" spans="2:25" ht="61.5" hidden="1" thickTop="1" thickBot="1" x14ac:dyDescent="0.3">
      <c r="B2784" s="141">
        <f>B2778</f>
        <v>20</v>
      </c>
      <c r="C2784" s="142">
        <v>140</v>
      </c>
      <c r="D2784" s="194" t="str">
        <f t="shared" si="1718"/>
        <v>Извън сезона</v>
      </c>
      <c r="E2784" s="143"/>
      <c r="F2784" s="144"/>
      <c r="G2784" s="144"/>
      <c r="H2784" s="145"/>
      <c r="I2784" s="145"/>
      <c r="J2784" s="436" t="s">
        <v>181</v>
      </c>
      <c r="K2784" s="437"/>
      <c r="L2784" s="438"/>
      <c r="M2784" s="145"/>
      <c r="N2784" s="146"/>
      <c r="O2784" s="147"/>
      <c r="P2784" s="148"/>
      <c r="Q2784" s="149"/>
      <c r="R2784" s="150"/>
      <c r="S2784" s="151"/>
      <c r="T2784" s="213">
        <f t="shared" si="1711"/>
        <v>43647</v>
      </c>
      <c r="U2784" s="214">
        <f t="shared" si="1712"/>
        <v>43677</v>
      </c>
      <c r="V2784" s="210">
        <f t="shared" si="1722"/>
        <v>0</v>
      </c>
      <c r="W2784" s="211"/>
      <c r="X2784" s="211">
        <f>IF(AND($V2784&gt;0,$I2784=1),IF($E2784=10,P2784/10,P2784/$V2784),0)</f>
        <v>0</v>
      </c>
      <c r="Y2784" s="212">
        <f>IF(AND($V2778&gt;0,$I2784&lt;&gt;1),Q2784/E2778*V2778,0)</f>
        <v>0</v>
      </c>
    </row>
    <row r="2785" spans="2:25" ht="60.75" hidden="1" thickTop="1" x14ac:dyDescent="0.25">
      <c r="B2785" s="129">
        <f>B2783+1</f>
        <v>21</v>
      </c>
      <c r="C2785" s="130">
        <v>141</v>
      </c>
      <c r="D2785" s="196" t="str">
        <f t="shared" si="1718"/>
        <v>Извън сезона</v>
      </c>
      <c r="E2785" s="152"/>
      <c r="F2785" s="153"/>
      <c r="G2785" s="153"/>
      <c r="H2785" s="154"/>
      <c r="I2785" s="154"/>
      <c r="J2785" s="152"/>
      <c r="K2785" s="155"/>
      <c r="L2785" s="154"/>
      <c r="M2785" s="154"/>
      <c r="N2785" s="156"/>
      <c r="O2785" s="157"/>
      <c r="P2785" s="158"/>
      <c r="Q2785" s="159"/>
      <c r="R2785" s="160"/>
      <c r="S2785" s="161"/>
      <c r="T2785" s="203">
        <f t="shared" si="1711"/>
        <v>43647</v>
      </c>
      <c r="U2785" s="204">
        <f t="shared" si="1712"/>
        <v>43677</v>
      </c>
      <c r="V2785" s="207">
        <f>IF(G2785-F2785+1-IF(G2785-U2785&gt;0,G2785-U2785,0)-IF(T2785-F2785&gt;0,T2785-F2785,0)&gt;0,G2785-F2785+1-IF(G2785-U2785&gt;0,G2785-U2785,0)-IF(T2785-F2785&gt;0,T2785-F2785,0),0)</f>
        <v>0</v>
      </c>
      <c r="W2785" s="206" t="str">
        <f t="shared" ref="W2785:W2790" si="1723">IF(V2785&gt;0,H2785,"")</f>
        <v/>
      </c>
      <c r="X2785" s="206">
        <f t="shared" ref="X2785:X2790" si="1724">IF(AND($V2785&gt;0,$I2785=1),P2785/$E2785*$V2785,0)</f>
        <v>0</v>
      </c>
      <c r="Y2785" s="209">
        <f t="shared" ref="Y2785:Y2790" si="1725">IF(AND($V2785&gt;0,$I2785&lt;&gt;1),Q2785/$E2785*$V2785,0)</f>
        <v>0</v>
      </c>
    </row>
    <row r="2786" spans="2:25" ht="60.75" hidden="1" thickTop="1" x14ac:dyDescent="0.25">
      <c r="B2786" s="60">
        <f>B2785</f>
        <v>21</v>
      </c>
      <c r="C2786" s="102">
        <v>142</v>
      </c>
      <c r="D2786" s="192" t="str">
        <f t="shared" si="1718"/>
        <v>Извън сезона</v>
      </c>
      <c r="E2786" s="162"/>
      <c r="F2786" s="163"/>
      <c r="G2786" s="163"/>
      <c r="H2786" s="164"/>
      <c r="I2786" s="164"/>
      <c r="J2786" s="162"/>
      <c r="K2786" s="165"/>
      <c r="L2786" s="164"/>
      <c r="M2786" s="164"/>
      <c r="N2786" s="166"/>
      <c r="O2786" s="167"/>
      <c r="P2786" s="168"/>
      <c r="Q2786" s="169"/>
      <c r="R2786" s="170"/>
      <c r="S2786" s="171"/>
      <c r="T2786" s="203">
        <f t="shared" si="1711"/>
        <v>43647</v>
      </c>
      <c r="U2786" s="204">
        <f t="shared" si="1712"/>
        <v>43677</v>
      </c>
      <c r="V2786" s="207">
        <f t="shared" ref="V2786:V2791" si="1726">IF(G2786-F2786+1-IF(G2786-U2786&gt;0,G2786-U2786,0)-IF(T2786-F2786&gt;0,T2786-F2786,0)&gt;0,G2786-F2786+1-IF(G2786-U2786&gt;0,G2786-U2786,0)-IF(T2786-F2786&gt;0,T2786-F2786,0),0)</f>
        <v>0</v>
      </c>
      <c r="W2786" s="206" t="str">
        <f t="shared" si="1723"/>
        <v/>
      </c>
      <c r="X2786" s="206">
        <f t="shared" si="1724"/>
        <v>0</v>
      </c>
      <c r="Y2786" s="209">
        <f t="shared" si="1725"/>
        <v>0</v>
      </c>
    </row>
    <row r="2787" spans="2:25" ht="60.75" hidden="1" thickTop="1" x14ac:dyDescent="0.25">
      <c r="B2787" s="60">
        <f>B2785</f>
        <v>21</v>
      </c>
      <c r="C2787" s="102">
        <v>143</v>
      </c>
      <c r="D2787" s="192" t="str">
        <f t="shared" si="1718"/>
        <v>Извън сезона</v>
      </c>
      <c r="E2787" s="162"/>
      <c r="F2787" s="163"/>
      <c r="G2787" s="163"/>
      <c r="H2787" s="164"/>
      <c r="I2787" s="164"/>
      <c r="J2787" s="162"/>
      <c r="K2787" s="165"/>
      <c r="L2787" s="164"/>
      <c r="M2787" s="164"/>
      <c r="N2787" s="166"/>
      <c r="O2787" s="167"/>
      <c r="P2787" s="168"/>
      <c r="Q2787" s="169"/>
      <c r="R2787" s="170"/>
      <c r="S2787" s="171"/>
      <c r="T2787" s="203">
        <f t="shared" si="1711"/>
        <v>43647</v>
      </c>
      <c r="U2787" s="204">
        <f t="shared" si="1712"/>
        <v>43677</v>
      </c>
      <c r="V2787" s="207">
        <f t="shared" si="1726"/>
        <v>0</v>
      </c>
      <c r="W2787" s="206" t="str">
        <f t="shared" si="1723"/>
        <v/>
      </c>
      <c r="X2787" s="206">
        <f t="shared" si="1724"/>
        <v>0</v>
      </c>
      <c r="Y2787" s="209">
        <f t="shared" si="1725"/>
        <v>0</v>
      </c>
    </row>
    <row r="2788" spans="2:25" ht="60.75" hidden="1" thickTop="1" x14ac:dyDescent="0.25">
      <c r="B2788" s="60">
        <f>B2785</f>
        <v>21</v>
      </c>
      <c r="C2788" s="102">
        <v>144</v>
      </c>
      <c r="D2788" s="192" t="str">
        <f t="shared" si="1718"/>
        <v>Извън сезона</v>
      </c>
      <c r="E2788" s="162"/>
      <c r="F2788" s="163"/>
      <c r="G2788" s="163"/>
      <c r="H2788" s="164"/>
      <c r="I2788" s="164"/>
      <c r="J2788" s="162"/>
      <c r="K2788" s="165"/>
      <c r="L2788" s="164"/>
      <c r="M2788" s="164"/>
      <c r="N2788" s="166"/>
      <c r="O2788" s="167"/>
      <c r="P2788" s="168"/>
      <c r="Q2788" s="169"/>
      <c r="R2788" s="170"/>
      <c r="S2788" s="171"/>
      <c r="T2788" s="203">
        <f t="shared" si="1711"/>
        <v>43647</v>
      </c>
      <c r="U2788" s="204">
        <f t="shared" si="1712"/>
        <v>43677</v>
      </c>
      <c r="V2788" s="207">
        <f t="shared" si="1726"/>
        <v>0</v>
      </c>
      <c r="W2788" s="206" t="str">
        <f t="shared" si="1723"/>
        <v/>
      </c>
      <c r="X2788" s="206">
        <f t="shared" si="1724"/>
        <v>0</v>
      </c>
      <c r="Y2788" s="209">
        <f t="shared" si="1725"/>
        <v>0</v>
      </c>
    </row>
    <row r="2789" spans="2:25" ht="60.75" hidden="1" thickTop="1" x14ac:dyDescent="0.25">
      <c r="B2789" s="60">
        <f>B2785</f>
        <v>21</v>
      </c>
      <c r="C2789" s="102">
        <v>145</v>
      </c>
      <c r="D2789" s="192" t="str">
        <f t="shared" si="1718"/>
        <v>Извън сезона</v>
      </c>
      <c r="E2789" s="162"/>
      <c r="F2789" s="163"/>
      <c r="G2789" s="163"/>
      <c r="H2789" s="164"/>
      <c r="I2789" s="164"/>
      <c r="J2789" s="162"/>
      <c r="K2789" s="165"/>
      <c r="L2789" s="164"/>
      <c r="M2789" s="164"/>
      <c r="N2789" s="166"/>
      <c r="O2789" s="167"/>
      <c r="P2789" s="168"/>
      <c r="Q2789" s="169"/>
      <c r="R2789" s="170"/>
      <c r="S2789" s="171"/>
      <c r="T2789" s="203">
        <f t="shared" si="1711"/>
        <v>43647</v>
      </c>
      <c r="U2789" s="204">
        <f t="shared" si="1712"/>
        <v>43677</v>
      </c>
      <c r="V2789" s="207">
        <f t="shared" si="1726"/>
        <v>0</v>
      </c>
      <c r="W2789" s="206" t="str">
        <f t="shared" si="1723"/>
        <v/>
      </c>
      <c r="X2789" s="206">
        <f t="shared" si="1724"/>
        <v>0</v>
      </c>
      <c r="Y2789" s="209">
        <f t="shared" si="1725"/>
        <v>0</v>
      </c>
    </row>
    <row r="2790" spans="2:25" ht="60.75" hidden="1" thickTop="1" x14ac:dyDescent="0.25">
      <c r="B2790" s="60">
        <f>B2785</f>
        <v>21</v>
      </c>
      <c r="C2790" s="102">
        <v>146</v>
      </c>
      <c r="D2790" s="192" t="str">
        <f t="shared" si="1718"/>
        <v>Извън сезона</v>
      </c>
      <c r="E2790" s="172"/>
      <c r="F2790" s="173"/>
      <c r="G2790" s="173"/>
      <c r="H2790" s="174"/>
      <c r="I2790" s="174"/>
      <c r="J2790" s="172"/>
      <c r="K2790" s="175"/>
      <c r="L2790" s="174"/>
      <c r="M2790" s="174"/>
      <c r="N2790" s="176"/>
      <c r="O2790" s="177"/>
      <c r="P2790" s="178"/>
      <c r="Q2790" s="179"/>
      <c r="R2790" s="180"/>
      <c r="S2790" s="181"/>
      <c r="T2790" s="203">
        <f t="shared" si="1711"/>
        <v>43647</v>
      </c>
      <c r="U2790" s="204">
        <f t="shared" si="1712"/>
        <v>43677</v>
      </c>
      <c r="V2790" s="207">
        <f t="shared" si="1726"/>
        <v>0</v>
      </c>
      <c r="W2790" s="206" t="str">
        <f t="shared" si="1723"/>
        <v/>
      </c>
      <c r="X2790" s="206">
        <f t="shared" si="1724"/>
        <v>0</v>
      </c>
      <c r="Y2790" s="209">
        <f t="shared" si="1725"/>
        <v>0</v>
      </c>
    </row>
    <row r="2791" spans="2:25" ht="61.5" hidden="1" thickTop="1" thickBot="1" x14ac:dyDescent="0.3">
      <c r="B2791" s="141">
        <f>B2785</f>
        <v>21</v>
      </c>
      <c r="C2791" s="142">
        <v>147</v>
      </c>
      <c r="D2791" s="194" t="str">
        <f t="shared" si="1718"/>
        <v>Извън сезона</v>
      </c>
      <c r="E2791" s="189"/>
      <c r="F2791" s="190"/>
      <c r="G2791" s="190"/>
      <c r="H2791" s="182"/>
      <c r="I2791" s="182"/>
      <c r="J2791" s="436" t="s">
        <v>181</v>
      </c>
      <c r="K2791" s="437"/>
      <c r="L2791" s="438"/>
      <c r="M2791" s="182"/>
      <c r="N2791" s="183"/>
      <c r="O2791" s="184"/>
      <c r="P2791" s="185"/>
      <c r="Q2791" s="186"/>
      <c r="R2791" s="187"/>
      <c r="S2791" s="188"/>
      <c r="T2791" s="213">
        <f t="shared" si="1711"/>
        <v>43647</v>
      </c>
      <c r="U2791" s="214">
        <f t="shared" si="1712"/>
        <v>43677</v>
      </c>
      <c r="V2791" s="210">
        <f t="shared" si="1726"/>
        <v>0</v>
      </c>
      <c r="W2791" s="211"/>
      <c r="X2791" s="211">
        <f>IF(AND($V2791&gt;0,$I2791=1),IF($E2791=10,P2791/10,P2791/$V2791),0)</f>
        <v>0</v>
      </c>
      <c r="Y2791" s="212">
        <f>IF(AND($V2785&gt;0,$I2791&lt;&gt;1),Q2791/E2785*V2785,0)</f>
        <v>0</v>
      </c>
    </row>
    <row r="2792" spans="2:25" ht="60.75" hidden="1" thickTop="1" x14ac:dyDescent="0.25">
      <c r="B2792" s="129">
        <f>B2790+1</f>
        <v>22</v>
      </c>
      <c r="C2792" s="130">
        <v>148</v>
      </c>
      <c r="D2792" s="196" t="str">
        <f t="shared" si="1718"/>
        <v>Извън сезона</v>
      </c>
      <c r="E2792" s="131"/>
      <c r="F2792" s="132"/>
      <c r="G2792" s="132"/>
      <c r="H2792" s="133"/>
      <c r="I2792" s="133"/>
      <c r="J2792" s="131"/>
      <c r="K2792" s="134"/>
      <c r="L2792" s="133"/>
      <c r="M2792" s="133"/>
      <c r="N2792" s="135"/>
      <c r="O2792" s="136"/>
      <c r="P2792" s="137"/>
      <c r="Q2792" s="138"/>
      <c r="R2792" s="139"/>
      <c r="S2792" s="140"/>
      <c r="T2792" s="203">
        <f t="shared" si="1711"/>
        <v>43647</v>
      </c>
      <c r="U2792" s="204">
        <f t="shared" si="1712"/>
        <v>43677</v>
      </c>
      <c r="V2792" s="207">
        <f>IF(G2792-F2792+1-IF(G2792-U2792&gt;0,G2792-U2792,0)-IF(T2792-F2792&gt;0,T2792-F2792,0)&gt;0,G2792-F2792+1-IF(G2792-U2792&gt;0,G2792-U2792,0)-IF(T2792-F2792&gt;0,T2792-F2792,0),0)</f>
        <v>0</v>
      </c>
      <c r="W2792" s="206" t="str">
        <f t="shared" ref="W2792:W2797" si="1727">IF(V2792&gt;0,H2792,"")</f>
        <v/>
      </c>
      <c r="X2792" s="206">
        <f t="shared" ref="X2792:X2797" si="1728">IF(AND($V2792&gt;0,$I2792=1),P2792/$E2792*$V2792,0)</f>
        <v>0</v>
      </c>
      <c r="Y2792" s="209">
        <f t="shared" ref="Y2792:Y2797" si="1729">IF(AND($V2792&gt;0,$I2792&lt;&gt;1),Q2792/$E2792*$V2792,0)</f>
        <v>0</v>
      </c>
    </row>
    <row r="2793" spans="2:25" ht="60.75" hidden="1" thickTop="1" x14ac:dyDescent="0.25">
      <c r="B2793" s="60">
        <f>B2792</f>
        <v>22</v>
      </c>
      <c r="C2793" s="102">
        <v>149</v>
      </c>
      <c r="D2793" s="192" t="str">
        <f t="shared" si="1718"/>
        <v>Извън сезона</v>
      </c>
      <c r="E2793" s="62"/>
      <c r="F2793" s="105"/>
      <c r="G2793" s="105"/>
      <c r="H2793" s="61"/>
      <c r="I2793" s="61"/>
      <c r="J2793" s="62"/>
      <c r="K2793" s="63"/>
      <c r="L2793" s="61"/>
      <c r="M2793" s="61"/>
      <c r="N2793" s="111"/>
      <c r="O2793" s="112"/>
      <c r="P2793" s="113"/>
      <c r="Q2793" s="114"/>
      <c r="R2793" s="64"/>
      <c r="S2793" s="108"/>
      <c r="T2793" s="203">
        <f t="shared" si="1711"/>
        <v>43647</v>
      </c>
      <c r="U2793" s="204">
        <f t="shared" si="1712"/>
        <v>43677</v>
      </c>
      <c r="V2793" s="207">
        <f t="shared" ref="V2793:V2798" si="1730">IF(G2793-F2793+1-IF(G2793-U2793&gt;0,G2793-U2793,0)-IF(T2793-F2793&gt;0,T2793-F2793,0)&gt;0,G2793-F2793+1-IF(G2793-U2793&gt;0,G2793-U2793,0)-IF(T2793-F2793&gt;0,T2793-F2793,0),0)</f>
        <v>0</v>
      </c>
      <c r="W2793" s="206" t="str">
        <f t="shared" si="1727"/>
        <v/>
      </c>
      <c r="X2793" s="206">
        <f t="shared" si="1728"/>
        <v>0</v>
      </c>
      <c r="Y2793" s="209">
        <f t="shared" si="1729"/>
        <v>0</v>
      </c>
    </row>
    <row r="2794" spans="2:25" ht="60.75" hidden="1" thickTop="1" x14ac:dyDescent="0.25">
      <c r="B2794" s="60">
        <f>B2792</f>
        <v>22</v>
      </c>
      <c r="C2794" s="102">
        <v>150</v>
      </c>
      <c r="D2794" s="192" t="str">
        <f t="shared" si="1718"/>
        <v>Извън сезона</v>
      </c>
      <c r="E2794" s="62"/>
      <c r="F2794" s="105"/>
      <c r="G2794" s="105"/>
      <c r="H2794" s="61"/>
      <c r="I2794" s="61"/>
      <c r="J2794" s="62"/>
      <c r="K2794" s="63"/>
      <c r="L2794" s="61"/>
      <c r="M2794" s="61"/>
      <c r="N2794" s="111"/>
      <c r="O2794" s="112"/>
      <c r="P2794" s="113"/>
      <c r="Q2794" s="114"/>
      <c r="R2794" s="64"/>
      <c r="S2794" s="108"/>
      <c r="T2794" s="203">
        <f t="shared" si="1711"/>
        <v>43647</v>
      </c>
      <c r="U2794" s="204">
        <f t="shared" si="1712"/>
        <v>43677</v>
      </c>
      <c r="V2794" s="207">
        <f t="shared" si="1730"/>
        <v>0</v>
      </c>
      <c r="W2794" s="206" t="str">
        <f t="shared" si="1727"/>
        <v/>
      </c>
      <c r="X2794" s="206">
        <f t="shared" si="1728"/>
        <v>0</v>
      </c>
      <c r="Y2794" s="209">
        <f t="shared" si="1729"/>
        <v>0</v>
      </c>
    </row>
    <row r="2795" spans="2:25" ht="60.75" hidden="1" thickTop="1" x14ac:dyDescent="0.25">
      <c r="B2795" s="60">
        <f>B2792</f>
        <v>22</v>
      </c>
      <c r="C2795" s="102">
        <v>151</v>
      </c>
      <c r="D2795" s="192" t="str">
        <f t="shared" si="1718"/>
        <v>Извън сезона</v>
      </c>
      <c r="E2795" s="62"/>
      <c r="F2795" s="105"/>
      <c r="G2795" s="105"/>
      <c r="H2795" s="61"/>
      <c r="I2795" s="61"/>
      <c r="J2795" s="62"/>
      <c r="K2795" s="63"/>
      <c r="L2795" s="61"/>
      <c r="M2795" s="61"/>
      <c r="N2795" s="111"/>
      <c r="O2795" s="112"/>
      <c r="P2795" s="113"/>
      <c r="Q2795" s="114"/>
      <c r="R2795" s="64"/>
      <c r="S2795" s="108"/>
      <c r="T2795" s="203">
        <f t="shared" si="1711"/>
        <v>43647</v>
      </c>
      <c r="U2795" s="204">
        <f t="shared" si="1712"/>
        <v>43677</v>
      </c>
      <c r="V2795" s="207">
        <f t="shared" si="1730"/>
        <v>0</v>
      </c>
      <c r="W2795" s="206" t="str">
        <f t="shared" si="1727"/>
        <v/>
      </c>
      <c r="X2795" s="206">
        <f t="shared" si="1728"/>
        <v>0</v>
      </c>
      <c r="Y2795" s="209">
        <f t="shared" si="1729"/>
        <v>0</v>
      </c>
    </row>
    <row r="2796" spans="2:25" ht="60.75" hidden="1" thickTop="1" x14ac:dyDescent="0.25">
      <c r="B2796" s="60">
        <f>B2792</f>
        <v>22</v>
      </c>
      <c r="C2796" s="102">
        <v>152</v>
      </c>
      <c r="D2796" s="192" t="str">
        <f t="shared" si="1718"/>
        <v>Извън сезона</v>
      </c>
      <c r="E2796" s="62"/>
      <c r="F2796" s="105"/>
      <c r="G2796" s="105"/>
      <c r="H2796" s="61"/>
      <c r="I2796" s="61"/>
      <c r="J2796" s="62"/>
      <c r="K2796" s="63"/>
      <c r="L2796" s="61"/>
      <c r="M2796" s="61"/>
      <c r="N2796" s="111"/>
      <c r="O2796" s="112"/>
      <c r="P2796" s="113"/>
      <c r="Q2796" s="114"/>
      <c r="R2796" s="64"/>
      <c r="S2796" s="108"/>
      <c r="T2796" s="203">
        <f t="shared" si="1711"/>
        <v>43647</v>
      </c>
      <c r="U2796" s="204">
        <f t="shared" si="1712"/>
        <v>43677</v>
      </c>
      <c r="V2796" s="207">
        <f t="shared" si="1730"/>
        <v>0</v>
      </c>
      <c r="W2796" s="206" t="str">
        <f t="shared" si="1727"/>
        <v/>
      </c>
      <c r="X2796" s="206">
        <f t="shared" si="1728"/>
        <v>0</v>
      </c>
      <c r="Y2796" s="209">
        <f t="shared" si="1729"/>
        <v>0</v>
      </c>
    </row>
    <row r="2797" spans="2:25" ht="60.75" hidden="1" thickTop="1" x14ac:dyDescent="0.25">
      <c r="B2797" s="60">
        <f>B2792</f>
        <v>22</v>
      </c>
      <c r="C2797" s="102">
        <v>153</v>
      </c>
      <c r="D2797" s="192" t="str">
        <f t="shared" si="1718"/>
        <v>Извън сезона</v>
      </c>
      <c r="E2797" s="62"/>
      <c r="F2797" s="105"/>
      <c r="G2797" s="105"/>
      <c r="H2797" s="61"/>
      <c r="I2797" s="61"/>
      <c r="J2797" s="62"/>
      <c r="K2797" s="63"/>
      <c r="L2797" s="61"/>
      <c r="M2797" s="61"/>
      <c r="N2797" s="111"/>
      <c r="O2797" s="112"/>
      <c r="P2797" s="113"/>
      <c r="Q2797" s="114"/>
      <c r="R2797" s="64"/>
      <c r="S2797" s="108"/>
      <c r="T2797" s="203">
        <f t="shared" si="1711"/>
        <v>43647</v>
      </c>
      <c r="U2797" s="204">
        <f t="shared" si="1712"/>
        <v>43677</v>
      </c>
      <c r="V2797" s="207">
        <f t="shared" si="1730"/>
        <v>0</v>
      </c>
      <c r="W2797" s="206" t="str">
        <f t="shared" si="1727"/>
        <v/>
      </c>
      <c r="X2797" s="206">
        <f t="shared" si="1728"/>
        <v>0</v>
      </c>
      <c r="Y2797" s="209">
        <f t="shared" si="1729"/>
        <v>0</v>
      </c>
    </row>
    <row r="2798" spans="2:25" ht="61.5" hidden="1" thickTop="1" thickBot="1" x14ac:dyDescent="0.3">
      <c r="B2798" s="141">
        <f>B2792</f>
        <v>22</v>
      </c>
      <c r="C2798" s="142">
        <v>154</v>
      </c>
      <c r="D2798" s="194" t="str">
        <f t="shared" si="1718"/>
        <v>Извън сезона</v>
      </c>
      <c r="E2798" s="143"/>
      <c r="F2798" s="144"/>
      <c r="G2798" s="144"/>
      <c r="H2798" s="145"/>
      <c r="I2798" s="145"/>
      <c r="J2798" s="436" t="s">
        <v>181</v>
      </c>
      <c r="K2798" s="437"/>
      <c r="L2798" s="438"/>
      <c r="M2798" s="145"/>
      <c r="N2798" s="146"/>
      <c r="O2798" s="147"/>
      <c r="P2798" s="148"/>
      <c r="Q2798" s="149"/>
      <c r="R2798" s="150"/>
      <c r="S2798" s="151"/>
      <c r="T2798" s="213">
        <f t="shared" si="1711"/>
        <v>43647</v>
      </c>
      <c r="U2798" s="214">
        <f t="shared" si="1712"/>
        <v>43677</v>
      </c>
      <c r="V2798" s="210">
        <f t="shared" si="1730"/>
        <v>0</v>
      </c>
      <c r="W2798" s="211"/>
      <c r="X2798" s="211">
        <f>IF(AND($V2798&gt;0,$I2798=1),IF($E2798=10,P2798/10,P2798/$V2798),0)</f>
        <v>0</v>
      </c>
      <c r="Y2798" s="212">
        <f>IF(AND($V2792&gt;0,$I2798&lt;&gt;1),Q2798/E2792*V2792,0)</f>
        <v>0</v>
      </c>
    </row>
    <row r="2799" spans="2:25" ht="60.75" hidden="1" thickTop="1" x14ac:dyDescent="0.25">
      <c r="B2799" s="129">
        <f>B2797+1</f>
        <v>23</v>
      </c>
      <c r="C2799" s="130">
        <v>155</v>
      </c>
      <c r="D2799" s="196" t="str">
        <f t="shared" si="1718"/>
        <v>Извън сезона</v>
      </c>
      <c r="E2799" s="152"/>
      <c r="F2799" s="153"/>
      <c r="G2799" s="153"/>
      <c r="H2799" s="154"/>
      <c r="I2799" s="154"/>
      <c r="J2799" s="152"/>
      <c r="K2799" s="155"/>
      <c r="L2799" s="154"/>
      <c r="M2799" s="154"/>
      <c r="N2799" s="156"/>
      <c r="O2799" s="157"/>
      <c r="P2799" s="158"/>
      <c r="Q2799" s="159"/>
      <c r="R2799" s="160"/>
      <c r="S2799" s="161"/>
      <c r="T2799" s="203">
        <f t="shared" si="1711"/>
        <v>43647</v>
      </c>
      <c r="U2799" s="204">
        <f t="shared" si="1712"/>
        <v>43677</v>
      </c>
      <c r="V2799" s="207">
        <f>IF(G2799-F2799+1-IF(G2799-U2799&gt;0,G2799-U2799,0)-IF(T2799-F2799&gt;0,T2799-F2799,0)&gt;0,G2799-F2799+1-IF(G2799-U2799&gt;0,G2799-U2799,0)-IF(T2799-F2799&gt;0,T2799-F2799,0),0)</f>
        <v>0</v>
      </c>
      <c r="W2799" s="206" t="str">
        <f t="shared" ref="W2799:W2804" si="1731">IF(V2799&gt;0,H2799,"")</f>
        <v/>
      </c>
      <c r="X2799" s="206">
        <f t="shared" ref="X2799:X2804" si="1732">IF(AND($V2799&gt;0,$I2799=1),P2799/$E2799*$V2799,0)</f>
        <v>0</v>
      </c>
      <c r="Y2799" s="209">
        <f t="shared" ref="Y2799:Y2804" si="1733">IF(AND($V2799&gt;0,$I2799&lt;&gt;1),Q2799/$E2799*$V2799,0)</f>
        <v>0</v>
      </c>
    </row>
    <row r="2800" spans="2:25" ht="60.75" hidden="1" thickTop="1" x14ac:dyDescent="0.25">
      <c r="B2800" s="60">
        <f>B2799</f>
        <v>23</v>
      </c>
      <c r="C2800" s="102">
        <v>156</v>
      </c>
      <c r="D2800" s="192" t="str">
        <f t="shared" si="1718"/>
        <v>Извън сезона</v>
      </c>
      <c r="E2800" s="162"/>
      <c r="F2800" s="163"/>
      <c r="G2800" s="163"/>
      <c r="H2800" s="164"/>
      <c r="I2800" s="164"/>
      <c r="J2800" s="162"/>
      <c r="K2800" s="165"/>
      <c r="L2800" s="164"/>
      <c r="M2800" s="164"/>
      <c r="N2800" s="166"/>
      <c r="O2800" s="167"/>
      <c r="P2800" s="168"/>
      <c r="Q2800" s="169"/>
      <c r="R2800" s="170"/>
      <c r="S2800" s="171"/>
      <c r="T2800" s="203">
        <f t="shared" si="1711"/>
        <v>43647</v>
      </c>
      <c r="U2800" s="204">
        <f t="shared" si="1712"/>
        <v>43677</v>
      </c>
      <c r="V2800" s="207">
        <f t="shared" ref="V2800:V2805" si="1734">IF(G2800-F2800+1-IF(G2800-U2800&gt;0,G2800-U2800,0)-IF(T2800-F2800&gt;0,T2800-F2800,0)&gt;0,G2800-F2800+1-IF(G2800-U2800&gt;0,G2800-U2800,0)-IF(T2800-F2800&gt;0,T2800-F2800,0),0)</f>
        <v>0</v>
      </c>
      <c r="W2800" s="206" t="str">
        <f t="shared" si="1731"/>
        <v/>
      </c>
      <c r="X2800" s="206">
        <f t="shared" si="1732"/>
        <v>0</v>
      </c>
      <c r="Y2800" s="209">
        <f t="shared" si="1733"/>
        <v>0</v>
      </c>
    </row>
    <row r="2801" spans="2:25" ht="60.75" hidden="1" thickTop="1" x14ac:dyDescent="0.25">
      <c r="B2801" s="60">
        <f>B2799</f>
        <v>23</v>
      </c>
      <c r="C2801" s="102">
        <v>157</v>
      </c>
      <c r="D2801" s="192" t="str">
        <f t="shared" si="1718"/>
        <v>Извън сезона</v>
      </c>
      <c r="E2801" s="162"/>
      <c r="F2801" s="163"/>
      <c r="G2801" s="163"/>
      <c r="H2801" s="164"/>
      <c r="I2801" s="164"/>
      <c r="J2801" s="162"/>
      <c r="K2801" s="165"/>
      <c r="L2801" s="164"/>
      <c r="M2801" s="164"/>
      <c r="N2801" s="166"/>
      <c r="O2801" s="167"/>
      <c r="P2801" s="168"/>
      <c r="Q2801" s="169"/>
      <c r="R2801" s="170"/>
      <c r="S2801" s="171"/>
      <c r="T2801" s="203">
        <f t="shared" si="1711"/>
        <v>43647</v>
      </c>
      <c r="U2801" s="204">
        <f t="shared" si="1712"/>
        <v>43677</v>
      </c>
      <c r="V2801" s="207">
        <f t="shared" si="1734"/>
        <v>0</v>
      </c>
      <c r="W2801" s="206" t="str">
        <f t="shared" si="1731"/>
        <v/>
      </c>
      <c r="X2801" s="206">
        <f t="shared" si="1732"/>
        <v>0</v>
      </c>
      <c r="Y2801" s="209">
        <f t="shared" si="1733"/>
        <v>0</v>
      </c>
    </row>
    <row r="2802" spans="2:25" ht="60.75" hidden="1" thickTop="1" x14ac:dyDescent="0.25">
      <c r="B2802" s="60">
        <f>B2799</f>
        <v>23</v>
      </c>
      <c r="C2802" s="102">
        <v>158</v>
      </c>
      <c r="D2802" s="192" t="str">
        <f t="shared" si="1718"/>
        <v>Извън сезона</v>
      </c>
      <c r="E2802" s="162"/>
      <c r="F2802" s="163"/>
      <c r="G2802" s="163"/>
      <c r="H2802" s="164"/>
      <c r="I2802" s="164"/>
      <c r="J2802" s="162"/>
      <c r="K2802" s="165"/>
      <c r="L2802" s="164"/>
      <c r="M2802" s="164"/>
      <c r="N2802" s="166"/>
      <c r="O2802" s="167"/>
      <c r="P2802" s="168"/>
      <c r="Q2802" s="169"/>
      <c r="R2802" s="170"/>
      <c r="S2802" s="171"/>
      <c r="T2802" s="203">
        <f t="shared" si="1711"/>
        <v>43647</v>
      </c>
      <c r="U2802" s="204">
        <f t="shared" si="1712"/>
        <v>43677</v>
      </c>
      <c r="V2802" s="207">
        <f t="shared" si="1734"/>
        <v>0</v>
      </c>
      <c r="W2802" s="206" t="str">
        <f t="shared" si="1731"/>
        <v/>
      </c>
      <c r="X2802" s="206">
        <f t="shared" si="1732"/>
        <v>0</v>
      </c>
      <c r="Y2802" s="209">
        <f t="shared" si="1733"/>
        <v>0</v>
      </c>
    </row>
    <row r="2803" spans="2:25" ht="60.75" hidden="1" thickTop="1" x14ac:dyDescent="0.25">
      <c r="B2803" s="60">
        <f>B2799</f>
        <v>23</v>
      </c>
      <c r="C2803" s="102">
        <v>159</v>
      </c>
      <c r="D2803" s="192" t="str">
        <f t="shared" si="1718"/>
        <v>Извън сезона</v>
      </c>
      <c r="E2803" s="162"/>
      <c r="F2803" s="163"/>
      <c r="G2803" s="163"/>
      <c r="H2803" s="164"/>
      <c r="I2803" s="164"/>
      <c r="J2803" s="162"/>
      <c r="K2803" s="165"/>
      <c r="L2803" s="164"/>
      <c r="M2803" s="164"/>
      <c r="N2803" s="166"/>
      <c r="O2803" s="167"/>
      <c r="P2803" s="168"/>
      <c r="Q2803" s="169"/>
      <c r="R2803" s="170"/>
      <c r="S2803" s="171"/>
      <c r="T2803" s="203">
        <f t="shared" si="1711"/>
        <v>43647</v>
      </c>
      <c r="U2803" s="204">
        <f t="shared" si="1712"/>
        <v>43677</v>
      </c>
      <c r="V2803" s="207">
        <f t="shared" si="1734"/>
        <v>0</v>
      </c>
      <c r="W2803" s="206" t="str">
        <f t="shared" si="1731"/>
        <v/>
      </c>
      <c r="X2803" s="206">
        <f t="shared" si="1732"/>
        <v>0</v>
      </c>
      <c r="Y2803" s="209">
        <f t="shared" si="1733"/>
        <v>0</v>
      </c>
    </row>
    <row r="2804" spans="2:25" ht="60.75" hidden="1" thickTop="1" x14ac:dyDescent="0.25">
      <c r="B2804" s="60">
        <f>B2799</f>
        <v>23</v>
      </c>
      <c r="C2804" s="102">
        <v>160</v>
      </c>
      <c r="D2804" s="192" t="str">
        <f t="shared" si="1718"/>
        <v>Извън сезона</v>
      </c>
      <c r="E2804" s="172"/>
      <c r="F2804" s="173"/>
      <c r="G2804" s="173"/>
      <c r="H2804" s="174"/>
      <c r="I2804" s="174"/>
      <c r="J2804" s="172"/>
      <c r="K2804" s="175"/>
      <c r="L2804" s="174"/>
      <c r="M2804" s="174"/>
      <c r="N2804" s="176"/>
      <c r="O2804" s="177"/>
      <c r="P2804" s="178"/>
      <c r="Q2804" s="179"/>
      <c r="R2804" s="180"/>
      <c r="S2804" s="181"/>
      <c r="T2804" s="203">
        <f t="shared" si="1711"/>
        <v>43647</v>
      </c>
      <c r="U2804" s="204">
        <f t="shared" si="1712"/>
        <v>43677</v>
      </c>
      <c r="V2804" s="207">
        <f t="shared" si="1734"/>
        <v>0</v>
      </c>
      <c r="W2804" s="206" t="str">
        <f t="shared" si="1731"/>
        <v/>
      </c>
      <c r="X2804" s="206">
        <f t="shared" si="1732"/>
        <v>0</v>
      </c>
      <c r="Y2804" s="209">
        <f t="shared" si="1733"/>
        <v>0</v>
      </c>
    </row>
    <row r="2805" spans="2:25" ht="61.5" hidden="1" thickTop="1" thickBot="1" x14ac:dyDescent="0.3">
      <c r="B2805" s="141">
        <f>B2799</f>
        <v>23</v>
      </c>
      <c r="C2805" s="142">
        <v>161</v>
      </c>
      <c r="D2805" s="194" t="str">
        <f t="shared" si="1718"/>
        <v>Извън сезона</v>
      </c>
      <c r="E2805" s="189"/>
      <c r="F2805" s="190"/>
      <c r="G2805" s="190"/>
      <c r="H2805" s="182"/>
      <c r="I2805" s="182"/>
      <c r="J2805" s="436" t="s">
        <v>181</v>
      </c>
      <c r="K2805" s="437"/>
      <c r="L2805" s="438"/>
      <c r="M2805" s="182"/>
      <c r="N2805" s="183"/>
      <c r="O2805" s="184"/>
      <c r="P2805" s="185"/>
      <c r="Q2805" s="186"/>
      <c r="R2805" s="187"/>
      <c r="S2805" s="188"/>
      <c r="T2805" s="213">
        <f t="shared" si="1711"/>
        <v>43647</v>
      </c>
      <c r="U2805" s="214">
        <f t="shared" si="1712"/>
        <v>43677</v>
      </c>
      <c r="V2805" s="210">
        <f t="shared" si="1734"/>
        <v>0</v>
      </c>
      <c r="W2805" s="211"/>
      <c r="X2805" s="211">
        <f>IF(AND($V2805&gt;0,$I2805=1),IF($E2805=10,P2805/10,P2805/$V2805),0)</f>
        <v>0</v>
      </c>
      <c r="Y2805" s="212">
        <f>IF(AND($V2799&gt;0,$I2805&lt;&gt;1),Q2805/E2799*V2799,0)</f>
        <v>0</v>
      </c>
    </row>
    <row r="2806" spans="2:25" ht="60.75" hidden="1" thickTop="1" x14ac:dyDescent="0.25">
      <c r="B2806" s="129">
        <f>B2804+1</f>
        <v>24</v>
      </c>
      <c r="C2806" s="130">
        <v>162</v>
      </c>
      <c r="D2806" s="196" t="str">
        <f t="shared" si="1718"/>
        <v>Извън сезона</v>
      </c>
      <c r="E2806" s="131"/>
      <c r="F2806" s="132"/>
      <c r="G2806" s="132"/>
      <c r="H2806" s="133"/>
      <c r="I2806" s="133"/>
      <c r="J2806" s="131"/>
      <c r="K2806" s="134"/>
      <c r="L2806" s="133"/>
      <c r="M2806" s="133"/>
      <c r="N2806" s="135"/>
      <c r="O2806" s="136"/>
      <c r="P2806" s="137"/>
      <c r="Q2806" s="138"/>
      <c r="R2806" s="139"/>
      <c r="S2806" s="140"/>
      <c r="T2806" s="203">
        <f t="shared" si="1711"/>
        <v>43647</v>
      </c>
      <c r="U2806" s="204">
        <f t="shared" si="1712"/>
        <v>43677</v>
      </c>
      <c r="V2806" s="207">
        <f>IF(G2806-F2806+1-IF(G2806-U2806&gt;0,G2806-U2806,0)-IF(T2806-F2806&gt;0,T2806-F2806,0)&gt;0,G2806-F2806+1-IF(G2806-U2806&gt;0,G2806-U2806,0)-IF(T2806-F2806&gt;0,T2806-F2806,0),0)</f>
        <v>0</v>
      </c>
      <c r="W2806" s="206" t="str">
        <f t="shared" ref="W2806:W2811" si="1735">IF(V2806&gt;0,H2806,"")</f>
        <v/>
      </c>
      <c r="X2806" s="206">
        <f t="shared" ref="X2806:X2811" si="1736">IF(AND($V2806&gt;0,$I2806=1),P2806/$E2806*$V2806,0)</f>
        <v>0</v>
      </c>
      <c r="Y2806" s="209">
        <f t="shared" ref="Y2806:Y2811" si="1737">IF(AND($V2806&gt;0,$I2806&lt;&gt;1),Q2806/$E2806*$V2806,0)</f>
        <v>0</v>
      </c>
    </row>
    <row r="2807" spans="2:25" ht="60.75" hidden="1" thickTop="1" x14ac:dyDescent="0.25">
      <c r="B2807" s="60">
        <f>B2806</f>
        <v>24</v>
      </c>
      <c r="C2807" s="102">
        <v>163</v>
      </c>
      <c r="D2807" s="192" t="str">
        <f t="shared" si="1718"/>
        <v>Извън сезона</v>
      </c>
      <c r="E2807" s="62"/>
      <c r="F2807" s="105"/>
      <c r="G2807" s="105"/>
      <c r="H2807" s="61"/>
      <c r="I2807" s="61"/>
      <c r="J2807" s="62"/>
      <c r="K2807" s="63"/>
      <c r="L2807" s="61"/>
      <c r="M2807" s="61"/>
      <c r="N2807" s="111"/>
      <c r="O2807" s="112"/>
      <c r="P2807" s="113"/>
      <c r="Q2807" s="114"/>
      <c r="R2807" s="64"/>
      <c r="S2807" s="108"/>
      <c r="T2807" s="203">
        <f t="shared" si="1711"/>
        <v>43647</v>
      </c>
      <c r="U2807" s="204">
        <f t="shared" si="1712"/>
        <v>43677</v>
      </c>
      <c r="V2807" s="207">
        <f t="shared" ref="V2807:V2812" si="1738">IF(G2807-F2807+1-IF(G2807-U2807&gt;0,G2807-U2807,0)-IF(T2807-F2807&gt;0,T2807-F2807,0)&gt;0,G2807-F2807+1-IF(G2807-U2807&gt;0,G2807-U2807,0)-IF(T2807-F2807&gt;0,T2807-F2807,0),0)</f>
        <v>0</v>
      </c>
      <c r="W2807" s="206" t="str">
        <f t="shared" si="1735"/>
        <v/>
      </c>
      <c r="X2807" s="206">
        <f t="shared" si="1736"/>
        <v>0</v>
      </c>
      <c r="Y2807" s="209">
        <f t="shared" si="1737"/>
        <v>0</v>
      </c>
    </row>
    <row r="2808" spans="2:25" ht="60.75" hidden="1" thickTop="1" x14ac:dyDescent="0.25">
      <c r="B2808" s="60">
        <f>B2806</f>
        <v>24</v>
      </c>
      <c r="C2808" s="102">
        <v>164</v>
      </c>
      <c r="D2808" s="192" t="str">
        <f t="shared" si="1718"/>
        <v>Извън сезона</v>
      </c>
      <c r="E2808" s="62"/>
      <c r="F2808" s="105"/>
      <c r="G2808" s="105"/>
      <c r="H2808" s="61"/>
      <c r="I2808" s="61"/>
      <c r="J2808" s="62"/>
      <c r="K2808" s="63"/>
      <c r="L2808" s="61"/>
      <c r="M2808" s="61"/>
      <c r="N2808" s="111"/>
      <c r="O2808" s="112"/>
      <c r="P2808" s="113"/>
      <c r="Q2808" s="114"/>
      <c r="R2808" s="64"/>
      <c r="S2808" s="108"/>
      <c r="T2808" s="203">
        <f t="shared" si="1711"/>
        <v>43647</v>
      </c>
      <c r="U2808" s="204">
        <f t="shared" si="1712"/>
        <v>43677</v>
      </c>
      <c r="V2808" s="207">
        <f t="shared" si="1738"/>
        <v>0</v>
      </c>
      <c r="W2808" s="206" t="str">
        <f t="shared" si="1735"/>
        <v/>
      </c>
      <c r="X2808" s="206">
        <f t="shared" si="1736"/>
        <v>0</v>
      </c>
      <c r="Y2808" s="209">
        <f t="shared" si="1737"/>
        <v>0</v>
      </c>
    </row>
    <row r="2809" spans="2:25" ht="60.75" hidden="1" thickTop="1" x14ac:dyDescent="0.25">
      <c r="B2809" s="60">
        <f>B2806</f>
        <v>24</v>
      </c>
      <c r="C2809" s="102">
        <v>165</v>
      </c>
      <c r="D2809" s="192" t="str">
        <f t="shared" si="1718"/>
        <v>Извън сезона</v>
      </c>
      <c r="E2809" s="62"/>
      <c r="F2809" s="105"/>
      <c r="G2809" s="105"/>
      <c r="H2809" s="61"/>
      <c r="I2809" s="61"/>
      <c r="J2809" s="62"/>
      <c r="K2809" s="63"/>
      <c r="L2809" s="61"/>
      <c r="M2809" s="61"/>
      <c r="N2809" s="111"/>
      <c r="O2809" s="112"/>
      <c r="P2809" s="113"/>
      <c r="Q2809" s="114"/>
      <c r="R2809" s="64"/>
      <c r="S2809" s="108"/>
      <c r="T2809" s="203">
        <f t="shared" si="1711"/>
        <v>43647</v>
      </c>
      <c r="U2809" s="204">
        <f t="shared" si="1712"/>
        <v>43677</v>
      </c>
      <c r="V2809" s="207">
        <f t="shared" si="1738"/>
        <v>0</v>
      </c>
      <c r="W2809" s="206" t="str">
        <f t="shared" si="1735"/>
        <v/>
      </c>
      <c r="X2809" s="206">
        <f t="shared" si="1736"/>
        <v>0</v>
      </c>
      <c r="Y2809" s="209">
        <f t="shared" si="1737"/>
        <v>0</v>
      </c>
    </row>
    <row r="2810" spans="2:25" ht="60.75" hidden="1" thickTop="1" x14ac:dyDescent="0.25">
      <c r="B2810" s="60">
        <f>B2806</f>
        <v>24</v>
      </c>
      <c r="C2810" s="102">
        <v>166</v>
      </c>
      <c r="D2810" s="192" t="str">
        <f t="shared" si="1718"/>
        <v>Извън сезона</v>
      </c>
      <c r="E2810" s="62"/>
      <c r="F2810" s="105"/>
      <c r="G2810" s="105"/>
      <c r="H2810" s="61"/>
      <c r="I2810" s="61"/>
      <c r="J2810" s="62"/>
      <c r="K2810" s="63"/>
      <c r="L2810" s="61"/>
      <c r="M2810" s="61"/>
      <c r="N2810" s="111"/>
      <c r="O2810" s="112"/>
      <c r="P2810" s="113"/>
      <c r="Q2810" s="114"/>
      <c r="R2810" s="64"/>
      <c r="S2810" s="108"/>
      <c r="T2810" s="203">
        <f t="shared" si="1711"/>
        <v>43647</v>
      </c>
      <c r="U2810" s="204">
        <f t="shared" si="1712"/>
        <v>43677</v>
      </c>
      <c r="V2810" s="207">
        <f t="shared" si="1738"/>
        <v>0</v>
      </c>
      <c r="W2810" s="206" t="str">
        <f t="shared" si="1735"/>
        <v/>
      </c>
      <c r="X2810" s="206">
        <f t="shared" si="1736"/>
        <v>0</v>
      </c>
      <c r="Y2810" s="209">
        <f t="shared" si="1737"/>
        <v>0</v>
      </c>
    </row>
    <row r="2811" spans="2:25" ht="60.75" hidden="1" thickTop="1" x14ac:dyDescent="0.25">
      <c r="B2811" s="60">
        <f>B2806</f>
        <v>24</v>
      </c>
      <c r="C2811" s="102">
        <v>167</v>
      </c>
      <c r="D2811" s="192" t="str">
        <f t="shared" si="1718"/>
        <v>Извън сезона</v>
      </c>
      <c r="E2811" s="62"/>
      <c r="F2811" s="105"/>
      <c r="G2811" s="105"/>
      <c r="H2811" s="61"/>
      <c r="I2811" s="61"/>
      <c r="J2811" s="62"/>
      <c r="K2811" s="63"/>
      <c r="L2811" s="61"/>
      <c r="M2811" s="61"/>
      <c r="N2811" s="111"/>
      <c r="O2811" s="112"/>
      <c r="P2811" s="113"/>
      <c r="Q2811" s="114"/>
      <c r="R2811" s="64"/>
      <c r="S2811" s="108"/>
      <c r="T2811" s="203">
        <f t="shared" si="1711"/>
        <v>43647</v>
      </c>
      <c r="U2811" s="204">
        <f t="shared" si="1712"/>
        <v>43677</v>
      </c>
      <c r="V2811" s="207">
        <f t="shared" si="1738"/>
        <v>0</v>
      </c>
      <c r="W2811" s="206" t="str">
        <f t="shared" si="1735"/>
        <v/>
      </c>
      <c r="X2811" s="206">
        <f t="shared" si="1736"/>
        <v>0</v>
      </c>
      <c r="Y2811" s="209">
        <f t="shared" si="1737"/>
        <v>0</v>
      </c>
    </row>
    <row r="2812" spans="2:25" ht="61.5" hidden="1" thickTop="1" thickBot="1" x14ac:dyDescent="0.3">
      <c r="B2812" s="141">
        <f>B2806</f>
        <v>24</v>
      </c>
      <c r="C2812" s="142">
        <v>168</v>
      </c>
      <c r="D2812" s="194" t="str">
        <f t="shared" si="1718"/>
        <v>Извън сезона</v>
      </c>
      <c r="E2812" s="143"/>
      <c r="F2812" s="144"/>
      <c r="G2812" s="144"/>
      <c r="H2812" s="145"/>
      <c r="I2812" s="145"/>
      <c r="J2812" s="436" t="s">
        <v>181</v>
      </c>
      <c r="K2812" s="437"/>
      <c r="L2812" s="438"/>
      <c r="M2812" s="145"/>
      <c r="N2812" s="146"/>
      <c r="O2812" s="147"/>
      <c r="P2812" s="148"/>
      <c r="Q2812" s="149"/>
      <c r="R2812" s="150"/>
      <c r="S2812" s="151"/>
      <c r="T2812" s="213">
        <f t="shared" si="1711"/>
        <v>43647</v>
      </c>
      <c r="U2812" s="214">
        <f t="shared" si="1712"/>
        <v>43677</v>
      </c>
      <c r="V2812" s="210">
        <f t="shared" si="1738"/>
        <v>0</v>
      </c>
      <c r="W2812" s="211"/>
      <c r="X2812" s="211">
        <f>IF(AND($V2812&gt;0,$I2812=1),IF($E2812=10,P2812/10,P2812/$V2812),0)</f>
        <v>0</v>
      </c>
      <c r="Y2812" s="212">
        <f>IF(AND($V2806&gt;0,$I2812&lt;&gt;1),Q2812/E2806*V2806,0)</f>
        <v>0</v>
      </c>
    </row>
    <row r="2813" spans="2:25" ht="60.75" hidden="1" thickTop="1" x14ac:dyDescent="0.25">
      <c r="B2813" s="129">
        <f>B2811+1</f>
        <v>25</v>
      </c>
      <c r="C2813" s="130">
        <v>169</v>
      </c>
      <c r="D2813" s="196" t="str">
        <f t="shared" si="1718"/>
        <v>Извън сезона</v>
      </c>
      <c r="E2813" s="152"/>
      <c r="F2813" s="153"/>
      <c r="G2813" s="153"/>
      <c r="H2813" s="154"/>
      <c r="I2813" s="154"/>
      <c r="J2813" s="152"/>
      <c r="K2813" s="155"/>
      <c r="L2813" s="154"/>
      <c r="M2813" s="154"/>
      <c r="N2813" s="156"/>
      <c r="O2813" s="157"/>
      <c r="P2813" s="158"/>
      <c r="Q2813" s="159"/>
      <c r="R2813" s="160"/>
      <c r="S2813" s="161"/>
      <c r="T2813" s="203">
        <f t="shared" si="1711"/>
        <v>43647</v>
      </c>
      <c r="U2813" s="204">
        <f t="shared" si="1712"/>
        <v>43677</v>
      </c>
      <c r="V2813" s="207">
        <f>IF(G2813-F2813+1-IF(G2813-U2813&gt;0,G2813-U2813,0)-IF(T2813-F2813&gt;0,T2813-F2813,0)&gt;0,G2813-F2813+1-IF(G2813-U2813&gt;0,G2813-U2813,0)-IF(T2813-F2813&gt;0,T2813-F2813,0),0)</f>
        <v>0</v>
      </c>
      <c r="W2813" s="206" t="str">
        <f t="shared" ref="W2813:W2818" si="1739">IF(V2813&gt;0,H2813,"")</f>
        <v/>
      </c>
      <c r="X2813" s="206">
        <f t="shared" ref="X2813:X2818" si="1740">IF(AND($V2813&gt;0,$I2813=1),P2813/$E2813*$V2813,0)</f>
        <v>0</v>
      </c>
      <c r="Y2813" s="209">
        <f t="shared" ref="Y2813:Y2818" si="1741">IF(AND($V2813&gt;0,$I2813&lt;&gt;1),Q2813/$E2813*$V2813,0)</f>
        <v>0</v>
      </c>
    </row>
    <row r="2814" spans="2:25" ht="60.75" hidden="1" thickTop="1" x14ac:dyDescent="0.25">
      <c r="B2814" s="60">
        <f>B2813</f>
        <v>25</v>
      </c>
      <c r="C2814" s="102">
        <v>170</v>
      </c>
      <c r="D2814" s="192" t="str">
        <f t="shared" si="1718"/>
        <v>Извън сезона</v>
      </c>
      <c r="E2814" s="162"/>
      <c r="F2814" s="163"/>
      <c r="G2814" s="163"/>
      <c r="H2814" s="164"/>
      <c r="I2814" s="164"/>
      <c r="J2814" s="162"/>
      <c r="K2814" s="165"/>
      <c r="L2814" s="164"/>
      <c r="M2814" s="164"/>
      <c r="N2814" s="166"/>
      <c r="O2814" s="167"/>
      <c r="P2814" s="168"/>
      <c r="Q2814" s="169"/>
      <c r="R2814" s="170"/>
      <c r="S2814" s="171"/>
      <c r="T2814" s="203">
        <f t="shared" si="1711"/>
        <v>43647</v>
      </c>
      <c r="U2814" s="204">
        <f t="shared" si="1712"/>
        <v>43677</v>
      </c>
      <c r="V2814" s="207">
        <f t="shared" ref="V2814:V2819" si="1742">IF(G2814-F2814+1-IF(G2814-U2814&gt;0,G2814-U2814,0)-IF(T2814-F2814&gt;0,T2814-F2814,0)&gt;0,G2814-F2814+1-IF(G2814-U2814&gt;0,G2814-U2814,0)-IF(T2814-F2814&gt;0,T2814-F2814,0),0)</f>
        <v>0</v>
      </c>
      <c r="W2814" s="206" t="str">
        <f t="shared" si="1739"/>
        <v/>
      </c>
      <c r="X2814" s="206">
        <f t="shared" si="1740"/>
        <v>0</v>
      </c>
      <c r="Y2814" s="209">
        <f t="shared" si="1741"/>
        <v>0</v>
      </c>
    </row>
    <row r="2815" spans="2:25" ht="60.75" hidden="1" thickTop="1" x14ac:dyDescent="0.25">
      <c r="B2815" s="60">
        <f>B2813</f>
        <v>25</v>
      </c>
      <c r="C2815" s="102">
        <v>171</v>
      </c>
      <c r="D2815" s="192" t="str">
        <f t="shared" si="1718"/>
        <v>Извън сезона</v>
      </c>
      <c r="E2815" s="162"/>
      <c r="F2815" s="163"/>
      <c r="G2815" s="163"/>
      <c r="H2815" s="164"/>
      <c r="I2815" s="164"/>
      <c r="J2815" s="162"/>
      <c r="K2815" s="165"/>
      <c r="L2815" s="164"/>
      <c r="M2815" s="164"/>
      <c r="N2815" s="166"/>
      <c r="O2815" s="167"/>
      <c r="P2815" s="168"/>
      <c r="Q2815" s="169"/>
      <c r="R2815" s="170"/>
      <c r="S2815" s="171"/>
      <c r="T2815" s="203">
        <f t="shared" si="1711"/>
        <v>43647</v>
      </c>
      <c r="U2815" s="204">
        <f t="shared" si="1712"/>
        <v>43677</v>
      </c>
      <c r="V2815" s="207">
        <f t="shared" si="1742"/>
        <v>0</v>
      </c>
      <c r="W2815" s="206" t="str">
        <f t="shared" si="1739"/>
        <v/>
      </c>
      <c r="X2815" s="206">
        <f t="shared" si="1740"/>
        <v>0</v>
      </c>
      <c r="Y2815" s="209">
        <f t="shared" si="1741"/>
        <v>0</v>
      </c>
    </row>
    <row r="2816" spans="2:25" ht="60.75" hidden="1" thickTop="1" x14ac:dyDescent="0.25">
      <c r="B2816" s="60">
        <f>B2813</f>
        <v>25</v>
      </c>
      <c r="C2816" s="102">
        <v>172</v>
      </c>
      <c r="D2816" s="192" t="str">
        <f t="shared" si="1718"/>
        <v>Извън сезона</v>
      </c>
      <c r="E2816" s="162"/>
      <c r="F2816" s="163"/>
      <c r="G2816" s="163"/>
      <c r="H2816" s="164"/>
      <c r="I2816" s="164"/>
      <c r="J2816" s="162"/>
      <c r="K2816" s="165"/>
      <c r="L2816" s="164"/>
      <c r="M2816" s="164"/>
      <c r="N2816" s="166"/>
      <c r="O2816" s="167"/>
      <c r="P2816" s="168"/>
      <c r="Q2816" s="169"/>
      <c r="R2816" s="170"/>
      <c r="S2816" s="171"/>
      <c r="T2816" s="203">
        <f t="shared" si="1711"/>
        <v>43647</v>
      </c>
      <c r="U2816" s="204">
        <f t="shared" si="1712"/>
        <v>43677</v>
      </c>
      <c r="V2816" s="207">
        <f t="shared" si="1742"/>
        <v>0</v>
      </c>
      <c r="W2816" s="206" t="str">
        <f t="shared" si="1739"/>
        <v/>
      </c>
      <c r="X2816" s="206">
        <f t="shared" si="1740"/>
        <v>0</v>
      </c>
      <c r="Y2816" s="209">
        <f t="shared" si="1741"/>
        <v>0</v>
      </c>
    </row>
    <row r="2817" spans="2:25" ht="60.75" hidden="1" thickTop="1" x14ac:dyDescent="0.25">
      <c r="B2817" s="60">
        <f>B2813</f>
        <v>25</v>
      </c>
      <c r="C2817" s="102">
        <v>173</v>
      </c>
      <c r="D2817" s="192" t="str">
        <f t="shared" si="1718"/>
        <v>Извън сезона</v>
      </c>
      <c r="E2817" s="162"/>
      <c r="F2817" s="163"/>
      <c r="G2817" s="163"/>
      <c r="H2817" s="164"/>
      <c r="I2817" s="164"/>
      <c r="J2817" s="162"/>
      <c r="K2817" s="165"/>
      <c r="L2817" s="164"/>
      <c r="M2817" s="164"/>
      <c r="N2817" s="166"/>
      <c r="O2817" s="167"/>
      <c r="P2817" s="168"/>
      <c r="Q2817" s="169"/>
      <c r="R2817" s="170"/>
      <c r="S2817" s="171"/>
      <c r="T2817" s="203">
        <f t="shared" si="1711"/>
        <v>43647</v>
      </c>
      <c r="U2817" s="204">
        <f t="shared" si="1712"/>
        <v>43677</v>
      </c>
      <c r="V2817" s="207">
        <f t="shared" si="1742"/>
        <v>0</v>
      </c>
      <c r="W2817" s="206" t="str">
        <f t="shared" si="1739"/>
        <v/>
      </c>
      <c r="X2817" s="206">
        <f t="shared" si="1740"/>
        <v>0</v>
      </c>
      <c r="Y2817" s="209">
        <f t="shared" si="1741"/>
        <v>0</v>
      </c>
    </row>
    <row r="2818" spans="2:25" ht="60.75" hidden="1" thickTop="1" x14ac:dyDescent="0.25">
      <c r="B2818" s="60">
        <f>B2813</f>
        <v>25</v>
      </c>
      <c r="C2818" s="102">
        <v>174</v>
      </c>
      <c r="D2818" s="192" t="str">
        <f t="shared" si="1718"/>
        <v>Извън сезона</v>
      </c>
      <c r="E2818" s="172"/>
      <c r="F2818" s="173"/>
      <c r="G2818" s="173"/>
      <c r="H2818" s="174"/>
      <c r="I2818" s="174"/>
      <c r="J2818" s="172"/>
      <c r="K2818" s="175"/>
      <c r="L2818" s="174"/>
      <c r="M2818" s="174"/>
      <c r="N2818" s="176"/>
      <c r="O2818" s="177"/>
      <c r="P2818" s="178"/>
      <c r="Q2818" s="179"/>
      <c r="R2818" s="180"/>
      <c r="S2818" s="181"/>
      <c r="T2818" s="203">
        <f t="shared" si="1711"/>
        <v>43647</v>
      </c>
      <c r="U2818" s="204">
        <f t="shared" si="1712"/>
        <v>43677</v>
      </c>
      <c r="V2818" s="207">
        <f t="shared" si="1742"/>
        <v>0</v>
      </c>
      <c r="W2818" s="206" t="str">
        <f t="shared" si="1739"/>
        <v/>
      </c>
      <c r="X2818" s="206">
        <f t="shared" si="1740"/>
        <v>0</v>
      </c>
      <c r="Y2818" s="209">
        <f t="shared" si="1741"/>
        <v>0</v>
      </c>
    </row>
    <row r="2819" spans="2:25" ht="61.5" hidden="1" thickTop="1" thickBot="1" x14ac:dyDescent="0.3">
      <c r="B2819" s="141">
        <f>B2813</f>
        <v>25</v>
      </c>
      <c r="C2819" s="142">
        <v>175</v>
      </c>
      <c r="D2819" s="194" t="str">
        <f t="shared" si="1718"/>
        <v>Извън сезона</v>
      </c>
      <c r="E2819" s="189"/>
      <c r="F2819" s="190"/>
      <c r="G2819" s="190"/>
      <c r="H2819" s="182"/>
      <c r="I2819" s="182"/>
      <c r="J2819" s="436" t="s">
        <v>181</v>
      </c>
      <c r="K2819" s="437"/>
      <c r="L2819" s="438"/>
      <c r="M2819" s="182"/>
      <c r="N2819" s="183"/>
      <c r="O2819" s="184"/>
      <c r="P2819" s="185"/>
      <c r="Q2819" s="186"/>
      <c r="R2819" s="187"/>
      <c r="S2819" s="188"/>
      <c r="T2819" s="213">
        <f t="shared" si="1711"/>
        <v>43647</v>
      </c>
      <c r="U2819" s="214">
        <f t="shared" si="1712"/>
        <v>43677</v>
      </c>
      <c r="V2819" s="210">
        <f t="shared" si="1742"/>
        <v>0</v>
      </c>
      <c r="W2819" s="211"/>
      <c r="X2819" s="211">
        <f>IF(AND($V2819&gt;0,$I2819=1),IF($E2819=10,P2819/10,P2819/$V2819),0)</f>
        <v>0</v>
      </c>
      <c r="Y2819" s="212">
        <f>IF(AND($V2813&gt;0,$I2819&lt;&gt;1),Q2819/E2813*V2813,0)</f>
        <v>0</v>
      </c>
    </row>
    <row r="2820" spans="2:25" ht="60.75" hidden="1" thickTop="1" x14ac:dyDescent="0.25">
      <c r="B2820" s="129">
        <f>B2818+1</f>
        <v>26</v>
      </c>
      <c r="C2820" s="130">
        <v>176</v>
      </c>
      <c r="D2820" s="196" t="str">
        <f t="shared" si="1718"/>
        <v>Извън сезона</v>
      </c>
      <c r="E2820" s="131"/>
      <c r="F2820" s="132"/>
      <c r="G2820" s="132"/>
      <c r="H2820" s="133"/>
      <c r="I2820" s="133"/>
      <c r="J2820" s="131"/>
      <c r="K2820" s="134"/>
      <c r="L2820" s="133"/>
      <c r="M2820" s="133"/>
      <c r="N2820" s="135"/>
      <c r="O2820" s="136"/>
      <c r="P2820" s="137"/>
      <c r="Q2820" s="138"/>
      <c r="R2820" s="139"/>
      <c r="S2820" s="140"/>
      <c r="T2820" s="203">
        <f t="shared" si="1711"/>
        <v>43647</v>
      </c>
      <c r="U2820" s="204">
        <f t="shared" si="1712"/>
        <v>43677</v>
      </c>
      <c r="V2820" s="207">
        <f>IF(G2820-F2820+1-IF(G2820-U2820&gt;0,G2820-U2820,0)-IF(T2820-F2820&gt;0,T2820-F2820,0)&gt;0,G2820-F2820+1-IF(G2820-U2820&gt;0,G2820-U2820,0)-IF(T2820-F2820&gt;0,T2820-F2820,0),0)</f>
        <v>0</v>
      </c>
      <c r="W2820" s="206" t="str">
        <f t="shared" ref="W2820:W2825" si="1743">IF(V2820&gt;0,H2820,"")</f>
        <v/>
      </c>
      <c r="X2820" s="206">
        <f t="shared" ref="X2820:X2825" si="1744">IF(AND($V2820&gt;0,$I2820=1),P2820/$E2820*$V2820,0)</f>
        <v>0</v>
      </c>
      <c r="Y2820" s="209">
        <f t="shared" ref="Y2820:Y2825" si="1745">IF(AND($V2820&gt;0,$I2820&lt;&gt;1),Q2820/$E2820*$V2820,0)</f>
        <v>0</v>
      </c>
    </row>
    <row r="2821" spans="2:25" ht="60.75" hidden="1" thickTop="1" x14ac:dyDescent="0.25">
      <c r="B2821" s="60">
        <f>B2820</f>
        <v>26</v>
      </c>
      <c r="C2821" s="102">
        <v>177</v>
      </c>
      <c r="D2821" s="192" t="str">
        <f t="shared" si="1718"/>
        <v>Извън сезона</v>
      </c>
      <c r="E2821" s="62"/>
      <c r="F2821" s="105"/>
      <c r="G2821" s="105"/>
      <c r="H2821" s="61"/>
      <c r="I2821" s="61"/>
      <c r="J2821" s="62"/>
      <c r="K2821" s="63"/>
      <c r="L2821" s="61"/>
      <c r="M2821" s="61"/>
      <c r="N2821" s="111"/>
      <c r="O2821" s="112"/>
      <c r="P2821" s="113"/>
      <c r="Q2821" s="114"/>
      <c r="R2821" s="64"/>
      <c r="S2821" s="108"/>
      <c r="T2821" s="203">
        <f t="shared" si="1711"/>
        <v>43647</v>
      </c>
      <c r="U2821" s="204">
        <f t="shared" si="1712"/>
        <v>43677</v>
      </c>
      <c r="V2821" s="207">
        <f t="shared" ref="V2821:V2826" si="1746">IF(G2821-F2821+1-IF(G2821-U2821&gt;0,G2821-U2821,0)-IF(T2821-F2821&gt;0,T2821-F2821,0)&gt;0,G2821-F2821+1-IF(G2821-U2821&gt;0,G2821-U2821,0)-IF(T2821-F2821&gt;0,T2821-F2821,0),0)</f>
        <v>0</v>
      </c>
      <c r="W2821" s="206" t="str">
        <f t="shared" si="1743"/>
        <v/>
      </c>
      <c r="X2821" s="206">
        <f t="shared" si="1744"/>
        <v>0</v>
      </c>
      <c r="Y2821" s="209">
        <f t="shared" si="1745"/>
        <v>0</v>
      </c>
    </row>
    <row r="2822" spans="2:25" ht="60.75" hidden="1" thickTop="1" x14ac:dyDescent="0.25">
      <c r="B2822" s="60">
        <f>B2820</f>
        <v>26</v>
      </c>
      <c r="C2822" s="102">
        <v>178</v>
      </c>
      <c r="D2822" s="192" t="str">
        <f t="shared" si="1718"/>
        <v>Извън сезона</v>
      </c>
      <c r="E2822" s="62"/>
      <c r="F2822" s="105"/>
      <c r="G2822" s="105"/>
      <c r="H2822" s="61"/>
      <c r="I2822" s="61"/>
      <c r="J2822" s="62"/>
      <c r="K2822" s="63"/>
      <c r="L2822" s="61"/>
      <c r="M2822" s="61"/>
      <c r="N2822" s="111"/>
      <c r="O2822" s="112"/>
      <c r="P2822" s="113"/>
      <c r="Q2822" s="114"/>
      <c r="R2822" s="64"/>
      <c r="S2822" s="108"/>
      <c r="T2822" s="203">
        <f t="shared" si="1711"/>
        <v>43647</v>
      </c>
      <c r="U2822" s="204">
        <f t="shared" si="1712"/>
        <v>43677</v>
      </c>
      <c r="V2822" s="207">
        <f t="shared" si="1746"/>
        <v>0</v>
      </c>
      <c r="W2822" s="206" t="str">
        <f t="shared" si="1743"/>
        <v/>
      </c>
      <c r="X2822" s="206">
        <f t="shared" si="1744"/>
        <v>0</v>
      </c>
      <c r="Y2822" s="209">
        <f t="shared" si="1745"/>
        <v>0</v>
      </c>
    </row>
    <row r="2823" spans="2:25" ht="60.75" hidden="1" thickTop="1" x14ac:dyDescent="0.25">
      <c r="B2823" s="60">
        <f>B2820</f>
        <v>26</v>
      </c>
      <c r="C2823" s="102">
        <v>179</v>
      </c>
      <c r="D2823" s="192" t="str">
        <f t="shared" si="1718"/>
        <v>Извън сезона</v>
      </c>
      <c r="E2823" s="62"/>
      <c r="F2823" s="105"/>
      <c r="G2823" s="105"/>
      <c r="H2823" s="61"/>
      <c r="I2823" s="61"/>
      <c r="J2823" s="62"/>
      <c r="K2823" s="63"/>
      <c r="L2823" s="61"/>
      <c r="M2823" s="61"/>
      <c r="N2823" s="111"/>
      <c r="O2823" s="112"/>
      <c r="P2823" s="113"/>
      <c r="Q2823" s="114"/>
      <c r="R2823" s="64"/>
      <c r="S2823" s="108"/>
      <c r="T2823" s="203">
        <f t="shared" si="1711"/>
        <v>43647</v>
      </c>
      <c r="U2823" s="204">
        <f t="shared" si="1712"/>
        <v>43677</v>
      </c>
      <c r="V2823" s="207">
        <f t="shared" si="1746"/>
        <v>0</v>
      </c>
      <c r="W2823" s="206" t="str">
        <f t="shared" si="1743"/>
        <v/>
      </c>
      <c r="X2823" s="206">
        <f t="shared" si="1744"/>
        <v>0</v>
      </c>
      <c r="Y2823" s="209">
        <f t="shared" si="1745"/>
        <v>0</v>
      </c>
    </row>
    <row r="2824" spans="2:25" ht="60.75" hidden="1" thickTop="1" x14ac:dyDescent="0.25">
      <c r="B2824" s="60">
        <f>B2820</f>
        <v>26</v>
      </c>
      <c r="C2824" s="102">
        <v>180</v>
      </c>
      <c r="D2824" s="192" t="str">
        <f t="shared" si="1718"/>
        <v>Извън сезона</v>
      </c>
      <c r="E2824" s="62"/>
      <c r="F2824" s="105"/>
      <c r="G2824" s="105"/>
      <c r="H2824" s="61"/>
      <c r="I2824" s="61"/>
      <c r="J2824" s="62"/>
      <c r="K2824" s="63"/>
      <c r="L2824" s="61"/>
      <c r="M2824" s="61"/>
      <c r="N2824" s="111"/>
      <c r="O2824" s="112"/>
      <c r="P2824" s="113"/>
      <c r="Q2824" s="114"/>
      <c r="R2824" s="64"/>
      <c r="S2824" s="108"/>
      <c r="T2824" s="203">
        <f t="shared" si="1711"/>
        <v>43647</v>
      </c>
      <c r="U2824" s="204">
        <f t="shared" si="1712"/>
        <v>43677</v>
      </c>
      <c r="V2824" s="207">
        <f t="shared" si="1746"/>
        <v>0</v>
      </c>
      <c r="W2824" s="206" t="str">
        <f t="shared" si="1743"/>
        <v/>
      </c>
      <c r="X2824" s="206">
        <f t="shared" si="1744"/>
        <v>0</v>
      </c>
      <c r="Y2824" s="209">
        <f t="shared" si="1745"/>
        <v>0</v>
      </c>
    </row>
    <row r="2825" spans="2:25" ht="60.75" hidden="1" thickTop="1" x14ac:dyDescent="0.25">
      <c r="B2825" s="60">
        <f>B2820</f>
        <v>26</v>
      </c>
      <c r="C2825" s="102">
        <v>181</v>
      </c>
      <c r="D2825" s="192" t="str">
        <f t="shared" si="1718"/>
        <v>Извън сезона</v>
      </c>
      <c r="E2825" s="62"/>
      <c r="F2825" s="105"/>
      <c r="G2825" s="105"/>
      <c r="H2825" s="61"/>
      <c r="I2825" s="61"/>
      <c r="J2825" s="62"/>
      <c r="K2825" s="63"/>
      <c r="L2825" s="61"/>
      <c r="M2825" s="61"/>
      <c r="N2825" s="111"/>
      <c r="O2825" s="112"/>
      <c r="P2825" s="113"/>
      <c r="Q2825" s="114"/>
      <c r="R2825" s="64"/>
      <c r="S2825" s="108"/>
      <c r="T2825" s="203">
        <f t="shared" si="1711"/>
        <v>43647</v>
      </c>
      <c r="U2825" s="204">
        <f t="shared" si="1712"/>
        <v>43677</v>
      </c>
      <c r="V2825" s="207">
        <f t="shared" si="1746"/>
        <v>0</v>
      </c>
      <c r="W2825" s="206" t="str">
        <f t="shared" si="1743"/>
        <v/>
      </c>
      <c r="X2825" s="206">
        <f t="shared" si="1744"/>
        <v>0</v>
      </c>
      <c r="Y2825" s="209">
        <f t="shared" si="1745"/>
        <v>0</v>
      </c>
    </row>
    <row r="2826" spans="2:25" ht="61.5" hidden="1" thickTop="1" thickBot="1" x14ac:dyDescent="0.3">
      <c r="B2826" s="141">
        <f>B2820</f>
        <v>26</v>
      </c>
      <c r="C2826" s="142">
        <v>182</v>
      </c>
      <c r="D2826" s="194" t="str">
        <f t="shared" si="1718"/>
        <v>Извън сезона</v>
      </c>
      <c r="E2826" s="143"/>
      <c r="F2826" s="144"/>
      <c r="G2826" s="144"/>
      <c r="H2826" s="145"/>
      <c r="I2826" s="145"/>
      <c r="J2826" s="436" t="s">
        <v>181</v>
      </c>
      <c r="K2826" s="437"/>
      <c r="L2826" s="438"/>
      <c r="M2826" s="145"/>
      <c r="N2826" s="146"/>
      <c r="O2826" s="147"/>
      <c r="P2826" s="148"/>
      <c r="Q2826" s="149"/>
      <c r="R2826" s="150"/>
      <c r="S2826" s="151"/>
      <c r="T2826" s="213">
        <f t="shared" si="1711"/>
        <v>43647</v>
      </c>
      <c r="U2826" s="214">
        <f t="shared" si="1712"/>
        <v>43677</v>
      </c>
      <c r="V2826" s="210">
        <f t="shared" si="1746"/>
        <v>0</v>
      </c>
      <c r="W2826" s="211"/>
      <c r="X2826" s="211">
        <f>IF(AND($V2826&gt;0,$I2826=1),IF($E2826=10,P2826/10,P2826/$V2826),0)</f>
        <v>0</v>
      </c>
      <c r="Y2826" s="212">
        <f>IF(AND($V2820&gt;0,$I2826&lt;&gt;1),Q2826/E2820*V2820,0)</f>
        <v>0</v>
      </c>
    </row>
    <row r="2827" spans="2:25" ht="60.75" hidden="1" thickTop="1" x14ac:dyDescent="0.25">
      <c r="B2827" s="129">
        <f>B2825+1</f>
        <v>27</v>
      </c>
      <c r="C2827" s="130">
        <v>183</v>
      </c>
      <c r="D2827" s="196" t="str">
        <f t="shared" si="1718"/>
        <v>Извън сезона</v>
      </c>
      <c r="E2827" s="152"/>
      <c r="F2827" s="153"/>
      <c r="G2827" s="153"/>
      <c r="H2827" s="154"/>
      <c r="I2827" s="154"/>
      <c r="J2827" s="152"/>
      <c r="K2827" s="155"/>
      <c r="L2827" s="154"/>
      <c r="M2827" s="154"/>
      <c r="N2827" s="156"/>
      <c r="O2827" s="157"/>
      <c r="P2827" s="158"/>
      <c r="Q2827" s="159"/>
      <c r="R2827" s="160"/>
      <c r="S2827" s="161"/>
      <c r="T2827" s="203">
        <f t="shared" si="1711"/>
        <v>43647</v>
      </c>
      <c r="U2827" s="204">
        <f t="shared" si="1712"/>
        <v>43677</v>
      </c>
      <c r="V2827" s="207">
        <f>IF(G2827-F2827+1-IF(G2827-U2827&gt;0,G2827-U2827,0)-IF(T2827-F2827&gt;0,T2827-F2827,0)&gt;0,G2827-F2827+1-IF(G2827-U2827&gt;0,G2827-U2827,0)-IF(T2827-F2827&gt;0,T2827-F2827,0),0)</f>
        <v>0</v>
      </c>
      <c r="W2827" s="206" t="str">
        <f t="shared" ref="W2827:W2832" si="1747">IF(V2827&gt;0,H2827,"")</f>
        <v/>
      </c>
      <c r="X2827" s="206">
        <f t="shared" ref="X2827:X2832" si="1748">IF(AND($V2827&gt;0,$I2827=1),P2827/$E2827*$V2827,0)</f>
        <v>0</v>
      </c>
      <c r="Y2827" s="209">
        <f t="shared" ref="Y2827:Y2832" si="1749">IF(AND($V2827&gt;0,$I2827&lt;&gt;1),Q2827/$E2827*$V2827,0)</f>
        <v>0</v>
      </c>
    </row>
    <row r="2828" spans="2:25" ht="60.75" hidden="1" thickTop="1" x14ac:dyDescent="0.25">
      <c r="B2828" s="60">
        <f>B2827</f>
        <v>27</v>
      </c>
      <c r="C2828" s="102">
        <v>184</v>
      </c>
      <c r="D2828" s="192" t="str">
        <f t="shared" si="1718"/>
        <v>Извън сезона</v>
      </c>
      <c r="E2828" s="162"/>
      <c r="F2828" s="163"/>
      <c r="G2828" s="163"/>
      <c r="H2828" s="164"/>
      <c r="I2828" s="164"/>
      <c r="J2828" s="162"/>
      <c r="K2828" s="165"/>
      <c r="L2828" s="164"/>
      <c r="M2828" s="164"/>
      <c r="N2828" s="166"/>
      <c r="O2828" s="167"/>
      <c r="P2828" s="168"/>
      <c r="Q2828" s="169"/>
      <c r="R2828" s="170"/>
      <c r="S2828" s="171"/>
      <c r="T2828" s="203">
        <f t="shared" si="1711"/>
        <v>43647</v>
      </c>
      <c r="U2828" s="204">
        <f t="shared" si="1712"/>
        <v>43677</v>
      </c>
      <c r="V2828" s="207">
        <f t="shared" ref="V2828:V2833" si="1750">IF(G2828-F2828+1-IF(G2828-U2828&gt;0,G2828-U2828,0)-IF(T2828-F2828&gt;0,T2828-F2828,0)&gt;0,G2828-F2828+1-IF(G2828-U2828&gt;0,G2828-U2828,0)-IF(T2828-F2828&gt;0,T2828-F2828,0),0)</f>
        <v>0</v>
      </c>
      <c r="W2828" s="206" t="str">
        <f t="shared" si="1747"/>
        <v/>
      </c>
      <c r="X2828" s="206">
        <f t="shared" si="1748"/>
        <v>0</v>
      </c>
      <c r="Y2828" s="209">
        <f t="shared" si="1749"/>
        <v>0</v>
      </c>
    </row>
    <row r="2829" spans="2:25" ht="60.75" hidden="1" thickTop="1" x14ac:dyDescent="0.25">
      <c r="B2829" s="60">
        <f>B2827</f>
        <v>27</v>
      </c>
      <c r="C2829" s="102">
        <v>185</v>
      </c>
      <c r="D2829" s="192" t="str">
        <f t="shared" si="1718"/>
        <v>Извън сезона</v>
      </c>
      <c r="E2829" s="162"/>
      <c r="F2829" s="163"/>
      <c r="G2829" s="163"/>
      <c r="H2829" s="164"/>
      <c r="I2829" s="164"/>
      <c r="J2829" s="162"/>
      <c r="K2829" s="165"/>
      <c r="L2829" s="164"/>
      <c r="M2829" s="164"/>
      <c r="N2829" s="166"/>
      <c r="O2829" s="167"/>
      <c r="P2829" s="168"/>
      <c r="Q2829" s="169"/>
      <c r="R2829" s="170"/>
      <c r="S2829" s="171"/>
      <c r="T2829" s="203">
        <f t="shared" ref="T2829:T2892" si="1751">$F$4</f>
        <v>43647</v>
      </c>
      <c r="U2829" s="204">
        <f t="shared" ref="U2829:U2892" si="1752">$G$4</f>
        <v>43677</v>
      </c>
      <c r="V2829" s="207">
        <f t="shared" si="1750"/>
        <v>0</v>
      </c>
      <c r="W2829" s="206" t="str">
        <f t="shared" si="1747"/>
        <v/>
      </c>
      <c r="X2829" s="206">
        <f t="shared" si="1748"/>
        <v>0</v>
      </c>
      <c r="Y2829" s="209">
        <f t="shared" si="1749"/>
        <v>0</v>
      </c>
    </row>
    <row r="2830" spans="2:25" ht="60.75" hidden="1" thickTop="1" x14ac:dyDescent="0.25">
      <c r="B2830" s="60">
        <f>B2827</f>
        <v>27</v>
      </c>
      <c r="C2830" s="102">
        <v>186</v>
      </c>
      <c r="D2830" s="192" t="str">
        <f t="shared" si="1718"/>
        <v>Извън сезона</v>
      </c>
      <c r="E2830" s="162"/>
      <c r="F2830" s="163"/>
      <c r="G2830" s="163"/>
      <c r="H2830" s="164"/>
      <c r="I2830" s="164"/>
      <c r="J2830" s="162"/>
      <c r="K2830" s="165"/>
      <c r="L2830" s="164"/>
      <c r="M2830" s="164"/>
      <c r="N2830" s="166"/>
      <c r="O2830" s="167"/>
      <c r="P2830" s="168"/>
      <c r="Q2830" s="169"/>
      <c r="R2830" s="170"/>
      <c r="S2830" s="171"/>
      <c r="T2830" s="203">
        <f t="shared" si="1751"/>
        <v>43647</v>
      </c>
      <c r="U2830" s="204">
        <f t="shared" si="1752"/>
        <v>43677</v>
      </c>
      <c r="V2830" s="207">
        <f t="shared" si="1750"/>
        <v>0</v>
      </c>
      <c r="W2830" s="206" t="str">
        <f t="shared" si="1747"/>
        <v/>
      </c>
      <c r="X2830" s="206">
        <f t="shared" si="1748"/>
        <v>0</v>
      </c>
      <c r="Y2830" s="209">
        <f t="shared" si="1749"/>
        <v>0</v>
      </c>
    </row>
    <row r="2831" spans="2:25" ht="60.75" hidden="1" thickTop="1" x14ac:dyDescent="0.25">
      <c r="B2831" s="60">
        <f>B2827</f>
        <v>27</v>
      </c>
      <c r="C2831" s="102">
        <v>187</v>
      </c>
      <c r="D2831" s="192" t="str">
        <f t="shared" si="1718"/>
        <v>Извън сезона</v>
      </c>
      <c r="E2831" s="162"/>
      <c r="F2831" s="163"/>
      <c r="G2831" s="163"/>
      <c r="H2831" s="164"/>
      <c r="I2831" s="164"/>
      <c r="J2831" s="162"/>
      <c r="K2831" s="165"/>
      <c r="L2831" s="164"/>
      <c r="M2831" s="164"/>
      <c r="N2831" s="166"/>
      <c r="O2831" s="167"/>
      <c r="P2831" s="168"/>
      <c r="Q2831" s="169"/>
      <c r="R2831" s="170"/>
      <c r="S2831" s="171"/>
      <c r="T2831" s="203">
        <f t="shared" si="1751"/>
        <v>43647</v>
      </c>
      <c r="U2831" s="204">
        <f t="shared" si="1752"/>
        <v>43677</v>
      </c>
      <c r="V2831" s="207">
        <f t="shared" si="1750"/>
        <v>0</v>
      </c>
      <c r="W2831" s="206" t="str">
        <f t="shared" si="1747"/>
        <v/>
      </c>
      <c r="X2831" s="206">
        <f t="shared" si="1748"/>
        <v>0</v>
      </c>
      <c r="Y2831" s="209">
        <f t="shared" si="1749"/>
        <v>0</v>
      </c>
    </row>
    <row r="2832" spans="2:25" ht="60.75" hidden="1" thickTop="1" x14ac:dyDescent="0.25">
      <c r="B2832" s="60">
        <f>B2827</f>
        <v>27</v>
      </c>
      <c r="C2832" s="102">
        <v>188</v>
      </c>
      <c r="D2832" s="192" t="str">
        <f t="shared" si="1718"/>
        <v>Извън сезона</v>
      </c>
      <c r="E2832" s="172"/>
      <c r="F2832" s="173"/>
      <c r="G2832" s="173"/>
      <c r="H2832" s="174"/>
      <c r="I2832" s="174"/>
      <c r="J2832" s="172"/>
      <c r="K2832" s="175"/>
      <c r="L2832" s="174"/>
      <c r="M2832" s="174"/>
      <c r="N2832" s="176"/>
      <c r="O2832" s="177"/>
      <c r="P2832" s="178"/>
      <c r="Q2832" s="179"/>
      <c r="R2832" s="180"/>
      <c r="S2832" s="181"/>
      <c r="T2832" s="203">
        <f t="shared" si="1751"/>
        <v>43647</v>
      </c>
      <c r="U2832" s="204">
        <f t="shared" si="1752"/>
        <v>43677</v>
      </c>
      <c r="V2832" s="207">
        <f t="shared" si="1750"/>
        <v>0</v>
      </c>
      <c r="W2832" s="206" t="str">
        <f t="shared" si="1747"/>
        <v/>
      </c>
      <c r="X2832" s="206">
        <f t="shared" si="1748"/>
        <v>0</v>
      </c>
      <c r="Y2832" s="209">
        <f t="shared" si="1749"/>
        <v>0</v>
      </c>
    </row>
    <row r="2833" spans="2:25" ht="61.5" hidden="1" thickTop="1" thickBot="1" x14ac:dyDescent="0.3">
      <c r="B2833" s="141">
        <f>B2827</f>
        <v>27</v>
      </c>
      <c r="C2833" s="142">
        <v>189</v>
      </c>
      <c r="D2833" s="194" t="str">
        <f t="shared" si="1718"/>
        <v>Извън сезона</v>
      </c>
      <c r="E2833" s="189"/>
      <c r="F2833" s="190"/>
      <c r="G2833" s="190"/>
      <c r="H2833" s="182"/>
      <c r="I2833" s="182"/>
      <c r="J2833" s="436" t="s">
        <v>181</v>
      </c>
      <c r="K2833" s="437"/>
      <c r="L2833" s="438"/>
      <c r="M2833" s="182"/>
      <c r="N2833" s="183"/>
      <c r="O2833" s="184"/>
      <c r="P2833" s="185"/>
      <c r="Q2833" s="186"/>
      <c r="R2833" s="187"/>
      <c r="S2833" s="188"/>
      <c r="T2833" s="213">
        <f t="shared" si="1751"/>
        <v>43647</v>
      </c>
      <c r="U2833" s="214">
        <f t="shared" si="1752"/>
        <v>43677</v>
      </c>
      <c r="V2833" s="210">
        <f t="shared" si="1750"/>
        <v>0</v>
      </c>
      <c r="W2833" s="211"/>
      <c r="X2833" s="211">
        <f>IF(AND($V2833&gt;0,$I2833=1),IF($E2833=10,P2833/10,P2833/$V2833),0)</f>
        <v>0</v>
      </c>
      <c r="Y2833" s="212">
        <f>IF(AND($V2827&gt;0,$I2833&lt;&gt;1),Q2833/E2827*V2827,0)</f>
        <v>0</v>
      </c>
    </row>
    <row r="2834" spans="2:25" ht="60.75" hidden="1" thickTop="1" x14ac:dyDescent="0.25">
      <c r="B2834" s="129">
        <f>B2832+1</f>
        <v>28</v>
      </c>
      <c r="C2834" s="130">
        <v>190</v>
      </c>
      <c r="D2834" s="196" t="str">
        <f t="shared" si="1718"/>
        <v>Извън сезона</v>
      </c>
      <c r="E2834" s="131"/>
      <c r="F2834" s="132"/>
      <c r="G2834" s="132"/>
      <c r="H2834" s="133"/>
      <c r="I2834" s="133"/>
      <c r="J2834" s="131"/>
      <c r="K2834" s="134"/>
      <c r="L2834" s="133"/>
      <c r="M2834" s="133"/>
      <c r="N2834" s="135"/>
      <c r="O2834" s="136"/>
      <c r="P2834" s="137"/>
      <c r="Q2834" s="138"/>
      <c r="R2834" s="139"/>
      <c r="S2834" s="140"/>
      <c r="T2834" s="203">
        <f t="shared" si="1751"/>
        <v>43647</v>
      </c>
      <c r="U2834" s="204">
        <f t="shared" si="1752"/>
        <v>43677</v>
      </c>
      <c r="V2834" s="207">
        <f>IF(G2834-F2834+1-IF(G2834-U2834&gt;0,G2834-U2834,0)-IF(T2834-F2834&gt;0,T2834-F2834,0)&gt;0,G2834-F2834+1-IF(G2834-U2834&gt;0,G2834-U2834,0)-IF(T2834-F2834&gt;0,T2834-F2834,0),0)</f>
        <v>0</v>
      </c>
      <c r="W2834" s="206" t="str">
        <f t="shared" ref="W2834:W2839" si="1753">IF(V2834&gt;0,H2834,"")</f>
        <v/>
      </c>
      <c r="X2834" s="206">
        <f t="shared" ref="X2834:X2839" si="1754">IF(AND($V2834&gt;0,$I2834=1),P2834/$E2834*$V2834,0)</f>
        <v>0</v>
      </c>
      <c r="Y2834" s="209">
        <f t="shared" ref="Y2834:Y2839" si="1755">IF(AND($V2834&gt;0,$I2834&lt;&gt;1),Q2834/$E2834*$V2834,0)</f>
        <v>0</v>
      </c>
    </row>
    <row r="2835" spans="2:25" ht="60.75" hidden="1" thickTop="1" x14ac:dyDescent="0.25">
      <c r="B2835" s="60">
        <f>B2834</f>
        <v>28</v>
      </c>
      <c r="C2835" s="102">
        <v>191</v>
      </c>
      <c r="D2835" s="192" t="str">
        <f t="shared" si="1718"/>
        <v>Извън сезона</v>
      </c>
      <c r="E2835" s="62"/>
      <c r="F2835" s="105"/>
      <c r="G2835" s="105"/>
      <c r="H2835" s="61"/>
      <c r="I2835" s="61"/>
      <c r="J2835" s="62"/>
      <c r="K2835" s="63"/>
      <c r="L2835" s="61"/>
      <c r="M2835" s="61"/>
      <c r="N2835" s="111"/>
      <c r="O2835" s="112"/>
      <c r="P2835" s="113"/>
      <c r="Q2835" s="114"/>
      <c r="R2835" s="64"/>
      <c r="S2835" s="108"/>
      <c r="T2835" s="203">
        <f t="shared" si="1751"/>
        <v>43647</v>
      </c>
      <c r="U2835" s="204">
        <f t="shared" si="1752"/>
        <v>43677</v>
      </c>
      <c r="V2835" s="207">
        <f t="shared" ref="V2835:V2840" si="1756">IF(G2835-F2835+1-IF(G2835-U2835&gt;0,G2835-U2835,0)-IF(T2835-F2835&gt;0,T2835-F2835,0)&gt;0,G2835-F2835+1-IF(G2835-U2835&gt;0,G2835-U2835,0)-IF(T2835-F2835&gt;0,T2835-F2835,0),0)</f>
        <v>0</v>
      </c>
      <c r="W2835" s="206" t="str">
        <f t="shared" si="1753"/>
        <v/>
      </c>
      <c r="X2835" s="206">
        <f t="shared" si="1754"/>
        <v>0</v>
      </c>
      <c r="Y2835" s="209">
        <f t="shared" si="1755"/>
        <v>0</v>
      </c>
    </row>
    <row r="2836" spans="2:25" ht="60.75" hidden="1" thickTop="1" x14ac:dyDescent="0.25">
      <c r="B2836" s="60">
        <f>B2834</f>
        <v>28</v>
      </c>
      <c r="C2836" s="102">
        <v>192</v>
      </c>
      <c r="D2836" s="192" t="str">
        <f t="shared" si="1718"/>
        <v>Извън сезона</v>
      </c>
      <c r="E2836" s="62"/>
      <c r="F2836" s="105"/>
      <c r="G2836" s="105"/>
      <c r="H2836" s="61"/>
      <c r="I2836" s="61"/>
      <c r="J2836" s="62"/>
      <c r="K2836" s="63"/>
      <c r="L2836" s="61"/>
      <c r="M2836" s="61"/>
      <c r="N2836" s="111"/>
      <c r="O2836" s="112"/>
      <c r="P2836" s="113"/>
      <c r="Q2836" s="114"/>
      <c r="R2836" s="64"/>
      <c r="S2836" s="108"/>
      <c r="T2836" s="203">
        <f t="shared" si="1751"/>
        <v>43647</v>
      </c>
      <c r="U2836" s="204">
        <f t="shared" si="1752"/>
        <v>43677</v>
      </c>
      <c r="V2836" s="207">
        <f t="shared" si="1756"/>
        <v>0</v>
      </c>
      <c r="W2836" s="206" t="str">
        <f t="shared" si="1753"/>
        <v/>
      </c>
      <c r="X2836" s="206">
        <f t="shared" si="1754"/>
        <v>0</v>
      </c>
      <c r="Y2836" s="209">
        <f t="shared" si="1755"/>
        <v>0</v>
      </c>
    </row>
    <row r="2837" spans="2:25" ht="60.75" hidden="1" thickTop="1" x14ac:dyDescent="0.25">
      <c r="B2837" s="60">
        <f>B2834</f>
        <v>28</v>
      </c>
      <c r="C2837" s="102">
        <v>193</v>
      </c>
      <c r="D2837" s="192" t="str">
        <f t="shared" si="1718"/>
        <v>Извън сезона</v>
      </c>
      <c r="E2837" s="62"/>
      <c r="F2837" s="105"/>
      <c r="G2837" s="105"/>
      <c r="H2837" s="61"/>
      <c r="I2837" s="61"/>
      <c r="J2837" s="62"/>
      <c r="K2837" s="63"/>
      <c r="L2837" s="61"/>
      <c r="M2837" s="61"/>
      <c r="N2837" s="111"/>
      <c r="O2837" s="112"/>
      <c r="P2837" s="113"/>
      <c r="Q2837" s="114"/>
      <c r="R2837" s="64"/>
      <c r="S2837" s="108"/>
      <c r="T2837" s="203">
        <f t="shared" si="1751"/>
        <v>43647</v>
      </c>
      <c r="U2837" s="204">
        <f t="shared" si="1752"/>
        <v>43677</v>
      </c>
      <c r="V2837" s="207">
        <f t="shared" si="1756"/>
        <v>0</v>
      </c>
      <c r="W2837" s="206" t="str">
        <f t="shared" si="1753"/>
        <v/>
      </c>
      <c r="X2837" s="206">
        <f t="shared" si="1754"/>
        <v>0</v>
      </c>
      <c r="Y2837" s="209">
        <f t="shared" si="1755"/>
        <v>0</v>
      </c>
    </row>
    <row r="2838" spans="2:25" ht="60.75" hidden="1" thickTop="1" x14ac:dyDescent="0.25">
      <c r="B2838" s="60">
        <f>B2834</f>
        <v>28</v>
      </c>
      <c r="C2838" s="102">
        <v>194</v>
      </c>
      <c r="D2838" s="192" t="str">
        <f t="shared" si="1718"/>
        <v>Извън сезона</v>
      </c>
      <c r="E2838" s="62"/>
      <c r="F2838" s="105"/>
      <c r="G2838" s="105"/>
      <c r="H2838" s="61"/>
      <c r="I2838" s="61"/>
      <c r="J2838" s="62"/>
      <c r="K2838" s="63"/>
      <c r="L2838" s="61"/>
      <c r="M2838" s="61"/>
      <c r="N2838" s="111"/>
      <c r="O2838" s="112"/>
      <c r="P2838" s="113"/>
      <c r="Q2838" s="114"/>
      <c r="R2838" s="64"/>
      <c r="S2838" s="108"/>
      <c r="T2838" s="203">
        <f t="shared" si="1751"/>
        <v>43647</v>
      </c>
      <c r="U2838" s="204">
        <f t="shared" si="1752"/>
        <v>43677</v>
      </c>
      <c r="V2838" s="207">
        <f t="shared" si="1756"/>
        <v>0</v>
      </c>
      <c r="W2838" s="206" t="str">
        <f t="shared" si="1753"/>
        <v/>
      </c>
      <c r="X2838" s="206">
        <f t="shared" si="1754"/>
        <v>0</v>
      </c>
      <c r="Y2838" s="209">
        <f t="shared" si="1755"/>
        <v>0</v>
      </c>
    </row>
    <row r="2839" spans="2:25" ht="60.75" hidden="1" thickTop="1" x14ac:dyDescent="0.25">
      <c r="B2839" s="60">
        <f>B2834</f>
        <v>28</v>
      </c>
      <c r="C2839" s="102">
        <v>195</v>
      </c>
      <c r="D2839" s="192" t="str">
        <f t="shared" ref="D2839:D2902" si="1757">D2838</f>
        <v>Извън сезона</v>
      </c>
      <c r="E2839" s="62"/>
      <c r="F2839" s="105"/>
      <c r="G2839" s="105"/>
      <c r="H2839" s="61"/>
      <c r="I2839" s="61"/>
      <c r="J2839" s="62"/>
      <c r="K2839" s="63"/>
      <c r="L2839" s="61"/>
      <c r="M2839" s="61"/>
      <c r="N2839" s="111"/>
      <c r="O2839" s="112"/>
      <c r="P2839" s="113"/>
      <c r="Q2839" s="114"/>
      <c r="R2839" s="64"/>
      <c r="S2839" s="108"/>
      <c r="T2839" s="203">
        <f t="shared" si="1751"/>
        <v>43647</v>
      </c>
      <c r="U2839" s="204">
        <f t="shared" si="1752"/>
        <v>43677</v>
      </c>
      <c r="V2839" s="207">
        <f t="shared" si="1756"/>
        <v>0</v>
      </c>
      <c r="W2839" s="206" t="str">
        <f t="shared" si="1753"/>
        <v/>
      </c>
      <c r="X2839" s="206">
        <f t="shared" si="1754"/>
        <v>0</v>
      </c>
      <c r="Y2839" s="209">
        <f t="shared" si="1755"/>
        <v>0</v>
      </c>
    </row>
    <row r="2840" spans="2:25" ht="61.5" hidden="1" thickTop="1" thickBot="1" x14ac:dyDescent="0.3">
      <c r="B2840" s="141">
        <f>B2834</f>
        <v>28</v>
      </c>
      <c r="C2840" s="142">
        <v>196</v>
      </c>
      <c r="D2840" s="194" t="str">
        <f t="shared" si="1757"/>
        <v>Извън сезона</v>
      </c>
      <c r="E2840" s="143"/>
      <c r="F2840" s="144"/>
      <c r="G2840" s="144"/>
      <c r="H2840" s="145"/>
      <c r="I2840" s="145"/>
      <c r="J2840" s="436" t="s">
        <v>181</v>
      </c>
      <c r="K2840" s="437"/>
      <c r="L2840" s="438"/>
      <c r="M2840" s="145"/>
      <c r="N2840" s="146"/>
      <c r="O2840" s="147"/>
      <c r="P2840" s="148"/>
      <c r="Q2840" s="149"/>
      <c r="R2840" s="150"/>
      <c r="S2840" s="151"/>
      <c r="T2840" s="213">
        <f t="shared" si="1751"/>
        <v>43647</v>
      </c>
      <c r="U2840" s="214">
        <f t="shared" si="1752"/>
        <v>43677</v>
      </c>
      <c r="V2840" s="210">
        <f t="shared" si="1756"/>
        <v>0</v>
      </c>
      <c r="W2840" s="211"/>
      <c r="X2840" s="211">
        <f>IF(AND($V2840&gt;0,$I2840=1),IF($E2840=10,P2840/10,P2840/$V2840),0)</f>
        <v>0</v>
      </c>
      <c r="Y2840" s="212">
        <f>IF(AND($V2834&gt;0,$I2840&lt;&gt;1),Q2840/E2834*V2834,0)</f>
        <v>0</v>
      </c>
    </row>
    <row r="2841" spans="2:25" ht="60.75" hidden="1" thickTop="1" x14ac:dyDescent="0.25">
      <c r="B2841" s="129">
        <f>B2839+1</f>
        <v>29</v>
      </c>
      <c r="C2841" s="130">
        <v>197</v>
      </c>
      <c r="D2841" s="196" t="str">
        <f t="shared" si="1757"/>
        <v>Извън сезона</v>
      </c>
      <c r="E2841" s="152"/>
      <c r="F2841" s="153"/>
      <c r="G2841" s="153"/>
      <c r="H2841" s="154"/>
      <c r="I2841" s="154"/>
      <c r="J2841" s="152"/>
      <c r="K2841" s="155"/>
      <c r="L2841" s="154"/>
      <c r="M2841" s="154"/>
      <c r="N2841" s="156"/>
      <c r="O2841" s="157"/>
      <c r="P2841" s="158"/>
      <c r="Q2841" s="159"/>
      <c r="R2841" s="160"/>
      <c r="S2841" s="161"/>
      <c r="T2841" s="203">
        <f t="shared" si="1751"/>
        <v>43647</v>
      </c>
      <c r="U2841" s="204">
        <f t="shared" si="1752"/>
        <v>43677</v>
      </c>
      <c r="V2841" s="207">
        <f>IF(G2841-F2841+1-IF(G2841-U2841&gt;0,G2841-U2841,0)-IF(T2841-F2841&gt;0,T2841-F2841,0)&gt;0,G2841-F2841+1-IF(G2841-U2841&gt;0,G2841-U2841,0)-IF(T2841-F2841&gt;0,T2841-F2841,0),0)</f>
        <v>0</v>
      </c>
      <c r="W2841" s="206" t="str">
        <f t="shared" ref="W2841:W2846" si="1758">IF(V2841&gt;0,H2841,"")</f>
        <v/>
      </c>
      <c r="X2841" s="206">
        <f t="shared" ref="X2841:X2846" si="1759">IF(AND($V2841&gt;0,$I2841=1),P2841/$E2841*$V2841,0)</f>
        <v>0</v>
      </c>
      <c r="Y2841" s="209">
        <f t="shared" ref="Y2841:Y2846" si="1760">IF(AND($V2841&gt;0,$I2841&lt;&gt;1),Q2841/$E2841*$V2841,0)</f>
        <v>0</v>
      </c>
    </row>
    <row r="2842" spans="2:25" ht="60.75" hidden="1" thickTop="1" x14ac:dyDescent="0.25">
      <c r="B2842" s="60">
        <f>B2841</f>
        <v>29</v>
      </c>
      <c r="C2842" s="102">
        <v>198</v>
      </c>
      <c r="D2842" s="192" t="str">
        <f t="shared" si="1757"/>
        <v>Извън сезона</v>
      </c>
      <c r="E2842" s="162"/>
      <c r="F2842" s="163"/>
      <c r="G2842" s="163"/>
      <c r="H2842" s="164"/>
      <c r="I2842" s="164"/>
      <c r="J2842" s="162"/>
      <c r="K2842" s="165"/>
      <c r="L2842" s="164"/>
      <c r="M2842" s="164"/>
      <c r="N2842" s="166"/>
      <c r="O2842" s="167"/>
      <c r="P2842" s="168"/>
      <c r="Q2842" s="169"/>
      <c r="R2842" s="170"/>
      <c r="S2842" s="171"/>
      <c r="T2842" s="203">
        <f t="shared" si="1751"/>
        <v>43647</v>
      </c>
      <c r="U2842" s="204">
        <f t="shared" si="1752"/>
        <v>43677</v>
      </c>
      <c r="V2842" s="207">
        <f t="shared" ref="V2842:V2847" si="1761">IF(G2842-F2842+1-IF(G2842-U2842&gt;0,G2842-U2842,0)-IF(T2842-F2842&gt;0,T2842-F2842,0)&gt;0,G2842-F2842+1-IF(G2842-U2842&gt;0,G2842-U2842,0)-IF(T2842-F2842&gt;0,T2842-F2842,0),0)</f>
        <v>0</v>
      </c>
      <c r="W2842" s="206" t="str">
        <f t="shared" si="1758"/>
        <v/>
      </c>
      <c r="X2842" s="206">
        <f t="shared" si="1759"/>
        <v>0</v>
      </c>
      <c r="Y2842" s="209">
        <f t="shared" si="1760"/>
        <v>0</v>
      </c>
    </row>
    <row r="2843" spans="2:25" ht="60.75" hidden="1" thickTop="1" x14ac:dyDescent="0.25">
      <c r="B2843" s="60">
        <f>B2841</f>
        <v>29</v>
      </c>
      <c r="C2843" s="102">
        <v>199</v>
      </c>
      <c r="D2843" s="192" t="str">
        <f t="shared" si="1757"/>
        <v>Извън сезона</v>
      </c>
      <c r="E2843" s="162"/>
      <c r="F2843" s="163"/>
      <c r="G2843" s="163"/>
      <c r="H2843" s="164"/>
      <c r="I2843" s="164"/>
      <c r="J2843" s="162"/>
      <c r="K2843" s="165"/>
      <c r="L2843" s="164"/>
      <c r="M2843" s="164"/>
      <c r="N2843" s="166"/>
      <c r="O2843" s="167"/>
      <c r="P2843" s="168"/>
      <c r="Q2843" s="169"/>
      <c r="R2843" s="170"/>
      <c r="S2843" s="171"/>
      <c r="T2843" s="203">
        <f t="shared" si="1751"/>
        <v>43647</v>
      </c>
      <c r="U2843" s="204">
        <f t="shared" si="1752"/>
        <v>43677</v>
      </c>
      <c r="V2843" s="207">
        <f t="shared" si="1761"/>
        <v>0</v>
      </c>
      <c r="W2843" s="206" t="str">
        <f t="shared" si="1758"/>
        <v/>
      </c>
      <c r="X2843" s="206">
        <f t="shared" si="1759"/>
        <v>0</v>
      </c>
      <c r="Y2843" s="209">
        <f t="shared" si="1760"/>
        <v>0</v>
      </c>
    </row>
    <row r="2844" spans="2:25" ht="60.75" hidden="1" thickTop="1" x14ac:dyDescent="0.25">
      <c r="B2844" s="60">
        <f>B2841</f>
        <v>29</v>
      </c>
      <c r="C2844" s="102">
        <v>200</v>
      </c>
      <c r="D2844" s="192" t="str">
        <f t="shared" si="1757"/>
        <v>Извън сезона</v>
      </c>
      <c r="E2844" s="162"/>
      <c r="F2844" s="163"/>
      <c r="G2844" s="163"/>
      <c r="H2844" s="164"/>
      <c r="I2844" s="164"/>
      <c r="J2844" s="162"/>
      <c r="K2844" s="165"/>
      <c r="L2844" s="164"/>
      <c r="M2844" s="164"/>
      <c r="N2844" s="166"/>
      <c r="O2844" s="167"/>
      <c r="P2844" s="168"/>
      <c r="Q2844" s="169"/>
      <c r="R2844" s="170"/>
      <c r="S2844" s="171"/>
      <c r="T2844" s="203">
        <f t="shared" si="1751"/>
        <v>43647</v>
      </c>
      <c r="U2844" s="204">
        <f t="shared" si="1752"/>
        <v>43677</v>
      </c>
      <c r="V2844" s="207">
        <f t="shared" si="1761"/>
        <v>0</v>
      </c>
      <c r="W2844" s="206" t="str">
        <f t="shared" si="1758"/>
        <v/>
      </c>
      <c r="X2844" s="206">
        <f t="shared" si="1759"/>
        <v>0</v>
      </c>
      <c r="Y2844" s="209">
        <f t="shared" si="1760"/>
        <v>0</v>
      </c>
    </row>
    <row r="2845" spans="2:25" ht="60.75" hidden="1" thickTop="1" x14ac:dyDescent="0.25">
      <c r="B2845" s="60">
        <f>B2841</f>
        <v>29</v>
      </c>
      <c r="C2845" s="102">
        <v>201</v>
      </c>
      <c r="D2845" s="192" t="str">
        <f t="shared" si="1757"/>
        <v>Извън сезона</v>
      </c>
      <c r="E2845" s="162"/>
      <c r="F2845" s="163"/>
      <c r="G2845" s="163"/>
      <c r="H2845" s="164"/>
      <c r="I2845" s="164"/>
      <c r="J2845" s="162"/>
      <c r="K2845" s="165"/>
      <c r="L2845" s="164"/>
      <c r="M2845" s="164"/>
      <c r="N2845" s="166"/>
      <c r="O2845" s="167"/>
      <c r="P2845" s="168"/>
      <c r="Q2845" s="169"/>
      <c r="R2845" s="170"/>
      <c r="S2845" s="171"/>
      <c r="T2845" s="203">
        <f t="shared" si="1751"/>
        <v>43647</v>
      </c>
      <c r="U2845" s="204">
        <f t="shared" si="1752"/>
        <v>43677</v>
      </c>
      <c r="V2845" s="207">
        <f t="shared" si="1761"/>
        <v>0</v>
      </c>
      <c r="W2845" s="206" t="str">
        <f t="shared" si="1758"/>
        <v/>
      </c>
      <c r="X2845" s="206">
        <f t="shared" si="1759"/>
        <v>0</v>
      </c>
      <c r="Y2845" s="209">
        <f t="shared" si="1760"/>
        <v>0</v>
      </c>
    </row>
    <row r="2846" spans="2:25" ht="60.75" hidden="1" thickTop="1" x14ac:dyDescent="0.25">
      <c r="B2846" s="60">
        <f>B2841</f>
        <v>29</v>
      </c>
      <c r="C2846" s="102">
        <v>202</v>
      </c>
      <c r="D2846" s="192" t="str">
        <f t="shared" si="1757"/>
        <v>Извън сезона</v>
      </c>
      <c r="E2846" s="172"/>
      <c r="F2846" s="173"/>
      <c r="G2846" s="173"/>
      <c r="H2846" s="174"/>
      <c r="I2846" s="174"/>
      <c r="J2846" s="172"/>
      <c r="K2846" s="175"/>
      <c r="L2846" s="174"/>
      <c r="M2846" s="174"/>
      <c r="N2846" s="176"/>
      <c r="O2846" s="177"/>
      <c r="P2846" s="178"/>
      <c r="Q2846" s="179"/>
      <c r="R2846" s="180"/>
      <c r="S2846" s="181"/>
      <c r="T2846" s="203">
        <f t="shared" si="1751"/>
        <v>43647</v>
      </c>
      <c r="U2846" s="204">
        <f t="shared" si="1752"/>
        <v>43677</v>
      </c>
      <c r="V2846" s="207">
        <f t="shared" si="1761"/>
        <v>0</v>
      </c>
      <c r="W2846" s="206" t="str">
        <f t="shared" si="1758"/>
        <v/>
      </c>
      <c r="X2846" s="206">
        <f t="shared" si="1759"/>
        <v>0</v>
      </c>
      <c r="Y2846" s="209">
        <f t="shared" si="1760"/>
        <v>0</v>
      </c>
    </row>
    <row r="2847" spans="2:25" ht="61.5" hidden="1" thickTop="1" thickBot="1" x14ac:dyDescent="0.3">
      <c r="B2847" s="141">
        <f>B2841</f>
        <v>29</v>
      </c>
      <c r="C2847" s="142">
        <v>203</v>
      </c>
      <c r="D2847" s="194" t="str">
        <f t="shared" si="1757"/>
        <v>Извън сезона</v>
      </c>
      <c r="E2847" s="189"/>
      <c r="F2847" s="190"/>
      <c r="G2847" s="190"/>
      <c r="H2847" s="182"/>
      <c r="I2847" s="182"/>
      <c r="J2847" s="436" t="s">
        <v>181</v>
      </c>
      <c r="K2847" s="437"/>
      <c r="L2847" s="438"/>
      <c r="M2847" s="182"/>
      <c r="N2847" s="183"/>
      <c r="O2847" s="184"/>
      <c r="P2847" s="185"/>
      <c r="Q2847" s="186"/>
      <c r="R2847" s="187"/>
      <c r="S2847" s="188"/>
      <c r="T2847" s="213">
        <f t="shared" si="1751"/>
        <v>43647</v>
      </c>
      <c r="U2847" s="214">
        <f t="shared" si="1752"/>
        <v>43677</v>
      </c>
      <c r="V2847" s="210">
        <f t="shared" si="1761"/>
        <v>0</v>
      </c>
      <c r="W2847" s="211"/>
      <c r="X2847" s="211">
        <f>IF(AND($V2847&gt;0,$I2847=1),IF($E2847=10,P2847/10,P2847/$V2847),0)</f>
        <v>0</v>
      </c>
      <c r="Y2847" s="212">
        <f>IF(AND($V2841&gt;0,$I2847&lt;&gt;1),Q2847/E2841*V2841,0)</f>
        <v>0</v>
      </c>
    </row>
    <row r="2848" spans="2:25" ht="60.75" hidden="1" thickTop="1" x14ac:dyDescent="0.25">
      <c r="B2848" s="129">
        <f>B2846+1</f>
        <v>30</v>
      </c>
      <c r="C2848" s="130">
        <v>204</v>
      </c>
      <c r="D2848" s="196" t="str">
        <f t="shared" si="1757"/>
        <v>Извън сезона</v>
      </c>
      <c r="E2848" s="131"/>
      <c r="F2848" s="132"/>
      <c r="G2848" s="132"/>
      <c r="H2848" s="133"/>
      <c r="I2848" s="133"/>
      <c r="J2848" s="131"/>
      <c r="K2848" s="134"/>
      <c r="L2848" s="133"/>
      <c r="M2848" s="133"/>
      <c r="N2848" s="135"/>
      <c r="O2848" s="136"/>
      <c r="P2848" s="137"/>
      <c r="Q2848" s="138"/>
      <c r="R2848" s="139"/>
      <c r="S2848" s="140"/>
      <c r="T2848" s="203">
        <f t="shared" si="1751"/>
        <v>43647</v>
      </c>
      <c r="U2848" s="204">
        <f t="shared" si="1752"/>
        <v>43677</v>
      </c>
      <c r="V2848" s="207">
        <f>IF(G2848-F2848+1-IF(G2848-U2848&gt;0,G2848-U2848,0)-IF(T2848-F2848&gt;0,T2848-F2848,0)&gt;0,G2848-F2848+1-IF(G2848-U2848&gt;0,G2848-U2848,0)-IF(T2848-F2848&gt;0,T2848-F2848,0),0)</f>
        <v>0</v>
      </c>
      <c r="W2848" s="206" t="str">
        <f t="shared" ref="W2848:W2853" si="1762">IF(V2848&gt;0,H2848,"")</f>
        <v/>
      </c>
      <c r="X2848" s="206">
        <f t="shared" ref="X2848:X2853" si="1763">IF(AND($V2848&gt;0,$I2848=1),P2848/$E2848*$V2848,0)</f>
        <v>0</v>
      </c>
      <c r="Y2848" s="209">
        <f t="shared" ref="Y2848:Y2853" si="1764">IF(AND($V2848&gt;0,$I2848&lt;&gt;1),Q2848/$E2848*$V2848,0)</f>
        <v>0</v>
      </c>
    </row>
    <row r="2849" spans="2:25" ht="60.75" hidden="1" thickTop="1" x14ac:dyDescent="0.25">
      <c r="B2849" s="60">
        <f>B2848</f>
        <v>30</v>
      </c>
      <c r="C2849" s="102">
        <v>205</v>
      </c>
      <c r="D2849" s="192" t="str">
        <f t="shared" si="1757"/>
        <v>Извън сезона</v>
      </c>
      <c r="E2849" s="62"/>
      <c r="F2849" s="105"/>
      <c r="G2849" s="105"/>
      <c r="H2849" s="61"/>
      <c r="I2849" s="61"/>
      <c r="J2849" s="62"/>
      <c r="K2849" s="63"/>
      <c r="L2849" s="61"/>
      <c r="M2849" s="61"/>
      <c r="N2849" s="111"/>
      <c r="O2849" s="112"/>
      <c r="P2849" s="113"/>
      <c r="Q2849" s="114"/>
      <c r="R2849" s="64"/>
      <c r="S2849" s="108"/>
      <c r="T2849" s="203">
        <f t="shared" si="1751"/>
        <v>43647</v>
      </c>
      <c r="U2849" s="204">
        <f t="shared" si="1752"/>
        <v>43677</v>
      </c>
      <c r="V2849" s="207">
        <f t="shared" ref="V2849:V2854" si="1765">IF(G2849-F2849+1-IF(G2849-U2849&gt;0,G2849-U2849,0)-IF(T2849-F2849&gt;0,T2849-F2849,0)&gt;0,G2849-F2849+1-IF(G2849-U2849&gt;0,G2849-U2849,0)-IF(T2849-F2849&gt;0,T2849-F2849,0),0)</f>
        <v>0</v>
      </c>
      <c r="W2849" s="206" t="str">
        <f t="shared" si="1762"/>
        <v/>
      </c>
      <c r="X2849" s="206">
        <f t="shared" si="1763"/>
        <v>0</v>
      </c>
      <c r="Y2849" s="209">
        <f t="shared" si="1764"/>
        <v>0</v>
      </c>
    </row>
    <row r="2850" spans="2:25" ht="60.75" hidden="1" thickTop="1" x14ac:dyDescent="0.25">
      <c r="B2850" s="60">
        <f>B2848</f>
        <v>30</v>
      </c>
      <c r="C2850" s="102">
        <v>206</v>
      </c>
      <c r="D2850" s="192" t="str">
        <f t="shared" si="1757"/>
        <v>Извън сезона</v>
      </c>
      <c r="E2850" s="62"/>
      <c r="F2850" s="105"/>
      <c r="G2850" s="105"/>
      <c r="H2850" s="61"/>
      <c r="I2850" s="61"/>
      <c r="J2850" s="62"/>
      <c r="K2850" s="63"/>
      <c r="L2850" s="61"/>
      <c r="M2850" s="61"/>
      <c r="N2850" s="111"/>
      <c r="O2850" s="112"/>
      <c r="P2850" s="113"/>
      <c r="Q2850" s="114"/>
      <c r="R2850" s="64"/>
      <c r="S2850" s="108"/>
      <c r="T2850" s="203">
        <f t="shared" si="1751"/>
        <v>43647</v>
      </c>
      <c r="U2850" s="204">
        <f t="shared" si="1752"/>
        <v>43677</v>
      </c>
      <c r="V2850" s="207">
        <f t="shared" si="1765"/>
        <v>0</v>
      </c>
      <c r="W2850" s="206" t="str">
        <f t="shared" si="1762"/>
        <v/>
      </c>
      <c r="X2850" s="206">
        <f t="shared" si="1763"/>
        <v>0</v>
      </c>
      <c r="Y2850" s="209">
        <f t="shared" si="1764"/>
        <v>0</v>
      </c>
    </row>
    <row r="2851" spans="2:25" ht="60.75" hidden="1" thickTop="1" x14ac:dyDescent="0.25">
      <c r="B2851" s="60">
        <f>B2848</f>
        <v>30</v>
      </c>
      <c r="C2851" s="102">
        <v>207</v>
      </c>
      <c r="D2851" s="192" t="str">
        <f t="shared" si="1757"/>
        <v>Извън сезона</v>
      </c>
      <c r="E2851" s="62"/>
      <c r="F2851" s="105"/>
      <c r="G2851" s="105"/>
      <c r="H2851" s="61"/>
      <c r="I2851" s="61"/>
      <c r="J2851" s="62"/>
      <c r="K2851" s="63"/>
      <c r="L2851" s="61"/>
      <c r="M2851" s="61"/>
      <c r="N2851" s="111"/>
      <c r="O2851" s="112"/>
      <c r="P2851" s="113"/>
      <c r="Q2851" s="114"/>
      <c r="R2851" s="64"/>
      <c r="S2851" s="108"/>
      <c r="T2851" s="203">
        <f t="shared" si="1751"/>
        <v>43647</v>
      </c>
      <c r="U2851" s="204">
        <f t="shared" si="1752"/>
        <v>43677</v>
      </c>
      <c r="V2851" s="207">
        <f t="shared" si="1765"/>
        <v>0</v>
      </c>
      <c r="W2851" s="206" t="str">
        <f t="shared" si="1762"/>
        <v/>
      </c>
      <c r="X2851" s="206">
        <f t="shared" si="1763"/>
        <v>0</v>
      </c>
      <c r="Y2851" s="209">
        <f t="shared" si="1764"/>
        <v>0</v>
      </c>
    </row>
    <row r="2852" spans="2:25" ht="60.75" hidden="1" thickTop="1" x14ac:dyDescent="0.25">
      <c r="B2852" s="60">
        <f>B2848</f>
        <v>30</v>
      </c>
      <c r="C2852" s="102">
        <v>208</v>
      </c>
      <c r="D2852" s="192" t="str">
        <f t="shared" si="1757"/>
        <v>Извън сезона</v>
      </c>
      <c r="E2852" s="62"/>
      <c r="F2852" s="105"/>
      <c r="G2852" s="105"/>
      <c r="H2852" s="61"/>
      <c r="I2852" s="61"/>
      <c r="J2852" s="62"/>
      <c r="K2852" s="63"/>
      <c r="L2852" s="61"/>
      <c r="M2852" s="61"/>
      <c r="N2852" s="111"/>
      <c r="O2852" s="112"/>
      <c r="P2852" s="113"/>
      <c r="Q2852" s="114"/>
      <c r="R2852" s="64"/>
      <c r="S2852" s="108"/>
      <c r="T2852" s="203">
        <f t="shared" si="1751"/>
        <v>43647</v>
      </c>
      <c r="U2852" s="204">
        <f t="shared" si="1752"/>
        <v>43677</v>
      </c>
      <c r="V2852" s="207">
        <f t="shared" si="1765"/>
        <v>0</v>
      </c>
      <c r="W2852" s="206" t="str">
        <f t="shared" si="1762"/>
        <v/>
      </c>
      <c r="X2852" s="206">
        <f t="shared" si="1763"/>
        <v>0</v>
      </c>
      <c r="Y2852" s="209">
        <f t="shared" si="1764"/>
        <v>0</v>
      </c>
    </row>
    <row r="2853" spans="2:25" ht="60.75" hidden="1" thickTop="1" x14ac:dyDescent="0.25">
      <c r="B2853" s="60">
        <f>B2848</f>
        <v>30</v>
      </c>
      <c r="C2853" s="102">
        <v>209</v>
      </c>
      <c r="D2853" s="192" t="str">
        <f t="shared" si="1757"/>
        <v>Извън сезона</v>
      </c>
      <c r="E2853" s="62"/>
      <c r="F2853" s="105"/>
      <c r="G2853" s="105"/>
      <c r="H2853" s="61"/>
      <c r="I2853" s="61"/>
      <c r="J2853" s="62"/>
      <c r="K2853" s="63"/>
      <c r="L2853" s="61"/>
      <c r="M2853" s="61"/>
      <c r="N2853" s="111"/>
      <c r="O2853" s="112"/>
      <c r="P2853" s="113"/>
      <c r="Q2853" s="114"/>
      <c r="R2853" s="64"/>
      <c r="S2853" s="108"/>
      <c r="T2853" s="203">
        <f t="shared" si="1751"/>
        <v>43647</v>
      </c>
      <c r="U2853" s="204">
        <f t="shared" si="1752"/>
        <v>43677</v>
      </c>
      <c r="V2853" s="207">
        <f t="shared" si="1765"/>
        <v>0</v>
      </c>
      <c r="W2853" s="206" t="str">
        <f t="shared" si="1762"/>
        <v/>
      </c>
      <c r="X2853" s="206">
        <f t="shared" si="1763"/>
        <v>0</v>
      </c>
      <c r="Y2853" s="209">
        <f t="shared" si="1764"/>
        <v>0</v>
      </c>
    </row>
    <row r="2854" spans="2:25" ht="61.5" hidden="1" thickTop="1" thickBot="1" x14ac:dyDescent="0.3">
      <c r="B2854" s="141">
        <f>B2848</f>
        <v>30</v>
      </c>
      <c r="C2854" s="142">
        <v>210</v>
      </c>
      <c r="D2854" s="194" t="str">
        <f t="shared" si="1757"/>
        <v>Извън сезона</v>
      </c>
      <c r="E2854" s="143"/>
      <c r="F2854" s="144"/>
      <c r="G2854" s="144"/>
      <c r="H2854" s="145"/>
      <c r="I2854" s="145"/>
      <c r="J2854" s="436" t="s">
        <v>181</v>
      </c>
      <c r="K2854" s="437"/>
      <c r="L2854" s="438"/>
      <c r="M2854" s="145"/>
      <c r="N2854" s="146"/>
      <c r="O2854" s="147"/>
      <c r="P2854" s="148"/>
      <c r="Q2854" s="149"/>
      <c r="R2854" s="150"/>
      <c r="S2854" s="151"/>
      <c r="T2854" s="213">
        <f t="shared" si="1751"/>
        <v>43647</v>
      </c>
      <c r="U2854" s="214">
        <f t="shared" si="1752"/>
        <v>43677</v>
      </c>
      <c r="V2854" s="210">
        <f t="shared" si="1765"/>
        <v>0</v>
      </c>
      <c r="W2854" s="211"/>
      <c r="X2854" s="211">
        <f>IF(AND($V2854&gt;0,$I2854=1),IF($E2854=10,P2854/10,P2854/$V2854),0)</f>
        <v>0</v>
      </c>
      <c r="Y2854" s="212">
        <f>IF(AND($V2848&gt;0,$I2854&lt;&gt;1),Q2854/E2848*V2848,0)</f>
        <v>0</v>
      </c>
    </row>
    <row r="2855" spans="2:25" ht="60.75" hidden="1" thickTop="1" x14ac:dyDescent="0.25">
      <c r="B2855" s="129">
        <f>B2853+1</f>
        <v>31</v>
      </c>
      <c r="C2855" s="130">
        <v>211</v>
      </c>
      <c r="D2855" s="196" t="str">
        <f t="shared" si="1757"/>
        <v>Извън сезона</v>
      </c>
      <c r="E2855" s="152"/>
      <c r="F2855" s="153"/>
      <c r="G2855" s="153"/>
      <c r="H2855" s="154"/>
      <c r="I2855" s="154"/>
      <c r="J2855" s="152"/>
      <c r="K2855" s="155"/>
      <c r="L2855" s="154"/>
      <c r="M2855" s="154"/>
      <c r="N2855" s="156"/>
      <c r="O2855" s="157"/>
      <c r="P2855" s="158"/>
      <c r="Q2855" s="159"/>
      <c r="R2855" s="160"/>
      <c r="S2855" s="161"/>
      <c r="T2855" s="203">
        <f t="shared" si="1751"/>
        <v>43647</v>
      </c>
      <c r="U2855" s="204">
        <f t="shared" si="1752"/>
        <v>43677</v>
      </c>
      <c r="V2855" s="207">
        <f>IF(G2855-F2855+1-IF(G2855-U2855&gt;0,G2855-U2855,0)-IF(T2855-F2855&gt;0,T2855-F2855,0)&gt;0,G2855-F2855+1-IF(G2855-U2855&gt;0,G2855-U2855,0)-IF(T2855-F2855&gt;0,T2855-F2855,0),0)</f>
        <v>0</v>
      </c>
      <c r="W2855" s="206" t="str">
        <f t="shared" ref="W2855:W2860" si="1766">IF(V2855&gt;0,H2855,"")</f>
        <v/>
      </c>
      <c r="X2855" s="206">
        <f t="shared" ref="X2855:X2860" si="1767">IF(AND($V2855&gt;0,$I2855=1),P2855/$E2855*$V2855,0)</f>
        <v>0</v>
      </c>
      <c r="Y2855" s="209">
        <f t="shared" ref="Y2855:Y2860" si="1768">IF(AND($V2855&gt;0,$I2855&lt;&gt;1),Q2855/$E2855*$V2855,0)</f>
        <v>0</v>
      </c>
    </row>
    <row r="2856" spans="2:25" ht="60.75" hidden="1" thickTop="1" x14ac:dyDescent="0.25">
      <c r="B2856" s="60">
        <f>B2855</f>
        <v>31</v>
      </c>
      <c r="C2856" s="102">
        <v>212</v>
      </c>
      <c r="D2856" s="192" t="str">
        <f t="shared" si="1757"/>
        <v>Извън сезона</v>
      </c>
      <c r="E2856" s="162"/>
      <c r="F2856" s="163"/>
      <c r="G2856" s="163"/>
      <c r="H2856" s="164"/>
      <c r="I2856" s="164"/>
      <c r="J2856" s="162"/>
      <c r="K2856" s="165"/>
      <c r="L2856" s="164"/>
      <c r="M2856" s="164"/>
      <c r="N2856" s="166"/>
      <c r="O2856" s="167"/>
      <c r="P2856" s="168"/>
      <c r="Q2856" s="169"/>
      <c r="R2856" s="170"/>
      <c r="S2856" s="171"/>
      <c r="T2856" s="203">
        <f t="shared" si="1751"/>
        <v>43647</v>
      </c>
      <c r="U2856" s="204">
        <f t="shared" si="1752"/>
        <v>43677</v>
      </c>
      <c r="V2856" s="207">
        <f t="shared" ref="V2856:V2861" si="1769">IF(G2856-F2856+1-IF(G2856-U2856&gt;0,G2856-U2856,0)-IF(T2856-F2856&gt;0,T2856-F2856,0)&gt;0,G2856-F2856+1-IF(G2856-U2856&gt;0,G2856-U2856,0)-IF(T2856-F2856&gt;0,T2856-F2856,0),0)</f>
        <v>0</v>
      </c>
      <c r="W2856" s="206" t="str">
        <f t="shared" si="1766"/>
        <v/>
      </c>
      <c r="X2856" s="206">
        <f t="shared" si="1767"/>
        <v>0</v>
      </c>
      <c r="Y2856" s="209">
        <f t="shared" si="1768"/>
        <v>0</v>
      </c>
    </row>
    <row r="2857" spans="2:25" ht="60.75" hidden="1" thickTop="1" x14ac:dyDescent="0.25">
      <c r="B2857" s="60">
        <f>B2855</f>
        <v>31</v>
      </c>
      <c r="C2857" s="102">
        <v>213</v>
      </c>
      <c r="D2857" s="192" t="str">
        <f t="shared" si="1757"/>
        <v>Извън сезона</v>
      </c>
      <c r="E2857" s="162"/>
      <c r="F2857" s="163"/>
      <c r="G2857" s="163"/>
      <c r="H2857" s="164"/>
      <c r="I2857" s="164"/>
      <c r="J2857" s="162"/>
      <c r="K2857" s="165"/>
      <c r="L2857" s="164"/>
      <c r="M2857" s="164"/>
      <c r="N2857" s="166"/>
      <c r="O2857" s="167"/>
      <c r="P2857" s="168"/>
      <c r="Q2857" s="169"/>
      <c r="R2857" s="170"/>
      <c r="S2857" s="171"/>
      <c r="T2857" s="203">
        <f t="shared" si="1751"/>
        <v>43647</v>
      </c>
      <c r="U2857" s="204">
        <f t="shared" si="1752"/>
        <v>43677</v>
      </c>
      <c r="V2857" s="207">
        <f t="shared" si="1769"/>
        <v>0</v>
      </c>
      <c r="W2857" s="206" t="str">
        <f t="shared" si="1766"/>
        <v/>
      </c>
      <c r="X2857" s="206">
        <f t="shared" si="1767"/>
        <v>0</v>
      </c>
      <c r="Y2857" s="209">
        <f t="shared" si="1768"/>
        <v>0</v>
      </c>
    </row>
    <row r="2858" spans="2:25" ht="60.75" hidden="1" thickTop="1" x14ac:dyDescent="0.25">
      <c r="B2858" s="60">
        <f>B2855</f>
        <v>31</v>
      </c>
      <c r="C2858" s="102">
        <v>214</v>
      </c>
      <c r="D2858" s="192" t="str">
        <f t="shared" si="1757"/>
        <v>Извън сезона</v>
      </c>
      <c r="E2858" s="162"/>
      <c r="F2858" s="163"/>
      <c r="G2858" s="163"/>
      <c r="H2858" s="164"/>
      <c r="I2858" s="164"/>
      <c r="J2858" s="162"/>
      <c r="K2858" s="165"/>
      <c r="L2858" s="164"/>
      <c r="M2858" s="164"/>
      <c r="N2858" s="166"/>
      <c r="O2858" s="167"/>
      <c r="P2858" s="168"/>
      <c r="Q2858" s="169"/>
      <c r="R2858" s="170"/>
      <c r="S2858" s="171"/>
      <c r="T2858" s="203">
        <f t="shared" si="1751"/>
        <v>43647</v>
      </c>
      <c r="U2858" s="204">
        <f t="shared" si="1752"/>
        <v>43677</v>
      </c>
      <c r="V2858" s="207">
        <f t="shared" si="1769"/>
        <v>0</v>
      </c>
      <c r="W2858" s="206" t="str">
        <f t="shared" si="1766"/>
        <v/>
      </c>
      <c r="X2858" s="206">
        <f t="shared" si="1767"/>
        <v>0</v>
      </c>
      <c r="Y2858" s="209">
        <f t="shared" si="1768"/>
        <v>0</v>
      </c>
    </row>
    <row r="2859" spans="2:25" ht="60.75" hidden="1" thickTop="1" x14ac:dyDescent="0.25">
      <c r="B2859" s="60">
        <f>B2855</f>
        <v>31</v>
      </c>
      <c r="C2859" s="102">
        <v>215</v>
      </c>
      <c r="D2859" s="192" t="str">
        <f t="shared" si="1757"/>
        <v>Извън сезона</v>
      </c>
      <c r="E2859" s="162"/>
      <c r="F2859" s="163"/>
      <c r="G2859" s="163"/>
      <c r="H2859" s="164"/>
      <c r="I2859" s="164"/>
      <c r="J2859" s="162"/>
      <c r="K2859" s="165"/>
      <c r="L2859" s="164"/>
      <c r="M2859" s="164"/>
      <c r="N2859" s="166"/>
      <c r="O2859" s="167"/>
      <c r="P2859" s="168"/>
      <c r="Q2859" s="169"/>
      <c r="R2859" s="170"/>
      <c r="S2859" s="171"/>
      <c r="T2859" s="203">
        <f t="shared" si="1751"/>
        <v>43647</v>
      </c>
      <c r="U2859" s="204">
        <f t="shared" si="1752"/>
        <v>43677</v>
      </c>
      <c r="V2859" s="207">
        <f t="shared" si="1769"/>
        <v>0</v>
      </c>
      <c r="W2859" s="206" t="str">
        <f t="shared" si="1766"/>
        <v/>
      </c>
      <c r="X2859" s="206">
        <f t="shared" si="1767"/>
        <v>0</v>
      </c>
      <c r="Y2859" s="209">
        <f t="shared" si="1768"/>
        <v>0</v>
      </c>
    </row>
    <row r="2860" spans="2:25" ht="60.75" hidden="1" thickTop="1" x14ac:dyDescent="0.25">
      <c r="B2860" s="60">
        <f>B2855</f>
        <v>31</v>
      </c>
      <c r="C2860" s="102">
        <v>216</v>
      </c>
      <c r="D2860" s="192" t="str">
        <f t="shared" si="1757"/>
        <v>Извън сезона</v>
      </c>
      <c r="E2860" s="172"/>
      <c r="F2860" s="173"/>
      <c r="G2860" s="173"/>
      <c r="H2860" s="174"/>
      <c r="I2860" s="174"/>
      <c r="J2860" s="172"/>
      <c r="K2860" s="175"/>
      <c r="L2860" s="174"/>
      <c r="M2860" s="174"/>
      <c r="N2860" s="176"/>
      <c r="O2860" s="177"/>
      <c r="P2860" s="178"/>
      <c r="Q2860" s="179"/>
      <c r="R2860" s="180"/>
      <c r="S2860" s="181"/>
      <c r="T2860" s="203">
        <f t="shared" si="1751"/>
        <v>43647</v>
      </c>
      <c r="U2860" s="204">
        <f t="shared" si="1752"/>
        <v>43677</v>
      </c>
      <c r="V2860" s="207">
        <f t="shared" si="1769"/>
        <v>0</v>
      </c>
      <c r="W2860" s="206" t="str">
        <f t="shared" si="1766"/>
        <v/>
      </c>
      <c r="X2860" s="206">
        <f t="shared" si="1767"/>
        <v>0</v>
      </c>
      <c r="Y2860" s="209">
        <f t="shared" si="1768"/>
        <v>0</v>
      </c>
    </row>
    <row r="2861" spans="2:25" ht="61.5" hidden="1" thickTop="1" thickBot="1" x14ac:dyDescent="0.3">
      <c r="B2861" s="141">
        <f>B2855</f>
        <v>31</v>
      </c>
      <c r="C2861" s="142">
        <v>217</v>
      </c>
      <c r="D2861" s="194" t="str">
        <f t="shared" si="1757"/>
        <v>Извън сезона</v>
      </c>
      <c r="E2861" s="189"/>
      <c r="F2861" s="190"/>
      <c r="G2861" s="190"/>
      <c r="H2861" s="182"/>
      <c r="I2861" s="182"/>
      <c r="J2861" s="436" t="s">
        <v>181</v>
      </c>
      <c r="K2861" s="437"/>
      <c r="L2861" s="438"/>
      <c r="M2861" s="182"/>
      <c r="N2861" s="183"/>
      <c r="O2861" s="184"/>
      <c r="P2861" s="185"/>
      <c r="Q2861" s="186"/>
      <c r="R2861" s="187"/>
      <c r="S2861" s="188"/>
      <c r="T2861" s="213">
        <f t="shared" si="1751"/>
        <v>43647</v>
      </c>
      <c r="U2861" s="214">
        <f t="shared" si="1752"/>
        <v>43677</v>
      </c>
      <c r="V2861" s="210">
        <f t="shared" si="1769"/>
        <v>0</v>
      </c>
      <c r="W2861" s="211"/>
      <c r="X2861" s="211">
        <f>IF(AND($V2861&gt;0,$I2861=1),IF($E2861=10,P2861/10,P2861/$V2861),0)</f>
        <v>0</v>
      </c>
      <c r="Y2861" s="212">
        <f>IF(AND($V2855&gt;0,$I2861&lt;&gt;1),Q2861/E2855*V2855,0)</f>
        <v>0</v>
      </c>
    </row>
    <row r="2862" spans="2:25" ht="60.75" hidden="1" thickTop="1" x14ac:dyDescent="0.25">
      <c r="B2862" s="129">
        <f>B2860+1</f>
        <v>32</v>
      </c>
      <c r="C2862" s="130">
        <v>218</v>
      </c>
      <c r="D2862" s="196" t="str">
        <f t="shared" si="1757"/>
        <v>Извън сезона</v>
      </c>
      <c r="E2862" s="131"/>
      <c r="F2862" s="132"/>
      <c r="G2862" s="132"/>
      <c r="H2862" s="133"/>
      <c r="I2862" s="133"/>
      <c r="J2862" s="131"/>
      <c r="K2862" s="134"/>
      <c r="L2862" s="133"/>
      <c r="M2862" s="133"/>
      <c r="N2862" s="135"/>
      <c r="O2862" s="136"/>
      <c r="P2862" s="137"/>
      <c r="Q2862" s="138"/>
      <c r="R2862" s="139"/>
      <c r="S2862" s="140"/>
      <c r="T2862" s="203">
        <f t="shared" si="1751"/>
        <v>43647</v>
      </c>
      <c r="U2862" s="204">
        <f t="shared" si="1752"/>
        <v>43677</v>
      </c>
      <c r="V2862" s="207">
        <f>IF(G2862-F2862+1-IF(G2862-U2862&gt;0,G2862-U2862,0)-IF(T2862-F2862&gt;0,T2862-F2862,0)&gt;0,G2862-F2862+1-IF(G2862-U2862&gt;0,G2862-U2862,0)-IF(T2862-F2862&gt;0,T2862-F2862,0),0)</f>
        <v>0</v>
      </c>
      <c r="W2862" s="206" t="str">
        <f t="shared" ref="W2862:W2867" si="1770">IF(V2862&gt;0,H2862,"")</f>
        <v/>
      </c>
      <c r="X2862" s="206">
        <f t="shared" ref="X2862:X2867" si="1771">IF(AND($V2862&gt;0,$I2862=1),P2862/$E2862*$V2862,0)</f>
        <v>0</v>
      </c>
      <c r="Y2862" s="209">
        <f t="shared" ref="Y2862:Y2867" si="1772">IF(AND($V2862&gt;0,$I2862&lt;&gt;1),Q2862/$E2862*$V2862,0)</f>
        <v>0</v>
      </c>
    </row>
    <row r="2863" spans="2:25" ht="60.75" hidden="1" thickTop="1" x14ac:dyDescent="0.25">
      <c r="B2863" s="60">
        <f>B2862</f>
        <v>32</v>
      </c>
      <c r="C2863" s="102">
        <v>219</v>
      </c>
      <c r="D2863" s="192" t="str">
        <f t="shared" si="1757"/>
        <v>Извън сезона</v>
      </c>
      <c r="E2863" s="62"/>
      <c r="F2863" s="105"/>
      <c r="G2863" s="105"/>
      <c r="H2863" s="61"/>
      <c r="I2863" s="61"/>
      <c r="J2863" s="62"/>
      <c r="K2863" s="63"/>
      <c r="L2863" s="61"/>
      <c r="M2863" s="61"/>
      <c r="N2863" s="111"/>
      <c r="O2863" s="112"/>
      <c r="P2863" s="113"/>
      <c r="Q2863" s="114"/>
      <c r="R2863" s="64"/>
      <c r="S2863" s="108"/>
      <c r="T2863" s="203">
        <f t="shared" si="1751"/>
        <v>43647</v>
      </c>
      <c r="U2863" s="204">
        <f t="shared" si="1752"/>
        <v>43677</v>
      </c>
      <c r="V2863" s="207">
        <f t="shared" ref="V2863:V2868" si="1773">IF(G2863-F2863+1-IF(G2863-U2863&gt;0,G2863-U2863,0)-IF(T2863-F2863&gt;0,T2863-F2863,0)&gt;0,G2863-F2863+1-IF(G2863-U2863&gt;0,G2863-U2863,0)-IF(T2863-F2863&gt;0,T2863-F2863,0),0)</f>
        <v>0</v>
      </c>
      <c r="W2863" s="206" t="str">
        <f t="shared" si="1770"/>
        <v/>
      </c>
      <c r="X2863" s="206">
        <f t="shared" si="1771"/>
        <v>0</v>
      </c>
      <c r="Y2863" s="209">
        <f t="shared" si="1772"/>
        <v>0</v>
      </c>
    </row>
    <row r="2864" spans="2:25" ht="60.75" hidden="1" thickTop="1" x14ac:dyDescent="0.25">
      <c r="B2864" s="60">
        <f>B2862</f>
        <v>32</v>
      </c>
      <c r="C2864" s="102">
        <v>220</v>
      </c>
      <c r="D2864" s="192" t="str">
        <f t="shared" si="1757"/>
        <v>Извън сезона</v>
      </c>
      <c r="E2864" s="62"/>
      <c r="F2864" s="105"/>
      <c r="G2864" s="105"/>
      <c r="H2864" s="61"/>
      <c r="I2864" s="61"/>
      <c r="J2864" s="62"/>
      <c r="K2864" s="63"/>
      <c r="L2864" s="61"/>
      <c r="M2864" s="61"/>
      <c r="N2864" s="111"/>
      <c r="O2864" s="112"/>
      <c r="P2864" s="113"/>
      <c r="Q2864" s="114"/>
      <c r="R2864" s="64"/>
      <c r="S2864" s="108"/>
      <c r="T2864" s="203">
        <f t="shared" si="1751"/>
        <v>43647</v>
      </c>
      <c r="U2864" s="204">
        <f t="shared" si="1752"/>
        <v>43677</v>
      </c>
      <c r="V2864" s="207">
        <f t="shared" si="1773"/>
        <v>0</v>
      </c>
      <c r="W2864" s="206" t="str">
        <f t="shared" si="1770"/>
        <v/>
      </c>
      <c r="X2864" s="206">
        <f t="shared" si="1771"/>
        <v>0</v>
      </c>
      <c r="Y2864" s="209">
        <f t="shared" si="1772"/>
        <v>0</v>
      </c>
    </row>
    <row r="2865" spans="2:25" ht="60.75" hidden="1" thickTop="1" x14ac:dyDescent="0.25">
      <c r="B2865" s="60">
        <f>B2862</f>
        <v>32</v>
      </c>
      <c r="C2865" s="102">
        <v>221</v>
      </c>
      <c r="D2865" s="192" t="str">
        <f t="shared" si="1757"/>
        <v>Извън сезона</v>
      </c>
      <c r="E2865" s="62"/>
      <c r="F2865" s="105"/>
      <c r="G2865" s="105"/>
      <c r="H2865" s="61"/>
      <c r="I2865" s="61"/>
      <c r="J2865" s="62"/>
      <c r="K2865" s="63"/>
      <c r="L2865" s="61"/>
      <c r="M2865" s="61"/>
      <c r="N2865" s="111"/>
      <c r="O2865" s="112"/>
      <c r="P2865" s="113"/>
      <c r="Q2865" s="114"/>
      <c r="R2865" s="64"/>
      <c r="S2865" s="108"/>
      <c r="T2865" s="203">
        <f t="shared" si="1751"/>
        <v>43647</v>
      </c>
      <c r="U2865" s="204">
        <f t="shared" si="1752"/>
        <v>43677</v>
      </c>
      <c r="V2865" s="207">
        <f t="shared" si="1773"/>
        <v>0</v>
      </c>
      <c r="W2865" s="206" t="str">
        <f t="shared" si="1770"/>
        <v/>
      </c>
      <c r="X2865" s="206">
        <f t="shared" si="1771"/>
        <v>0</v>
      </c>
      <c r="Y2865" s="209">
        <f t="shared" si="1772"/>
        <v>0</v>
      </c>
    </row>
    <row r="2866" spans="2:25" ht="60.75" hidden="1" thickTop="1" x14ac:dyDescent="0.25">
      <c r="B2866" s="60">
        <f>B2862</f>
        <v>32</v>
      </c>
      <c r="C2866" s="102">
        <v>222</v>
      </c>
      <c r="D2866" s="192" t="str">
        <f t="shared" si="1757"/>
        <v>Извън сезона</v>
      </c>
      <c r="E2866" s="62"/>
      <c r="F2866" s="105"/>
      <c r="G2866" s="105"/>
      <c r="H2866" s="61"/>
      <c r="I2866" s="61"/>
      <c r="J2866" s="62"/>
      <c r="K2866" s="63"/>
      <c r="L2866" s="61"/>
      <c r="M2866" s="61"/>
      <c r="N2866" s="111"/>
      <c r="O2866" s="112"/>
      <c r="P2866" s="113"/>
      <c r="Q2866" s="114"/>
      <c r="R2866" s="64"/>
      <c r="S2866" s="108"/>
      <c r="T2866" s="203">
        <f t="shared" si="1751"/>
        <v>43647</v>
      </c>
      <c r="U2866" s="204">
        <f t="shared" si="1752"/>
        <v>43677</v>
      </c>
      <c r="V2866" s="207">
        <f t="shared" si="1773"/>
        <v>0</v>
      </c>
      <c r="W2866" s="206" t="str">
        <f t="shared" si="1770"/>
        <v/>
      </c>
      <c r="X2866" s="206">
        <f t="shared" si="1771"/>
        <v>0</v>
      </c>
      <c r="Y2866" s="209">
        <f t="shared" si="1772"/>
        <v>0</v>
      </c>
    </row>
    <row r="2867" spans="2:25" ht="60.75" hidden="1" thickTop="1" x14ac:dyDescent="0.25">
      <c r="B2867" s="60">
        <f>B2862</f>
        <v>32</v>
      </c>
      <c r="C2867" s="102">
        <v>223</v>
      </c>
      <c r="D2867" s="192" t="str">
        <f t="shared" si="1757"/>
        <v>Извън сезона</v>
      </c>
      <c r="E2867" s="62"/>
      <c r="F2867" s="105"/>
      <c r="G2867" s="105"/>
      <c r="H2867" s="61"/>
      <c r="I2867" s="61"/>
      <c r="J2867" s="62"/>
      <c r="K2867" s="63"/>
      <c r="L2867" s="61"/>
      <c r="M2867" s="61"/>
      <c r="N2867" s="111"/>
      <c r="O2867" s="112"/>
      <c r="P2867" s="113"/>
      <c r="Q2867" s="114"/>
      <c r="R2867" s="64"/>
      <c r="S2867" s="108"/>
      <c r="T2867" s="203">
        <f t="shared" si="1751"/>
        <v>43647</v>
      </c>
      <c r="U2867" s="204">
        <f t="shared" si="1752"/>
        <v>43677</v>
      </c>
      <c r="V2867" s="207">
        <f t="shared" si="1773"/>
        <v>0</v>
      </c>
      <c r="W2867" s="206" t="str">
        <f t="shared" si="1770"/>
        <v/>
      </c>
      <c r="X2867" s="206">
        <f t="shared" si="1771"/>
        <v>0</v>
      </c>
      <c r="Y2867" s="209">
        <f t="shared" si="1772"/>
        <v>0</v>
      </c>
    </row>
    <row r="2868" spans="2:25" ht="61.5" hidden="1" thickTop="1" thickBot="1" x14ac:dyDescent="0.3">
      <c r="B2868" s="141">
        <f>B2862</f>
        <v>32</v>
      </c>
      <c r="C2868" s="142">
        <v>224</v>
      </c>
      <c r="D2868" s="194" t="str">
        <f t="shared" si="1757"/>
        <v>Извън сезона</v>
      </c>
      <c r="E2868" s="143"/>
      <c r="F2868" s="144"/>
      <c r="G2868" s="144"/>
      <c r="H2868" s="145"/>
      <c r="I2868" s="145"/>
      <c r="J2868" s="436" t="s">
        <v>181</v>
      </c>
      <c r="K2868" s="437"/>
      <c r="L2868" s="438"/>
      <c r="M2868" s="145"/>
      <c r="N2868" s="146"/>
      <c r="O2868" s="147"/>
      <c r="P2868" s="148"/>
      <c r="Q2868" s="149"/>
      <c r="R2868" s="150"/>
      <c r="S2868" s="151"/>
      <c r="T2868" s="213">
        <f t="shared" si="1751"/>
        <v>43647</v>
      </c>
      <c r="U2868" s="214">
        <f t="shared" si="1752"/>
        <v>43677</v>
      </c>
      <c r="V2868" s="210">
        <f t="shared" si="1773"/>
        <v>0</v>
      </c>
      <c r="W2868" s="211"/>
      <c r="X2868" s="211">
        <f>IF(AND($V2868&gt;0,$I2868=1),IF($E2868=10,P2868/10,P2868/$V2868),0)</f>
        <v>0</v>
      </c>
      <c r="Y2868" s="212">
        <f>IF(AND($V2862&gt;0,$I2868&lt;&gt;1),Q2868/E2862*V2862,0)</f>
        <v>0</v>
      </c>
    </row>
    <row r="2869" spans="2:25" ht="60.75" hidden="1" thickTop="1" x14ac:dyDescent="0.25">
      <c r="B2869" s="129">
        <f>B2867+1</f>
        <v>33</v>
      </c>
      <c r="C2869" s="130">
        <v>225</v>
      </c>
      <c r="D2869" s="196" t="str">
        <f t="shared" si="1757"/>
        <v>Извън сезона</v>
      </c>
      <c r="E2869" s="152"/>
      <c r="F2869" s="153"/>
      <c r="G2869" s="153"/>
      <c r="H2869" s="154"/>
      <c r="I2869" s="154"/>
      <c r="J2869" s="152"/>
      <c r="K2869" s="155"/>
      <c r="L2869" s="154"/>
      <c r="M2869" s="154"/>
      <c r="N2869" s="156"/>
      <c r="O2869" s="157"/>
      <c r="P2869" s="158"/>
      <c r="Q2869" s="159"/>
      <c r="R2869" s="160"/>
      <c r="S2869" s="161"/>
      <c r="T2869" s="203">
        <f t="shared" si="1751"/>
        <v>43647</v>
      </c>
      <c r="U2869" s="204">
        <f t="shared" si="1752"/>
        <v>43677</v>
      </c>
      <c r="V2869" s="207">
        <f>IF(G2869-F2869+1-IF(G2869-U2869&gt;0,G2869-U2869,0)-IF(T2869-F2869&gt;0,T2869-F2869,0)&gt;0,G2869-F2869+1-IF(G2869-U2869&gt;0,G2869-U2869,0)-IF(T2869-F2869&gt;0,T2869-F2869,0),0)</f>
        <v>0</v>
      </c>
      <c r="W2869" s="206" t="str">
        <f t="shared" ref="W2869:W2874" si="1774">IF(V2869&gt;0,H2869,"")</f>
        <v/>
      </c>
      <c r="X2869" s="206">
        <f t="shared" ref="X2869:X2874" si="1775">IF(AND($V2869&gt;0,$I2869=1),P2869/$E2869*$V2869,0)</f>
        <v>0</v>
      </c>
      <c r="Y2869" s="209">
        <f t="shared" ref="Y2869:Y2874" si="1776">IF(AND($V2869&gt;0,$I2869&lt;&gt;1),Q2869/$E2869*$V2869,0)</f>
        <v>0</v>
      </c>
    </row>
    <row r="2870" spans="2:25" ht="60.75" hidden="1" thickTop="1" x14ac:dyDescent="0.25">
      <c r="B2870" s="60">
        <f>B2869</f>
        <v>33</v>
      </c>
      <c r="C2870" s="102">
        <v>226</v>
      </c>
      <c r="D2870" s="192" t="str">
        <f t="shared" si="1757"/>
        <v>Извън сезона</v>
      </c>
      <c r="E2870" s="162"/>
      <c r="F2870" s="163"/>
      <c r="G2870" s="163"/>
      <c r="H2870" s="164"/>
      <c r="I2870" s="164"/>
      <c r="J2870" s="162"/>
      <c r="K2870" s="165"/>
      <c r="L2870" s="164"/>
      <c r="M2870" s="164"/>
      <c r="N2870" s="166"/>
      <c r="O2870" s="167"/>
      <c r="P2870" s="168"/>
      <c r="Q2870" s="169"/>
      <c r="R2870" s="170"/>
      <c r="S2870" s="171"/>
      <c r="T2870" s="203">
        <f t="shared" si="1751"/>
        <v>43647</v>
      </c>
      <c r="U2870" s="204">
        <f t="shared" si="1752"/>
        <v>43677</v>
      </c>
      <c r="V2870" s="207">
        <f t="shared" ref="V2870:V2875" si="1777">IF(G2870-F2870+1-IF(G2870-U2870&gt;0,G2870-U2870,0)-IF(T2870-F2870&gt;0,T2870-F2870,0)&gt;0,G2870-F2870+1-IF(G2870-U2870&gt;0,G2870-U2870,0)-IF(T2870-F2870&gt;0,T2870-F2870,0),0)</f>
        <v>0</v>
      </c>
      <c r="W2870" s="206" t="str">
        <f t="shared" si="1774"/>
        <v/>
      </c>
      <c r="X2870" s="206">
        <f t="shared" si="1775"/>
        <v>0</v>
      </c>
      <c r="Y2870" s="209">
        <f t="shared" si="1776"/>
        <v>0</v>
      </c>
    </row>
    <row r="2871" spans="2:25" ht="60.75" hidden="1" thickTop="1" x14ac:dyDescent="0.25">
      <c r="B2871" s="60">
        <f>B2869</f>
        <v>33</v>
      </c>
      <c r="C2871" s="102">
        <v>227</v>
      </c>
      <c r="D2871" s="192" t="str">
        <f t="shared" si="1757"/>
        <v>Извън сезона</v>
      </c>
      <c r="E2871" s="162"/>
      <c r="F2871" s="163"/>
      <c r="G2871" s="163"/>
      <c r="H2871" s="164"/>
      <c r="I2871" s="164"/>
      <c r="J2871" s="162"/>
      <c r="K2871" s="165"/>
      <c r="L2871" s="164"/>
      <c r="M2871" s="164"/>
      <c r="N2871" s="166"/>
      <c r="O2871" s="167"/>
      <c r="P2871" s="168"/>
      <c r="Q2871" s="169"/>
      <c r="R2871" s="170"/>
      <c r="S2871" s="171"/>
      <c r="T2871" s="203">
        <f t="shared" si="1751"/>
        <v>43647</v>
      </c>
      <c r="U2871" s="204">
        <f t="shared" si="1752"/>
        <v>43677</v>
      </c>
      <c r="V2871" s="207">
        <f t="shared" si="1777"/>
        <v>0</v>
      </c>
      <c r="W2871" s="206" t="str">
        <f t="shared" si="1774"/>
        <v/>
      </c>
      <c r="X2871" s="206">
        <f t="shared" si="1775"/>
        <v>0</v>
      </c>
      <c r="Y2871" s="209">
        <f t="shared" si="1776"/>
        <v>0</v>
      </c>
    </row>
    <row r="2872" spans="2:25" ht="60.75" hidden="1" thickTop="1" x14ac:dyDescent="0.25">
      <c r="B2872" s="60">
        <f>B2869</f>
        <v>33</v>
      </c>
      <c r="C2872" s="102">
        <v>228</v>
      </c>
      <c r="D2872" s="192" t="str">
        <f t="shared" si="1757"/>
        <v>Извън сезона</v>
      </c>
      <c r="E2872" s="162"/>
      <c r="F2872" s="163"/>
      <c r="G2872" s="163"/>
      <c r="H2872" s="164"/>
      <c r="I2872" s="164"/>
      <c r="J2872" s="162"/>
      <c r="K2872" s="165"/>
      <c r="L2872" s="164"/>
      <c r="M2872" s="164"/>
      <c r="N2872" s="166"/>
      <c r="O2872" s="167"/>
      <c r="P2872" s="168"/>
      <c r="Q2872" s="169"/>
      <c r="R2872" s="170"/>
      <c r="S2872" s="171"/>
      <c r="T2872" s="203">
        <f t="shared" si="1751"/>
        <v>43647</v>
      </c>
      <c r="U2872" s="204">
        <f t="shared" si="1752"/>
        <v>43677</v>
      </c>
      <c r="V2872" s="207">
        <f t="shared" si="1777"/>
        <v>0</v>
      </c>
      <c r="W2872" s="206" t="str">
        <f t="shared" si="1774"/>
        <v/>
      </c>
      <c r="X2872" s="206">
        <f t="shared" si="1775"/>
        <v>0</v>
      </c>
      <c r="Y2872" s="209">
        <f t="shared" si="1776"/>
        <v>0</v>
      </c>
    </row>
    <row r="2873" spans="2:25" ht="60.75" hidden="1" thickTop="1" x14ac:dyDescent="0.25">
      <c r="B2873" s="60">
        <f>B2869</f>
        <v>33</v>
      </c>
      <c r="C2873" s="102">
        <v>229</v>
      </c>
      <c r="D2873" s="192" t="str">
        <f t="shared" si="1757"/>
        <v>Извън сезона</v>
      </c>
      <c r="E2873" s="162"/>
      <c r="F2873" s="163"/>
      <c r="G2873" s="163"/>
      <c r="H2873" s="164"/>
      <c r="I2873" s="164"/>
      <c r="J2873" s="162"/>
      <c r="K2873" s="165"/>
      <c r="L2873" s="164"/>
      <c r="M2873" s="164"/>
      <c r="N2873" s="166"/>
      <c r="O2873" s="167"/>
      <c r="P2873" s="168"/>
      <c r="Q2873" s="169"/>
      <c r="R2873" s="170"/>
      <c r="S2873" s="171"/>
      <c r="T2873" s="203">
        <f t="shared" si="1751"/>
        <v>43647</v>
      </c>
      <c r="U2873" s="204">
        <f t="shared" si="1752"/>
        <v>43677</v>
      </c>
      <c r="V2873" s="207">
        <f t="shared" si="1777"/>
        <v>0</v>
      </c>
      <c r="W2873" s="206" t="str">
        <f t="shared" si="1774"/>
        <v/>
      </c>
      <c r="X2873" s="206">
        <f t="shared" si="1775"/>
        <v>0</v>
      </c>
      <c r="Y2873" s="209">
        <f t="shared" si="1776"/>
        <v>0</v>
      </c>
    </row>
    <row r="2874" spans="2:25" ht="60.75" hidden="1" thickTop="1" x14ac:dyDescent="0.25">
      <c r="B2874" s="60">
        <f>B2869</f>
        <v>33</v>
      </c>
      <c r="C2874" s="102">
        <v>230</v>
      </c>
      <c r="D2874" s="192" t="str">
        <f t="shared" si="1757"/>
        <v>Извън сезона</v>
      </c>
      <c r="E2874" s="172"/>
      <c r="F2874" s="173"/>
      <c r="G2874" s="173"/>
      <c r="H2874" s="174"/>
      <c r="I2874" s="174"/>
      <c r="J2874" s="172"/>
      <c r="K2874" s="175"/>
      <c r="L2874" s="174"/>
      <c r="M2874" s="174"/>
      <c r="N2874" s="176"/>
      <c r="O2874" s="177"/>
      <c r="P2874" s="178"/>
      <c r="Q2874" s="179"/>
      <c r="R2874" s="180"/>
      <c r="S2874" s="181"/>
      <c r="T2874" s="203">
        <f t="shared" si="1751"/>
        <v>43647</v>
      </c>
      <c r="U2874" s="204">
        <f t="shared" si="1752"/>
        <v>43677</v>
      </c>
      <c r="V2874" s="207">
        <f t="shared" si="1777"/>
        <v>0</v>
      </c>
      <c r="W2874" s="206" t="str">
        <f t="shared" si="1774"/>
        <v/>
      </c>
      <c r="X2874" s="206">
        <f t="shared" si="1775"/>
        <v>0</v>
      </c>
      <c r="Y2874" s="209">
        <f t="shared" si="1776"/>
        <v>0</v>
      </c>
    </row>
    <row r="2875" spans="2:25" ht="61.5" hidden="1" thickTop="1" thickBot="1" x14ac:dyDescent="0.3">
      <c r="B2875" s="141">
        <f>B2869</f>
        <v>33</v>
      </c>
      <c r="C2875" s="142">
        <v>231</v>
      </c>
      <c r="D2875" s="194" t="str">
        <f t="shared" si="1757"/>
        <v>Извън сезона</v>
      </c>
      <c r="E2875" s="189"/>
      <c r="F2875" s="190"/>
      <c r="G2875" s="190"/>
      <c r="H2875" s="182"/>
      <c r="I2875" s="182"/>
      <c r="J2875" s="436" t="s">
        <v>181</v>
      </c>
      <c r="K2875" s="437"/>
      <c r="L2875" s="438"/>
      <c r="M2875" s="182"/>
      <c r="N2875" s="183"/>
      <c r="O2875" s="184"/>
      <c r="P2875" s="185"/>
      <c r="Q2875" s="186"/>
      <c r="R2875" s="187"/>
      <c r="S2875" s="188"/>
      <c r="T2875" s="213">
        <f t="shared" si="1751"/>
        <v>43647</v>
      </c>
      <c r="U2875" s="214">
        <f t="shared" si="1752"/>
        <v>43677</v>
      </c>
      <c r="V2875" s="210">
        <f t="shared" si="1777"/>
        <v>0</v>
      </c>
      <c r="W2875" s="211"/>
      <c r="X2875" s="211">
        <f>IF(AND($V2875&gt;0,$I2875=1),IF($E2875=10,P2875/10,P2875/$V2875),0)</f>
        <v>0</v>
      </c>
      <c r="Y2875" s="212">
        <f>IF(AND($V2869&gt;0,$I2875&lt;&gt;1),Q2875/E2869*V2869,0)</f>
        <v>0</v>
      </c>
    </row>
    <row r="2876" spans="2:25" ht="60.75" hidden="1" thickTop="1" x14ac:dyDescent="0.25">
      <c r="B2876" s="129">
        <f>B2874+1</f>
        <v>34</v>
      </c>
      <c r="C2876" s="130">
        <v>232</v>
      </c>
      <c r="D2876" s="196" t="str">
        <f t="shared" si="1757"/>
        <v>Извън сезона</v>
      </c>
      <c r="E2876" s="131"/>
      <c r="F2876" s="132"/>
      <c r="G2876" s="132"/>
      <c r="H2876" s="133"/>
      <c r="I2876" s="133"/>
      <c r="J2876" s="131"/>
      <c r="K2876" s="134"/>
      <c r="L2876" s="133"/>
      <c r="M2876" s="133"/>
      <c r="N2876" s="135"/>
      <c r="O2876" s="136"/>
      <c r="P2876" s="137"/>
      <c r="Q2876" s="138"/>
      <c r="R2876" s="139"/>
      <c r="S2876" s="140"/>
      <c r="T2876" s="203">
        <f t="shared" si="1751"/>
        <v>43647</v>
      </c>
      <c r="U2876" s="204">
        <f t="shared" si="1752"/>
        <v>43677</v>
      </c>
      <c r="V2876" s="207">
        <f>IF(G2876-F2876+1-IF(G2876-U2876&gt;0,G2876-U2876,0)-IF(T2876-F2876&gt;0,T2876-F2876,0)&gt;0,G2876-F2876+1-IF(G2876-U2876&gt;0,G2876-U2876,0)-IF(T2876-F2876&gt;0,T2876-F2876,0),0)</f>
        <v>0</v>
      </c>
      <c r="W2876" s="206" t="str">
        <f t="shared" ref="W2876:W2881" si="1778">IF(V2876&gt;0,H2876,"")</f>
        <v/>
      </c>
      <c r="X2876" s="206">
        <f t="shared" ref="X2876:X2881" si="1779">IF(AND($V2876&gt;0,$I2876=1),P2876/$E2876*$V2876,0)</f>
        <v>0</v>
      </c>
      <c r="Y2876" s="209">
        <f t="shared" ref="Y2876:Y2881" si="1780">IF(AND($V2876&gt;0,$I2876&lt;&gt;1),Q2876/$E2876*$V2876,0)</f>
        <v>0</v>
      </c>
    </row>
    <row r="2877" spans="2:25" ht="60.75" hidden="1" thickTop="1" x14ac:dyDescent="0.25">
      <c r="B2877" s="60">
        <f>B2876</f>
        <v>34</v>
      </c>
      <c r="C2877" s="102">
        <v>233</v>
      </c>
      <c r="D2877" s="192" t="str">
        <f t="shared" si="1757"/>
        <v>Извън сезона</v>
      </c>
      <c r="E2877" s="62"/>
      <c r="F2877" s="105"/>
      <c r="G2877" s="105"/>
      <c r="H2877" s="61"/>
      <c r="I2877" s="61"/>
      <c r="J2877" s="62"/>
      <c r="K2877" s="63"/>
      <c r="L2877" s="61"/>
      <c r="M2877" s="61"/>
      <c r="N2877" s="111"/>
      <c r="O2877" s="112"/>
      <c r="P2877" s="113"/>
      <c r="Q2877" s="114"/>
      <c r="R2877" s="64"/>
      <c r="S2877" s="108"/>
      <c r="T2877" s="203">
        <f t="shared" si="1751"/>
        <v>43647</v>
      </c>
      <c r="U2877" s="204">
        <f t="shared" si="1752"/>
        <v>43677</v>
      </c>
      <c r="V2877" s="207">
        <f t="shared" ref="V2877:V2882" si="1781">IF(G2877-F2877+1-IF(G2877-U2877&gt;0,G2877-U2877,0)-IF(T2877-F2877&gt;0,T2877-F2877,0)&gt;0,G2877-F2877+1-IF(G2877-U2877&gt;0,G2877-U2877,0)-IF(T2877-F2877&gt;0,T2877-F2877,0),0)</f>
        <v>0</v>
      </c>
      <c r="W2877" s="206" t="str">
        <f t="shared" si="1778"/>
        <v/>
      </c>
      <c r="X2877" s="206">
        <f t="shared" si="1779"/>
        <v>0</v>
      </c>
      <c r="Y2877" s="209">
        <f t="shared" si="1780"/>
        <v>0</v>
      </c>
    </row>
    <row r="2878" spans="2:25" ht="60.75" hidden="1" thickTop="1" x14ac:dyDescent="0.25">
      <c r="B2878" s="60">
        <f>B2876</f>
        <v>34</v>
      </c>
      <c r="C2878" s="102">
        <v>234</v>
      </c>
      <c r="D2878" s="192" t="str">
        <f t="shared" si="1757"/>
        <v>Извън сезона</v>
      </c>
      <c r="E2878" s="62"/>
      <c r="F2878" s="105"/>
      <c r="G2878" s="105"/>
      <c r="H2878" s="61"/>
      <c r="I2878" s="61"/>
      <c r="J2878" s="62"/>
      <c r="K2878" s="63"/>
      <c r="L2878" s="61"/>
      <c r="M2878" s="61"/>
      <c r="N2878" s="111"/>
      <c r="O2878" s="112"/>
      <c r="P2878" s="113"/>
      <c r="Q2878" s="114"/>
      <c r="R2878" s="64"/>
      <c r="S2878" s="108"/>
      <c r="T2878" s="203">
        <f t="shared" si="1751"/>
        <v>43647</v>
      </c>
      <c r="U2878" s="204">
        <f t="shared" si="1752"/>
        <v>43677</v>
      </c>
      <c r="V2878" s="207">
        <f t="shared" si="1781"/>
        <v>0</v>
      </c>
      <c r="W2878" s="206" t="str">
        <f t="shared" si="1778"/>
        <v/>
      </c>
      <c r="X2878" s="206">
        <f t="shared" si="1779"/>
        <v>0</v>
      </c>
      <c r="Y2878" s="209">
        <f t="shared" si="1780"/>
        <v>0</v>
      </c>
    </row>
    <row r="2879" spans="2:25" ht="60.75" hidden="1" thickTop="1" x14ac:dyDescent="0.25">
      <c r="B2879" s="60">
        <f>B2876</f>
        <v>34</v>
      </c>
      <c r="C2879" s="102">
        <v>235</v>
      </c>
      <c r="D2879" s="192" t="str">
        <f t="shared" si="1757"/>
        <v>Извън сезона</v>
      </c>
      <c r="E2879" s="62"/>
      <c r="F2879" s="105"/>
      <c r="G2879" s="105"/>
      <c r="H2879" s="61"/>
      <c r="I2879" s="61"/>
      <c r="J2879" s="62"/>
      <c r="K2879" s="63"/>
      <c r="L2879" s="61"/>
      <c r="M2879" s="61"/>
      <c r="N2879" s="111"/>
      <c r="O2879" s="112"/>
      <c r="P2879" s="113"/>
      <c r="Q2879" s="114"/>
      <c r="R2879" s="64"/>
      <c r="S2879" s="108"/>
      <c r="T2879" s="203">
        <f t="shared" si="1751"/>
        <v>43647</v>
      </c>
      <c r="U2879" s="204">
        <f t="shared" si="1752"/>
        <v>43677</v>
      </c>
      <c r="V2879" s="207">
        <f t="shared" si="1781"/>
        <v>0</v>
      </c>
      <c r="W2879" s="206" t="str">
        <f t="shared" si="1778"/>
        <v/>
      </c>
      <c r="X2879" s="206">
        <f t="shared" si="1779"/>
        <v>0</v>
      </c>
      <c r="Y2879" s="209">
        <f t="shared" si="1780"/>
        <v>0</v>
      </c>
    </row>
    <row r="2880" spans="2:25" ht="60.75" hidden="1" thickTop="1" x14ac:dyDescent="0.25">
      <c r="B2880" s="60">
        <f>B2876</f>
        <v>34</v>
      </c>
      <c r="C2880" s="102">
        <v>236</v>
      </c>
      <c r="D2880" s="192" t="str">
        <f t="shared" si="1757"/>
        <v>Извън сезона</v>
      </c>
      <c r="E2880" s="62"/>
      <c r="F2880" s="105"/>
      <c r="G2880" s="105"/>
      <c r="H2880" s="61"/>
      <c r="I2880" s="61"/>
      <c r="J2880" s="62"/>
      <c r="K2880" s="63"/>
      <c r="L2880" s="61"/>
      <c r="M2880" s="61"/>
      <c r="N2880" s="111"/>
      <c r="O2880" s="112"/>
      <c r="P2880" s="113"/>
      <c r="Q2880" s="114"/>
      <c r="R2880" s="64"/>
      <c r="S2880" s="108"/>
      <c r="T2880" s="203">
        <f t="shared" si="1751"/>
        <v>43647</v>
      </c>
      <c r="U2880" s="204">
        <f t="shared" si="1752"/>
        <v>43677</v>
      </c>
      <c r="V2880" s="207">
        <f t="shared" si="1781"/>
        <v>0</v>
      </c>
      <c r="W2880" s="206" t="str">
        <f t="shared" si="1778"/>
        <v/>
      </c>
      <c r="X2880" s="206">
        <f t="shared" si="1779"/>
        <v>0</v>
      </c>
      <c r="Y2880" s="209">
        <f t="shared" si="1780"/>
        <v>0</v>
      </c>
    </row>
    <row r="2881" spans="2:25" ht="60.75" hidden="1" thickTop="1" x14ac:dyDescent="0.25">
      <c r="B2881" s="60">
        <f>B2876</f>
        <v>34</v>
      </c>
      <c r="C2881" s="102">
        <v>237</v>
      </c>
      <c r="D2881" s="192" t="str">
        <f t="shared" si="1757"/>
        <v>Извън сезона</v>
      </c>
      <c r="E2881" s="62"/>
      <c r="F2881" s="105"/>
      <c r="G2881" s="105"/>
      <c r="H2881" s="61"/>
      <c r="I2881" s="61"/>
      <c r="J2881" s="62"/>
      <c r="K2881" s="63"/>
      <c r="L2881" s="61"/>
      <c r="M2881" s="61"/>
      <c r="N2881" s="111"/>
      <c r="O2881" s="112"/>
      <c r="P2881" s="113"/>
      <c r="Q2881" s="114"/>
      <c r="R2881" s="64"/>
      <c r="S2881" s="108"/>
      <c r="T2881" s="203">
        <f t="shared" si="1751"/>
        <v>43647</v>
      </c>
      <c r="U2881" s="204">
        <f t="shared" si="1752"/>
        <v>43677</v>
      </c>
      <c r="V2881" s="207">
        <f t="shared" si="1781"/>
        <v>0</v>
      </c>
      <c r="W2881" s="206" t="str">
        <f t="shared" si="1778"/>
        <v/>
      </c>
      <c r="X2881" s="206">
        <f t="shared" si="1779"/>
        <v>0</v>
      </c>
      <c r="Y2881" s="209">
        <f t="shared" si="1780"/>
        <v>0</v>
      </c>
    </row>
    <row r="2882" spans="2:25" ht="61.5" hidden="1" thickTop="1" thickBot="1" x14ac:dyDescent="0.3">
      <c r="B2882" s="141">
        <f>B2876</f>
        <v>34</v>
      </c>
      <c r="C2882" s="142">
        <v>238</v>
      </c>
      <c r="D2882" s="194" t="str">
        <f t="shared" si="1757"/>
        <v>Извън сезона</v>
      </c>
      <c r="E2882" s="143"/>
      <c r="F2882" s="144"/>
      <c r="G2882" s="144"/>
      <c r="H2882" s="145"/>
      <c r="I2882" s="145"/>
      <c r="J2882" s="436" t="s">
        <v>181</v>
      </c>
      <c r="K2882" s="437"/>
      <c r="L2882" s="438"/>
      <c r="M2882" s="145"/>
      <c r="N2882" s="146"/>
      <c r="O2882" s="147"/>
      <c r="P2882" s="148"/>
      <c r="Q2882" s="149"/>
      <c r="R2882" s="150"/>
      <c r="S2882" s="151"/>
      <c r="T2882" s="213">
        <f t="shared" si="1751"/>
        <v>43647</v>
      </c>
      <c r="U2882" s="214">
        <f t="shared" si="1752"/>
        <v>43677</v>
      </c>
      <c r="V2882" s="210">
        <f t="shared" si="1781"/>
        <v>0</v>
      </c>
      <c r="W2882" s="211"/>
      <c r="X2882" s="211">
        <f>IF(AND($V2882&gt;0,$I2882=1),IF($E2882=10,P2882/10,P2882/$V2882),0)</f>
        <v>0</v>
      </c>
      <c r="Y2882" s="212">
        <f>IF(AND($V2876&gt;0,$I2882&lt;&gt;1),Q2882/E2876*V2876,0)</f>
        <v>0</v>
      </c>
    </row>
    <row r="2883" spans="2:25" ht="60.75" hidden="1" thickTop="1" x14ac:dyDescent="0.25">
      <c r="B2883" s="129">
        <f>B2881+1</f>
        <v>35</v>
      </c>
      <c r="C2883" s="130">
        <v>239</v>
      </c>
      <c r="D2883" s="196" t="str">
        <f t="shared" si="1757"/>
        <v>Извън сезона</v>
      </c>
      <c r="E2883" s="152"/>
      <c r="F2883" s="153"/>
      <c r="G2883" s="153"/>
      <c r="H2883" s="154"/>
      <c r="I2883" s="154"/>
      <c r="J2883" s="152"/>
      <c r="K2883" s="155"/>
      <c r="L2883" s="154"/>
      <c r="M2883" s="154"/>
      <c r="N2883" s="156"/>
      <c r="O2883" s="157"/>
      <c r="P2883" s="158"/>
      <c r="Q2883" s="159"/>
      <c r="R2883" s="160"/>
      <c r="S2883" s="161"/>
      <c r="T2883" s="203">
        <f t="shared" si="1751"/>
        <v>43647</v>
      </c>
      <c r="U2883" s="204">
        <f t="shared" si="1752"/>
        <v>43677</v>
      </c>
      <c r="V2883" s="207">
        <f>IF(G2883-F2883+1-IF(G2883-U2883&gt;0,G2883-U2883,0)-IF(T2883-F2883&gt;0,T2883-F2883,0)&gt;0,G2883-F2883+1-IF(G2883-U2883&gt;0,G2883-U2883,0)-IF(T2883-F2883&gt;0,T2883-F2883,0),0)</f>
        <v>0</v>
      </c>
      <c r="W2883" s="206" t="str">
        <f t="shared" ref="W2883:W2888" si="1782">IF(V2883&gt;0,H2883,"")</f>
        <v/>
      </c>
      <c r="X2883" s="206">
        <f t="shared" ref="X2883:X2888" si="1783">IF(AND($V2883&gt;0,$I2883=1),P2883/$E2883*$V2883,0)</f>
        <v>0</v>
      </c>
      <c r="Y2883" s="209">
        <f t="shared" ref="Y2883:Y2888" si="1784">IF(AND($V2883&gt;0,$I2883&lt;&gt;1),Q2883/$E2883*$V2883,0)</f>
        <v>0</v>
      </c>
    </row>
    <row r="2884" spans="2:25" ht="60.75" hidden="1" thickTop="1" x14ac:dyDescent="0.25">
      <c r="B2884" s="60">
        <f>B2883</f>
        <v>35</v>
      </c>
      <c r="C2884" s="102">
        <v>240</v>
      </c>
      <c r="D2884" s="192" t="str">
        <f t="shared" si="1757"/>
        <v>Извън сезона</v>
      </c>
      <c r="E2884" s="162"/>
      <c r="F2884" s="163"/>
      <c r="G2884" s="163"/>
      <c r="H2884" s="164"/>
      <c r="I2884" s="164"/>
      <c r="J2884" s="162"/>
      <c r="K2884" s="165"/>
      <c r="L2884" s="164"/>
      <c r="M2884" s="164"/>
      <c r="N2884" s="166"/>
      <c r="O2884" s="167"/>
      <c r="P2884" s="168"/>
      <c r="Q2884" s="169"/>
      <c r="R2884" s="170"/>
      <c r="S2884" s="171"/>
      <c r="T2884" s="203">
        <f t="shared" si="1751"/>
        <v>43647</v>
      </c>
      <c r="U2884" s="204">
        <f t="shared" si="1752"/>
        <v>43677</v>
      </c>
      <c r="V2884" s="207">
        <f t="shared" ref="V2884:V2889" si="1785">IF(G2884-F2884+1-IF(G2884-U2884&gt;0,G2884-U2884,0)-IF(T2884-F2884&gt;0,T2884-F2884,0)&gt;0,G2884-F2884+1-IF(G2884-U2884&gt;0,G2884-U2884,0)-IF(T2884-F2884&gt;0,T2884-F2884,0),0)</f>
        <v>0</v>
      </c>
      <c r="W2884" s="206" t="str">
        <f t="shared" si="1782"/>
        <v/>
      </c>
      <c r="X2884" s="206">
        <f t="shared" si="1783"/>
        <v>0</v>
      </c>
      <c r="Y2884" s="209">
        <f t="shared" si="1784"/>
        <v>0</v>
      </c>
    </row>
    <row r="2885" spans="2:25" ht="60.75" hidden="1" thickTop="1" x14ac:dyDescent="0.25">
      <c r="B2885" s="60">
        <f>B2883</f>
        <v>35</v>
      </c>
      <c r="C2885" s="102">
        <v>241</v>
      </c>
      <c r="D2885" s="192" t="str">
        <f t="shared" si="1757"/>
        <v>Извън сезона</v>
      </c>
      <c r="E2885" s="162"/>
      <c r="F2885" s="163"/>
      <c r="G2885" s="163"/>
      <c r="H2885" s="164"/>
      <c r="I2885" s="164"/>
      <c r="J2885" s="162"/>
      <c r="K2885" s="165"/>
      <c r="L2885" s="164"/>
      <c r="M2885" s="164"/>
      <c r="N2885" s="166"/>
      <c r="O2885" s="167"/>
      <c r="P2885" s="168"/>
      <c r="Q2885" s="169"/>
      <c r="R2885" s="170"/>
      <c r="S2885" s="171"/>
      <c r="T2885" s="203">
        <f t="shared" si="1751"/>
        <v>43647</v>
      </c>
      <c r="U2885" s="204">
        <f t="shared" si="1752"/>
        <v>43677</v>
      </c>
      <c r="V2885" s="207">
        <f t="shared" si="1785"/>
        <v>0</v>
      </c>
      <c r="W2885" s="206" t="str">
        <f t="shared" si="1782"/>
        <v/>
      </c>
      <c r="X2885" s="206">
        <f t="shared" si="1783"/>
        <v>0</v>
      </c>
      <c r="Y2885" s="209">
        <f t="shared" si="1784"/>
        <v>0</v>
      </c>
    </row>
    <row r="2886" spans="2:25" ht="60.75" hidden="1" thickTop="1" x14ac:dyDescent="0.25">
      <c r="B2886" s="60">
        <f>B2883</f>
        <v>35</v>
      </c>
      <c r="C2886" s="102">
        <v>242</v>
      </c>
      <c r="D2886" s="192" t="str">
        <f t="shared" si="1757"/>
        <v>Извън сезона</v>
      </c>
      <c r="E2886" s="162"/>
      <c r="F2886" s="163"/>
      <c r="G2886" s="163"/>
      <c r="H2886" s="164"/>
      <c r="I2886" s="164"/>
      <c r="J2886" s="162"/>
      <c r="K2886" s="165"/>
      <c r="L2886" s="164"/>
      <c r="M2886" s="164"/>
      <c r="N2886" s="166"/>
      <c r="O2886" s="167"/>
      <c r="P2886" s="168"/>
      <c r="Q2886" s="169"/>
      <c r="R2886" s="170"/>
      <c r="S2886" s="171"/>
      <c r="T2886" s="203">
        <f t="shared" si="1751"/>
        <v>43647</v>
      </c>
      <c r="U2886" s="204">
        <f t="shared" si="1752"/>
        <v>43677</v>
      </c>
      <c r="V2886" s="207">
        <f t="shared" si="1785"/>
        <v>0</v>
      </c>
      <c r="W2886" s="206" t="str">
        <f t="shared" si="1782"/>
        <v/>
      </c>
      <c r="X2886" s="206">
        <f t="shared" si="1783"/>
        <v>0</v>
      </c>
      <c r="Y2886" s="209">
        <f t="shared" si="1784"/>
        <v>0</v>
      </c>
    </row>
    <row r="2887" spans="2:25" ht="60.75" hidden="1" thickTop="1" x14ac:dyDescent="0.25">
      <c r="B2887" s="60">
        <f>B2883</f>
        <v>35</v>
      </c>
      <c r="C2887" s="102">
        <v>243</v>
      </c>
      <c r="D2887" s="192" t="str">
        <f t="shared" si="1757"/>
        <v>Извън сезона</v>
      </c>
      <c r="E2887" s="162"/>
      <c r="F2887" s="163"/>
      <c r="G2887" s="163"/>
      <c r="H2887" s="164"/>
      <c r="I2887" s="164"/>
      <c r="J2887" s="162"/>
      <c r="K2887" s="165"/>
      <c r="L2887" s="164"/>
      <c r="M2887" s="164"/>
      <c r="N2887" s="166"/>
      <c r="O2887" s="167"/>
      <c r="P2887" s="168"/>
      <c r="Q2887" s="169"/>
      <c r="R2887" s="170"/>
      <c r="S2887" s="171"/>
      <c r="T2887" s="203">
        <f t="shared" si="1751"/>
        <v>43647</v>
      </c>
      <c r="U2887" s="204">
        <f t="shared" si="1752"/>
        <v>43677</v>
      </c>
      <c r="V2887" s="207">
        <f t="shared" si="1785"/>
        <v>0</v>
      </c>
      <c r="W2887" s="206" t="str">
        <f t="shared" si="1782"/>
        <v/>
      </c>
      <c r="X2887" s="206">
        <f t="shared" si="1783"/>
        <v>0</v>
      </c>
      <c r="Y2887" s="209">
        <f t="shared" si="1784"/>
        <v>0</v>
      </c>
    </row>
    <row r="2888" spans="2:25" ht="60.75" hidden="1" thickTop="1" x14ac:dyDescent="0.25">
      <c r="B2888" s="60">
        <f>B2883</f>
        <v>35</v>
      </c>
      <c r="C2888" s="102">
        <v>244</v>
      </c>
      <c r="D2888" s="192" t="str">
        <f t="shared" si="1757"/>
        <v>Извън сезона</v>
      </c>
      <c r="E2888" s="172"/>
      <c r="F2888" s="173"/>
      <c r="G2888" s="173"/>
      <c r="H2888" s="174"/>
      <c r="I2888" s="174"/>
      <c r="J2888" s="172"/>
      <c r="K2888" s="175"/>
      <c r="L2888" s="174"/>
      <c r="M2888" s="174"/>
      <c r="N2888" s="176"/>
      <c r="O2888" s="177"/>
      <c r="P2888" s="178"/>
      <c r="Q2888" s="179"/>
      <c r="R2888" s="180"/>
      <c r="S2888" s="181"/>
      <c r="T2888" s="203">
        <f t="shared" si="1751"/>
        <v>43647</v>
      </c>
      <c r="U2888" s="204">
        <f t="shared" si="1752"/>
        <v>43677</v>
      </c>
      <c r="V2888" s="207">
        <f t="shared" si="1785"/>
        <v>0</v>
      </c>
      <c r="W2888" s="206" t="str">
        <f t="shared" si="1782"/>
        <v/>
      </c>
      <c r="X2888" s="206">
        <f t="shared" si="1783"/>
        <v>0</v>
      </c>
      <c r="Y2888" s="209">
        <f t="shared" si="1784"/>
        <v>0</v>
      </c>
    </row>
    <row r="2889" spans="2:25" ht="61.5" hidden="1" thickTop="1" thickBot="1" x14ac:dyDescent="0.3">
      <c r="B2889" s="141">
        <f>B2883</f>
        <v>35</v>
      </c>
      <c r="C2889" s="142">
        <v>245</v>
      </c>
      <c r="D2889" s="194" t="str">
        <f t="shared" si="1757"/>
        <v>Извън сезона</v>
      </c>
      <c r="E2889" s="189"/>
      <c r="F2889" s="190"/>
      <c r="G2889" s="190"/>
      <c r="H2889" s="182"/>
      <c r="I2889" s="182"/>
      <c r="J2889" s="436" t="s">
        <v>181</v>
      </c>
      <c r="K2889" s="437"/>
      <c r="L2889" s="438"/>
      <c r="M2889" s="182"/>
      <c r="N2889" s="183"/>
      <c r="O2889" s="184"/>
      <c r="P2889" s="185"/>
      <c r="Q2889" s="186"/>
      <c r="R2889" s="187"/>
      <c r="S2889" s="188"/>
      <c r="T2889" s="213">
        <f t="shared" si="1751"/>
        <v>43647</v>
      </c>
      <c r="U2889" s="214">
        <f t="shared" si="1752"/>
        <v>43677</v>
      </c>
      <c r="V2889" s="210">
        <f t="shared" si="1785"/>
        <v>0</v>
      </c>
      <c r="W2889" s="211"/>
      <c r="X2889" s="211">
        <f>IF(AND($V2889&gt;0,$I2889=1),IF($E2889=10,P2889/10,P2889/$V2889),0)</f>
        <v>0</v>
      </c>
      <c r="Y2889" s="212">
        <f>IF(AND($V2883&gt;0,$I2889&lt;&gt;1),Q2889/E2883*V2883,0)</f>
        <v>0</v>
      </c>
    </row>
    <row r="2890" spans="2:25" ht="60.75" hidden="1" thickTop="1" x14ac:dyDescent="0.25">
      <c r="B2890" s="129">
        <f>B2888+1</f>
        <v>36</v>
      </c>
      <c r="C2890" s="130">
        <v>246</v>
      </c>
      <c r="D2890" s="196" t="str">
        <f t="shared" si="1757"/>
        <v>Извън сезона</v>
      </c>
      <c r="E2890" s="131"/>
      <c r="F2890" s="132"/>
      <c r="G2890" s="132"/>
      <c r="H2890" s="133"/>
      <c r="I2890" s="133"/>
      <c r="J2890" s="131"/>
      <c r="K2890" s="134"/>
      <c r="L2890" s="133"/>
      <c r="M2890" s="133"/>
      <c r="N2890" s="135"/>
      <c r="O2890" s="136"/>
      <c r="P2890" s="137"/>
      <c r="Q2890" s="138"/>
      <c r="R2890" s="139"/>
      <c r="S2890" s="140"/>
      <c r="T2890" s="203">
        <f t="shared" si="1751"/>
        <v>43647</v>
      </c>
      <c r="U2890" s="204">
        <f t="shared" si="1752"/>
        <v>43677</v>
      </c>
      <c r="V2890" s="207">
        <f>IF(G2890-F2890+1-IF(G2890-U2890&gt;0,G2890-U2890,0)-IF(T2890-F2890&gt;0,T2890-F2890,0)&gt;0,G2890-F2890+1-IF(G2890-U2890&gt;0,G2890-U2890,0)-IF(T2890-F2890&gt;0,T2890-F2890,0),0)</f>
        <v>0</v>
      </c>
      <c r="W2890" s="206" t="str">
        <f t="shared" ref="W2890:W2895" si="1786">IF(V2890&gt;0,H2890,"")</f>
        <v/>
      </c>
      <c r="X2890" s="206">
        <f t="shared" ref="X2890:X2895" si="1787">IF(AND($V2890&gt;0,$I2890=1),P2890/$E2890*$V2890,0)</f>
        <v>0</v>
      </c>
      <c r="Y2890" s="209">
        <f t="shared" ref="Y2890:Y2895" si="1788">IF(AND($V2890&gt;0,$I2890&lt;&gt;1),Q2890/$E2890*$V2890,0)</f>
        <v>0</v>
      </c>
    </row>
    <row r="2891" spans="2:25" ht="60.75" hidden="1" thickTop="1" x14ac:dyDescent="0.25">
      <c r="B2891" s="60">
        <f>B2890</f>
        <v>36</v>
      </c>
      <c r="C2891" s="102">
        <v>247</v>
      </c>
      <c r="D2891" s="192" t="str">
        <f t="shared" si="1757"/>
        <v>Извън сезона</v>
      </c>
      <c r="E2891" s="62"/>
      <c r="F2891" s="105"/>
      <c r="G2891" s="105"/>
      <c r="H2891" s="61"/>
      <c r="I2891" s="61"/>
      <c r="J2891" s="62"/>
      <c r="K2891" s="63"/>
      <c r="L2891" s="61"/>
      <c r="M2891" s="61"/>
      <c r="N2891" s="111"/>
      <c r="O2891" s="112"/>
      <c r="P2891" s="113"/>
      <c r="Q2891" s="114"/>
      <c r="R2891" s="64"/>
      <c r="S2891" s="108"/>
      <c r="T2891" s="203">
        <f t="shared" si="1751"/>
        <v>43647</v>
      </c>
      <c r="U2891" s="204">
        <f t="shared" si="1752"/>
        <v>43677</v>
      </c>
      <c r="V2891" s="207">
        <f t="shared" ref="V2891:V2896" si="1789">IF(G2891-F2891+1-IF(G2891-U2891&gt;0,G2891-U2891,0)-IF(T2891-F2891&gt;0,T2891-F2891,0)&gt;0,G2891-F2891+1-IF(G2891-U2891&gt;0,G2891-U2891,0)-IF(T2891-F2891&gt;0,T2891-F2891,0),0)</f>
        <v>0</v>
      </c>
      <c r="W2891" s="206" t="str">
        <f t="shared" si="1786"/>
        <v/>
      </c>
      <c r="X2891" s="206">
        <f t="shared" si="1787"/>
        <v>0</v>
      </c>
      <c r="Y2891" s="209">
        <f t="shared" si="1788"/>
        <v>0</v>
      </c>
    </row>
    <row r="2892" spans="2:25" ht="60.75" hidden="1" thickTop="1" x14ac:dyDescent="0.25">
      <c r="B2892" s="60">
        <f>B2890</f>
        <v>36</v>
      </c>
      <c r="C2892" s="102">
        <v>248</v>
      </c>
      <c r="D2892" s="192" t="str">
        <f t="shared" si="1757"/>
        <v>Извън сезона</v>
      </c>
      <c r="E2892" s="62"/>
      <c r="F2892" s="105"/>
      <c r="G2892" s="105"/>
      <c r="H2892" s="61"/>
      <c r="I2892" s="61"/>
      <c r="J2892" s="62"/>
      <c r="K2892" s="63"/>
      <c r="L2892" s="61"/>
      <c r="M2892" s="61"/>
      <c r="N2892" s="111"/>
      <c r="O2892" s="112"/>
      <c r="P2892" s="113"/>
      <c r="Q2892" s="114"/>
      <c r="R2892" s="64"/>
      <c r="S2892" s="108"/>
      <c r="T2892" s="203">
        <f t="shared" si="1751"/>
        <v>43647</v>
      </c>
      <c r="U2892" s="204">
        <f t="shared" si="1752"/>
        <v>43677</v>
      </c>
      <c r="V2892" s="207">
        <f t="shared" si="1789"/>
        <v>0</v>
      </c>
      <c r="W2892" s="206" t="str">
        <f t="shared" si="1786"/>
        <v/>
      </c>
      <c r="X2892" s="206">
        <f t="shared" si="1787"/>
        <v>0</v>
      </c>
      <c r="Y2892" s="209">
        <f t="shared" si="1788"/>
        <v>0</v>
      </c>
    </row>
    <row r="2893" spans="2:25" ht="60.75" hidden="1" thickTop="1" x14ac:dyDescent="0.25">
      <c r="B2893" s="60">
        <f>B2890</f>
        <v>36</v>
      </c>
      <c r="C2893" s="102">
        <v>249</v>
      </c>
      <c r="D2893" s="192" t="str">
        <f t="shared" si="1757"/>
        <v>Извън сезона</v>
      </c>
      <c r="E2893" s="62"/>
      <c r="F2893" s="105"/>
      <c r="G2893" s="105"/>
      <c r="H2893" s="61"/>
      <c r="I2893" s="61"/>
      <c r="J2893" s="62"/>
      <c r="K2893" s="63"/>
      <c r="L2893" s="61"/>
      <c r="M2893" s="61"/>
      <c r="N2893" s="111"/>
      <c r="O2893" s="112"/>
      <c r="P2893" s="113"/>
      <c r="Q2893" s="114"/>
      <c r="R2893" s="64"/>
      <c r="S2893" s="108"/>
      <c r="T2893" s="203">
        <f t="shared" ref="T2893:T2956" si="1790">$F$4</f>
        <v>43647</v>
      </c>
      <c r="U2893" s="204">
        <f t="shared" ref="U2893:U2956" si="1791">$G$4</f>
        <v>43677</v>
      </c>
      <c r="V2893" s="207">
        <f t="shared" si="1789"/>
        <v>0</v>
      </c>
      <c r="W2893" s="206" t="str">
        <f t="shared" si="1786"/>
        <v/>
      </c>
      <c r="X2893" s="206">
        <f t="shared" si="1787"/>
        <v>0</v>
      </c>
      <c r="Y2893" s="209">
        <f t="shared" si="1788"/>
        <v>0</v>
      </c>
    </row>
    <row r="2894" spans="2:25" ht="60.75" hidden="1" thickTop="1" x14ac:dyDescent="0.25">
      <c r="B2894" s="60">
        <f>B2890</f>
        <v>36</v>
      </c>
      <c r="C2894" s="102">
        <v>250</v>
      </c>
      <c r="D2894" s="192" t="str">
        <f t="shared" si="1757"/>
        <v>Извън сезона</v>
      </c>
      <c r="E2894" s="62"/>
      <c r="F2894" s="105"/>
      <c r="G2894" s="105"/>
      <c r="H2894" s="61"/>
      <c r="I2894" s="61"/>
      <c r="J2894" s="62"/>
      <c r="K2894" s="63"/>
      <c r="L2894" s="61"/>
      <c r="M2894" s="61"/>
      <c r="N2894" s="111"/>
      <c r="O2894" s="112"/>
      <c r="P2894" s="113"/>
      <c r="Q2894" s="114"/>
      <c r="R2894" s="64"/>
      <c r="S2894" s="108"/>
      <c r="T2894" s="203">
        <f t="shared" si="1790"/>
        <v>43647</v>
      </c>
      <c r="U2894" s="204">
        <f t="shared" si="1791"/>
        <v>43677</v>
      </c>
      <c r="V2894" s="207">
        <f t="shared" si="1789"/>
        <v>0</v>
      </c>
      <c r="W2894" s="206" t="str">
        <f t="shared" si="1786"/>
        <v/>
      </c>
      <c r="X2894" s="206">
        <f t="shared" si="1787"/>
        <v>0</v>
      </c>
      <c r="Y2894" s="209">
        <f t="shared" si="1788"/>
        <v>0</v>
      </c>
    </row>
    <row r="2895" spans="2:25" ht="60.75" hidden="1" thickTop="1" x14ac:dyDescent="0.25">
      <c r="B2895" s="60">
        <f>B2890</f>
        <v>36</v>
      </c>
      <c r="C2895" s="102">
        <v>251</v>
      </c>
      <c r="D2895" s="192" t="str">
        <f t="shared" si="1757"/>
        <v>Извън сезона</v>
      </c>
      <c r="E2895" s="62"/>
      <c r="F2895" s="105"/>
      <c r="G2895" s="105"/>
      <c r="H2895" s="61"/>
      <c r="I2895" s="61"/>
      <c r="J2895" s="62"/>
      <c r="K2895" s="63"/>
      <c r="L2895" s="61"/>
      <c r="M2895" s="61"/>
      <c r="N2895" s="111"/>
      <c r="O2895" s="112"/>
      <c r="P2895" s="113"/>
      <c r="Q2895" s="114"/>
      <c r="R2895" s="64"/>
      <c r="S2895" s="108"/>
      <c r="T2895" s="203">
        <f t="shared" si="1790"/>
        <v>43647</v>
      </c>
      <c r="U2895" s="204">
        <f t="shared" si="1791"/>
        <v>43677</v>
      </c>
      <c r="V2895" s="207">
        <f t="shared" si="1789"/>
        <v>0</v>
      </c>
      <c r="W2895" s="206" t="str">
        <f t="shared" si="1786"/>
        <v/>
      </c>
      <c r="X2895" s="206">
        <f t="shared" si="1787"/>
        <v>0</v>
      </c>
      <c r="Y2895" s="209">
        <f t="shared" si="1788"/>
        <v>0</v>
      </c>
    </row>
    <row r="2896" spans="2:25" ht="61.5" hidden="1" thickTop="1" thickBot="1" x14ac:dyDescent="0.3">
      <c r="B2896" s="141">
        <f>B2890</f>
        <v>36</v>
      </c>
      <c r="C2896" s="142">
        <v>252</v>
      </c>
      <c r="D2896" s="194" t="str">
        <f t="shared" si="1757"/>
        <v>Извън сезона</v>
      </c>
      <c r="E2896" s="143"/>
      <c r="F2896" s="144"/>
      <c r="G2896" s="144"/>
      <c r="H2896" s="145"/>
      <c r="I2896" s="145"/>
      <c r="J2896" s="436" t="s">
        <v>181</v>
      </c>
      <c r="K2896" s="437"/>
      <c r="L2896" s="438"/>
      <c r="M2896" s="145"/>
      <c r="N2896" s="146"/>
      <c r="O2896" s="147"/>
      <c r="P2896" s="148"/>
      <c r="Q2896" s="149"/>
      <c r="R2896" s="150"/>
      <c r="S2896" s="151"/>
      <c r="T2896" s="213">
        <f t="shared" si="1790"/>
        <v>43647</v>
      </c>
      <c r="U2896" s="214">
        <f t="shared" si="1791"/>
        <v>43677</v>
      </c>
      <c r="V2896" s="210">
        <f t="shared" si="1789"/>
        <v>0</v>
      </c>
      <c r="W2896" s="211"/>
      <c r="X2896" s="211">
        <f>IF(AND($V2896&gt;0,$I2896=1),IF($E2896=10,P2896/10,P2896/$V2896),0)</f>
        <v>0</v>
      </c>
      <c r="Y2896" s="212">
        <f>IF(AND($V2890&gt;0,$I2896&lt;&gt;1),Q2896/E2890*V2890,0)</f>
        <v>0</v>
      </c>
    </row>
    <row r="2897" spans="2:25" ht="60.75" hidden="1" thickTop="1" x14ac:dyDescent="0.25">
      <c r="B2897" s="129">
        <f>B2895+1</f>
        <v>37</v>
      </c>
      <c r="C2897" s="130">
        <v>253</v>
      </c>
      <c r="D2897" s="196" t="str">
        <f t="shared" si="1757"/>
        <v>Извън сезона</v>
      </c>
      <c r="E2897" s="152"/>
      <c r="F2897" s="153"/>
      <c r="G2897" s="153"/>
      <c r="H2897" s="154"/>
      <c r="I2897" s="154"/>
      <c r="J2897" s="152"/>
      <c r="K2897" s="155"/>
      <c r="L2897" s="154"/>
      <c r="M2897" s="154"/>
      <c r="N2897" s="156"/>
      <c r="O2897" s="157"/>
      <c r="P2897" s="158"/>
      <c r="Q2897" s="159"/>
      <c r="R2897" s="160"/>
      <c r="S2897" s="161"/>
      <c r="T2897" s="203">
        <f t="shared" si="1790"/>
        <v>43647</v>
      </c>
      <c r="U2897" s="204">
        <f t="shared" si="1791"/>
        <v>43677</v>
      </c>
      <c r="V2897" s="207">
        <f>IF(G2897-F2897+1-IF(G2897-U2897&gt;0,G2897-U2897,0)-IF(T2897-F2897&gt;0,T2897-F2897,0)&gt;0,G2897-F2897+1-IF(G2897-U2897&gt;0,G2897-U2897,0)-IF(T2897-F2897&gt;0,T2897-F2897,0),0)</f>
        <v>0</v>
      </c>
      <c r="W2897" s="206" t="str">
        <f t="shared" ref="W2897:W2902" si="1792">IF(V2897&gt;0,H2897,"")</f>
        <v/>
      </c>
      <c r="X2897" s="206">
        <f t="shared" ref="X2897:X2902" si="1793">IF(AND($V2897&gt;0,$I2897=1),P2897/$E2897*$V2897,0)</f>
        <v>0</v>
      </c>
      <c r="Y2897" s="209">
        <f t="shared" ref="Y2897:Y2902" si="1794">IF(AND($V2897&gt;0,$I2897&lt;&gt;1),Q2897/$E2897*$V2897,0)</f>
        <v>0</v>
      </c>
    </row>
    <row r="2898" spans="2:25" ht="60.75" hidden="1" thickTop="1" x14ac:dyDescent="0.25">
      <c r="B2898" s="60">
        <f>B2897</f>
        <v>37</v>
      </c>
      <c r="C2898" s="102">
        <v>254</v>
      </c>
      <c r="D2898" s="192" t="str">
        <f t="shared" si="1757"/>
        <v>Извън сезона</v>
      </c>
      <c r="E2898" s="162"/>
      <c r="F2898" s="163"/>
      <c r="G2898" s="163"/>
      <c r="H2898" s="164"/>
      <c r="I2898" s="164"/>
      <c r="J2898" s="162"/>
      <c r="K2898" s="165"/>
      <c r="L2898" s="164"/>
      <c r="M2898" s="164"/>
      <c r="N2898" s="166"/>
      <c r="O2898" s="167"/>
      <c r="P2898" s="168"/>
      <c r="Q2898" s="169"/>
      <c r="R2898" s="170"/>
      <c r="S2898" s="171"/>
      <c r="T2898" s="203">
        <f t="shared" si="1790"/>
        <v>43647</v>
      </c>
      <c r="U2898" s="204">
        <f t="shared" si="1791"/>
        <v>43677</v>
      </c>
      <c r="V2898" s="207">
        <f t="shared" ref="V2898:V2903" si="1795">IF(G2898-F2898+1-IF(G2898-U2898&gt;0,G2898-U2898,0)-IF(T2898-F2898&gt;0,T2898-F2898,0)&gt;0,G2898-F2898+1-IF(G2898-U2898&gt;0,G2898-U2898,0)-IF(T2898-F2898&gt;0,T2898-F2898,0),0)</f>
        <v>0</v>
      </c>
      <c r="W2898" s="206" t="str">
        <f t="shared" si="1792"/>
        <v/>
      </c>
      <c r="X2898" s="206">
        <f t="shared" si="1793"/>
        <v>0</v>
      </c>
      <c r="Y2898" s="209">
        <f t="shared" si="1794"/>
        <v>0</v>
      </c>
    </row>
    <row r="2899" spans="2:25" ht="60.75" hidden="1" thickTop="1" x14ac:dyDescent="0.25">
      <c r="B2899" s="60">
        <f>B2897</f>
        <v>37</v>
      </c>
      <c r="C2899" s="102">
        <v>255</v>
      </c>
      <c r="D2899" s="192" t="str">
        <f t="shared" si="1757"/>
        <v>Извън сезона</v>
      </c>
      <c r="E2899" s="162"/>
      <c r="F2899" s="163"/>
      <c r="G2899" s="163"/>
      <c r="H2899" s="164"/>
      <c r="I2899" s="164"/>
      <c r="J2899" s="162"/>
      <c r="K2899" s="165"/>
      <c r="L2899" s="164"/>
      <c r="M2899" s="164"/>
      <c r="N2899" s="166"/>
      <c r="O2899" s="167"/>
      <c r="P2899" s="168"/>
      <c r="Q2899" s="169"/>
      <c r="R2899" s="170"/>
      <c r="S2899" s="171"/>
      <c r="T2899" s="203">
        <f t="shared" si="1790"/>
        <v>43647</v>
      </c>
      <c r="U2899" s="204">
        <f t="shared" si="1791"/>
        <v>43677</v>
      </c>
      <c r="V2899" s="207">
        <f t="shared" si="1795"/>
        <v>0</v>
      </c>
      <c r="W2899" s="206" t="str">
        <f t="shared" si="1792"/>
        <v/>
      </c>
      <c r="X2899" s="206">
        <f t="shared" si="1793"/>
        <v>0</v>
      </c>
      <c r="Y2899" s="209">
        <f t="shared" si="1794"/>
        <v>0</v>
      </c>
    </row>
    <row r="2900" spans="2:25" ht="60.75" hidden="1" thickTop="1" x14ac:dyDescent="0.25">
      <c r="B2900" s="60">
        <f>B2897</f>
        <v>37</v>
      </c>
      <c r="C2900" s="102">
        <v>256</v>
      </c>
      <c r="D2900" s="192" t="str">
        <f t="shared" si="1757"/>
        <v>Извън сезона</v>
      </c>
      <c r="E2900" s="162"/>
      <c r="F2900" s="163"/>
      <c r="G2900" s="163"/>
      <c r="H2900" s="164"/>
      <c r="I2900" s="164"/>
      <c r="J2900" s="162"/>
      <c r="K2900" s="165"/>
      <c r="L2900" s="164"/>
      <c r="M2900" s="164"/>
      <c r="N2900" s="166"/>
      <c r="O2900" s="167"/>
      <c r="P2900" s="168"/>
      <c r="Q2900" s="169"/>
      <c r="R2900" s="170"/>
      <c r="S2900" s="171"/>
      <c r="T2900" s="203">
        <f t="shared" si="1790"/>
        <v>43647</v>
      </c>
      <c r="U2900" s="204">
        <f t="shared" si="1791"/>
        <v>43677</v>
      </c>
      <c r="V2900" s="207">
        <f t="shared" si="1795"/>
        <v>0</v>
      </c>
      <c r="W2900" s="206" t="str">
        <f t="shared" si="1792"/>
        <v/>
      </c>
      <c r="X2900" s="206">
        <f t="shared" si="1793"/>
        <v>0</v>
      </c>
      <c r="Y2900" s="209">
        <f t="shared" si="1794"/>
        <v>0</v>
      </c>
    </row>
    <row r="2901" spans="2:25" ht="60.75" hidden="1" thickTop="1" x14ac:dyDescent="0.25">
      <c r="B2901" s="60">
        <f>B2897</f>
        <v>37</v>
      </c>
      <c r="C2901" s="102">
        <v>257</v>
      </c>
      <c r="D2901" s="192" t="str">
        <f t="shared" si="1757"/>
        <v>Извън сезона</v>
      </c>
      <c r="E2901" s="162"/>
      <c r="F2901" s="163"/>
      <c r="G2901" s="163"/>
      <c r="H2901" s="164"/>
      <c r="I2901" s="164"/>
      <c r="J2901" s="162"/>
      <c r="K2901" s="165"/>
      <c r="L2901" s="164"/>
      <c r="M2901" s="164"/>
      <c r="N2901" s="166"/>
      <c r="O2901" s="167"/>
      <c r="P2901" s="168"/>
      <c r="Q2901" s="169"/>
      <c r="R2901" s="170"/>
      <c r="S2901" s="171"/>
      <c r="T2901" s="203">
        <f t="shared" si="1790"/>
        <v>43647</v>
      </c>
      <c r="U2901" s="204">
        <f t="shared" si="1791"/>
        <v>43677</v>
      </c>
      <c r="V2901" s="207">
        <f t="shared" si="1795"/>
        <v>0</v>
      </c>
      <c r="W2901" s="206" t="str">
        <f t="shared" si="1792"/>
        <v/>
      </c>
      <c r="X2901" s="206">
        <f t="shared" si="1793"/>
        <v>0</v>
      </c>
      <c r="Y2901" s="209">
        <f t="shared" si="1794"/>
        <v>0</v>
      </c>
    </row>
    <row r="2902" spans="2:25" ht="60.75" hidden="1" thickTop="1" x14ac:dyDescent="0.25">
      <c r="B2902" s="60">
        <f>B2897</f>
        <v>37</v>
      </c>
      <c r="C2902" s="102">
        <v>258</v>
      </c>
      <c r="D2902" s="192" t="str">
        <f t="shared" si="1757"/>
        <v>Извън сезона</v>
      </c>
      <c r="E2902" s="172"/>
      <c r="F2902" s="173"/>
      <c r="G2902" s="173"/>
      <c r="H2902" s="174"/>
      <c r="I2902" s="174"/>
      <c r="J2902" s="172"/>
      <c r="K2902" s="175"/>
      <c r="L2902" s="174"/>
      <c r="M2902" s="174"/>
      <c r="N2902" s="176"/>
      <c r="O2902" s="177"/>
      <c r="P2902" s="178"/>
      <c r="Q2902" s="179"/>
      <c r="R2902" s="180"/>
      <c r="S2902" s="181"/>
      <c r="T2902" s="203">
        <f t="shared" si="1790"/>
        <v>43647</v>
      </c>
      <c r="U2902" s="204">
        <f t="shared" si="1791"/>
        <v>43677</v>
      </c>
      <c r="V2902" s="207">
        <f t="shared" si="1795"/>
        <v>0</v>
      </c>
      <c r="W2902" s="206" t="str">
        <f t="shared" si="1792"/>
        <v/>
      </c>
      <c r="X2902" s="206">
        <f t="shared" si="1793"/>
        <v>0</v>
      </c>
      <c r="Y2902" s="209">
        <f t="shared" si="1794"/>
        <v>0</v>
      </c>
    </row>
    <row r="2903" spans="2:25" ht="61.5" hidden="1" thickTop="1" thickBot="1" x14ac:dyDescent="0.3">
      <c r="B2903" s="141">
        <f>B2897</f>
        <v>37</v>
      </c>
      <c r="C2903" s="142">
        <v>259</v>
      </c>
      <c r="D2903" s="194" t="str">
        <f t="shared" ref="D2903:D2966" si="1796">D2902</f>
        <v>Извън сезона</v>
      </c>
      <c r="E2903" s="189"/>
      <c r="F2903" s="190"/>
      <c r="G2903" s="190"/>
      <c r="H2903" s="182"/>
      <c r="I2903" s="182"/>
      <c r="J2903" s="436" t="s">
        <v>181</v>
      </c>
      <c r="K2903" s="437"/>
      <c r="L2903" s="438"/>
      <c r="M2903" s="182"/>
      <c r="N2903" s="183"/>
      <c r="O2903" s="184"/>
      <c r="P2903" s="185"/>
      <c r="Q2903" s="186"/>
      <c r="R2903" s="187"/>
      <c r="S2903" s="188"/>
      <c r="T2903" s="213">
        <f t="shared" si="1790"/>
        <v>43647</v>
      </c>
      <c r="U2903" s="214">
        <f t="shared" si="1791"/>
        <v>43677</v>
      </c>
      <c r="V2903" s="210">
        <f t="shared" si="1795"/>
        <v>0</v>
      </c>
      <c r="W2903" s="211"/>
      <c r="X2903" s="211">
        <f>IF(AND($V2903&gt;0,$I2903=1),IF($E2903=10,P2903/10,P2903/$V2903),0)</f>
        <v>0</v>
      </c>
      <c r="Y2903" s="212">
        <f>IF(AND($V2897&gt;0,$I2903&lt;&gt;1),Q2903/E2897*V2897,0)</f>
        <v>0</v>
      </c>
    </row>
    <row r="2904" spans="2:25" ht="60.75" hidden="1" thickTop="1" x14ac:dyDescent="0.25">
      <c r="B2904" s="129">
        <f>B2902+1</f>
        <v>38</v>
      </c>
      <c r="C2904" s="130">
        <v>260</v>
      </c>
      <c r="D2904" s="196" t="str">
        <f t="shared" si="1796"/>
        <v>Извън сезона</v>
      </c>
      <c r="E2904" s="131"/>
      <c r="F2904" s="132"/>
      <c r="G2904" s="132"/>
      <c r="H2904" s="133"/>
      <c r="I2904" s="133"/>
      <c r="J2904" s="131"/>
      <c r="K2904" s="134"/>
      <c r="L2904" s="133"/>
      <c r="M2904" s="133"/>
      <c r="N2904" s="135"/>
      <c r="O2904" s="136"/>
      <c r="P2904" s="137"/>
      <c r="Q2904" s="138"/>
      <c r="R2904" s="139"/>
      <c r="S2904" s="140"/>
      <c r="T2904" s="203">
        <f t="shared" si="1790"/>
        <v>43647</v>
      </c>
      <c r="U2904" s="204">
        <f t="shared" si="1791"/>
        <v>43677</v>
      </c>
      <c r="V2904" s="207">
        <f>IF(G2904-F2904+1-IF(G2904-U2904&gt;0,G2904-U2904,0)-IF(T2904-F2904&gt;0,T2904-F2904,0)&gt;0,G2904-F2904+1-IF(G2904-U2904&gt;0,G2904-U2904,0)-IF(T2904-F2904&gt;0,T2904-F2904,0),0)</f>
        <v>0</v>
      </c>
      <c r="W2904" s="206" t="str">
        <f t="shared" ref="W2904:W2909" si="1797">IF(V2904&gt;0,H2904,"")</f>
        <v/>
      </c>
      <c r="X2904" s="206">
        <f t="shared" ref="X2904:X2909" si="1798">IF(AND($V2904&gt;0,$I2904=1),P2904/$E2904*$V2904,0)</f>
        <v>0</v>
      </c>
      <c r="Y2904" s="209">
        <f t="shared" ref="Y2904:Y2909" si="1799">IF(AND($V2904&gt;0,$I2904&lt;&gt;1),Q2904/$E2904*$V2904,0)</f>
        <v>0</v>
      </c>
    </row>
    <row r="2905" spans="2:25" ht="60.75" hidden="1" thickTop="1" x14ac:dyDescent="0.25">
      <c r="B2905" s="60">
        <f>B2904</f>
        <v>38</v>
      </c>
      <c r="C2905" s="102">
        <v>261</v>
      </c>
      <c r="D2905" s="192" t="str">
        <f t="shared" si="1796"/>
        <v>Извън сезона</v>
      </c>
      <c r="E2905" s="62"/>
      <c r="F2905" s="105"/>
      <c r="G2905" s="105"/>
      <c r="H2905" s="61"/>
      <c r="I2905" s="61"/>
      <c r="J2905" s="62"/>
      <c r="K2905" s="63"/>
      <c r="L2905" s="61"/>
      <c r="M2905" s="61"/>
      <c r="N2905" s="111"/>
      <c r="O2905" s="112"/>
      <c r="P2905" s="113"/>
      <c r="Q2905" s="114"/>
      <c r="R2905" s="64"/>
      <c r="S2905" s="108"/>
      <c r="T2905" s="203">
        <f t="shared" si="1790"/>
        <v>43647</v>
      </c>
      <c r="U2905" s="204">
        <f t="shared" si="1791"/>
        <v>43677</v>
      </c>
      <c r="V2905" s="207">
        <f t="shared" ref="V2905:V2910" si="1800">IF(G2905-F2905+1-IF(G2905-U2905&gt;0,G2905-U2905,0)-IF(T2905-F2905&gt;0,T2905-F2905,0)&gt;0,G2905-F2905+1-IF(G2905-U2905&gt;0,G2905-U2905,0)-IF(T2905-F2905&gt;0,T2905-F2905,0),0)</f>
        <v>0</v>
      </c>
      <c r="W2905" s="206" t="str">
        <f t="shared" si="1797"/>
        <v/>
      </c>
      <c r="X2905" s="206">
        <f t="shared" si="1798"/>
        <v>0</v>
      </c>
      <c r="Y2905" s="209">
        <f t="shared" si="1799"/>
        <v>0</v>
      </c>
    </row>
    <row r="2906" spans="2:25" ht="60.75" hidden="1" thickTop="1" x14ac:dyDescent="0.25">
      <c r="B2906" s="60">
        <f>B2904</f>
        <v>38</v>
      </c>
      <c r="C2906" s="102">
        <v>262</v>
      </c>
      <c r="D2906" s="192" t="str">
        <f t="shared" si="1796"/>
        <v>Извън сезона</v>
      </c>
      <c r="E2906" s="62"/>
      <c r="F2906" s="105"/>
      <c r="G2906" s="105"/>
      <c r="H2906" s="61"/>
      <c r="I2906" s="61"/>
      <c r="J2906" s="62"/>
      <c r="K2906" s="63"/>
      <c r="L2906" s="61"/>
      <c r="M2906" s="61"/>
      <c r="N2906" s="111"/>
      <c r="O2906" s="112"/>
      <c r="P2906" s="113"/>
      <c r="Q2906" s="114"/>
      <c r="R2906" s="64"/>
      <c r="S2906" s="108"/>
      <c r="T2906" s="203">
        <f t="shared" si="1790"/>
        <v>43647</v>
      </c>
      <c r="U2906" s="204">
        <f t="shared" si="1791"/>
        <v>43677</v>
      </c>
      <c r="V2906" s="207">
        <f t="shared" si="1800"/>
        <v>0</v>
      </c>
      <c r="W2906" s="206" t="str">
        <f t="shared" si="1797"/>
        <v/>
      </c>
      <c r="X2906" s="206">
        <f t="shared" si="1798"/>
        <v>0</v>
      </c>
      <c r="Y2906" s="209">
        <f t="shared" si="1799"/>
        <v>0</v>
      </c>
    </row>
    <row r="2907" spans="2:25" ht="60.75" hidden="1" thickTop="1" x14ac:dyDescent="0.25">
      <c r="B2907" s="60">
        <f>B2904</f>
        <v>38</v>
      </c>
      <c r="C2907" s="102">
        <v>263</v>
      </c>
      <c r="D2907" s="192" t="str">
        <f t="shared" si="1796"/>
        <v>Извън сезона</v>
      </c>
      <c r="E2907" s="62"/>
      <c r="F2907" s="105"/>
      <c r="G2907" s="105"/>
      <c r="H2907" s="61"/>
      <c r="I2907" s="61"/>
      <c r="J2907" s="62"/>
      <c r="K2907" s="63"/>
      <c r="L2907" s="61"/>
      <c r="M2907" s="61"/>
      <c r="N2907" s="111"/>
      <c r="O2907" s="112"/>
      <c r="P2907" s="113"/>
      <c r="Q2907" s="114"/>
      <c r="R2907" s="64"/>
      <c r="S2907" s="108"/>
      <c r="T2907" s="203">
        <f t="shared" si="1790"/>
        <v>43647</v>
      </c>
      <c r="U2907" s="204">
        <f t="shared" si="1791"/>
        <v>43677</v>
      </c>
      <c r="V2907" s="207">
        <f t="shared" si="1800"/>
        <v>0</v>
      </c>
      <c r="W2907" s="206" t="str">
        <f t="shared" si="1797"/>
        <v/>
      </c>
      <c r="X2907" s="206">
        <f t="shared" si="1798"/>
        <v>0</v>
      </c>
      <c r="Y2907" s="209">
        <f t="shared" si="1799"/>
        <v>0</v>
      </c>
    </row>
    <row r="2908" spans="2:25" ht="60.75" hidden="1" thickTop="1" x14ac:dyDescent="0.25">
      <c r="B2908" s="60">
        <f>B2904</f>
        <v>38</v>
      </c>
      <c r="C2908" s="102">
        <v>264</v>
      </c>
      <c r="D2908" s="192" t="str">
        <f t="shared" si="1796"/>
        <v>Извън сезона</v>
      </c>
      <c r="E2908" s="62"/>
      <c r="F2908" s="105"/>
      <c r="G2908" s="105"/>
      <c r="H2908" s="61"/>
      <c r="I2908" s="61"/>
      <c r="J2908" s="62"/>
      <c r="K2908" s="63"/>
      <c r="L2908" s="61"/>
      <c r="M2908" s="61"/>
      <c r="N2908" s="111"/>
      <c r="O2908" s="112"/>
      <c r="P2908" s="113"/>
      <c r="Q2908" s="114"/>
      <c r="R2908" s="64"/>
      <c r="S2908" s="108"/>
      <c r="T2908" s="203">
        <f t="shared" si="1790"/>
        <v>43647</v>
      </c>
      <c r="U2908" s="204">
        <f t="shared" si="1791"/>
        <v>43677</v>
      </c>
      <c r="V2908" s="207">
        <f t="shared" si="1800"/>
        <v>0</v>
      </c>
      <c r="W2908" s="206" t="str">
        <f t="shared" si="1797"/>
        <v/>
      </c>
      <c r="X2908" s="206">
        <f t="shared" si="1798"/>
        <v>0</v>
      </c>
      <c r="Y2908" s="209">
        <f t="shared" si="1799"/>
        <v>0</v>
      </c>
    </row>
    <row r="2909" spans="2:25" ht="60.75" hidden="1" thickTop="1" x14ac:dyDescent="0.25">
      <c r="B2909" s="60">
        <f>B2904</f>
        <v>38</v>
      </c>
      <c r="C2909" s="102">
        <v>265</v>
      </c>
      <c r="D2909" s="192" t="str">
        <f t="shared" si="1796"/>
        <v>Извън сезона</v>
      </c>
      <c r="E2909" s="62"/>
      <c r="F2909" s="105"/>
      <c r="G2909" s="105"/>
      <c r="H2909" s="61"/>
      <c r="I2909" s="61"/>
      <c r="J2909" s="62"/>
      <c r="K2909" s="63"/>
      <c r="L2909" s="61"/>
      <c r="M2909" s="61"/>
      <c r="N2909" s="111"/>
      <c r="O2909" s="112"/>
      <c r="P2909" s="113"/>
      <c r="Q2909" s="114"/>
      <c r="R2909" s="64"/>
      <c r="S2909" s="108"/>
      <c r="T2909" s="203">
        <f t="shared" si="1790"/>
        <v>43647</v>
      </c>
      <c r="U2909" s="204">
        <f t="shared" si="1791"/>
        <v>43677</v>
      </c>
      <c r="V2909" s="207">
        <f t="shared" si="1800"/>
        <v>0</v>
      </c>
      <c r="W2909" s="206" t="str">
        <f t="shared" si="1797"/>
        <v/>
      </c>
      <c r="X2909" s="206">
        <f t="shared" si="1798"/>
        <v>0</v>
      </c>
      <c r="Y2909" s="209">
        <f t="shared" si="1799"/>
        <v>0</v>
      </c>
    </row>
    <row r="2910" spans="2:25" ht="61.5" hidden="1" thickTop="1" thickBot="1" x14ac:dyDescent="0.3">
      <c r="B2910" s="141">
        <f>B2904</f>
        <v>38</v>
      </c>
      <c r="C2910" s="142">
        <v>266</v>
      </c>
      <c r="D2910" s="194" t="str">
        <f t="shared" si="1796"/>
        <v>Извън сезона</v>
      </c>
      <c r="E2910" s="143"/>
      <c r="F2910" s="144"/>
      <c r="G2910" s="144"/>
      <c r="H2910" s="145"/>
      <c r="I2910" s="145"/>
      <c r="J2910" s="436" t="s">
        <v>181</v>
      </c>
      <c r="K2910" s="437"/>
      <c r="L2910" s="438"/>
      <c r="M2910" s="145"/>
      <c r="N2910" s="146"/>
      <c r="O2910" s="147"/>
      <c r="P2910" s="148"/>
      <c r="Q2910" s="149"/>
      <c r="R2910" s="150"/>
      <c r="S2910" s="151"/>
      <c r="T2910" s="213">
        <f t="shared" si="1790"/>
        <v>43647</v>
      </c>
      <c r="U2910" s="214">
        <f t="shared" si="1791"/>
        <v>43677</v>
      </c>
      <c r="V2910" s="210">
        <f t="shared" si="1800"/>
        <v>0</v>
      </c>
      <c r="W2910" s="211"/>
      <c r="X2910" s="211">
        <f>IF(AND($V2910&gt;0,$I2910=1),IF($E2910=10,P2910/10,P2910/$V2910),0)</f>
        <v>0</v>
      </c>
      <c r="Y2910" s="212">
        <f>IF(AND($V2904&gt;0,$I2910&lt;&gt;1),Q2910/E2904*V2904,0)</f>
        <v>0</v>
      </c>
    </row>
    <row r="2911" spans="2:25" ht="60.75" hidden="1" thickTop="1" x14ac:dyDescent="0.25">
      <c r="B2911" s="129">
        <f>B2909+1</f>
        <v>39</v>
      </c>
      <c r="C2911" s="130">
        <v>267</v>
      </c>
      <c r="D2911" s="196" t="str">
        <f t="shared" si="1796"/>
        <v>Извън сезона</v>
      </c>
      <c r="E2911" s="152"/>
      <c r="F2911" s="153"/>
      <c r="G2911" s="153"/>
      <c r="H2911" s="154"/>
      <c r="I2911" s="154"/>
      <c r="J2911" s="152"/>
      <c r="K2911" s="155"/>
      <c r="L2911" s="154"/>
      <c r="M2911" s="154"/>
      <c r="N2911" s="156"/>
      <c r="O2911" s="157"/>
      <c r="P2911" s="158"/>
      <c r="Q2911" s="159"/>
      <c r="R2911" s="160"/>
      <c r="S2911" s="161"/>
      <c r="T2911" s="203">
        <f t="shared" si="1790"/>
        <v>43647</v>
      </c>
      <c r="U2911" s="204">
        <f t="shared" si="1791"/>
        <v>43677</v>
      </c>
      <c r="V2911" s="207">
        <f>IF(G2911-F2911+1-IF(G2911-U2911&gt;0,G2911-U2911,0)-IF(T2911-F2911&gt;0,T2911-F2911,0)&gt;0,G2911-F2911+1-IF(G2911-U2911&gt;0,G2911-U2911,0)-IF(T2911-F2911&gt;0,T2911-F2911,0),0)</f>
        <v>0</v>
      </c>
      <c r="W2911" s="206" t="str">
        <f t="shared" ref="W2911:W2916" si="1801">IF(V2911&gt;0,H2911,"")</f>
        <v/>
      </c>
      <c r="X2911" s="206">
        <f t="shared" ref="X2911:X2916" si="1802">IF(AND($V2911&gt;0,$I2911=1),P2911/$E2911*$V2911,0)</f>
        <v>0</v>
      </c>
      <c r="Y2911" s="209">
        <f t="shared" ref="Y2911:Y2916" si="1803">IF(AND($V2911&gt;0,$I2911&lt;&gt;1),Q2911/$E2911*$V2911,0)</f>
        <v>0</v>
      </c>
    </row>
    <row r="2912" spans="2:25" ht="60.75" hidden="1" thickTop="1" x14ac:dyDescent="0.25">
      <c r="B2912" s="60">
        <f>B2911</f>
        <v>39</v>
      </c>
      <c r="C2912" s="102">
        <v>268</v>
      </c>
      <c r="D2912" s="192" t="str">
        <f t="shared" si="1796"/>
        <v>Извън сезона</v>
      </c>
      <c r="E2912" s="162"/>
      <c r="F2912" s="163"/>
      <c r="G2912" s="163"/>
      <c r="H2912" s="164"/>
      <c r="I2912" s="164"/>
      <c r="J2912" s="162"/>
      <c r="K2912" s="165"/>
      <c r="L2912" s="164"/>
      <c r="M2912" s="164"/>
      <c r="N2912" s="166"/>
      <c r="O2912" s="167"/>
      <c r="P2912" s="168"/>
      <c r="Q2912" s="169"/>
      <c r="R2912" s="170"/>
      <c r="S2912" s="171"/>
      <c r="T2912" s="203">
        <f t="shared" si="1790"/>
        <v>43647</v>
      </c>
      <c r="U2912" s="204">
        <f t="shared" si="1791"/>
        <v>43677</v>
      </c>
      <c r="V2912" s="207">
        <f t="shared" ref="V2912:V2917" si="1804">IF(G2912-F2912+1-IF(G2912-U2912&gt;0,G2912-U2912,0)-IF(T2912-F2912&gt;0,T2912-F2912,0)&gt;0,G2912-F2912+1-IF(G2912-U2912&gt;0,G2912-U2912,0)-IF(T2912-F2912&gt;0,T2912-F2912,0),0)</f>
        <v>0</v>
      </c>
      <c r="W2912" s="206" t="str">
        <f t="shared" si="1801"/>
        <v/>
      </c>
      <c r="X2912" s="206">
        <f t="shared" si="1802"/>
        <v>0</v>
      </c>
      <c r="Y2912" s="209">
        <f t="shared" si="1803"/>
        <v>0</v>
      </c>
    </row>
    <row r="2913" spans="2:25" ht="60.75" hidden="1" thickTop="1" x14ac:dyDescent="0.25">
      <c r="B2913" s="60">
        <f>B2911</f>
        <v>39</v>
      </c>
      <c r="C2913" s="102">
        <v>269</v>
      </c>
      <c r="D2913" s="192" t="str">
        <f t="shared" si="1796"/>
        <v>Извън сезона</v>
      </c>
      <c r="E2913" s="162"/>
      <c r="F2913" s="163"/>
      <c r="G2913" s="163"/>
      <c r="H2913" s="164"/>
      <c r="I2913" s="164"/>
      <c r="J2913" s="162"/>
      <c r="K2913" s="165"/>
      <c r="L2913" s="164"/>
      <c r="M2913" s="164"/>
      <c r="N2913" s="166"/>
      <c r="O2913" s="167"/>
      <c r="P2913" s="168"/>
      <c r="Q2913" s="169"/>
      <c r="R2913" s="170"/>
      <c r="S2913" s="171"/>
      <c r="T2913" s="203">
        <f t="shared" si="1790"/>
        <v>43647</v>
      </c>
      <c r="U2913" s="204">
        <f t="shared" si="1791"/>
        <v>43677</v>
      </c>
      <c r="V2913" s="207">
        <f t="shared" si="1804"/>
        <v>0</v>
      </c>
      <c r="W2913" s="206" t="str">
        <f t="shared" si="1801"/>
        <v/>
      </c>
      <c r="X2913" s="206">
        <f t="shared" si="1802"/>
        <v>0</v>
      </c>
      <c r="Y2913" s="209">
        <f t="shared" si="1803"/>
        <v>0</v>
      </c>
    </row>
    <row r="2914" spans="2:25" ht="60.75" hidden="1" thickTop="1" x14ac:dyDescent="0.25">
      <c r="B2914" s="60">
        <f>B2911</f>
        <v>39</v>
      </c>
      <c r="C2914" s="102">
        <v>270</v>
      </c>
      <c r="D2914" s="192" t="str">
        <f t="shared" si="1796"/>
        <v>Извън сезона</v>
      </c>
      <c r="E2914" s="162"/>
      <c r="F2914" s="163"/>
      <c r="G2914" s="163"/>
      <c r="H2914" s="164"/>
      <c r="I2914" s="164"/>
      <c r="J2914" s="162"/>
      <c r="K2914" s="165"/>
      <c r="L2914" s="164"/>
      <c r="M2914" s="164"/>
      <c r="N2914" s="166"/>
      <c r="O2914" s="167"/>
      <c r="P2914" s="168"/>
      <c r="Q2914" s="169"/>
      <c r="R2914" s="170"/>
      <c r="S2914" s="171"/>
      <c r="T2914" s="203">
        <f t="shared" si="1790"/>
        <v>43647</v>
      </c>
      <c r="U2914" s="204">
        <f t="shared" si="1791"/>
        <v>43677</v>
      </c>
      <c r="V2914" s="207">
        <f t="shared" si="1804"/>
        <v>0</v>
      </c>
      <c r="W2914" s="206" t="str">
        <f t="shared" si="1801"/>
        <v/>
      </c>
      <c r="X2914" s="206">
        <f t="shared" si="1802"/>
        <v>0</v>
      </c>
      <c r="Y2914" s="209">
        <f t="shared" si="1803"/>
        <v>0</v>
      </c>
    </row>
    <row r="2915" spans="2:25" ht="60.75" hidden="1" thickTop="1" x14ac:dyDescent="0.25">
      <c r="B2915" s="60">
        <f>B2911</f>
        <v>39</v>
      </c>
      <c r="C2915" s="102">
        <v>271</v>
      </c>
      <c r="D2915" s="192" t="str">
        <f t="shared" si="1796"/>
        <v>Извън сезона</v>
      </c>
      <c r="E2915" s="162"/>
      <c r="F2915" s="163"/>
      <c r="G2915" s="163"/>
      <c r="H2915" s="164"/>
      <c r="I2915" s="164"/>
      <c r="J2915" s="162"/>
      <c r="K2915" s="165"/>
      <c r="L2915" s="164"/>
      <c r="M2915" s="164"/>
      <c r="N2915" s="166"/>
      <c r="O2915" s="167"/>
      <c r="P2915" s="168"/>
      <c r="Q2915" s="169"/>
      <c r="R2915" s="170"/>
      <c r="S2915" s="171"/>
      <c r="T2915" s="203">
        <f t="shared" si="1790"/>
        <v>43647</v>
      </c>
      <c r="U2915" s="204">
        <f t="shared" si="1791"/>
        <v>43677</v>
      </c>
      <c r="V2915" s="207">
        <f t="shared" si="1804"/>
        <v>0</v>
      </c>
      <c r="W2915" s="206" t="str">
        <f t="shared" si="1801"/>
        <v/>
      </c>
      <c r="X2915" s="206">
        <f t="shared" si="1802"/>
        <v>0</v>
      </c>
      <c r="Y2915" s="209">
        <f t="shared" si="1803"/>
        <v>0</v>
      </c>
    </row>
    <row r="2916" spans="2:25" ht="60.75" hidden="1" thickTop="1" x14ac:dyDescent="0.25">
      <c r="B2916" s="60">
        <f>B2911</f>
        <v>39</v>
      </c>
      <c r="C2916" s="102">
        <v>272</v>
      </c>
      <c r="D2916" s="192" t="str">
        <f t="shared" si="1796"/>
        <v>Извън сезона</v>
      </c>
      <c r="E2916" s="172"/>
      <c r="F2916" s="173"/>
      <c r="G2916" s="173"/>
      <c r="H2916" s="174"/>
      <c r="I2916" s="174"/>
      <c r="J2916" s="172"/>
      <c r="K2916" s="175"/>
      <c r="L2916" s="174"/>
      <c r="M2916" s="174"/>
      <c r="N2916" s="176"/>
      <c r="O2916" s="177"/>
      <c r="P2916" s="178"/>
      <c r="Q2916" s="179"/>
      <c r="R2916" s="180"/>
      <c r="S2916" s="181"/>
      <c r="T2916" s="203">
        <f t="shared" si="1790"/>
        <v>43647</v>
      </c>
      <c r="U2916" s="204">
        <f t="shared" si="1791"/>
        <v>43677</v>
      </c>
      <c r="V2916" s="207">
        <f t="shared" si="1804"/>
        <v>0</v>
      </c>
      <c r="W2916" s="206" t="str">
        <f t="shared" si="1801"/>
        <v/>
      </c>
      <c r="X2916" s="206">
        <f t="shared" si="1802"/>
        <v>0</v>
      </c>
      <c r="Y2916" s="209">
        <f t="shared" si="1803"/>
        <v>0</v>
      </c>
    </row>
    <row r="2917" spans="2:25" ht="61.5" hidden="1" thickTop="1" thickBot="1" x14ac:dyDescent="0.3">
      <c r="B2917" s="141">
        <f>B2911</f>
        <v>39</v>
      </c>
      <c r="C2917" s="142">
        <v>273</v>
      </c>
      <c r="D2917" s="194" t="str">
        <f t="shared" si="1796"/>
        <v>Извън сезона</v>
      </c>
      <c r="E2917" s="189"/>
      <c r="F2917" s="190"/>
      <c r="G2917" s="190"/>
      <c r="H2917" s="182"/>
      <c r="I2917" s="182"/>
      <c r="J2917" s="436" t="s">
        <v>181</v>
      </c>
      <c r="K2917" s="437"/>
      <c r="L2917" s="438"/>
      <c r="M2917" s="182"/>
      <c r="N2917" s="183"/>
      <c r="O2917" s="184"/>
      <c r="P2917" s="185"/>
      <c r="Q2917" s="186"/>
      <c r="R2917" s="187"/>
      <c r="S2917" s="188"/>
      <c r="T2917" s="213">
        <f t="shared" si="1790"/>
        <v>43647</v>
      </c>
      <c r="U2917" s="214">
        <f t="shared" si="1791"/>
        <v>43677</v>
      </c>
      <c r="V2917" s="210">
        <f t="shared" si="1804"/>
        <v>0</v>
      </c>
      <c r="W2917" s="211"/>
      <c r="X2917" s="211">
        <f>IF(AND($V2917&gt;0,$I2917=1),IF($E2917=10,P2917/10,P2917/$V2917),0)</f>
        <v>0</v>
      </c>
      <c r="Y2917" s="212">
        <f>IF(AND($V2911&gt;0,$I2917&lt;&gt;1),Q2917/E2911*V2911,0)</f>
        <v>0</v>
      </c>
    </row>
    <row r="2918" spans="2:25" ht="60.75" hidden="1" thickTop="1" x14ac:dyDescent="0.25">
      <c r="B2918" s="129">
        <f>B2916+1</f>
        <v>40</v>
      </c>
      <c r="C2918" s="130">
        <v>274</v>
      </c>
      <c r="D2918" s="196" t="str">
        <f t="shared" si="1796"/>
        <v>Извън сезона</v>
      </c>
      <c r="E2918" s="131"/>
      <c r="F2918" s="132"/>
      <c r="G2918" s="132"/>
      <c r="H2918" s="133"/>
      <c r="I2918" s="133"/>
      <c r="J2918" s="131"/>
      <c r="K2918" s="134"/>
      <c r="L2918" s="133"/>
      <c r="M2918" s="133"/>
      <c r="N2918" s="135"/>
      <c r="O2918" s="136"/>
      <c r="P2918" s="137"/>
      <c r="Q2918" s="138"/>
      <c r="R2918" s="139"/>
      <c r="S2918" s="140"/>
      <c r="T2918" s="203">
        <f t="shared" si="1790"/>
        <v>43647</v>
      </c>
      <c r="U2918" s="204">
        <f t="shared" si="1791"/>
        <v>43677</v>
      </c>
      <c r="V2918" s="207">
        <f>IF(G2918-F2918+1-IF(G2918-U2918&gt;0,G2918-U2918,0)-IF(T2918-F2918&gt;0,T2918-F2918,0)&gt;0,G2918-F2918+1-IF(G2918-U2918&gt;0,G2918-U2918,0)-IF(T2918-F2918&gt;0,T2918-F2918,0),0)</f>
        <v>0</v>
      </c>
      <c r="W2918" s="206" t="str">
        <f t="shared" ref="W2918:W2923" si="1805">IF(V2918&gt;0,H2918,"")</f>
        <v/>
      </c>
      <c r="X2918" s="206">
        <f t="shared" ref="X2918:X2923" si="1806">IF(AND($V2918&gt;0,$I2918=1),P2918/$E2918*$V2918,0)</f>
        <v>0</v>
      </c>
      <c r="Y2918" s="209">
        <f t="shared" ref="Y2918:Y2923" si="1807">IF(AND($V2918&gt;0,$I2918&lt;&gt;1),Q2918/$E2918*$V2918,0)</f>
        <v>0</v>
      </c>
    </row>
    <row r="2919" spans="2:25" ht="60.75" hidden="1" thickTop="1" x14ac:dyDescent="0.25">
      <c r="B2919" s="60">
        <f>B2918</f>
        <v>40</v>
      </c>
      <c r="C2919" s="102">
        <v>275</v>
      </c>
      <c r="D2919" s="192" t="str">
        <f t="shared" si="1796"/>
        <v>Извън сезона</v>
      </c>
      <c r="E2919" s="62"/>
      <c r="F2919" s="105"/>
      <c r="G2919" s="105"/>
      <c r="H2919" s="61"/>
      <c r="I2919" s="61"/>
      <c r="J2919" s="62"/>
      <c r="K2919" s="63"/>
      <c r="L2919" s="61"/>
      <c r="M2919" s="61"/>
      <c r="N2919" s="111"/>
      <c r="O2919" s="112"/>
      <c r="P2919" s="113"/>
      <c r="Q2919" s="114"/>
      <c r="R2919" s="64"/>
      <c r="S2919" s="108"/>
      <c r="T2919" s="203">
        <f t="shared" si="1790"/>
        <v>43647</v>
      </c>
      <c r="U2919" s="204">
        <f t="shared" si="1791"/>
        <v>43677</v>
      </c>
      <c r="V2919" s="207">
        <f t="shared" ref="V2919:V2924" si="1808">IF(G2919-F2919+1-IF(G2919-U2919&gt;0,G2919-U2919,0)-IF(T2919-F2919&gt;0,T2919-F2919,0)&gt;0,G2919-F2919+1-IF(G2919-U2919&gt;0,G2919-U2919,0)-IF(T2919-F2919&gt;0,T2919-F2919,0),0)</f>
        <v>0</v>
      </c>
      <c r="W2919" s="206" t="str">
        <f t="shared" si="1805"/>
        <v/>
      </c>
      <c r="X2919" s="206">
        <f t="shared" si="1806"/>
        <v>0</v>
      </c>
      <c r="Y2919" s="209">
        <f t="shared" si="1807"/>
        <v>0</v>
      </c>
    </row>
    <row r="2920" spans="2:25" ht="60.75" hidden="1" thickTop="1" x14ac:dyDescent="0.25">
      <c r="B2920" s="60">
        <f>B2918</f>
        <v>40</v>
      </c>
      <c r="C2920" s="102">
        <v>276</v>
      </c>
      <c r="D2920" s="192" t="str">
        <f t="shared" si="1796"/>
        <v>Извън сезона</v>
      </c>
      <c r="E2920" s="62"/>
      <c r="F2920" s="105"/>
      <c r="G2920" s="105"/>
      <c r="H2920" s="61"/>
      <c r="I2920" s="61"/>
      <c r="J2920" s="62"/>
      <c r="K2920" s="63"/>
      <c r="L2920" s="61"/>
      <c r="M2920" s="61"/>
      <c r="N2920" s="111"/>
      <c r="O2920" s="112"/>
      <c r="P2920" s="113"/>
      <c r="Q2920" s="114"/>
      <c r="R2920" s="64"/>
      <c r="S2920" s="108"/>
      <c r="T2920" s="203">
        <f t="shared" si="1790"/>
        <v>43647</v>
      </c>
      <c r="U2920" s="204">
        <f t="shared" si="1791"/>
        <v>43677</v>
      </c>
      <c r="V2920" s="207">
        <f t="shared" si="1808"/>
        <v>0</v>
      </c>
      <c r="W2920" s="206" t="str">
        <f t="shared" si="1805"/>
        <v/>
      </c>
      <c r="X2920" s="206">
        <f t="shared" si="1806"/>
        <v>0</v>
      </c>
      <c r="Y2920" s="209">
        <f t="shared" si="1807"/>
        <v>0</v>
      </c>
    </row>
    <row r="2921" spans="2:25" ht="60.75" hidden="1" thickTop="1" x14ac:dyDescent="0.25">
      <c r="B2921" s="60">
        <f>B2918</f>
        <v>40</v>
      </c>
      <c r="C2921" s="102">
        <v>277</v>
      </c>
      <c r="D2921" s="192" t="str">
        <f t="shared" si="1796"/>
        <v>Извън сезона</v>
      </c>
      <c r="E2921" s="62"/>
      <c r="F2921" s="105"/>
      <c r="G2921" s="105"/>
      <c r="H2921" s="61"/>
      <c r="I2921" s="61"/>
      <c r="J2921" s="62"/>
      <c r="K2921" s="63"/>
      <c r="L2921" s="61"/>
      <c r="M2921" s="61"/>
      <c r="N2921" s="111"/>
      <c r="O2921" s="112"/>
      <c r="P2921" s="113"/>
      <c r="Q2921" s="114"/>
      <c r="R2921" s="64"/>
      <c r="S2921" s="108"/>
      <c r="T2921" s="203">
        <f t="shared" si="1790"/>
        <v>43647</v>
      </c>
      <c r="U2921" s="204">
        <f t="shared" si="1791"/>
        <v>43677</v>
      </c>
      <c r="V2921" s="207">
        <f t="shared" si="1808"/>
        <v>0</v>
      </c>
      <c r="W2921" s="206" t="str">
        <f t="shared" si="1805"/>
        <v/>
      </c>
      <c r="X2921" s="206">
        <f t="shared" si="1806"/>
        <v>0</v>
      </c>
      <c r="Y2921" s="209">
        <f t="shared" si="1807"/>
        <v>0</v>
      </c>
    </row>
    <row r="2922" spans="2:25" ht="60.75" hidden="1" thickTop="1" x14ac:dyDescent="0.25">
      <c r="B2922" s="60">
        <f>B2918</f>
        <v>40</v>
      </c>
      <c r="C2922" s="102">
        <v>278</v>
      </c>
      <c r="D2922" s="192" t="str">
        <f t="shared" si="1796"/>
        <v>Извън сезона</v>
      </c>
      <c r="E2922" s="62"/>
      <c r="F2922" s="105"/>
      <c r="G2922" s="105"/>
      <c r="H2922" s="61"/>
      <c r="I2922" s="61"/>
      <c r="J2922" s="62"/>
      <c r="K2922" s="63"/>
      <c r="L2922" s="61"/>
      <c r="M2922" s="61"/>
      <c r="N2922" s="111"/>
      <c r="O2922" s="112"/>
      <c r="P2922" s="113"/>
      <c r="Q2922" s="114"/>
      <c r="R2922" s="64"/>
      <c r="S2922" s="108"/>
      <c r="T2922" s="203">
        <f t="shared" si="1790"/>
        <v>43647</v>
      </c>
      <c r="U2922" s="204">
        <f t="shared" si="1791"/>
        <v>43677</v>
      </c>
      <c r="V2922" s="207">
        <f t="shared" si="1808"/>
        <v>0</v>
      </c>
      <c r="W2922" s="206" t="str">
        <f t="shared" si="1805"/>
        <v/>
      </c>
      <c r="X2922" s="206">
        <f t="shared" si="1806"/>
        <v>0</v>
      </c>
      <c r="Y2922" s="209">
        <f t="shared" si="1807"/>
        <v>0</v>
      </c>
    </row>
    <row r="2923" spans="2:25" ht="60.75" hidden="1" thickTop="1" x14ac:dyDescent="0.25">
      <c r="B2923" s="60">
        <f>B2918</f>
        <v>40</v>
      </c>
      <c r="C2923" s="102">
        <v>279</v>
      </c>
      <c r="D2923" s="192" t="str">
        <f t="shared" si="1796"/>
        <v>Извън сезона</v>
      </c>
      <c r="E2923" s="62"/>
      <c r="F2923" s="105"/>
      <c r="G2923" s="105"/>
      <c r="H2923" s="61"/>
      <c r="I2923" s="61"/>
      <c r="J2923" s="62"/>
      <c r="K2923" s="63"/>
      <c r="L2923" s="61"/>
      <c r="M2923" s="61"/>
      <c r="N2923" s="111"/>
      <c r="O2923" s="112"/>
      <c r="P2923" s="113"/>
      <c r="Q2923" s="114"/>
      <c r="R2923" s="64"/>
      <c r="S2923" s="108"/>
      <c r="T2923" s="203">
        <f t="shared" si="1790"/>
        <v>43647</v>
      </c>
      <c r="U2923" s="204">
        <f t="shared" si="1791"/>
        <v>43677</v>
      </c>
      <c r="V2923" s="207">
        <f t="shared" si="1808"/>
        <v>0</v>
      </c>
      <c r="W2923" s="206" t="str">
        <f t="shared" si="1805"/>
        <v/>
      </c>
      <c r="X2923" s="206">
        <f t="shared" si="1806"/>
        <v>0</v>
      </c>
      <c r="Y2923" s="209">
        <f t="shared" si="1807"/>
        <v>0</v>
      </c>
    </row>
    <row r="2924" spans="2:25" ht="61.5" hidden="1" thickTop="1" thickBot="1" x14ac:dyDescent="0.3">
      <c r="B2924" s="141">
        <f>B2918</f>
        <v>40</v>
      </c>
      <c r="C2924" s="142">
        <v>280</v>
      </c>
      <c r="D2924" s="194" t="str">
        <f t="shared" si="1796"/>
        <v>Извън сезона</v>
      </c>
      <c r="E2924" s="143"/>
      <c r="F2924" s="144"/>
      <c r="G2924" s="144"/>
      <c r="H2924" s="145"/>
      <c r="I2924" s="145"/>
      <c r="J2924" s="436" t="s">
        <v>181</v>
      </c>
      <c r="K2924" s="437"/>
      <c r="L2924" s="438"/>
      <c r="M2924" s="145"/>
      <c r="N2924" s="146"/>
      <c r="O2924" s="147"/>
      <c r="P2924" s="148"/>
      <c r="Q2924" s="149"/>
      <c r="R2924" s="150"/>
      <c r="S2924" s="151"/>
      <c r="T2924" s="213">
        <f t="shared" si="1790"/>
        <v>43647</v>
      </c>
      <c r="U2924" s="214">
        <f t="shared" si="1791"/>
        <v>43677</v>
      </c>
      <c r="V2924" s="210">
        <f t="shared" si="1808"/>
        <v>0</v>
      </c>
      <c r="W2924" s="211"/>
      <c r="X2924" s="211">
        <f>IF(AND($V2924&gt;0,$I2924=1),IF($E2924=10,P2924/10,P2924/$V2924),0)</f>
        <v>0</v>
      </c>
      <c r="Y2924" s="212">
        <f>IF(AND($V2918&gt;0,$I2924&lt;&gt;1),Q2924/E2918*V2918,0)</f>
        <v>0</v>
      </c>
    </row>
    <row r="2925" spans="2:25" ht="60.75" hidden="1" thickTop="1" x14ac:dyDescent="0.25">
      <c r="B2925" s="129">
        <f>B2923+1</f>
        <v>41</v>
      </c>
      <c r="C2925" s="130">
        <v>281</v>
      </c>
      <c r="D2925" s="196" t="str">
        <f t="shared" si="1796"/>
        <v>Извън сезона</v>
      </c>
      <c r="E2925" s="152"/>
      <c r="F2925" s="153"/>
      <c r="G2925" s="153"/>
      <c r="H2925" s="154"/>
      <c r="I2925" s="154"/>
      <c r="J2925" s="152"/>
      <c r="K2925" s="155"/>
      <c r="L2925" s="154"/>
      <c r="M2925" s="154"/>
      <c r="N2925" s="156"/>
      <c r="O2925" s="157"/>
      <c r="P2925" s="158"/>
      <c r="Q2925" s="159"/>
      <c r="R2925" s="160"/>
      <c r="S2925" s="161"/>
      <c r="T2925" s="203">
        <f t="shared" si="1790"/>
        <v>43647</v>
      </c>
      <c r="U2925" s="204">
        <f t="shared" si="1791"/>
        <v>43677</v>
      </c>
      <c r="V2925" s="207">
        <f>IF(G2925-F2925+1-IF(G2925-U2925&gt;0,G2925-U2925,0)-IF(T2925-F2925&gt;0,T2925-F2925,0)&gt;0,G2925-F2925+1-IF(G2925-U2925&gt;0,G2925-U2925,0)-IF(T2925-F2925&gt;0,T2925-F2925,0),0)</f>
        <v>0</v>
      </c>
      <c r="W2925" s="206" t="str">
        <f t="shared" ref="W2925:W2930" si="1809">IF(V2925&gt;0,H2925,"")</f>
        <v/>
      </c>
      <c r="X2925" s="206">
        <f t="shared" ref="X2925:X2930" si="1810">IF(AND($V2925&gt;0,$I2925=1),P2925/$E2925*$V2925,0)</f>
        <v>0</v>
      </c>
      <c r="Y2925" s="209">
        <f t="shared" ref="Y2925:Y2930" si="1811">IF(AND($V2925&gt;0,$I2925&lt;&gt;1),Q2925/$E2925*$V2925,0)</f>
        <v>0</v>
      </c>
    </row>
    <row r="2926" spans="2:25" ht="60.75" hidden="1" thickTop="1" x14ac:dyDescent="0.25">
      <c r="B2926" s="60">
        <f>B2925</f>
        <v>41</v>
      </c>
      <c r="C2926" s="102">
        <v>282</v>
      </c>
      <c r="D2926" s="192" t="str">
        <f t="shared" si="1796"/>
        <v>Извън сезона</v>
      </c>
      <c r="E2926" s="162"/>
      <c r="F2926" s="163"/>
      <c r="G2926" s="163"/>
      <c r="H2926" s="164"/>
      <c r="I2926" s="164"/>
      <c r="J2926" s="162"/>
      <c r="K2926" s="165"/>
      <c r="L2926" s="164"/>
      <c r="M2926" s="164"/>
      <c r="N2926" s="166"/>
      <c r="O2926" s="167"/>
      <c r="P2926" s="168"/>
      <c r="Q2926" s="169"/>
      <c r="R2926" s="170"/>
      <c r="S2926" s="171"/>
      <c r="T2926" s="203">
        <f t="shared" si="1790"/>
        <v>43647</v>
      </c>
      <c r="U2926" s="204">
        <f t="shared" si="1791"/>
        <v>43677</v>
      </c>
      <c r="V2926" s="207">
        <f t="shared" ref="V2926:V2931" si="1812">IF(G2926-F2926+1-IF(G2926-U2926&gt;0,G2926-U2926,0)-IF(T2926-F2926&gt;0,T2926-F2926,0)&gt;0,G2926-F2926+1-IF(G2926-U2926&gt;0,G2926-U2926,0)-IF(T2926-F2926&gt;0,T2926-F2926,0),0)</f>
        <v>0</v>
      </c>
      <c r="W2926" s="206" t="str">
        <f t="shared" si="1809"/>
        <v/>
      </c>
      <c r="X2926" s="206">
        <f t="shared" si="1810"/>
        <v>0</v>
      </c>
      <c r="Y2926" s="209">
        <f t="shared" si="1811"/>
        <v>0</v>
      </c>
    </row>
    <row r="2927" spans="2:25" ht="60.75" hidden="1" thickTop="1" x14ac:dyDescent="0.25">
      <c r="B2927" s="60">
        <f>B2925</f>
        <v>41</v>
      </c>
      <c r="C2927" s="102">
        <v>283</v>
      </c>
      <c r="D2927" s="192" t="str">
        <f t="shared" si="1796"/>
        <v>Извън сезона</v>
      </c>
      <c r="E2927" s="162"/>
      <c r="F2927" s="163"/>
      <c r="G2927" s="163"/>
      <c r="H2927" s="164"/>
      <c r="I2927" s="164"/>
      <c r="J2927" s="162"/>
      <c r="K2927" s="165"/>
      <c r="L2927" s="164"/>
      <c r="M2927" s="164"/>
      <c r="N2927" s="166"/>
      <c r="O2927" s="167"/>
      <c r="P2927" s="168"/>
      <c r="Q2927" s="169"/>
      <c r="R2927" s="170"/>
      <c r="S2927" s="171"/>
      <c r="T2927" s="203">
        <f t="shared" si="1790"/>
        <v>43647</v>
      </c>
      <c r="U2927" s="204">
        <f t="shared" si="1791"/>
        <v>43677</v>
      </c>
      <c r="V2927" s="207">
        <f t="shared" si="1812"/>
        <v>0</v>
      </c>
      <c r="W2927" s="206" t="str">
        <f t="shared" si="1809"/>
        <v/>
      </c>
      <c r="X2927" s="206">
        <f t="shared" si="1810"/>
        <v>0</v>
      </c>
      <c r="Y2927" s="209">
        <f t="shared" si="1811"/>
        <v>0</v>
      </c>
    </row>
    <row r="2928" spans="2:25" ht="60.75" hidden="1" thickTop="1" x14ac:dyDescent="0.25">
      <c r="B2928" s="60">
        <f>B2925</f>
        <v>41</v>
      </c>
      <c r="C2928" s="102">
        <v>284</v>
      </c>
      <c r="D2928" s="192" t="str">
        <f t="shared" si="1796"/>
        <v>Извън сезона</v>
      </c>
      <c r="E2928" s="162"/>
      <c r="F2928" s="163"/>
      <c r="G2928" s="163"/>
      <c r="H2928" s="164"/>
      <c r="I2928" s="164"/>
      <c r="J2928" s="162"/>
      <c r="K2928" s="165"/>
      <c r="L2928" s="164"/>
      <c r="M2928" s="164"/>
      <c r="N2928" s="166"/>
      <c r="O2928" s="167"/>
      <c r="P2928" s="168"/>
      <c r="Q2928" s="169"/>
      <c r="R2928" s="170"/>
      <c r="S2928" s="171"/>
      <c r="T2928" s="203">
        <f t="shared" si="1790"/>
        <v>43647</v>
      </c>
      <c r="U2928" s="204">
        <f t="shared" si="1791"/>
        <v>43677</v>
      </c>
      <c r="V2928" s="207">
        <f t="shared" si="1812"/>
        <v>0</v>
      </c>
      <c r="W2928" s="206" t="str">
        <f t="shared" si="1809"/>
        <v/>
      </c>
      <c r="X2928" s="206">
        <f t="shared" si="1810"/>
        <v>0</v>
      </c>
      <c r="Y2928" s="209">
        <f t="shared" si="1811"/>
        <v>0</v>
      </c>
    </row>
    <row r="2929" spans="2:25" ht="60.75" hidden="1" thickTop="1" x14ac:dyDescent="0.25">
      <c r="B2929" s="60">
        <f>B2925</f>
        <v>41</v>
      </c>
      <c r="C2929" s="102">
        <v>285</v>
      </c>
      <c r="D2929" s="192" t="str">
        <f t="shared" si="1796"/>
        <v>Извън сезона</v>
      </c>
      <c r="E2929" s="162"/>
      <c r="F2929" s="163"/>
      <c r="G2929" s="163"/>
      <c r="H2929" s="164"/>
      <c r="I2929" s="164"/>
      <c r="J2929" s="162"/>
      <c r="K2929" s="165"/>
      <c r="L2929" s="164"/>
      <c r="M2929" s="164"/>
      <c r="N2929" s="166"/>
      <c r="O2929" s="167"/>
      <c r="P2929" s="168"/>
      <c r="Q2929" s="169"/>
      <c r="R2929" s="170"/>
      <c r="S2929" s="171"/>
      <c r="T2929" s="203">
        <f t="shared" si="1790"/>
        <v>43647</v>
      </c>
      <c r="U2929" s="204">
        <f t="shared" si="1791"/>
        <v>43677</v>
      </c>
      <c r="V2929" s="207">
        <f t="shared" si="1812"/>
        <v>0</v>
      </c>
      <c r="W2929" s="206" t="str">
        <f t="shared" si="1809"/>
        <v/>
      </c>
      <c r="X2929" s="206">
        <f t="shared" si="1810"/>
        <v>0</v>
      </c>
      <c r="Y2929" s="209">
        <f t="shared" si="1811"/>
        <v>0</v>
      </c>
    </row>
    <row r="2930" spans="2:25" ht="60.75" hidden="1" thickTop="1" x14ac:dyDescent="0.25">
      <c r="B2930" s="60">
        <f>B2925</f>
        <v>41</v>
      </c>
      <c r="C2930" s="102">
        <v>286</v>
      </c>
      <c r="D2930" s="192" t="str">
        <f t="shared" si="1796"/>
        <v>Извън сезона</v>
      </c>
      <c r="E2930" s="172"/>
      <c r="F2930" s="173"/>
      <c r="G2930" s="173"/>
      <c r="H2930" s="174"/>
      <c r="I2930" s="174"/>
      <c r="J2930" s="172"/>
      <c r="K2930" s="175"/>
      <c r="L2930" s="174"/>
      <c r="M2930" s="174"/>
      <c r="N2930" s="176"/>
      <c r="O2930" s="177"/>
      <c r="P2930" s="178"/>
      <c r="Q2930" s="179"/>
      <c r="R2930" s="180"/>
      <c r="S2930" s="181"/>
      <c r="T2930" s="203">
        <f t="shared" si="1790"/>
        <v>43647</v>
      </c>
      <c r="U2930" s="204">
        <f t="shared" si="1791"/>
        <v>43677</v>
      </c>
      <c r="V2930" s="207">
        <f t="shared" si="1812"/>
        <v>0</v>
      </c>
      <c r="W2930" s="206" t="str">
        <f t="shared" si="1809"/>
        <v/>
      </c>
      <c r="X2930" s="206">
        <f t="shared" si="1810"/>
        <v>0</v>
      </c>
      <c r="Y2930" s="209">
        <f t="shared" si="1811"/>
        <v>0</v>
      </c>
    </row>
    <row r="2931" spans="2:25" ht="61.5" hidden="1" thickTop="1" thickBot="1" x14ac:dyDescent="0.3">
      <c r="B2931" s="141">
        <f>B2925</f>
        <v>41</v>
      </c>
      <c r="C2931" s="142">
        <v>287</v>
      </c>
      <c r="D2931" s="194" t="str">
        <f t="shared" si="1796"/>
        <v>Извън сезона</v>
      </c>
      <c r="E2931" s="189"/>
      <c r="F2931" s="190"/>
      <c r="G2931" s="190"/>
      <c r="H2931" s="182"/>
      <c r="I2931" s="182"/>
      <c r="J2931" s="436" t="s">
        <v>181</v>
      </c>
      <c r="K2931" s="437"/>
      <c r="L2931" s="438"/>
      <c r="M2931" s="182"/>
      <c r="N2931" s="183"/>
      <c r="O2931" s="184"/>
      <c r="P2931" s="185"/>
      <c r="Q2931" s="186"/>
      <c r="R2931" s="187"/>
      <c r="S2931" s="188"/>
      <c r="T2931" s="213">
        <f t="shared" si="1790"/>
        <v>43647</v>
      </c>
      <c r="U2931" s="214">
        <f t="shared" si="1791"/>
        <v>43677</v>
      </c>
      <c r="V2931" s="210">
        <f t="shared" si="1812"/>
        <v>0</v>
      </c>
      <c r="W2931" s="211"/>
      <c r="X2931" s="211">
        <f>IF(AND($V2931&gt;0,$I2931=1),IF($E2931=10,P2931/10,P2931/$V2931),0)</f>
        <v>0</v>
      </c>
      <c r="Y2931" s="212">
        <f>IF(AND($V2925&gt;0,$I2931&lt;&gt;1),Q2931/E2925*V2925,0)</f>
        <v>0</v>
      </c>
    </row>
    <row r="2932" spans="2:25" ht="60.75" hidden="1" thickTop="1" x14ac:dyDescent="0.25">
      <c r="B2932" s="129">
        <f>B2930+1</f>
        <v>42</v>
      </c>
      <c r="C2932" s="130">
        <v>288</v>
      </c>
      <c r="D2932" s="196" t="str">
        <f t="shared" si="1796"/>
        <v>Извън сезона</v>
      </c>
      <c r="E2932" s="131"/>
      <c r="F2932" s="132"/>
      <c r="G2932" s="132"/>
      <c r="H2932" s="133"/>
      <c r="I2932" s="133"/>
      <c r="J2932" s="131"/>
      <c r="K2932" s="134"/>
      <c r="L2932" s="133"/>
      <c r="M2932" s="133"/>
      <c r="N2932" s="135"/>
      <c r="O2932" s="136"/>
      <c r="P2932" s="137"/>
      <c r="Q2932" s="138"/>
      <c r="R2932" s="139"/>
      <c r="S2932" s="140"/>
      <c r="T2932" s="203">
        <f t="shared" si="1790"/>
        <v>43647</v>
      </c>
      <c r="U2932" s="204">
        <f t="shared" si="1791"/>
        <v>43677</v>
      </c>
      <c r="V2932" s="207">
        <f>IF(G2932-F2932+1-IF(G2932-U2932&gt;0,G2932-U2932,0)-IF(T2932-F2932&gt;0,T2932-F2932,0)&gt;0,G2932-F2932+1-IF(G2932-U2932&gt;0,G2932-U2932,0)-IF(T2932-F2932&gt;0,T2932-F2932,0),0)</f>
        <v>0</v>
      </c>
      <c r="W2932" s="206" t="str">
        <f t="shared" ref="W2932:W2937" si="1813">IF(V2932&gt;0,H2932,"")</f>
        <v/>
      </c>
      <c r="X2932" s="206">
        <f t="shared" ref="X2932:X2937" si="1814">IF(AND($V2932&gt;0,$I2932=1),P2932/$E2932*$V2932,0)</f>
        <v>0</v>
      </c>
      <c r="Y2932" s="209">
        <f t="shared" ref="Y2932:Y2937" si="1815">IF(AND($V2932&gt;0,$I2932&lt;&gt;1),Q2932/$E2932*$V2932,0)</f>
        <v>0</v>
      </c>
    </row>
    <row r="2933" spans="2:25" ht="60.75" hidden="1" thickTop="1" x14ac:dyDescent="0.25">
      <c r="B2933" s="60">
        <f>B2932</f>
        <v>42</v>
      </c>
      <c r="C2933" s="102">
        <v>289</v>
      </c>
      <c r="D2933" s="192" t="str">
        <f t="shared" si="1796"/>
        <v>Извън сезона</v>
      </c>
      <c r="E2933" s="62"/>
      <c r="F2933" s="105"/>
      <c r="G2933" s="105"/>
      <c r="H2933" s="61"/>
      <c r="I2933" s="61"/>
      <c r="J2933" s="62"/>
      <c r="K2933" s="63"/>
      <c r="L2933" s="61"/>
      <c r="M2933" s="61"/>
      <c r="N2933" s="111"/>
      <c r="O2933" s="112"/>
      <c r="P2933" s="113"/>
      <c r="Q2933" s="114"/>
      <c r="R2933" s="64"/>
      <c r="S2933" s="108"/>
      <c r="T2933" s="203">
        <f t="shared" si="1790"/>
        <v>43647</v>
      </c>
      <c r="U2933" s="204">
        <f t="shared" si="1791"/>
        <v>43677</v>
      </c>
      <c r="V2933" s="207">
        <f t="shared" ref="V2933:V2938" si="1816">IF(G2933-F2933+1-IF(G2933-U2933&gt;0,G2933-U2933,0)-IF(T2933-F2933&gt;0,T2933-F2933,0)&gt;0,G2933-F2933+1-IF(G2933-U2933&gt;0,G2933-U2933,0)-IF(T2933-F2933&gt;0,T2933-F2933,0),0)</f>
        <v>0</v>
      </c>
      <c r="W2933" s="206" t="str">
        <f t="shared" si="1813"/>
        <v/>
      </c>
      <c r="X2933" s="206">
        <f t="shared" si="1814"/>
        <v>0</v>
      </c>
      <c r="Y2933" s="209">
        <f t="shared" si="1815"/>
        <v>0</v>
      </c>
    </row>
    <row r="2934" spans="2:25" ht="60.75" hidden="1" thickTop="1" x14ac:dyDescent="0.25">
      <c r="B2934" s="60">
        <f>B2932</f>
        <v>42</v>
      </c>
      <c r="C2934" s="102">
        <v>290</v>
      </c>
      <c r="D2934" s="192" t="str">
        <f t="shared" si="1796"/>
        <v>Извън сезона</v>
      </c>
      <c r="E2934" s="62"/>
      <c r="F2934" s="105"/>
      <c r="G2934" s="105"/>
      <c r="H2934" s="61"/>
      <c r="I2934" s="61"/>
      <c r="J2934" s="62"/>
      <c r="K2934" s="63"/>
      <c r="L2934" s="61"/>
      <c r="M2934" s="61"/>
      <c r="N2934" s="111"/>
      <c r="O2934" s="112"/>
      <c r="P2934" s="113"/>
      <c r="Q2934" s="114"/>
      <c r="R2934" s="64"/>
      <c r="S2934" s="108"/>
      <c r="T2934" s="203">
        <f t="shared" si="1790"/>
        <v>43647</v>
      </c>
      <c r="U2934" s="204">
        <f t="shared" si="1791"/>
        <v>43677</v>
      </c>
      <c r="V2934" s="207">
        <f t="shared" si="1816"/>
        <v>0</v>
      </c>
      <c r="W2934" s="206" t="str">
        <f t="shared" si="1813"/>
        <v/>
      </c>
      <c r="X2934" s="206">
        <f t="shared" si="1814"/>
        <v>0</v>
      </c>
      <c r="Y2934" s="209">
        <f t="shared" si="1815"/>
        <v>0</v>
      </c>
    </row>
    <row r="2935" spans="2:25" ht="60.75" hidden="1" thickTop="1" x14ac:dyDescent="0.25">
      <c r="B2935" s="60">
        <f>B2932</f>
        <v>42</v>
      </c>
      <c r="C2935" s="102">
        <v>291</v>
      </c>
      <c r="D2935" s="192" t="str">
        <f t="shared" si="1796"/>
        <v>Извън сезона</v>
      </c>
      <c r="E2935" s="62"/>
      <c r="F2935" s="105"/>
      <c r="G2935" s="105"/>
      <c r="H2935" s="61"/>
      <c r="I2935" s="61"/>
      <c r="J2935" s="62"/>
      <c r="K2935" s="63"/>
      <c r="L2935" s="61"/>
      <c r="M2935" s="61"/>
      <c r="N2935" s="111"/>
      <c r="O2935" s="112"/>
      <c r="P2935" s="113"/>
      <c r="Q2935" s="114"/>
      <c r="R2935" s="64"/>
      <c r="S2935" s="108"/>
      <c r="T2935" s="203">
        <f t="shared" si="1790"/>
        <v>43647</v>
      </c>
      <c r="U2935" s="204">
        <f t="shared" si="1791"/>
        <v>43677</v>
      </c>
      <c r="V2935" s="207">
        <f t="shared" si="1816"/>
        <v>0</v>
      </c>
      <c r="W2935" s="206" t="str">
        <f t="shared" si="1813"/>
        <v/>
      </c>
      <c r="X2935" s="206">
        <f t="shared" si="1814"/>
        <v>0</v>
      </c>
      <c r="Y2935" s="209">
        <f t="shared" si="1815"/>
        <v>0</v>
      </c>
    </row>
    <row r="2936" spans="2:25" ht="60.75" hidden="1" thickTop="1" x14ac:dyDescent="0.25">
      <c r="B2936" s="60">
        <f>B2932</f>
        <v>42</v>
      </c>
      <c r="C2936" s="102">
        <v>292</v>
      </c>
      <c r="D2936" s="192" t="str">
        <f t="shared" si="1796"/>
        <v>Извън сезона</v>
      </c>
      <c r="E2936" s="62"/>
      <c r="F2936" s="105"/>
      <c r="G2936" s="105"/>
      <c r="H2936" s="61"/>
      <c r="I2936" s="61"/>
      <c r="J2936" s="62"/>
      <c r="K2936" s="63"/>
      <c r="L2936" s="61"/>
      <c r="M2936" s="61"/>
      <c r="N2936" s="111"/>
      <c r="O2936" s="112"/>
      <c r="P2936" s="113"/>
      <c r="Q2936" s="114"/>
      <c r="R2936" s="64"/>
      <c r="S2936" s="108"/>
      <c r="T2936" s="203">
        <f t="shared" si="1790"/>
        <v>43647</v>
      </c>
      <c r="U2936" s="204">
        <f t="shared" si="1791"/>
        <v>43677</v>
      </c>
      <c r="V2936" s="207">
        <f t="shared" si="1816"/>
        <v>0</v>
      </c>
      <c r="W2936" s="206" t="str">
        <f t="shared" si="1813"/>
        <v/>
      </c>
      <c r="X2936" s="206">
        <f t="shared" si="1814"/>
        <v>0</v>
      </c>
      <c r="Y2936" s="209">
        <f t="shared" si="1815"/>
        <v>0</v>
      </c>
    </row>
    <row r="2937" spans="2:25" ht="60.75" hidden="1" thickTop="1" x14ac:dyDescent="0.25">
      <c r="B2937" s="60">
        <f>B2932</f>
        <v>42</v>
      </c>
      <c r="C2937" s="102">
        <v>293</v>
      </c>
      <c r="D2937" s="192" t="str">
        <f t="shared" si="1796"/>
        <v>Извън сезона</v>
      </c>
      <c r="E2937" s="62"/>
      <c r="F2937" s="105"/>
      <c r="G2937" s="105"/>
      <c r="H2937" s="61"/>
      <c r="I2937" s="61"/>
      <c r="J2937" s="62"/>
      <c r="K2937" s="63"/>
      <c r="L2937" s="61"/>
      <c r="M2937" s="61"/>
      <c r="N2937" s="111"/>
      <c r="O2937" s="112"/>
      <c r="P2937" s="113"/>
      <c r="Q2937" s="114"/>
      <c r="R2937" s="64"/>
      <c r="S2937" s="108"/>
      <c r="T2937" s="203">
        <f t="shared" si="1790"/>
        <v>43647</v>
      </c>
      <c r="U2937" s="204">
        <f t="shared" si="1791"/>
        <v>43677</v>
      </c>
      <c r="V2937" s="207">
        <f t="shared" si="1816"/>
        <v>0</v>
      </c>
      <c r="W2937" s="206" t="str">
        <f t="shared" si="1813"/>
        <v/>
      </c>
      <c r="X2937" s="206">
        <f t="shared" si="1814"/>
        <v>0</v>
      </c>
      <c r="Y2937" s="209">
        <f t="shared" si="1815"/>
        <v>0</v>
      </c>
    </row>
    <row r="2938" spans="2:25" ht="61.5" hidden="1" thickTop="1" thickBot="1" x14ac:dyDescent="0.3">
      <c r="B2938" s="141">
        <f>B2932</f>
        <v>42</v>
      </c>
      <c r="C2938" s="142">
        <v>294</v>
      </c>
      <c r="D2938" s="194" t="str">
        <f t="shared" si="1796"/>
        <v>Извън сезона</v>
      </c>
      <c r="E2938" s="143"/>
      <c r="F2938" s="144"/>
      <c r="G2938" s="144"/>
      <c r="H2938" s="145"/>
      <c r="I2938" s="145"/>
      <c r="J2938" s="436" t="s">
        <v>181</v>
      </c>
      <c r="K2938" s="437"/>
      <c r="L2938" s="438"/>
      <c r="M2938" s="145"/>
      <c r="N2938" s="146"/>
      <c r="O2938" s="147"/>
      <c r="P2938" s="148"/>
      <c r="Q2938" s="149"/>
      <c r="R2938" s="150"/>
      <c r="S2938" s="151"/>
      <c r="T2938" s="213">
        <f t="shared" si="1790"/>
        <v>43647</v>
      </c>
      <c r="U2938" s="214">
        <f t="shared" si="1791"/>
        <v>43677</v>
      </c>
      <c r="V2938" s="210">
        <f t="shared" si="1816"/>
        <v>0</v>
      </c>
      <c r="W2938" s="211"/>
      <c r="X2938" s="211">
        <f>IF(AND($V2938&gt;0,$I2938=1),IF($E2938=10,P2938/10,P2938/$V2938),0)</f>
        <v>0</v>
      </c>
      <c r="Y2938" s="212">
        <f>IF(AND($V2932&gt;0,$I2938&lt;&gt;1),Q2938/E2932*V2932,0)</f>
        <v>0</v>
      </c>
    </row>
    <row r="2939" spans="2:25" ht="60.75" hidden="1" thickTop="1" x14ac:dyDescent="0.25">
      <c r="B2939" s="129">
        <f>B2937+1</f>
        <v>43</v>
      </c>
      <c r="C2939" s="130">
        <v>295</v>
      </c>
      <c r="D2939" s="196" t="str">
        <f t="shared" si="1796"/>
        <v>Извън сезона</v>
      </c>
      <c r="E2939" s="152"/>
      <c r="F2939" s="153"/>
      <c r="G2939" s="153"/>
      <c r="H2939" s="154"/>
      <c r="I2939" s="154"/>
      <c r="J2939" s="152"/>
      <c r="K2939" s="155"/>
      <c r="L2939" s="154"/>
      <c r="M2939" s="154"/>
      <c r="N2939" s="156"/>
      <c r="O2939" s="157"/>
      <c r="P2939" s="158"/>
      <c r="Q2939" s="159"/>
      <c r="R2939" s="160"/>
      <c r="S2939" s="161"/>
      <c r="T2939" s="203">
        <f t="shared" si="1790"/>
        <v>43647</v>
      </c>
      <c r="U2939" s="204">
        <f t="shared" si="1791"/>
        <v>43677</v>
      </c>
      <c r="V2939" s="207">
        <f>IF(G2939-F2939+1-IF(G2939-U2939&gt;0,G2939-U2939,0)-IF(T2939-F2939&gt;0,T2939-F2939,0)&gt;0,G2939-F2939+1-IF(G2939-U2939&gt;0,G2939-U2939,0)-IF(T2939-F2939&gt;0,T2939-F2939,0),0)</f>
        <v>0</v>
      </c>
      <c r="W2939" s="206" t="str">
        <f t="shared" ref="W2939:W2944" si="1817">IF(V2939&gt;0,H2939,"")</f>
        <v/>
      </c>
      <c r="X2939" s="206">
        <f t="shared" ref="X2939:X2944" si="1818">IF(AND($V2939&gt;0,$I2939=1),P2939/$E2939*$V2939,0)</f>
        <v>0</v>
      </c>
      <c r="Y2939" s="209">
        <f t="shared" ref="Y2939:Y2944" si="1819">IF(AND($V2939&gt;0,$I2939&lt;&gt;1),Q2939/$E2939*$V2939,0)</f>
        <v>0</v>
      </c>
    </row>
    <row r="2940" spans="2:25" ht="60.75" hidden="1" thickTop="1" x14ac:dyDescent="0.25">
      <c r="B2940" s="60">
        <f>B2939</f>
        <v>43</v>
      </c>
      <c r="C2940" s="102">
        <v>296</v>
      </c>
      <c r="D2940" s="192" t="str">
        <f t="shared" si="1796"/>
        <v>Извън сезона</v>
      </c>
      <c r="E2940" s="162"/>
      <c r="F2940" s="163"/>
      <c r="G2940" s="163"/>
      <c r="H2940" s="164"/>
      <c r="I2940" s="164"/>
      <c r="J2940" s="162"/>
      <c r="K2940" s="165"/>
      <c r="L2940" s="164"/>
      <c r="M2940" s="164"/>
      <c r="N2940" s="166"/>
      <c r="O2940" s="167"/>
      <c r="P2940" s="168"/>
      <c r="Q2940" s="169"/>
      <c r="R2940" s="170"/>
      <c r="S2940" s="171"/>
      <c r="T2940" s="203">
        <f t="shared" si="1790"/>
        <v>43647</v>
      </c>
      <c r="U2940" s="204">
        <f t="shared" si="1791"/>
        <v>43677</v>
      </c>
      <c r="V2940" s="207">
        <f t="shared" ref="V2940:V2945" si="1820">IF(G2940-F2940+1-IF(G2940-U2940&gt;0,G2940-U2940,0)-IF(T2940-F2940&gt;0,T2940-F2940,0)&gt;0,G2940-F2940+1-IF(G2940-U2940&gt;0,G2940-U2940,0)-IF(T2940-F2940&gt;0,T2940-F2940,0),0)</f>
        <v>0</v>
      </c>
      <c r="W2940" s="206" t="str">
        <f t="shared" si="1817"/>
        <v/>
      </c>
      <c r="X2940" s="206">
        <f t="shared" si="1818"/>
        <v>0</v>
      </c>
      <c r="Y2940" s="209">
        <f t="shared" si="1819"/>
        <v>0</v>
      </c>
    </row>
    <row r="2941" spans="2:25" ht="60.75" hidden="1" thickTop="1" x14ac:dyDescent="0.25">
      <c r="B2941" s="60">
        <f>B2939</f>
        <v>43</v>
      </c>
      <c r="C2941" s="102">
        <v>297</v>
      </c>
      <c r="D2941" s="192" t="str">
        <f t="shared" si="1796"/>
        <v>Извън сезона</v>
      </c>
      <c r="E2941" s="162"/>
      <c r="F2941" s="163"/>
      <c r="G2941" s="163"/>
      <c r="H2941" s="164"/>
      <c r="I2941" s="164"/>
      <c r="J2941" s="162"/>
      <c r="K2941" s="165"/>
      <c r="L2941" s="164"/>
      <c r="M2941" s="164"/>
      <c r="N2941" s="166"/>
      <c r="O2941" s="167"/>
      <c r="P2941" s="168"/>
      <c r="Q2941" s="169"/>
      <c r="R2941" s="170"/>
      <c r="S2941" s="171"/>
      <c r="T2941" s="203">
        <f t="shared" si="1790"/>
        <v>43647</v>
      </c>
      <c r="U2941" s="204">
        <f t="shared" si="1791"/>
        <v>43677</v>
      </c>
      <c r="V2941" s="207">
        <f t="shared" si="1820"/>
        <v>0</v>
      </c>
      <c r="W2941" s="206" t="str">
        <f t="shared" si="1817"/>
        <v/>
      </c>
      <c r="X2941" s="206">
        <f t="shared" si="1818"/>
        <v>0</v>
      </c>
      <c r="Y2941" s="209">
        <f t="shared" si="1819"/>
        <v>0</v>
      </c>
    </row>
    <row r="2942" spans="2:25" ht="60.75" hidden="1" thickTop="1" x14ac:dyDescent="0.25">
      <c r="B2942" s="60">
        <f>B2939</f>
        <v>43</v>
      </c>
      <c r="C2942" s="102">
        <v>298</v>
      </c>
      <c r="D2942" s="192" t="str">
        <f t="shared" si="1796"/>
        <v>Извън сезона</v>
      </c>
      <c r="E2942" s="162"/>
      <c r="F2942" s="163"/>
      <c r="G2942" s="163"/>
      <c r="H2942" s="164"/>
      <c r="I2942" s="164"/>
      <c r="J2942" s="162"/>
      <c r="K2942" s="165"/>
      <c r="L2942" s="164"/>
      <c r="M2942" s="164"/>
      <c r="N2942" s="166"/>
      <c r="O2942" s="167"/>
      <c r="P2942" s="168"/>
      <c r="Q2942" s="169"/>
      <c r="R2942" s="170"/>
      <c r="S2942" s="171"/>
      <c r="T2942" s="203">
        <f t="shared" si="1790"/>
        <v>43647</v>
      </c>
      <c r="U2942" s="204">
        <f t="shared" si="1791"/>
        <v>43677</v>
      </c>
      <c r="V2942" s="207">
        <f t="shared" si="1820"/>
        <v>0</v>
      </c>
      <c r="W2942" s="206" t="str">
        <f t="shared" si="1817"/>
        <v/>
      </c>
      <c r="X2942" s="206">
        <f t="shared" si="1818"/>
        <v>0</v>
      </c>
      <c r="Y2942" s="209">
        <f t="shared" si="1819"/>
        <v>0</v>
      </c>
    </row>
    <row r="2943" spans="2:25" ht="60.75" hidden="1" thickTop="1" x14ac:dyDescent="0.25">
      <c r="B2943" s="60">
        <f>B2939</f>
        <v>43</v>
      </c>
      <c r="C2943" s="102">
        <v>299</v>
      </c>
      <c r="D2943" s="192" t="str">
        <f t="shared" si="1796"/>
        <v>Извън сезона</v>
      </c>
      <c r="E2943" s="162"/>
      <c r="F2943" s="163"/>
      <c r="G2943" s="163"/>
      <c r="H2943" s="164"/>
      <c r="I2943" s="164"/>
      <c r="J2943" s="162"/>
      <c r="K2943" s="165"/>
      <c r="L2943" s="164"/>
      <c r="M2943" s="164"/>
      <c r="N2943" s="166"/>
      <c r="O2943" s="167"/>
      <c r="P2943" s="168"/>
      <c r="Q2943" s="169"/>
      <c r="R2943" s="170"/>
      <c r="S2943" s="171"/>
      <c r="T2943" s="203">
        <f t="shared" si="1790"/>
        <v>43647</v>
      </c>
      <c r="U2943" s="204">
        <f t="shared" si="1791"/>
        <v>43677</v>
      </c>
      <c r="V2943" s="207">
        <f t="shared" si="1820"/>
        <v>0</v>
      </c>
      <c r="W2943" s="206" t="str">
        <f t="shared" si="1817"/>
        <v/>
      </c>
      <c r="X2943" s="206">
        <f t="shared" si="1818"/>
        <v>0</v>
      </c>
      <c r="Y2943" s="209">
        <f t="shared" si="1819"/>
        <v>0</v>
      </c>
    </row>
    <row r="2944" spans="2:25" ht="60.75" hidden="1" thickTop="1" x14ac:dyDescent="0.25">
      <c r="B2944" s="60">
        <f>B2939</f>
        <v>43</v>
      </c>
      <c r="C2944" s="102">
        <v>300</v>
      </c>
      <c r="D2944" s="192" t="str">
        <f t="shared" si="1796"/>
        <v>Извън сезона</v>
      </c>
      <c r="E2944" s="172"/>
      <c r="F2944" s="173"/>
      <c r="G2944" s="173"/>
      <c r="H2944" s="174"/>
      <c r="I2944" s="174"/>
      <c r="J2944" s="172"/>
      <c r="K2944" s="175"/>
      <c r="L2944" s="174"/>
      <c r="M2944" s="174"/>
      <c r="N2944" s="176"/>
      <c r="O2944" s="177"/>
      <c r="P2944" s="178"/>
      <c r="Q2944" s="179"/>
      <c r="R2944" s="180"/>
      <c r="S2944" s="181"/>
      <c r="T2944" s="203">
        <f t="shared" si="1790"/>
        <v>43647</v>
      </c>
      <c r="U2944" s="204">
        <f t="shared" si="1791"/>
        <v>43677</v>
      </c>
      <c r="V2944" s="207">
        <f t="shared" si="1820"/>
        <v>0</v>
      </c>
      <c r="W2944" s="206" t="str">
        <f t="shared" si="1817"/>
        <v/>
      </c>
      <c r="X2944" s="206">
        <f t="shared" si="1818"/>
        <v>0</v>
      </c>
      <c r="Y2944" s="209">
        <f t="shared" si="1819"/>
        <v>0</v>
      </c>
    </row>
    <row r="2945" spans="2:25" ht="61.5" hidden="1" thickTop="1" thickBot="1" x14ac:dyDescent="0.3">
      <c r="B2945" s="141">
        <f>B2939</f>
        <v>43</v>
      </c>
      <c r="C2945" s="142">
        <v>301</v>
      </c>
      <c r="D2945" s="194" t="str">
        <f t="shared" si="1796"/>
        <v>Извън сезона</v>
      </c>
      <c r="E2945" s="189"/>
      <c r="F2945" s="190"/>
      <c r="G2945" s="190"/>
      <c r="H2945" s="182"/>
      <c r="I2945" s="182"/>
      <c r="J2945" s="436" t="s">
        <v>181</v>
      </c>
      <c r="K2945" s="437"/>
      <c r="L2945" s="438"/>
      <c r="M2945" s="182"/>
      <c r="N2945" s="183"/>
      <c r="O2945" s="184"/>
      <c r="P2945" s="185"/>
      <c r="Q2945" s="186"/>
      <c r="R2945" s="187"/>
      <c r="S2945" s="188"/>
      <c r="T2945" s="213">
        <f t="shared" si="1790"/>
        <v>43647</v>
      </c>
      <c r="U2945" s="214">
        <f t="shared" si="1791"/>
        <v>43677</v>
      </c>
      <c r="V2945" s="210">
        <f t="shared" si="1820"/>
        <v>0</v>
      </c>
      <c r="W2945" s="211"/>
      <c r="X2945" s="211">
        <f>IF(AND($V2945&gt;0,$I2945=1),IF($E2945=10,P2945/10,P2945/$V2945),0)</f>
        <v>0</v>
      </c>
      <c r="Y2945" s="212">
        <f>IF(AND($V2939&gt;0,$I2945&lt;&gt;1),Q2945/E2939*V2939,0)</f>
        <v>0</v>
      </c>
    </row>
    <row r="2946" spans="2:25" ht="60.75" hidden="1" thickTop="1" x14ac:dyDescent="0.25">
      <c r="B2946" s="129">
        <f>B2944+1</f>
        <v>44</v>
      </c>
      <c r="C2946" s="130">
        <v>302</v>
      </c>
      <c r="D2946" s="196" t="str">
        <f t="shared" si="1796"/>
        <v>Извън сезона</v>
      </c>
      <c r="E2946" s="131"/>
      <c r="F2946" s="132"/>
      <c r="G2946" s="132"/>
      <c r="H2946" s="133"/>
      <c r="I2946" s="133"/>
      <c r="J2946" s="131"/>
      <c r="K2946" s="134"/>
      <c r="L2946" s="133"/>
      <c r="M2946" s="133"/>
      <c r="N2946" s="135"/>
      <c r="O2946" s="136"/>
      <c r="P2946" s="137"/>
      <c r="Q2946" s="138"/>
      <c r="R2946" s="139"/>
      <c r="S2946" s="140"/>
      <c r="T2946" s="203">
        <f t="shared" si="1790"/>
        <v>43647</v>
      </c>
      <c r="U2946" s="204">
        <f t="shared" si="1791"/>
        <v>43677</v>
      </c>
      <c r="V2946" s="207">
        <f>IF(G2946-F2946+1-IF(G2946-U2946&gt;0,G2946-U2946,0)-IF(T2946-F2946&gt;0,T2946-F2946,0)&gt;0,G2946-F2946+1-IF(G2946-U2946&gt;0,G2946-U2946,0)-IF(T2946-F2946&gt;0,T2946-F2946,0),0)</f>
        <v>0</v>
      </c>
      <c r="W2946" s="206" t="str">
        <f t="shared" ref="W2946:W2951" si="1821">IF(V2946&gt;0,H2946,"")</f>
        <v/>
      </c>
      <c r="X2946" s="206">
        <f t="shared" ref="X2946:X2951" si="1822">IF(AND($V2946&gt;0,$I2946=1),P2946/$E2946*$V2946,0)</f>
        <v>0</v>
      </c>
      <c r="Y2946" s="209">
        <f t="shared" ref="Y2946:Y2951" si="1823">IF(AND($V2946&gt;0,$I2946&lt;&gt;1),Q2946/$E2946*$V2946,0)</f>
        <v>0</v>
      </c>
    </row>
    <row r="2947" spans="2:25" ht="60.75" hidden="1" thickTop="1" x14ac:dyDescent="0.25">
      <c r="B2947" s="60">
        <f>B2946</f>
        <v>44</v>
      </c>
      <c r="C2947" s="102">
        <v>303</v>
      </c>
      <c r="D2947" s="192" t="str">
        <f t="shared" si="1796"/>
        <v>Извън сезона</v>
      </c>
      <c r="E2947" s="62"/>
      <c r="F2947" s="105"/>
      <c r="G2947" s="105"/>
      <c r="H2947" s="61"/>
      <c r="I2947" s="61"/>
      <c r="J2947" s="62"/>
      <c r="K2947" s="63"/>
      <c r="L2947" s="61"/>
      <c r="M2947" s="61"/>
      <c r="N2947" s="111"/>
      <c r="O2947" s="112"/>
      <c r="P2947" s="113"/>
      <c r="Q2947" s="114"/>
      <c r="R2947" s="64"/>
      <c r="S2947" s="108"/>
      <c r="T2947" s="203">
        <f t="shared" si="1790"/>
        <v>43647</v>
      </c>
      <c r="U2947" s="204">
        <f t="shared" si="1791"/>
        <v>43677</v>
      </c>
      <c r="V2947" s="207">
        <f t="shared" ref="V2947:V2952" si="1824">IF(G2947-F2947+1-IF(G2947-U2947&gt;0,G2947-U2947,0)-IF(T2947-F2947&gt;0,T2947-F2947,0)&gt;0,G2947-F2947+1-IF(G2947-U2947&gt;0,G2947-U2947,0)-IF(T2947-F2947&gt;0,T2947-F2947,0),0)</f>
        <v>0</v>
      </c>
      <c r="W2947" s="206" t="str">
        <f t="shared" si="1821"/>
        <v/>
      </c>
      <c r="X2947" s="206">
        <f t="shared" si="1822"/>
        <v>0</v>
      </c>
      <c r="Y2947" s="209">
        <f t="shared" si="1823"/>
        <v>0</v>
      </c>
    </row>
    <row r="2948" spans="2:25" ht="60.75" hidden="1" thickTop="1" x14ac:dyDescent="0.25">
      <c r="B2948" s="60">
        <f>B2946</f>
        <v>44</v>
      </c>
      <c r="C2948" s="102">
        <v>304</v>
      </c>
      <c r="D2948" s="192" t="str">
        <f t="shared" si="1796"/>
        <v>Извън сезона</v>
      </c>
      <c r="E2948" s="62"/>
      <c r="F2948" s="105"/>
      <c r="G2948" s="105"/>
      <c r="H2948" s="61"/>
      <c r="I2948" s="61"/>
      <c r="J2948" s="62"/>
      <c r="K2948" s="63"/>
      <c r="L2948" s="61"/>
      <c r="M2948" s="61"/>
      <c r="N2948" s="111"/>
      <c r="O2948" s="112"/>
      <c r="P2948" s="113"/>
      <c r="Q2948" s="114"/>
      <c r="R2948" s="64"/>
      <c r="S2948" s="108"/>
      <c r="T2948" s="203">
        <f t="shared" si="1790"/>
        <v>43647</v>
      </c>
      <c r="U2948" s="204">
        <f t="shared" si="1791"/>
        <v>43677</v>
      </c>
      <c r="V2948" s="207">
        <f t="shared" si="1824"/>
        <v>0</v>
      </c>
      <c r="W2948" s="206" t="str">
        <f t="shared" si="1821"/>
        <v/>
      </c>
      <c r="X2948" s="206">
        <f t="shared" si="1822"/>
        <v>0</v>
      </c>
      <c r="Y2948" s="209">
        <f t="shared" si="1823"/>
        <v>0</v>
      </c>
    </row>
    <row r="2949" spans="2:25" ht="60.75" hidden="1" thickTop="1" x14ac:dyDescent="0.25">
      <c r="B2949" s="60">
        <f>B2946</f>
        <v>44</v>
      </c>
      <c r="C2949" s="102">
        <v>305</v>
      </c>
      <c r="D2949" s="192" t="str">
        <f t="shared" si="1796"/>
        <v>Извън сезона</v>
      </c>
      <c r="E2949" s="62"/>
      <c r="F2949" s="105"/>
      <c r="G2949" s="105"/>
      <c r="H2949" s="61"/>
      <c r="I2949" s="61"/>
      <c r="J2949" s="62"/>
      <c r="K2949" s="63"/>
      <c r="L2949" s="61"/>
      <c r="M2949" s="61"/>
      <c r="N2949" s="111"/>
      <c r="O2949" s="112"/>
      <c r="P2949" s="113"/>
      <c r="Q2949" s="114"/>
      <c r="R2949" s="64"/>
      <c r="S2949" s="108"/>
      <c r="T2949" s="203">
        <f t="shared" si="1790"/>
        <v>43647</v>
      </c>
      <c r="U2949" s="204">
        <f t="shared" si="1791"/>
        <v>43677</v>
      </c>
      <c r="V2949" s="207">
        <f t="shared" si="1824"/>
        <v>0</v>
      </c>
      <c r="W2949" s="206" t="str">
        <f t="shared" si="1821"/>
        <v/>
      </c>
      <c r="X2949" s="206">
        <f t="shared" si="1822"/>
        <v>0</v>
      </c>
      <c r="Y2949" s="209">
        <f t="shared" si="1823"/>
        <v>0</v>
      </c>
    </row>
    <row r="2950" spans="2:25" ht="60.75" hidden="1" thickTop="1" x14ac:dyDescent="0.25">
      <c r="B2950" s="60">
        <f>B2946</f>
        <v>44</v>
      </c>
      <c r="C2950" s="102">
        <v>306</v>
      </c>
      <c r="D2950" s="192" t="str">
        <f t="shared" si="1796"/>
        <v>Извън сезона</v>
      </c>
      <c r="E2950" s="62"/>
      <c r="F2950" s="105"/>
      <c r="G2950" s="105"/>
      <c r="H2950" s="61"/>
      <c r="I2950" s="61"/>
      <c r="J2950" s="62"/>
      <c r="K2950" s="63"/>
      <c r="L2950" s="61"/>
      <c r="M2950" s="61"/>
      <c r="N2950" s="111"/>
      <c r="O2950" s="112"/>
      <c r="P2950" s="113"/>
      <c r="Q2950" s="114"/>
      <c r="R2950" s="64"/>
      <c r="S2950" s="108"/>
      <c r="T2950" s="203">
        <f t="shared" si="1790"/>
        <v>43647</v>
      </c>
      <c r="U2950" s="204">
        <f t="shared" si="1791"/>
        <v>43677</v>
      </c>
      <c r="V2950" s="207">
        <f t="shared" si="1824"/>
        <v>0</v>
      </c>
      <c r="W2950" s="206" t="str">
        <f t="shared" si="1821"/>
        <v/>
      </c>
      <c r="X2950" s="206">
        <f t="shared" si="1822"/>
        <v>0</v>
      </c>
      <c r="Y2950" s="209">
        <f t="shared" si="1823"/>
        <v>0</v>
      </c>
    </row>
    <row r="2951" spans="2:25" ht="60.75" hidden="1" thickTop="1" x14ac:dyDescent="0.25">
      <c r="B2951" s="60">
        <f>B2946</f>
        <v>44</v>
      </c>
      <c r="C2951" s="102">
        <v>307</v>
      </c>
      <c r="D2951" s="192" t="str">
        <f t="shared" si="1796"/>
        <v>Извън сезона</v>
      </c>
      <c r="E2951" s="62"/>
      <c r="F2951" s="105"/>
      <c r="G2951" s="105"/>
      <c r="H2951" s="61"/>
      <c r="I2951" s="61"/>
      <c r="J2951" s="62"/>
      <c r="K2951" s="63"/>
      <c r="L2951" s="61"/>
      <c r="M2951" s="61"/>
      <c r="N2951" s="111"/>
      <c r="O2951" s="112"/>
      <c r="P2951" s="113"/>
      <c r="Q2951" s="114"/>
      <c r="R2951" s="64"/>
      <c r="S2951" s="108"/>
      <c r="T2951" s="203">
        <f t="shared" si="1790"/>
        <v>43647</v>
      </c>
      <c r="U2951" s="204">
        <f t="shared" si="1791"/>
        <v>43677</v>
      </c>
      <c r="V2951" s="207">
        <f t="shared" si="1824"/>
        <v>0</v>
      </c>
      <c r="W2951" s="206" t="str">
        <f t="shared" si="1821"/>
        <v/>
      </c>
      <c r="X2951" s="206">
        <f t="shared" si="1822"/>
        <v>0</v>
      </c>
      <c r="Y2951" s="209">
        <f t="shared" si="1823"/>
        <v>0</v>
      </c>
    </row>
    <row r="2952" spans="2:25" ht="61.5" hidden="1" thickTop="1" thickBot="1" x14ac:dyDescent="0.3">
      <c r="B2952" s="141">
        <f>B2946</f>
        <v>44</v>
      </c>
      <c r="C2952" s="142">
        <v>308</v>
      </c>
      <c r="D2952" s="194" t="str">
        <f t="shared" si="1796"/>
        <v>Извън сезона</v>
      </c>
      <c r="E2952" s="143"/>
      <c r="F2952" s="144"/>
      <c r="G2952" s="144"/>
      <c r="H2952" s="145"/>
      <c r="I2952" s="145"/>
      <c r="J2952" s="436" t="s">
        <v>181</v>
      </c>
      <c r="K2952" s="437"/>
      <c r="L2952" s="438"/>
      <c r="M2952" s="145"/>
      <c r="N2952" s="146"/>
      <c r="O2952" s="147"/>
      <c r="P2952" s="148"/>
      <c r="Q2952" s="149"/>
      <c r="R2952" s="150"/>
      <c r="S2952" s="151"/>
      <c r="T2952" s="213">
        <f t="shared" si="1790"/>
        <v>43647</v>
      </c>
      <c r="U2952" s="214">
        <f t="shared" si="1791"/>
        <v>43677</v>
      </c>
      <c r="V2952" s="210">
        <f t="shared" si="1824"/>
        <v>0</v>
      </c>
      <c r="W2952" s="211"/>
      <c r="X2952" s="211">
        <f>IF(AND($V2952&gt;0,$I2952=1),IF($E2952=10,P2952/10,P2952/$V2952),0)</f>
        <v>0</v>
      </c>
      <c r="Y2952" s="212">
        <f>IF(AND($V2946&gt;0,$I2952&lt;&gt;1),Q2952/E2946*V2946,0)</f>
        <v>0</v>
      </c>
    </row>
    <row r="2953" spans="2:25" ht="60.75" hidden="1" thickTop="1" x14ac:dyDescent="0.25">
      <c r="B2953" s="129">
        <f>B2951+1</f>
        <v>45</v>
      </c>
      <c r="C2953" s="130">
        <v>309</v>
      </c>
      <c r="D2953" s="196" t="str">
        <f t="shared" si="1796"/>
        <v>Извън сезона</v>
      </c>
      <c r="E2953" s="152"/>
      <c r="F2953" s="153"/>
      <c r="G2953" s="153"/>
      <c r="H2953" s="154"/>
      <c r="I2953" s="154"/>
      <c r="J2953" s="152"/>
      <c r="K2953" s="155"/>
      <c r="L2953" s="154"/>
      <c r="M2953" s="154"/>
      <c r="N2953" s="156"/>
      <c r="O2953" s="157"/>
      <c r="P2953" s="158"/>
      <c r="Q2953" s="159"/>
      <c r="R2953" s="160"/>
      <c r="S2953" s="161"/>
      <c r="T2953" s="203">
        <f t="shared" si="1790"/>
        <v>43647</v>
      </c>
      <c r="U2953" s="204">
        <f t="shared" si="1791"/>
        <v>43677</v>
      </c>
      <c r="V2953" s="207">
        <f>IF(G2953-F2953+1-IF(G2953-U2953&gt;0,G2953-U2953,0)-IF(T2953-F2953&gt;0,T2953-F2953,0)&gt;0,G2953-F2953+1-IF(G2953-U2953&gt;0,G2953-U2953,0)-IF(T2953-F2953&gt;0,T2953-F2953,0),0)</f>
        <v>0</v>
      </c>
      <c r="W2953" s="206" t="str">
        <f t="shared" ref="W2953:W2958" si="1825">IF(V2953&gt;0,H2953,"")</f>
        <v/>
      </c>
      <c r="X2953" s="206">
        <f t="shared" ref="X2953:X2958" si="1826">IF(AND($V2953&gt;0,$I2953=1),P2953/$E2953*$V2953,0)</f>
        <v>0</v>
      </c>
      <c r="Y2953" s="209">
        <f t="shared" ref="Y2953:Y2958" si="1827">IF(AND($V2953&gt;0,$I2953&lt;&gt;1),Q2953/$E2953*$V2953,0)</f>
        <v>0</v>
      </c>
    </row>
    <row r="2954" spans="2:25" ht="60.75" hidden="1" thickTop="1" x14ac:dyDescent="0.25">
      <c r="B2954" s="60">
        <f>B2953</f>
        <v>45</v>
      </c>
      <c r="C2954" s="102">
        <v>310</v>
      </c>
      <c r="D2954" s="192" t="str">
        <f t="shared" si="1796"/>
        <v>Извън сезона</v>
      </c>
      <c r="E2954" s="162"/>
      <c r="F2954" s="163"/>
      <c r="G2954" s="163"/>
      <c r="H2954" s="164"/>
      <c r="I2954" s="164"/>
      <c r="J2954" s="162"/>
      <c r="K2954" s="165"/>
      <c r="L2954" s="164"/>
      <c r="M2954" s="164"/>
      <c r="N2954" s="166"/>
      <c r="O2954" s="167"/>
      <c r="P2954" s="168"/>
      <c r="Q2954" s="169"/>
      <c r="R2954" s="170"/>
      <c r="S2954" s="171"/>
      <c r="T2954" s="203">
        <f t="shared" si="1790"/>
        <v>43647</v>
      </c>
      <c r="U2954" s="204">
        <f t="shared" si="1791"/>
        <v>43677</v>
      </c>
      <c r="V2954" s="207">
        <f t="shared" ref="V2954:V2959" si="1828">IF(G2954-F2954+1-IF(G2954-U2954&gt;0,G2954-U2954,0)-IF(T2954-F2954&gt;0,T2954-F2954,0)&gt;0,G2954-F2954+1-IF(G2954-U2954&gt;0,G2954-U2954,0)-IF(T2954-F2954&gt;0,T2954-F2954,0),0)</f>
        <v>0</v>
      </c>
      <c r="W2954" s="206" t="str">
        <f t="shared" si="1825"/>
        <v/>
      </c>
      <c r="X2954" s="206">
        <f t="shared" si="1826"/>
        <v>0</v>
      </c>
      <c r="Y2954" s="209">
        <f t="shared" si="1827"/>
        <v>0</v>
      </c>
    </row>
    <row r="2955" spans="2:25" ht="60.75" hidden="1" thickTop="1" x14ac:dyDescent="0.25">
      <c r="B2955" s="60">
        <f>B2953</f>
        <v>45</v>
      </c>
      <c r="C2955" s="102">
        <v>311</v>
      </c>
      <c r="D2955" s="192" t="str">
        <f t="shared" si="1796"/>
        <v>Извън сезона</v>
      </c>
      <c r="E2955" s="162"/>
      <c r="F2955" s="163"/>
      <c r="G2955" s="163"/>
      <c r="H2955" s="164"/>
      <c r="I2955" s="164"/>
      <c r="J2955" s="162"/>
      <c r="K2955" s="165"/>
      <c r="L2955" s="164"/>
      <c r="M2955" s="164"/>
      <c r="N2955" s="166"/>
      <c r="O2955" s="167"/>
      <c r="P2955" s="168"/>
      <c r="Q2955" s="169"/>
      <c r="R2955" s="170"/>
      <c r="S2955" s="171"/>
      <c r="T2955" s="203">
        <f t="shared" si="1790"/>
        <v>43647</v>
      </c>
      <c r="U2955" s="204">
        <f t="shared" si="1791"/>
        <v>43677</v>
      </c>
      <c r="V2955" s="207">
        <f t="shared" si="1828"/>
        <v>0</v>
      </c>
      <c r="W2955" s="206" t="str">
        <f t="shared" si="1825"/>
        <v/>
      </c>
      <c r="X2955" s="206">
        <f t="shared" si="1826"/>
        <v>0</v>
      </c>
      <c r="Y2955" s="209">
        <f t="shared" si="1827"/>
        <v>0</v>
      </c>
    </row>
    <row r="2956" spans="2:25" ht="60.75" hidden="1" thickTop="1" x14ac:dyDescent="0.25">
      <c r="B2956" s="60">
        <f>B2953</f>
        <v>45</v>
      </c>
      <c r="C2956" s="102">
        <v>312</v>
      </c>
      <c r="D2956" s="192" t="str">
        <f t="shared" si="1796"/>
        <v>Извън сезона</v>
      </c>
      <c r="E2956" s="162"/>
      <c r="F2956" s="163"/>
      <c r="G2956" s="163"/>
      <c r="H2956" s="164"/>
      <c r="I2956" s="164"/>
      <c r="J2956" s="162"/>
      <c r="K2956" s="165"/>
      <c r="L2956" s="164"/>
      <c r="M2956" s="164"/>
      <c r="N2956" s="166"/>
      <c r="O2956" s="167"/>
      <c r="P2956" s="168"/>
      <c r="Q2956" s="169"/>
      <c r="R2956" s="170"/>
      <c r="S2956" s="171"/>
      <c r="T2956" s="203">
        <f t="shared" si="1790"/>
        <v>43647</v>
      </c>
      <c r="U2956" s="204">
        <f t="shared" si="1791"/>
        <v>43677</v>
      </c>
      <c r="V2956" s="207">
        <f t="shared" si="1828"/>
        <v>0</v>
      </c>
      <c r="W2956" s="206" t="str">
        <f t="shared" si="1825"/>
        <v/>
      </c>
      <c r="X2956" s="206">
        <f t="shared" si="1826"/>
        <v>0</v>
      </c>
      <c r="Y2956" s="209">
        <f t="shared" si="1827"/>
        <v>0</v>
      </c>
    </row>
    <row r="2957" spans="2:25" ht="60.75" hidden="1" thickTop="1" x14ac:dyDescent="0.25">
      <c r="B2957" s="60">
        <f>B2953</f>
        <v>45</v>
      </c>
      <c r="C2957" s="102">
        <v>313</v>
      </c>
      <c r="D2957" s="192" t="str">
        <f t="shared" si="1796"/>
        <v>Извън сезона</v>
      </c>
      <c r="E2957" s="162"/>
      <c r="F2957" s="163"/>
      <c r="G2957" s="163"/>
      <c r="H2957" s="164"/>
      <c r="I2957" s="164"/>
      <c r="J2957" s="162"/>
      <c r="K2957" s="165"/>
      <c r="L2957" s="164"/>
      <c r="M2957" s="164"/>
      <c r="N2957" s="166"/>
      <c r="O2957" s="167"/>
      <c r="P2957" s="168"/>
      <c r="Q2957" s="169"/>
      <c r="R2957" s="170"/>
      <c r="S2957" s="171"/>
      <c r="T2957" s="203">
        <f t="shared" ref="T2957:T2973" si="1829">$F$4</f>
        <v>43647</v>
      </c>
      <c r="U2957" s="204">
        <f t="shared" ref="U2957:U2973" si="1830">$G$4</f>
        <v>43677</v>
      </c>
      <c r="V2957" s="207">
        <f t="shared" si="1828"/>
        <v>0</v>
      </c>
      <c r="W2957" s="206" t="str">
        <f t="shared" si="1825"/>
        <v/>
      </c>
      <c r="X2957" s="206">
        <f t="shared" si="1826"/>
        <v>0</v>
      </c>
      <c r="Y2957" s="209">
        <f t="shared" si="1827"/>
        <v>0</v>
      </c>
    </row>
    <row r="2958" spans="2:25" ht="60.75" hidden="1" thickTop="1" x14ac:dyDescent="0.25">
      <c r="B2958" s="60">
        <f>B2953</f>
        <v>45</v>
      </c>
      <c r="C2958" s="102">
        <v>314</v>
      </c>
      <c r="D2958" s="192" t="str">
        <f t="shared" si="1796"/>
        <v>Извън сезона</v>
      </c>
      <c r="E2958" s="172"/>
      <c r="F2958" s="173"/>
      <c r="G2958" s="173"/>
      <c r="H2958" s="174"/>
      <c r="I2958" s="174"/>
      <c r="J2958" s="172"/>
      <c r="K2958" s="175"/>
      <c r="L2958" s="174"/>
      <c r="M2958" s="174"/>
      <c r="N2958" s="176"/>
      <c r="O2958" s="177"/>
      <c r="P2958" s="178"/>
      <c r="Q2958" s="179"/>
      <c r="R2958" s="180"/>
      <c r="S2958" s="181"/>
      <c r="T2958" s="203">
        <f t="shared" si="1829"/>
        <v>43647</v>
      </c>
      <c r="U2958" s="204">
        <f t="shared" si="1830"/>
        <v>43677</v>
      </c>
      <c r="V2958" s="207">
        <f t="shared" si="1828"/>
        <v>0</v>
      </c>
      <c r="W2958" s="206" t="str">
        <f t="shared" si="1825"/>
        <v/>
      </c>
      <c r="X2958" s="206">
        <f t="shared" si="1826"/>
        <v>0</v>
      </c>
      <c r="Y2958" s="209">
        <f t="shared" si="1827"/>
        <v>0</v>
      </c>
    </row>
    <row r="2959" spans="2:25" ht="61.5" hidden="1" thickTop="1" thickBot="1" x14ac:dyDescent="0.3">
      <c r="B2959" s="141">
        <f>B2953</f>
        <v>45</v>
      </c>
      <c r="C2959" s="142">
        <v>315</v>
      </c>
      <c r="D2959" s="194" t="str">
        <f t="shared" si="1796"/>
        <v>Извън сезона</v>
      </c>
      <c r="E2959" s="189"/>
      <c r="F2959" s="190"/>
      <c r="G2959" s="190"/>
      <c r="H2959" s="182"/>
      <c r="I2959" s="182"/>
      <c r="J2959" s="436" t="s">
        <v>181</v>
      </c>
      <c r="K2959" s="437"/>
      <c r="L2959" s="438"/>
      <c r="M2959" s="182"/>
      <c r="N2959" s="183"/>
      <c r="O2959" s="184"/>
      <c r="P2959" s="185"/>
      <c r="Q2959" s="186"/>
      <c r="R2959" s="187"/>
      <c r="S2959" s="188"/>
      <c r="T2959" s="213">
        <f t="shared" si="1829"/>
        <v>43647</v>
      </c>
      <c r="U2959" s="214">
        <f t="shared" si="1830"/>
        <v>43677</v>
      </c>
      <c r="V2959" s="210">
        <f t="shared" si="1828"/>
        <v>0</v>
      </c>
      <c r="W2959" s="211"/>
      <c r="X2959" s="211">
        <f>IF(AND($V2959&gt;0,$I2959=1),IF($E2959=10,P2959/10,P2959/$V2959),0)</f>
        <v>0</v>
      </c>
      <c r="Y2959" s="212">
        <f>IF(AND($V2953&gt;0,$I2959&lt;&gt;1),Q2959/E2953*V2953,0)</f>
        <v>0</v>
      </c>
    </row>
    <row r="2960" spans="2:25" ht="60.75" hidden="1" thickTop="1" x14ac:dyDescent="0.25">
      <c r="B2960" s="129">
        <f>B2958+1</f>
        <v>46</v>
      </c>
      <c r="C2960" s="130">
        <v>316</v>
      </c>
      <c r="D2960" s="196" t="str">
        <f t="shared" si="1796"/>
        <v>Извън сезона</v>
      </c>
      <c r="E2960" s="131"/>
      <c r="F2960" s="132"/>
      <c r="G2960" s="132"/>
      <c r="H2960" s="133"/>
      <c r="I2960" s="133"/>
      <c r="J2960" s="131"/>
      <c r="K2960" s="134"/>
      <c r="L2960" s="133"/>
      <c r="M2960" s="133"/>
      <c r="N2960" s="135"/>
      <c r="O2960" s="136"/>
      <c r="P2960" s="137"/>
      <c r="Q2960" s="138"/>
      <c r="R2960" s="139"/>
      <c r="S2960" s="140"/>
      <c r="T2960" s="203">
        <f t="shared" si="1829"/>
        <v>43647</v>
      </c>
      <c r="U2960" s="204">
        <f t="shared" si="1830"/>
        <v>43677</v>
      </c>
      <c r="V2960" s="207">
        <f>IF(G2960-F2960+1-IF(G2960-U2960&gt;0,G2960-U2960,0)-IF(T2960-F2960&gt;0,T2960-F2960,0)&gt;0,G2960-F2960+1-IF(G2960-U2960&gt;0,G2960-U2960,0)-IF(T2960-F2960&gt;0,T2960-F2960,0),0)</f>
        <v>0</v>
      </c>
      <c r="W2960" s="206" t="str">
        <f t="shared" ref="W2960:W2965" si="1831">IF(V2960&gt;0,H2960,"")</f>
        <v/>
      </c>
      <c r="X2960" s="206">
        <f t="shared" ref="X2960:X2965" si="1832">IF(AND($V2960&gt;0,$I2960=1),P2960/$E2960*$V2960,0)</f>
        <v>0</v>
      </c>
      <c r="Y2960" s="209">
        <f t="shared" ref="Y2960:Y2965" si="1833">IF(AND($V2960&gt;0,$I2960&lt;&gt;1),Q2960/$E2960*$V2960,0)</f>
        <v>0</v>
      </c>
    </row>
    <row r="2961" spans="2:25" ht="60.75" hidden="1" thickTop="1" x14ac:dyDescent="0.25">
      <c r="B2961" s="60">
        <f>B2960</f>
        <v>46</v>
      </c>
      <c r="C2961" s="102">
        <v>317</v>
      </c>
      <c r="D2961" s="192" t="str">
        <f t="shared" si="1796"/>
        <v>Извън сезона</v>
      </c>
      <c r="E2961" s="62"/>
      <c r="F2961" s="105"/>
      <c r="G2961" s="105"/>
      <c r="H2961" s="61"/>
      <c r="I2961" s="61"/>
      <c r="J2961" s="62"/>
      <c r="K2961" s="63"/>
      <c r="L2961" s="61"/>
      <c r="M2961" s="61"/>
      <c r="N2961" s="111"/>
      <c r="O2961" s="112"/>
      <c r="P2961" s="113"/>
      <c r="Q2961" s="114"/>
      <c r="R2961" s="64"/>
      <c r="S2961" s="108"/>
      <c r="T2961" s="203">
        <f t="shared" si="1829"/>
        <v>43647</v>
      </c>
      <c r="U2961" s="204">
        <f t="shared" si="1830"/>
        <v>43677</v>
      </c>
      <c r="V2961" s="207">
        <f t="shared" ref="V2961:V2966" si="1834">IF(G2961-F2961+1-IF(G2961-U2961&gt;0,G2961-U2961,0)-IF(T2961-F2961&gt;0,T2961-F2961,0)&gt;0,G2961-F2961+1-IF(G2961-U2961&gt;0,G2961-U2961,0)-IF(T2961-F2961&gt;0,T2961-F2961,0),0)</f>
        <v>0</v>
      </c>
      <c r="W2961" s="206" t="str">
        <f t="shared" si="1831"/>
        <v/>
      </c>
      <c r="X2961" s="206">
        <f t="shared" si="1832"/>
        <v>0</v>
      </c>
      <c r="Y2961" s="209">
        <f t="shared" si="1833"/>
        <v>0</v>
      </c>
    </row>
    <row r="2962" spans="2:25" ht="60.75" hidden="1" thickTop="1" x14ac:dyDescent="0.25">
      <c r="B2962" s="60">
        <f>B2960</f>
        <v>46</v>
      </c>
      <c r="C2962" s="102">
        <v>318</v>
      </c>
      <c r="D2962" s="192" t="str">
        <f t="shared" si="1796"/>
        <v>Извън сезона</v>
      </c>
      <c r="E2962" s="62"/>
      <c r="F2962" s="105"/>
      <c r="G2962" s="105"/>
      <c r="H2962" s="61"/>
      <c r="I2962" s="61"/>
      <c r="J2962" s="62"/>
      <c r="K2962" s="63"/>
      <c r="L2962" s="61"/>
      <c r="M2962" s="61"/>
      <c r="N2962" s="111"/>
      <c r="O2962" s="112"/>
      <c r="P2962" s="113"/>
      <c r="Q2962" s="114"/>
      <c r="R2962" s="64"/>
      <c r="S2962" s="108"/>
      <c r="T2962" s="203">
        <f t="shared" si="1829"/>
        <v>43647</v>
      </c>
      <c r="U2962" s="204">
        <f t="shared" si="1830"/>
        <v>43677</v>
      </c>
      <c r="V2962" s="207">
        <f t="shared" si="1834"/>
        <v>0</v>
      </c>
      <c r="W2962" s="206" t="str">
        <f t="shared" si="1831"/>
        <v/>
      </c>
      <c r="X2962" s="206">
        <f t="shared" si="1832"/>
        <v>0</v>
      </c>
      <c r="Y2962" s="209">
        <f t="shared" si="1833"/>
        <v>0</v>
      </c>
    </row>
    <row r="2963" spans="2:25" ht="60.75" hidden="1" thickTop="1" x14ac:dyDescent="0.25">
      <c r="B2963" s="60">
        <f>B2960</f>
        <v>46</v>
      </c>
      <c r="C2963" s="102">
        <v>319</v>
      </c>
      <c r="D2963" s="192" t="str">
        <f t="shared" si="1796"/>
        <v>Извън сезона</v>
      </c>
      <c r="E2963" s="62"/>
      <c r="F2963" s="105"/>
      <c r="G2963" s="105"/>
      <c r="H2963" s="61"/>
      <c r="I2963" s="61"/>
      <c r="J2963" s="62"/>
      <c r="K2963" s="63"/>
      <c r="L2963" s="61"/>
      <c r="M2963" s="61"/>
      <c r="N2963" s="111"/>
      <c r="O2963" s="112"/>
      <c r="P2963" s="113"/>
      <c r="Q2963" s="114"/>
      <c r="R2963" s="64"/>
      <c r="S2963" s="108"/>
      <c r="T2963" s="203">
        <f t="shared" si="1829"/>
        <v>43647</v>
      </c>
      <c r="U2963" s="204">
        <f t="shared" si="1830"/>
        <v>43677</v>
      </c>
      <c r="V2963" s="207">
        <f t="shared" si="1834"/>
        <v>0</v>
      </c>
      <c r="W2963" s="206" t="str">
        <f t="shared" si="1831"/>
        <v/>
      </c>
      <c r="X2963" s="206">
        <f t="shared" si="1832"/>
        <v>0</v>
      </c>
      <c r="Y2963" s="209">
        <f t="shared" si="1833"/>
        <v>0</v>
      </c>
    </row>
    <row r="2964" spans="2:25" ht="60.75" hidden="1" thickTop="1" x14ac:dyDescent="0.25">
      <c r="B2964" s="60">
        <f>B2960</f>
        <v>46</v>
      </c>
      <c r="C2964" s="102">
        <v>320</v>
      </c>
      <c r="D2964" s="192" t="str">
        <f t="shared" si="1796"/>
        <v>Извън сезона</v>
      </c>
      <c r="E2964" s="62"/>
      <c r="F2964" s="105"/>
      <c r="G2964" s="105"/>
      <c r="H2964" s="61"/>
      <c r="I2964" s="61"/>
      <c r="J2964" s="62"/>
      <c r="K2964" s="63"/>
      <c r="L2964" s="61"/>
      <c r="M2964" s="61"/>
      <c r="N2964" s="111"/>
      <c r="O2964" s="112"/>
      <c r="P2964" s="113"/>
      <c r="Q2964" s="114"/>
      <c r="R2964" s="64"/>
      <c r="S2964" s="108"/>
      <c r="T2964" s="203">
        <f t="shared" si="1829"/>
        <v>43647</v>
      </c>
      <c r="U2964" s="204">
        <f t="shared" si="1830"/>
        <v>43677</v>
      </c>
      <c r="V2964" s="207">
        <f t="shared" si="1834"/>
        <v>0</v>
      </c>
      <c r="W2964" s="206" t="str">
        <f t="shared" si="1831"/>
        <v/>
      </c>
      <c r="X2964" s="206">
        <f t="shared" si="1832"/>
        <v>0</v>
      </c>
      <c r="Y2964" s="209">
        <f t="shared" si="1833"/>
        <v>0</v>
      </c>
    </row>
    <row r="2965" spans="2:25" ht="60.75" hidden="1" thickTop="1" x14ac:dyDescent="0.25">
      <c r="B2965" s="60">
        <f>B2960</f>
        <v>46</v>
      </c>
      <c r="C2965" s="102">
        <v>321</v>
      </c>
      <c r="D2965" s="192" t="str">
        <f t="shared" si="1796"/>
        <v>Извън сезона</v>
      </c>
      <c r="E2965" s="62"/>
      <c r="F2965" s="105"/>
      <c r="G2965" s="105"/>
      <c r="H2965" s="61"/>
      <c r="I2965" s="61"/>
      <c r="J2965" s="62"/>
      <c r="K2965" s="63"/>
      <c r="L2965" s="61"/>
      <c r="M2965" s="61"/>
      <c r="N2965" s="111"/>
      <c r="O2965" s="112"/>
      <c r="P2965" s="113"/>
      <c r="Q2965" s="114"/>
      <c r="R2965" s="64"/>
      <c r="S2965" s="108"/>
      <c r="T2965" s="203">
        <f t="shared" si="1829"/>
        <v>43647</v>
      </c>
      <c r="U2965" s="204">
        <f t="shared" si="1830"/>
        <v>43677</v>
      </c>
      <c r="V2965" s="207">
        <f t="shared" si="1834"/>
        <v>0</v>
      </c>
      <c r="W2965" s="206" t="str">
        <f t="shared" si="1831"/>
        <v/>
      </c>
      <c r="X2965" s="206">
        <f t="shared" si="1832"/>
        <v>0</v>
      </c>
      <c r="Y2965" s="209">
        <f t="shared" si="1833"/>
        <v>0</v>
      </c>
    </row>
    <row r="2966" spans="2:25" ht="61.5" hidden="1" thickTop="1" thickBot="1" x14ac:dyDescent="0.3">
      <c r="B2966" s="141">
        <f>B2960</f>
        <v>46</v>
      </c>
      <c r="C2966" s="142">
        <v>322</v>
      </c>
      <c r="D2966" s="194" t="str">
        <f t="shared" si="1796"/>
        <v>Извън сезона</v>
      </c>
      <c r="E2966" s="143"/>
      <c r="F2966" s="144"/>
      <c r="G2966" s="144"/>
      <c r="H2966" s="145"/>
      <c r="I2966" s="145"/>
      <c r="J2966" s="436" t="s">
        <v>181</v>
      </c>
      <c r="K2966" s="437"/>
      <c r="L2966" s="438"/>
      <c r="M2966" s="145"/>
      <c r="N2966" s="146"/>
      <c r="O2966" s="147"/>
      <c r="P2966" s="148"/>
      <c r="Q2966" s="149"/>
      <c r="R2966" s="150"/>
      <c r="S2966" s="151"/>
      <c r="T2966" s="213">
        <f t="shared" si="1829"/>
        <v>43647</v>
      </c>
      <c r="U2966" s="214">
        <f t="shared" si="1830"/>
        <v>43677</v>
      </c>
      <c r="V2966" s="210">
        <f t="shared" si="1834"/>
        <v>0</v>
      </c>
      <c r="W2966" s="211"/>
      <c r="X2966" s="211">
        <f>IF(AND($V2966&gt;0,$I2966=1),IF($E2966=10,P2966/10,P2966/$V2966),0)</f>
        <v>0</v>
      </c>
      <c r="Y2966" s="212">
        <f>IF(AND($V2960&gt;0,$I2966&lt;&gt;1),Q2966/E2960*V2960,0)</f>
        <v>0</v>
      </c>
    </row>
    <row r="2967" spans="2:25" ht="60.75" hidden="1" thickTop="1" x14ac:dyDescent="0.25">
      <c r="B2967" s="129">
        <f>B2965+1</f>
        <v>47</v>
      </c>
      <c r="C2967" s="130">
        <v>323</v>
      </c>
      <c r="D2967" s="196" t="str">
        <f t="shared" ref="D2967:D2973" si="1835">D2966</f>
        <v>Извън сезона</v>
      </c>
      <c r="E2967" s="152"/>
      <c r="F2967" s="153"/>
      <c r="G2967" s="153"/>
      <c r="H2967" s="154"/>
      <c r="I2967" s="154"/>
      <c r="J2967" s="152"/>
      <c r="K2967" s="155"/>
      <c r="L2967" s="154"/>
      <c r="M2967" s="154"/>
      <c r="N2967" s="156"/>
      <c r="O2967" s="157"/>
      <c r="P2967" s="158"/>
      <c r="Q2967" s="159"/>
      <c r="R2967" s="160"/>
      <c r="S2967" s="161"/>
      <c r="T2967" s="215">
        <f t="shared" si="1829"/>
        <v>43647</v>
      </c>
      <c r="U2967" s="216">
        <f t="shared" si="1830"/>
        <v>43677</v>
      </c>
      <c r="V2967" s="217">
        <f>IF(G2967-F2967+1-IF(G2967-U2967&gt;0,G2967-U2967,0)-IF(T2967-F2967&gt;0,T2967-F2967,0)&gt;0,G2967-F2967+1-IF(G2967-U2967&gt;0,G2967-U2967,0)-IF(T2967-F2967&gt;0,T2967-F2967,0),0)</f>
        <v>0</v>
      </c>
      <c r="W2967" s="218" t="str">
        <f t="shared" ref="W2967:W2972" si="1836">IF(V2967&gt;0,H2967,"")</f>
        <v/>
      </c>
      <c r="X2967" s="218">
        <f t="shared" ref="X2967:X2972" si="1837">IF(AND($V2967&gt;0,$I2967=1),P2967/$E2967*$V2967,0)</f>
        <v>0</v>
      </c>
      <c r="Y2967" s="219">
        <f t="shared" ref="Y2967:Y2972" si="1838">IF(AND($V2967&gt;0,$I2967&lt;&gt;1),Q2967/$E2967*$V2967,0)</f>
        <v>0</v>
      </c>
    </row>
    <row r="2968" spans="2:25" ht="60.75" hidden="1" thickTop="1" x14ac:dyDescent="0.25">
      <c r="B2968" s="60">
        <f>B2967</f>
        <v>47</v>
      </c>
      <c r="C2968" s="102">
        <v>324</v>
      </c>
      <c r="D2968" s="192" t="str">
        <f t="shared" si="1835"/>
        <v>Извън сезона</v>
      </c>
      <c r="E2968" s="162"/>
      <c r="F2968" s="163"/>
      <c r="G2968" s="163"/>
      <c r="H2968" s="164"/>
      <c r="I2968" s="164"/>
      <c r="J2968" s="162"/>
      <c r="K2968" s="165"/>
      <c r="L2968" s="164"/>
      <c r="M2968" s="164"/>
      <c r="N2968" s="166"/>
      <c r="O2968" s="167"/>
      <c r="P2968" s="168"/>
      <c r="Q2968" s="169"/>
      <c r="R2968" s="170"/>
      <c r="S2968" s="171"/>
      <c r="T2968" s="203">
        <f t="shared" si="1829"/>
        <v>43647</v>
      </c>
      <c r="U2968" s="205">
        <f t="shared" si="1830"/>
        <v>43677</v>
      </c>
      <c r="V2968" s="207">
        <f t="shared" ref="V2968:V2973" si="1839">IF(G2968-F2968+1-IF(G2968-U2968&gt;0,G2968-U2968,0)-IF(T2968-F2968&gt;0,T2968-F2968,0)&gt;0,G2968-F2968+1-IF(G2968-U2968&gt;0,G2968-U2968,0)-IF(T2968-F2968&gt;0,T2968-F2968,0),0)</f>
        <v>0</v>
      </c>
      <c r="W2968" s="206" t="str">
        <f t="shared" si="1836"/>
        <v/>
      </c>
      <c r="X2968" s="206">
        <f t="shared" si="1837"/>
        <v>0</v>
      </c>
      <c r="Y2968" s="208">
        <f t="shared" si="1838"/>
        <v>0</v>
      </c>
    </row>
    <row r="2969" spans="2:25" ht="60.75" hidden="1" thickTop="1" x14ac:dyDescent="0.25">
      <c r="B2969" s="60">
        <f>B2967</f>
        <v>47</v>
      </c>
      <c r="C2969" s="102">
        <v>325</v>
      </c>
      <c r="D2969" s="192" t="str">
        <f t="shared" si="1835"/>
        <v>Извън сезона</v>
      </c>
      <c r="E2969" s="162"/>
      <c r="F2969" s="163"/>
      <c r="G2969" s="163"/>
      <c r="H2969" s="164"/>
      <c r="I2969" s="164"/>
      <c r="J2969" s="162"/>
      <c r="K2969" s="165"/>
      <c r="L2969" s="164"/>
      <c r="M2969" s="164"/>
      <c r="N2969" s="166"/>
      <c r="O2969" s="167"/>
      <c r="P2969" s="168"/>
      <c r="Q2969" s="169"/>
      <c r="R2969" s="170"/>
      <c r="S2969" s="171"/>
      <c r="T2969" s="203">
        <f t="shared" si="1829"/>
        <v>43647</v>
      </c>
      <c r="U2969" s="205">
        <f t="shared" si="1830"/>
        <v>43677</v>
      </c>
      <c r="V2969" s="207">
        <f t="shared" si="1839"/>
        <v>0</v>
      </c>
      <c r="W2969" s="206" t="str">
        <f t="shared" si="1836"/>
        <v/>
      </c>
      <c r="X2969" s="206">
        <f t="shared" si="1837"/>
        <v>0</v>
      </c>
      <c r="Y2969" s="208">
        <f t="shared" si="1838"/>
        <v>0</v>
      </c>
    </row>
    <row r="2970" spans="2:25" ht="60.75" hidden="1" thickTop="1" x14ac:dyDescent="0.25">
      <c r="B2970" s="60">
        <f>B2967</f>
        <v>47</v>
      </c>
      <c r="C2970" s="102">
        <v>326</v>
      </c>
      <c r="D2970" s="192" t="str">
        <f t="shared" si="1835"/>
        <v>Извън сезона</v>
      </c>
      <c r="E2970" s="162"/>
      <c r="F2970" s="163"/>
      <c r="G2970" s="163"/>
      <c r="H2970" s="164"/>
      <c r="I2970" s="164"/>
      <c r="J2970" s="162"/>
      <c r="K2970" s="165"/>
      <c r="L2970" s="164"/>
      <c r="M2970" s="164"/>
      <c r="N2970" s="166"/>
      <c r="O2970" s="167"/>
      <c r="P2970" s="168"/>
      <c r="Q2970" s="169"/>
      <c r="R2970" s="170"/>
      <c r="S2970" s="171"/>
      <c r="T2970" s="203">
        <f t="shared" si="1829"/>
        <v>43647</v>
      </c>
      <c r="U2970" s="205">
        <f t="shared" si="1830"/>
        <v>43677</v>
      </c>
      <c r="V2970" s="207">
        <f t="shared" si="1839"/>
        <v>0</v>
      </c>
      <c r="W2970" s="206" t="str">
        <f t="shared" si="1836"/>
        <v/>
      </c>
      <c r="X2970" s="206">
        <f t="shared" si="1837"/>
        <v>0</v>
      </c>
      <c r="Y2970" s="208">
        <f t="shared" si="1838"/>
        <v>0</v>
      </c>
    </row>
    <row r="2971" spans="2:25" ht="60.75" hidden="1" thickTop="1" x14ac:dyDescent="0.25">
      <c r="B2971" s="60">
        <f>B2967</f>
        <v>47</v>
      </c>
      <c r="C2971" s="102">
        <v>327</v>
      </c>
      <c r="D2971" s="192" t="str">
        <f t="shared" si="1835"/>
        <v>Извън сезона</v>
      </c>
      <c r="E2971" s="162"/>
      <c r="F2971" s="163"/>
      <c r="G2971" s="163"/>
      <c r="H2971" s="164"/>
      <c r="I2971" s="164"/>
      <c r="J2971" s="162"/>
      <c r="K2971" s="165"/>
      <c r="L2971" s="164"/>
      <c r="M2971" s="164"/>
      <c r="N2971" s="166"/>
      <c r="O2971" s="167"/>
      <c r="P2971" s="168"/>
      <c r="Q2971" s="169"/>
      <c r="R2971" s="170"/>
      <c r="S2971" s="171"/>
      <c r="T2971" s="203">
        <f t="shared" si="1829"/>
        <v>43647</v>
      </c>
      <c r="U2971" s="205">
        <f t="shared" si="1830"/>
        <v>43677</v>
      </c>
      <c r="V2971" s="207">
        <f t="shared" si="1839"/>
        <v>0</v>
      </c>
      <c r="W2971" s="206" t="str">
        <f t="shared" si="1836"/>
        <v/>
      </c>
      <c r="X2971" s="206">
        <f t="shared" si="1837"/>
        <v>0</v>
      </c>
      <c r="Y2971" s="208">
        <f t="shared" si="1838"/>
        <v>0</v>
      </c>
    </row>
    <row r="2972" spans="2:25" ht="60.75" hidden="1" thickTop="1" x14ac:dyDescent="0.25">
      <c r="B2972" s="60">
        <f>B2967</f>
        <v>47</v>
      </c>
      <c r="C2972" s="102">
        <v>328</v>
      </c>
      <c r="D2972" s="192" t="str">
        <f t="shared" si="1835"/>
        <v>Извън сезона</v>
      </c>
      <c r="E2972" s="172"/>
      <c r="F2972" s="173"/>
      <c r="G2972" s="173"/>
      <c r="H2972" s="174"/>
      <c r="I2972" s="174"/>
      <c r="J2972" s="172"/>
      <c r="K2972" s="175"/>
      <c r="L2972" s="174"/>
      <c r="M2972" s="174"/>
      <c r="N2972" s="176"/>
      <c r="O2972" s="177"/>
      <c r="P2972" s="178"/>
      <c r="Q2972" s="179"/>
      <c r="R2972" s="180"/>
      <c r="S2972" s="181"/>
      <c r="T2972" s="203">
        <f t="shared" si="1829"/>
        <v>43647</v>
      </c>
      <c r="U2972" s="205">
        <f t="shared" si="1830"/>
        <v>43677</v>
      </c>
      <c r="V2972" s="207">
        <f t="shared" si="1839"/>
        <v>0</v>
      </c>
      <c r="W2972" s="206" t="str">
        <f t="shared" si="1836"/>
        <v/>
      </c>
      <c r="X2972" s="206">
        <f t="shared" si="1837"/>
        <v>0</v>
      </c>
      <c r="Y2972" s="208">
        <f t="shared" si="1838"/>
        <v>0</v>
      </c>
    </row>
    <row r="2973" spans="2:25" ht="61.5" hidden="1" thickTop="1" thickBot="1" x14ac:dyDescent="0.3">
      <c r="B2973" s="141">
        <f>B2967</f>
        <v>47</v>
      </c>
      <c r="C2973" s="142">
        <v>329</v>
      </c>
      <c r="D2973" s="194" t="str">
        <f t="shared" si="1835"/>
        <v>Извън сезона</v>
      </c>
      <c r="E2973" s="189"/>
      <c r="F2973" s="190"/>
      <c r="G2973" s="190"/>
      <c r="H2973" s="182"/>
      <c r="I2973" s="182"/>
      <c r="J2973" s="436" t="s">
        <v>181</v>
      </c>
      <c r="K2973" s="437"/>
      <c r="L2973" s="438"/>
      <c r="M2973" s="182"/>
      <c r="N2973" s="183"/>
      <c r="O2973" s="184"/>
      <c r="P2973" s="185"/>
      <c r="Q2973" s="186"/>
      <c r="R2973" s="187"/>
      <c r="S2973" s="188"/>
      <c r="T2973" s="213">
        <f t="shared" si="1829"/>
        <v>43647</v>
      </c>
      <c r="U2973" s="214">
        <f t="shared" si="1830"/>
        <v>43677</v>
      </c>
      <c r="V2973" s="210">
        <f t="shared" si="1839"/>
        <v>0</v>
      </c>
      <c r="W2973" s="211"/>
      <c r="X2973" s="211">
        <f>IF(AND($V2973&gt;0,$I2973=1),IF($E2973=10,P2973/10,P2973/$V2973),0)</f>
        <v>0</v>
      </c>
      <c r="Y2973" s="212">
        <f>IF(AND($V2967&gt;0,$I2973&lt;&gt;1),Q2973/E2967*V2967,0)</f>
        <v>0</v>
      </c>
    </row>
    <row r="2974" spans="2:25" ht="15.75" hidden="1" thickTop="1" x14ac:dyDescent="0.25">
      <c r="V2974" s="222">
        <f>SUM(V13:V2973)</f>
        <v>853</v>
      </c>
      <c r="W2974" s="222"/>
      <c r="X2974" s="222">
        <f>SUM(X13:X2973)</f>
        <v>1997.9</v>
      </c>
      <c r="Y2974" s="222">
        <f>SUM(Y13:Y2973)</f>
        <v>5391.2999999999975</v>
      </c>
    </row>
    <row r="2975" spans="2:25" ht="15.75" thickTop="1" x14ac:dyDescent="0.25"/>
    <row r="2976" spans="2:25" ht="15.75" thickBot="1" x14ac:dyDescent="0.3"/>
    <row r="2977" spans="23:23" x14ac:dyDescent="0.25">
      <c r="W2977" s="428" t="s">
        <v>196</v>
      </c>
    </row>
    <row r="2978" spans="23:23" x14ac:dyDescent="0.25">
      <c r="W2978" s="445"/>
    </row>
    <row r="2979" spans="23:23" x14ac:dyDescent="0.25">
      <c r="W2979" s="28" t="s">
        <v>292</v>
      </c>
    </row>
    <row r="2980" spans="23:23" x14ac:dyDescent="0.25">
      <c r="W2980" s="28" t="s">
        <v>350</v>
      </c>
    </row>
    <row r="2981" spans="23:23" x14ac:dyDescent="0.25">
      <c r="W2981" s="28" t="s">
        <v>275</v>
      </c>
    </row>
    <row r="2982" spans="23:23" x14ac:dyDescent="0.25">
      <c r="W2982" s="28" t="s">
        <v>286</v>
      </c>
    </row>
    <row r="2983" spans="23:23" x14ac:dyDescent="0.25">
      <c r="W2983" s="28" t="s">
        <v>345</v>
      </c>
    </row>
    <row r="2984" spans="23:23" x14ac:dyDescent="0.25">
      <c r="W2984" s="28" t="s">
        <v>312</v>
      </c>
    </row>
    <row r="2985" spans="23:23" x14ac:dyDescent="0.25">
      <c r="W2985" s="28" t="s">
        <v>280</v>
      </c>
    </row>
    <row r="2986" spans="23:23" x14ac:dyDescent="0.25">
      <c r="W2986" s="28" t="s">
        <v>251</v>
      </c>
    </row>
    <row r="2987" spans="23:23" x14ac:dyDescent="0.25">
      <c r="W2987" s="28" t="s">
        <v>284</v>
      </c>
    </row>
    <row r="2988" spans="23:23" x14ac:dyDescent="0.25">
      <c r="W2988" s="28" t="s">
        <v>323</v>
      </c>
    </row>
    <row r="2989" spans="23:23" x14ac:dyDescent="0.25">
      <c r="W2989" s="28" t="s">
        <v>344</v>
      </c>
    </row>
    <row r="2990" spans="23:23" x14ac:dyDescent="0.25">
      <c r="W2990" s="28" t="s">
        <v>318</v>
      </c>
    </row>
    <row r="2991" spans="23:23" x14ac:dyDescent="0.25">
      <c r="W2991" s="28" t="s">
        <v>322</v>
      </c>
    </row>
    <row r="2992" spans="23:23" x14ac:dyDescent="0.25">
      <c r="W2992" s="28" t="s">
        <v>316</v>
      </c>
    </row>
    <row r="2993" spans="23:23" x14ac:dyDescent="0.25">
      <c r="W2993" s="28" t="s">
        <v>325</v>
      </c>
    </row>
    <row r="2994" spans="23:23" x14ac:dyDescent="0.25">
      <c r="W2994" s="28" t="s">
        <v>392</v>
      </c>
    </row>
    <row r="2995" spans="23:23" x14ac:dyDescent="0.25">
      <c r="W2995" s="28" t="s">
        <v>267</v>
      </c>
    </row>
    <row r="2996" spans="23:23" x14ac:dyDescent="0.25">
      <c r="W2996" s="28" t="s">
        <v>295</v>
      </c>
    </row>
    <row r="2997" spans="23:23" x14ac:dyDescent="0.25">
      <c r="W2997" s="28" t="s">
        <v>353</v>
      </c>
    </row>
    <row r="2998" spans="23:23" x14ac:dyDescent="0.25">
      <c r="W2998" s="28" t="s">
        <v>320</v>
      </c>
    </row>
    <row r="2999" spans="23:23" x14ac:dyDescent="0.25">
      <c r="W2999" s="28" t="s">
        <v>259</v>
      </c>
    </row>
    <row r="3000" spans="23:23" x14ac:dyDescent="0.25">
      <c r="W3000" s="28" t="s">
        <v>253</v>
      </c>
    </row>
    <row r="3001" spans="23:23" x14ac:dyDescent="0.25">
      <c r="W3001" s="28" t="s">
        <v>274</v>
      </c>
    </row>
    <row r="3002" spans="23:23" x14ac:dyDescent="0.25">
      <c r="W3002" s="28" t="s">
        <v>244</v>
      </c>
    </row>
    <row r="3003" spans="23:23" x14ac:dyDescent="0.25">
      <c r="W3003" s="28" t="s">
        <v>306</v>
      </c>
    </row>
    <row r="3004" spans="23:23" x14ac:dyDescent="0.25">
      <c r="W3004" s="28" t="s">
        <v>329</v>
      </c>
    </row>
    <row r="3005" spans="23:23" x14ac:dyDescent="0.25">
      <c r="W3005" s="28" t="s">
        <v>273</v>
      </c>
    </row>
    <row r="3006" spans="23:23" x14ac:dyDescent="0.25">
      <c r="W3006" s="28" t="s">
        <v>266</v>
      </c>
    </row>
    <row r="3007" spans="23:23" x14ac:dyDescent="0.25">
      <c r="W3007" s="28" t="s">
        <v>261</v>
      </c>
    </row>
    <row r="3008" spans="23:23" x14ac:dyDescent="0.25">
      <c r="W3008" s="28" t="s">
        <v>337</v>
      </c>
    </row>
    <row r="3009" spans="23:23" x14ac:dyDescent="0.25">
      <c r="W3009" s="28" t="s">
        <v>327</v>
      </c>
    </row>
    <row r="3010" spans="23:23" x14ac:dyDescent="0.25">
      <c r="W3010" s="28" t="s">
        <v>263</v>
      </c>
    </row>
    <row r="3011" spans="23:23" x14ac:dyDescent="0.25">
      <c r="W3011" s="28" t="s">
        <v>279</v>
      </c>
    </row>
    <row r="3012" spans="23:23" x14ac:dyDescent="0.25">
      <c r="W3012" s="28" t="s">
        <v>268</v>
      </c>
    </row>
    <row r="3013" spans="23:23" x14ac:dyDescent="0.25">
      <c r="W3013" s="28" t="s">
        <v>287</v>
      </c>
    </row>
    <row r="3014" spans="23:23" x14ac:dyDescent="0.25">
      <c r="W3014" s="28" t="s">
        <v>252</v>
      </c>
    </row>
    <row r="3015" spans="23:23" x14ac:dyDescent="0.25">
      <c r="W3015" s="28" t="s">
        <v>310</v>
      </c>
    </row>
    <row r="3016" spans="23:23" x14ac:dyDescent="0.25">
      <c r="W3016" s="28" t="s">
        <v>307</v>
      </c>
    </row>
    <row r="3017" spans="23:23" x14ac:dyDescent="0.25">
      <c r="W3017" s="28" t="s">
        <v>333</v>
      </c>
    </row>
    <row r="3018" spans="23:23" x14ac:dyDescent="0.25">
      <c r="W3018" s="28" t="s">
        <v>342</v>
      </c>
    </row>
    <row r="3019" spans="23:23" x14ac:dyDescent="0.25">
      <c r="W3019" s="28" t="s">
        <v>349</v>
      </c>
    </row>
    <row r="3020" spans="23:23" x14ac:dyDescent="0.25">
      <c r="W3020" s="28" t="s">
        <v>265</v>
      </c>
    </row>
    <row r="3021" spans="23:23" x14ac:dyDescent="0.25">
      <c r="W3021" s="28" t="s">
        <v>311</v>
      </c>
    </row>
    <row r="3022" spans="23:23" x14ac:dyDescent="0.25">
      <c r="W3022" s="28" t="s">
        <v>249</v>
      </c>
    </row>
    <row r="3023" spans="23:23" x14ac:dyDescent="0.25">
      <c r="W3023" s="28" t="s">
        <v>313</v>
      </c>
    </row>
    <row r="3024" spans="23:23" x14ac:dyDescent="0.25">
      <c r="W3024" s="28" t="s">
        <v>348</v>
      </c>
    </row>
    <row r="3025" spans="23:23" x14ac:dyDescent="0.25">
      <c r="W3025" s="28" t="s">
        <v>298</v>
      </c>
    </row>
    <row r="3026" spans="23:23" x14ac:dyDescent="0.25">
      <c r="W3026" s="28" t="s">
        <v>338</v>
      </c>
    </row>
    <row r="3027" spans="23:23" x14ac:dyDescent="0.25">
      <c r="W3027" s="28" t="s">
        <v>271</v>
      </c>
    </row>
    <row r="3028" spans="23:23" x14ac:dyDescent="0.25">
      <c r="W3028" s="28" t="s">
        <v>332</v>
      </c>
    </row>
    <row r="3029" spans="23:23" x14ac:dyDescent="0.25">
      <c r="W3029" s="28" t="s">
        <v>328</v>
      </c>
    </row>
    <row r="3030" spans="23:23" x14ac:dyDescent="0.25">
      <c r="W3030" s="28" t="s">
        <v>324</v>
      </c>
    </row>
    <row r="3031" spans="23:23" x14ac:dyDescent="0.25">
      <c r="W3031" s="28" t="s">
        <v>247</v>
      </c>
    </row>
    <row r="3032" spans="23:23" x14ac:dyDescent="0.25">
      <c r="W3032" s="28" t="s">
        <v>315</v>
      </c>
    </row>
    <row r="3033" spans="23:23" x14ac:dyDescent="0.25">
      <c r="W3033" s="28" t="s">
        <v>308</v>
      </c>
    </row>
    <row r="3034" spans="23:23" x14ac:dyDescent="0.25">
      <c r="W3034" s="28" t="s">
        <v>299</v>
      </c>
    </row>
    <row r="3035" spans="23:23" x14ac:dyDescent="0.25">
      <c r="W3035" s="28" t="s">
        <v>309</v>
      </c>
    </row>
    <row r="3036" spans="23:23" x14ac:dyDescent="0.25">
      <c r="W3036" s="28" t="s">
        <v>302</v>
      </c>
    </row>
    <row r="3037" spans="23:23" x14ac:dyDescent="0.25">
      <c r="W3037" s="28" t="s">
        <v>269</v>
      </c>
    </row>
    <row r="3038" spans="23:23" x14ac:dyDescent="0.25">
      <c r="W3038" s="28" t="s">
        <v>317</v>
      </c>
    </row>
    <row r="3039" spans="23:23" x14ac:dyDescent="0.25">
      <c r="W3039" s="28" t="s">
        <v>331</v>
      </c>
    </row>
    <row r="3040" spans="23:23" x14ac:dyDescent="0.25">
      <c r="W3040" s="28" t="s">
        <v>293</v>
      </c>
    </row>
    <row r="3041" spans="23:23" x14ac:dyDescent="0.25">
      <c r="W3041" s="28" t="s">
        <v>290</v>
      </c>
    </row>
    <row r="3042" spans="23:23" x14ac:dyDescent="0.25">
      <c r="W3042" s="28" t="s">
        <v>301</v>
      </c>
    </row>
    <row r="3043" spans="23:23" x14ac:dyDescent="0.25">
      <c r="W3043" s="28" t="s">
        <v>289</v>
      </c>
    </row>
    <row r="3044" spans="23:23" x14ac:dyDescent="0.25">
      <c r="W3044" s="28" t="s">
        <v>242</v>
      </c>
    </row>
    <row r="3045" spans="23:23" x14ac:dyDescent="0.25">
      <c r="W3045" s="28" t="s">
        <v>304</v>
      </c>
    </row>
    <row r="3046" spans="23:23" x14ac:dyDescent="0.25">
      <c r="W3046" s="28" t="s">
        <v>245</v>
      </c>
    </row>
    <row r="3047" spans="23:23" x14ac:dyDescent="0.25">
      <c r="W3047" s="28" t="s">
        <v>238</v>
      </c>
    </row>
    <row r="3048" spans="23:23" x14ac:dyDescent="0.25">
      <c r="W3048" s="28" t="s">
        <v>264</v>
      </c>
    </row>
    <row r="3049" spans="23:23" x14ac:dyDescent="0.25">
      <c r="W3049" s="28" t="s">
        <v>343</v>
      </c>
    </row>
    <row r="3050" spans="23:23" x14ac:dyDescent="0.25">
      <c r="W3050" s="28" t="s">
        <v>240</v>
      </c>
    </row>
    <row r="3051" spans="23:23" x14ac:dyDescent="0.25">
      <c r="W3051" s="28" t="s">
        <v>334</v>
      </c>
    </row>
    <row r="3052" spans="23:23" x14ac:dyDescent="0.25">
      <c r="W3052" s="28" t="s">
        <v>335</v>
      </c>
    </row>
    <row r="3053" spans="23:23" x14ac:dyDescent="0.25">
      <c r="W3053" s="28" t="s">
        <v>347</v>
      </c>
    </row>
    <row r="3054" spans="23:23" x14ac:dyDescent="0.25">
      <c r="W3054" s="28" t="s">
        <v>339</v>
      </c>
    </row>
    <row r="3055" spans="23:23" x14ac:dyDescent="0.25">
      <c r="W3055" s="28" t="s">
        <v>246</v>
      </c>
    </row>
    <row r="3056" spans="23:23" x14ac:dyDescent="0.25">
      <c r="W3056" s="28" t="s">
        <v>257</v>
      </c>
    </row>
    <row r="3057" spans="23:23" x14ac:dyDescent="0.25">
      <c r="W3057" s="28" t="s">
        <v>260</v>
      </c>
    </row>
    <row r="3058" spans="23:23" x14ac:dyDescent="0.25">
      <c r="W3058" s="28" t="s">
        <v>330</v>
      </c>
    </row>
    <row r="3059" spans="23:23" x14ac:dyDescent="0.25">
      <c r="W3059" s="28" t="s">
        <v>239</v>
      </c>
    </row>
    <row r="3060" spans="23:23" x14ac:dyDescent="0.25">
      <c r="W3060" s="28" t="s">
        <v>285</v>
      </c>
    </row>
    <row r="3061" spans="23:23" x14ac:dyDescent="0.25">
      <c r="W3061" s="28" t="s">
        <v>270</v>
      </c>
    </row>
    <row r="3062" spans="23:23" x14ac:dyDescent="0.25">
      <c r="W3062" s="28" t="s">
        <v>248</v>
      </c>
    </row>
    <row r="3063" spans="23:23" x14ac:dyDescent="0.25">
      <c r="W3063" s="28" t="s">
        <v>243</v>
      </c>
    </row>
    <row r="3064" spans="23:23" x14ac:dyDescent="0.25">
      <c r="W3064" s="28" t="s">
        <v>258</v>
      </c>
    </row>
    <row r="3065" spans="23:23" x14ac:dyDescent="0.25">
      <c r="W3065" s="28" t="s">
        <v>276</v>
      </c>
    </row>
    <row r="3066" spans="23:23" x14ac:dyDescent="0.25">
      <c r="W3066" s="28" t="s">
        <v>314</v>
      </c>
    </row>
    <row r="3067" spans="23:23" x14ac:dyDescent="0.25">
      <c r="W3067" s="28" t="s">
        <v>341</v>
      </c>
    </row>
    <row r="3068" spans="23:23" x14ac:dyDescent="0.25">
      <c r="W3068" s="28" t="s">
        <v>354</v>
      </c>
    </row>
    <row r="3069" spans="23:23" x14ac:dyDescent="0.25">
      <c r="W3069" s="28" t="s">
        <v>346</v>
      </c>
    </row>
    <row r="3070" spans="23:23" x14ac:dyDescent="0.25">
      <c r="W3070" s="28" t="s">
        <v>262</v>
      </c>
    </row>
    <row r="3071" spans="23:23" x14ac:dyDescent="0.25">
      <c r="W3071" s="28" t="s">
        <v>282</v>
      </c>
    </row>
    <row r="3072" spans="23:23" x14ac:dyDescent="0.25">
      <c r="W3072" s="28" t="s">
        <v>294</v>
      </c>
    </row>
    <row r="3073" spans="23:23" x14ac:dyDescent="0.25">
      <c r="W3073" s="28" t="s">
        <v>336</v>
      </c>
    </row>
    <row r="3074" spans="23:23" x14ac:dyDescent="0.25">
      <c r="W3074" s="28" t="s">
        <v>283</v>
      </c>
    </row>
    <row r="3075" spans="23:23" x14ac:dyDescent="0.25">
      <c r="W3075" s="28" t="s">
        <v>250</v>
      </c>
    </row>
    <row r="3076" spans="23:23" x14ac:dyDescent="0.25">
      <c r="W3076" s="28" t="s">
        <v>241</v>
      </c>
    </row>
    <row r="3077" spans="23:23" x14ac:dyDescent="0.25">
      <c r="W3077" s="28" t="s">
        <v>352</v>
      </c>
    </row>
    <row r="3078" spans="23:23" x14ac:dyDescent="0.25">
      <c r="W3078" s="28" t="s">
        <v>288</v>
      </c>
    </row>
    <row r="3079" spans="23:23" x14ac:dyDescent="0.25">
      <c r="W3079" s="28" t="s">
        <v>303</v>
      </c>
    </row>
    <row r="3080" spans="23:23" x14ac:dyDescent="0.25">
      <c r="W3080" s="28" t="s">
        <v>305</v>
      </c>
    </row>
    <row r="3081" spans="23:23" x14ac:dyDescent="0.25">
      <c r="W3081" s="28" t="s">
        <v>281</v>
      </c>
    </row>
    <row r="3082" spans="23:23" x14ac:dyDescent="0.25">
      <c r="W3082" s="28" t="s">
        <v>300</v>
      </c>
    </row>
    <row r="3083" spans="23:23" x14ac:dyDescent="0.25">
      <c r="W3083" s="28" t="s">
        <v>297</v>
      </c>
    </row>
    <row r="3084" spans="23:23" x14ac:dyDescent="0.25">
      <c r="W3084" s="28" t="s">
        <v>340</v>
      </c>
    </row>
    <row r="3085" spans="23:23" x14ac:dyDescent="0.25">
      <c r="W3085" s="28" t="s">
        <v>255</v>
      </c>
    </row>
    <row r="3086" spans="23:23" x14ac:dyDescent="0.25">
      <c r="W3086" s="28" t="s">
        <v>256</v>
      </c>
    </row>
    <row r="3087" spans="23:23" x14ac:dyDescent="0.25">
      <c r="W3087" s="28" t="s">
        <v>326</v>
      </c>
    </row>
    <row r="3088" spans="23:23" x14ac:dyDescent="0.25">
      <c r="W3088" s="28" t="s">
        <v>254</v>
      </c>
    </row>
    <row r="3089" spans="23:23" x14ac:dyDescent="0.25">
      <c r="W3089" s="28" t="s">
        <v>296</v>
      </c>
    </row>
    <row r="3090" spans="23:23" x14ac:dyDescent="0.25">
      <c r="W3090" s="28" t="s">
        <v>278</v>
      </c>
    </row>
    <row r="3091" spans="23:23" x14ac:dyDescent="0.25">
      <c r="W3091" s="28" t="s">
        <v>319</v>
      </c>
    </row>
    <row r="3092" spans="23:23" x14ac:dyDescent="0.25">
      <c r="W3092" s="28" t="s">
        <v>272</v>
      </c>
    </row>
    <row r="3093" spans="23:23" x14ac:dyDescent="0.25">
      <c r="W3093" s="28" t="s">
        <v>321</v>
      </c>
    </row>
    <row r="3094" spans="23:23" x14ac:dyDescent="0.25">
      <c r="W3094" s="28" t="s">
        <v>291</v>
      </c>
    </row>
    <row r="3095" spans="23:23" x14ac:dyDescent="0.25">
      <c r="W3095" s="28" t="s">
        <v>351</v>
      </c>
    </row>
    <row r="3096" spans="23:23" x14ac:dyDescent="0.25">
      <c r="W3096" s="28" t="s">
        <v>277</v>
      </c>
    </row>
    <row r="3097" spans="23:23" x14ac:dyDescent="0.25">
      <c r="W3097" s="28" t="s">
        <v>195</v>
      </c>
    </row>
    <row r="3098" spans="23:23" x14ac:dyDescent="0.25">
      <c r="W3098" s="28"/>
    </row>
    <row r="3099" spans="23:23" x14ac:dyDescent="0.25">
      <c r="W3099" s="28"/>
    </row>
    <row r="3100" spans="23:23" x14ac:dyDescent="0.25">
      <c r="W3100" s="28"/>
    </row>
    <row r="3101" spans="23:23" x14ac:dyDescent="0.25">
      <c r="W3101" s="28"/>
    </row>
    <row r="3102" spans="23:23" x14ac:dyDescent="0.25">
      <c r="W3102" s="28"/>
    </row>
    <row r="3103" spans="23:23" x14ac:dyDescent="0.25">
      <c r="W3103" s="28"/>
    </row>
    <row r="3104" spans="23:23" x14ac:dyDescent="0.25">
      <c r="W3104" s="28"/>
    </row>
    <row r="3105" spans="23:23" x14ac:dyDescent="0.25">
      <c r="W3105" s="28"/>
    </row>
    <row r="3106" spans="23:23" x14ac:dyDescent="0.25">
      <c r="W3106" s="28"/>
    </row>
    <row r="3107" spans="23:23" x14ac:dyDescent="0.25">
      <c r="W3107" s="28"/>
    </row>
    <row r="3108" spans="23:23" x14ac:dyDescent="0.25">
      <c r="W3108" s="28"/>
    </row>
    <row r="3109" spans="23:23" x14ac:dyDescent="0.25">
      <c r="W3109" s="28"/>
    </row>
    <row r="3110" spans="23:23" x14ac:dyDescent="0.25">
      <c r="W3110" s="28"/>
    </row>
    <row r="3111" spans="23:23" x14ac:dyDescent="0.25">
      <c r="W3111" s="28"/>
    </row>
    <row r="3112" spans="23:23" x14ac:dyDescent="0.25">
      <c r="W3112" s="28"/>
    </row>
    <row r="3113" spans="23:23" x14ac:dyDescent="0.25">
      <c r="W3113" s="28"/>
    </row>
    <row r="3114" spans="23:23" x14ac:dyDescent="0.25">
      <c r="W3114" s="28"/>
    </row>
    <row r="3115" spans="23:23" x14ac:dyDescent="0.25">
      <c r="W3115" s="28"/>
    </row>
    <row r="3116" spans="23:23" x14ac:dyDescent="0.25">
      <c r="W3116" s="28"/>
    </row>
    <row r="3117" spans="23:23" x14ac:dyDescent="0.25">
      <c r="W3117" s="28"/>
    </row>
    <row r="3118" spans="23:23" x14ac:dyDescent="0.25">
      <c r="W3118" s="28"/>
    </row>
    <row r="3119" spans="23:23" x14ac:dyDescent="0.25">
      <c r="W3119" s="28"/>
    </row>
    <row r="3120" spans="23:23" x14ac:dyDescent="0.25">
      <c r="W3120" s="28"/>
    </row>
    <row r="3121" spans="23:23" x14ac:dyDescent="0.25">
      <c r="W3121" s="28"/>
    </row>
    <row r="3122" spans="23:23" x14ac:dyDescent="0.25">
      <c r="W3122" s="28"/>
    </row>
    <row r="3123" spans="23:23" x14ac:dyDescent="0.25">
      <c r="W3123" s="28"/>
    </row>
    <row r="3124" spans="23:23" x14ac:dyDescent="0.25">
      <c r="W3124" s="28"/>
    </row>
    <row r="3125" spans="23:23" x14ac:dyDescent="0.25">
      <c r="W3125" s="28"/>
    </row>
    <row r="3126" spans="23:23" x14ac:dyDescent="0.25">
      <c r="W3126" s="28"/>
    </row>
    <row r="3127" spans="23:23" x14ac:dyDescent="0.25">
      <c r="W3127" s="28"/>
    </row>
    <row r="3128" spans="23:23" x14ac:dyDescent="0.25">
      <c r="W3128" s="28"/>
    </row>
    <row r="3129" spans="23:23" x14ac:dyDescent="0.25">
      <c r="W3129" s="28"/>
    </row>
    <row r="3130" spans="23:23" x14ac:dyDescent="0.25">
      <c r="W3130" s="28"/>
    </row>
    <row r="3131" spans="23:23" x14ac:dyDescent="0.25">
      <c r="W3131" s="28"/>
    </row>
    <row r="3132" spans="23:23" x14ac:dyDescent="0.25">
      <c r="W3132" s="28"/>
    </row>
    <row r="3133" spans="23:23" x14ac:dyDescent="0.25">
      <c r="W3133" s="28"/>
    </row>
    <row r="3134" spans="23:23" x14ac:dyDescent="0.25">
      <c r="W3134" s="28"/>
    </row>
    <row r="3135" spans="23:23" x14ac:dyDescent="0.25">
      <c r="W3135" s="28"/>
    </row>
    <row r="3136" spans="23:23" x14ac:dyDescent="0.25">
      <c r="W3136" s="28"/>
    </row>
    <row r="3137" spans="23:23" x14ac:dyDescent="0.25">
      <c r="W3137" s="28"/>
    </row>
    <row r="3138" spans="23:23" x14ac:dyDescent="0.25">
      <c r="W3138" s="28"/>
    </row>
    <row r="3139" spans="23:23" x14ac:dyDescent="0.25">
      <c r="W3139" s="28"/>
    </row>
    <row r="3140" spans="23:23" x14ac:dyDescent="0.25">
      <c r="W3140" s="28"/>
    </row>
    <row r="3141" spans="23:23" x14ac:dyDescent="0.25">
      <c r="W3141" s="28"/>
    </row>
    <row r="3142" spans="23:23" x14ac:dyDescent="0.25">
      <c r="W3142" s="28"/>
    </row>
    <row r="3143" spans="23:23" x14ac:dyDescent="0.25">
      <c r="W3143" s="28"/>
    </row>
    <row r="3144" spans="23:23" x14ac:dyDescent="0.25">
      <c r="W3144" s="28"/>
    </row>
    <row r="3145" spans="23:23" x14ac:dyDescent="0.25">
      <c r="W3145" s="28"/>
    </row>
    <row r="3146" spans="23:23" x14ac:dyDescent="0.25">
      <c r="W3146" s="28"/>
    </row>
    <row r="3147" spans="23:23" x14ac:dyDescent="0.25">
      <c r="W3147" s="28"/>
    </row>
    <row r="3148" spans="23:23" x14ac:dyDescent="0.25">
      <c r="W3148" s="28"/>
    </row>
    <row r="3149" spans="23:23" x14ac:dyDescent="0.25">
      <c r="W3149" s="28"/>
    </row>
    <row r="3150" spans="23:23" x14ac:dyDescent="0.25">
      <c r="W3150" s="28"/>
    </row>
    <row r="3151" spans="23:23" x14ac:dyDescent="0.25">
      <c r="W3151" s="28"/>
    </row>
    <row r="3152" spans="23:23" x14ac:dyDescent="0.25">
      <c r="W3152" s="28"/>
    </row>
    <row r="3153" spans="23:23" x14ac:dyDescent="0.25">
      <c r="W3153" s="28"/>
    </row>
    <row r="3154" spans="23:23" x14ac:dyDescent="0.25">
      <c r="W3154" s="28"/>
    </row>
    <row r="3155" spans="23:23" x14ac:dyDescent="0.25">
      <c r="W3155" s="28"/>
    </row>
    <row r="3156" spans="23:23" x14ac:dyDescent="0.25">
      <c r="W3156" s="28"/>
    </row>
    <row r="3157" spans="23:23" x14ac:dyDescent="0.25">
      <c r="W3157" s="28"/>
    </row>
    <row r="3158" spans="23:23" x14ac:dyDescent="0.25">
      <c r="W3158" s="28"/>
    </row>
    <row r="3159" spans="23:23" x14ac:dyDescent="0.25">
      <c r="W3159" s="28"/>
    </row>
    <row r="3160" spans="23:23" x14ac:dyDescent="0.25">
      <c r="W3160" s="28"/>
    </row>
    <row r="3161" spans="23:23" x14ac:dyDescent="0.25">
      <c r="W3161" s="28"/>
    </row>
    <row r="3162" spans="23:23" x14ac:dyDescent="0.25">
      <c r="W3162" s="28"/>
    </row>
    <row r="3163" spans="23:23" x14ac:dyDescent="0.25">
      <c r="W3163" s="28"/>
    </row>
    <row r="3164" spans="23:23" x14ac:dyDescent="0.25">
      <c r="W3164" s="28"/>
    </row>
    <row r="3165" spans="23:23" x14ac:dyDescent="0.25">
      <c r="W3165" s="28"/>
    </row>
    <row r="3166" spans="23:23" x14ac:dyDescent="0.25">
      <c r="W3166" s="28"/>
    </row>
    <row r="3167" spans="23:23" x14ac:dyDescent="0.25">
      <c r="W3167" s="28"/>
    </row>
    <row r="3168" spans="23:23" x14ac:dyDescent="0.25">
      <c r="W3168" s="28"/>
    </row>
    <row r="3169" spans="23:23" x14ac:dyDescent="0.25">
      <c r="W3169" s="28"/>
    </row>
    <row r="3170" spans="23:23" x14ac:dyDescent="0.25">
      <c r="W3170" s="28"/>
    </row>
    <row r="3171" spans="23:23" x14ac:dyDescent="0.25">
      <c r="W3171" s="28"/>
    </row>
    <row r="3172" spans="23:23" x14ac:dyDescent="0.25">
      <c r="W3172" s="28"/>
    </row>
    <row r="3173" spans="23:23" x14ac:dyDescent="0.25">
      <c r="W3173" s="28"/>
    </row>
    <row r="3174" spans="23:23" x14ac:dyDescent="0.25">
      <c r="W3174" s="28"/>
    </row>
    <row r="3175" spans="23:23" x14ac:dyDescent="0.25">
      <c r="W3175" s="28"/>
    </row>
    <row r="3176" spans="23:23" x14ac:dyDescent="0.25">
      <c r="W3176" s="28"/>
    </row>
    <row r="3177" spans="23:23" x14ac:dyDescent="0.25">
      <c r="W3177" s="28"/>
    </row>
    <row r="3178" spans="23:23" x14ac:dyDescent="0.25">
      <c r="W3178" s="28"/>
    </row>
    <row r="3179" spans="23:23" x14ac:dyDescent="0.25">
      <c r="W3179" s="28"/>
    </row>
    <row r="3180" spans="23:23" x14ac:dyDescent="0.25">
      <c r="W3180" s="28"/>
    </row>
    <row r="3181" spans="23:23" x14ac:dyDescent="0.25">
      <c r="W3181" s="28"/>
    </row>
    <row r="3182" spans="23:23" x14ac:dyDescent="0.25">
      <c r="W3182" s="28"/>
    </row>
    <row r="3183" spans="23:23" x14ac:dyDescent="0.25">
      <c r="W3183" s="28"/>
    </row>
    <row r="3184" spans="23:23" x14ac:dyDescent="0.25">
      <c r="W3184" s="28"/>
    </row>
    <row r="3185" spans="23:23" x14ac:dyDescent="0.25">
      <c r="W3185" s="28"/>
    </row>
    <row r="3186" spans="23:23" x14ac:dyDescent="0.25">
      <c r="W3186" s="28"/>
    </row>
    <row r="3187" spans="23:23" x14ac:dyDescent="0.25">
      <c r="W3187" s="28"/>
    </row>
    <row r="3188" spans="23:23" x14ac:dyDescent="0.25">
      <c r="W3188" s="28"/>
    </row>
    <row r="3189" spans="23:23" x14ac:dyDescent="0.25">
      <c r="W3189" s="28"/>
    </row>
    <row r="3190" spans="23:23" x14ac:dyDescent="0.25">
      <c r="W3190" s="28"/>
    </row>
    <row r="3191" spans="23:23" x14ac:dyDescent="0.25">
      <c r="W3191" s="28"/>
    </row>
    <row r="3192" spans="23:23" x14ac:dyDescent="0.25">
      <c r="W3192" s="28"/>
    </row>
    <row r="3193" spans="23:23" x14ac:dyDescent="0.25">
      <c r="W3193" s="28"/>
    </row>
    <row r="3194" spans="23:23" x14ac:dyDescent="0.25">
      <c r="W3194" s="28"/>
    </row>
    <row r="3195" spans="23:23" x14ac:dyDescent="0.25">
      <c r="W3195" s="28"/>
    </row>
    <row r="3196" spans="23:23" x14ac:dyDescent="0.25">
      <c r="W3196" s="28"/>
    </row>
    <row r="3197" spans="23:23" x14ac:dyDescent="0.25">
      <c r="W3197" s="28"/>
    </row>
    <row r="3198" spans="23:23" x14ac:dyDescent="0.25">
      <c r="W3198" s="28"/>
    </row>
    <row r="3199" spans="23:23" x14ac:dyDescent="0.25">
      <c r="W3199" s="28"/>
    </row>
    <row r="3200" spans="23:23" x14ac:dyDescent="0.25">
      <c r="W3200" s="28"/>
    </row>
    <row r="3201" spans="23:23" x14ac:dyDescent="0.25">
      <c r="W3201" s="28"/>
    </row>
    <row r="3202" spans="23:23" x14ac:dyDescent="0.25">
      <c r="W3202" s="28"/>
    </row>
    <row r="3203" spans="23:23" x14ac:dyDescent="0.25">
      <c r="W3203" s="28"/>
    </row>
    <row r="3204" spans="23:23" x14ac:dyDescent="0.25">
      <c r="W3204" s="28"/>
    </row>
    <row r="3205" spans="23:23" x14ac:dyDescent="0.25">
      <c r="W3205" s="28"/>
    </row>
    <row r="3206" spans="23:23" x14ac:dyDescent="0.25">
      <c r="W3206" s="28"/>
    </row>
    <row r="3207" spans="23:23" x14ac:dyDescent="0.25">
      <c r="W3207" s="28"/>
    </row>
    <row r="3208" spans="23:23" x14ac:dyDescent="0.25">
      <c r="W3208" s="28"/>
    </row>
    <row r="3209" spans="23:23" x14ac:dyDescent="0.25">
      <c r="W3209" s="28"/>
    </row>
    <row r="3210" spans="23:23" x14ac:dyDescent="0.25">
      <c r="W3210" s="28"/>
    </row>
    <row r="3211" spans="23:23" x14ac:dyDescent="0.25">
      <c r="W3211" s="28"/>
    </row>
    <row r="3212" spans="23:23" x14ac:dyDescent="0.25">
      <c r="W3212" s="28"/>
    </row>
    <row r="3213" spans="23:23" x14ac:dyDescent="0.25">
      <c r="W3213" s="28"/>
    </row>
    <row r="3214" spans="23:23" x14ac:dyDescent="0.25">
      <c r="W3214" s="28"/>
    </row>
    <row r="3215" spans="23:23" x14ac:dyDescent="0.25">
      <c r="W3215" s="28"/>
    </row>
    <row r="3216" spans="23:23" x14ac:dyDescent="0.25">
      <c r="W3216" s="28"/>
    </row>
    <row r="3217" spans="23:23" x14ac:dyDescent="0.25">
      <c r="W3217" s="28"/>
    </row>
    <row r="3218" spans="23:23" x14ac:dyDescent="0.25">
      <c r="W3218" s="28"/>
    </row>
    <row r="3219" spans="23:23" x14ac:dyDescent="0.25">
      <c r="W3219" s="28"/>
    </row>
    <row r="3220" spans="23:23" x14ac:dyDescent="0.25">
      <c r="W3220" s="28"/>
    </row>
    <row r="3221" spans="23:23" x14ac:dyDescent="0.25">
      <c r="W3221" s="28"/>
    </row>
    <row r="3222" spans="23:23" x14ac:dyDescent="0.25">
      <c r="W3222" s="28"/>
    </row>
    <row r="3223" spans="23:23" x14ac:dyDescent="0.25">
      <c r="W3223" s="28"/>
    </row>
    <row r="3224" spans="23:23" x14ac:dyDescent="0.25">
      <c r="W3224" s="28"/>
    </row>
    <row r="3225" spans="23:23" x14ac:dyDescent="0.25">
      <c r="W3225" s="28"/>
    </row>
    <row r="3226" spans="23:23" x14ac:dyDescent="0.25">
      <c r="W3226" s="28"/>
    </row>
    <row r="3227" spans="23:23" x14ac:dyDescent="0.25">
      <c r="W3227" s="28"/>
    </row>
    <row r="3228" spans="23:23" x14ac:dyDescent="0.25">
      <c r="W3228" s="28"/>
    </row>
    <row r="3229" spans="23:23" x14ac:dyDescent="0.25">
      <c r="W3229" s="28"/>
    </row>
    <row r="3230" spans="23:23" x14ac:dyDescent="0.25">
      <c r="W3230" s="28"/>
    </row>
    <row r="3231" spans="23:23" x14ac:dyDescent="0.25">
      <c r="W3231" s="28"/>
    </row>
    <row r="3232" spans="23:23" x14ac:dyDescent="0.25">
      <c r="W3232" s="28"/>
    </row>
    <row r="3233" spans="23:23" x14ac:dyDescent="0.25">
      <c r="W3233" s="28"/>
    </row>
    <row r="3234" spans="23:23" x14ac:dyDescent="0.25">
      <c r="W3234" s="28"/>
    </row>
    <row r="3235" spans="23:23" x14ac:dyDescent="0.25">
      <c r="W3235" s="28"/>
    </row>
    <row r="3236" spans="23:23" x14ac:dyDescent="0.25">
      <c r="W3236" s="28"/>
    </row>
    <row r="3237" spans="23:23" x14ac:dyDescent="0.25">
      <c r="W3237" s="28"/>
    </row>
    <row r="3238" spans="23:23" x14ac:dyDescent="0.25">
      <c r="W3238" s="28"/>
    </row>
    <row r="3239" spans="23:23" x14ac:dyDescent="0.25">
      <c r="W3239" s="28"/>
    </row>
    <row r="3240" spans="23:23" x14ac:dyDescent="0.25">
      <c r="W3240" s="28"/>
    </row>
    <row r="3241" spans="23:23" x14ac:dyDescent="0.25">
      <c r="W3241" s="28"/>
    </row>
    <row r="3242" spans="23:23" x14ac:dyDescent="0.25">
      <c r="W3242" s="28"/>
    </row>
    <row r="3243" spans="23:23" x14ac:dyDescent="0.25">
      <c r="W3243" s="28"/>
    </row>
    <row r="3244" spans="23:23" x14ac:dyDescent="0.25">
      <c r="W3244" s="28"/>
    </row>
    <row r="3245" spans="23:23" x14ac:dyDescent="0.25">
      <c r="W3245" s="28"/>
    </row>
    <row r="3246" spans="23:23" x14ac:dyDescent="0.25">
      <c r="W3246" s="28"/>
    </row>
    <row r="3247" spans="23:23" x14ac:dyDescent="0.25">
      <c r="W3247" s="28"/>
    </row>
    <row r="3248" spans="23:23" x14ac:dyDescent="0.25">
      <c r="W3248" s="28"/>
    </row>
    <row r="3249" spans="23:23" x14ac:dyDescent="0.25">
      <c r="W3249" s="28"/>
    </row>
    <row r="3250" spans="23:23" x14ac:dyDescent="0.25">
      <c r="W3250" s="28"/>
    </row>
    <row r="3251" spans="23:23" x14ac:dyDescent="0.25">
      <c r="W3251" s="28"/>
    </row>
    <row r="3252" spans="23:23" x14ac:dyDescent="0.25">
      <c r="W3252" s="28"/>
    </row>
    <row r="3253" spans="23:23" x14ac:dyDescent="0.25">
      <c r="W3253" s="28"/>
    </row>
    <row r="3254" spans="23:23" x14ac:dyDescent="0.25">
      <c r="W3254" s="28"/>
    </row>
    <row r="3255" spans="23:23" x14ac:dyDescent="0.25">
      <c r="W3255" s="28"/>
    </row>
    <row r="3256" spans="23:23" x14ac:dyDescent="0.25">
      <c r="W3256" s="28"/>
    </row>
    <row r="3257" spans="23:23" x14ac:dyDescent="0.25">
      <c r="W3257" s="28"/>
    </row>
    <row r="3258" spans="23:23" x14ac:dyDescent="0.25">
      <c r="W3258" s="28"/>
    </row>
    <row r="3259" spans="23:23" x14ac:dyDescent="0.25">
      <c r="W3259" s="28"/>
    </row>
    <row r="3260" spans="23:23" x14ac:dyDescent="0.25">
      <c r="W3260" s="28"/>
    </row>
    <row r="3261" spans="23:23" x14ac:dyDescent="0.25">
      <c r="W3261" s="28"/>
    </row>
    <row r="3262" spans="23:23" x14ac:dyDescent="0.25">
      <c r="W3262" s="28"/>
    </row>
    <row r="3263" spans="23:23" x14ac:dyDescent="0.25">
      <c r="W3263" s="28"/>
    </row>
    <row r="3264" spans="23:23" x14ac:dyDescent="0.25">
      <c r="W3264" s="28"/>
    </row>
    <row r="3265" spans="23:23" x14ac:dyDescent="0.25">
      <c r="W3265" s="28"/>
    </row>
    <row r="3266" spans="23:23" x14ac:dyDescent="0.25">
      <c r="W3266" s="28"/>
    </row>
    <row r="3267" spans="23:23" x14ac:dyDescent="0.25">
      <c r="W3267" s="28"/>
    </row>
    <row r="3268" spans="23:23" x14ac:dyDescent="0.25">
      <c r="W3268" s="28"/>
    </row>
    <row r="3269" spans="23:23" x14ac:dyDescent="0.25">
      <c r="W3269" s="28"/>
    </row>
    <row r="3270" spans="23:23" x14ac:dyDescent="0.25">
      <c r="W3270" s="28"/>
    </row>
    <row r="3271" spans="23:23" x14ac:dyDescent="0.25">
      <c r="W3271" s="28"/>
    </row>
    <row r="3272" spans="23:23" x14ac:dyDescent="0.25">
      <c r="W3272" s="28"/>
    </row>
    <row r="3273" spans="23:23" x14ac:dyDescent="0.25">
      <c r="W3273" s="28"/>
    </row>
    <row r="3274" spans="23:23" x14ac:dyDescent="0.25">
      <c r="W3274" s="28"/>
    </row>
    <row r="3275" spans="23:23" x14ac:dyDescent="0.25">
      <c r="W3275" s="28"/>
    </row>
    <row r="3276" spans="23:23" x14ac:dyDescent="0.25">
      <c r="W3276" s="28"/>
    </row>
    <row r="3277" spans="23:23" x14ac:dyDescent="0.25">
      <c r="W3277" s="28"/>
    </row>
    <row r="3278" spans="23:23" x14ac:dyDescent="0.25">
      <c r="W3278" s="28"/>
    </row>
    <row r="3279" spans="23:23" x14ac:dyDescent="0.25">
      <c r="W3279" s="28"/>
    </row>
    <row r="3280" spans="23:23" x14ac:dyDescent="0.25">
      <c r="W3280" s="28"/>
    </row>
    <row r="3281" spans="23:23" x14ac:dyDescent="0.25">
      <c r="W3281" s="28"/>
    </row>
    <row r="3282" spans="23:23" x14ac:dyDescent="0.25">
      <c r="W3282" s="28"/>
    </row>
    <row r="3283" spans="23:23" x14ac:dyDescent="0.25">
      <c r="W3283" s="28"/>
    </row>
    <row r="3284" spans="23:23" x14ac:dyDescent="0.25">
      <c r="W3284" s="28"/>
    </row>
    <row r="3285" spans="23:23" x14ac:dyDescent="0.25">
      <c r="W3285" s="28"/>
    </row>
    <row r="3286" spans="23:23" x14ac:dyDescent="0.25">
      <c r="W3286" s="28"/>
    </row>
    <row r="3287" spans="23:23" x14ac:dyDescent="0.25">
      <c r="W3287" s="28"/>
    </row>
    <row r="3288" spans="23:23" x14ac:dyDescent="0.25">
      <c r="W3288" s="28"/>
    </row>
    <row r="3289" spans="23:23" x14ac:dyDescent="0.25">
      <c r="W3289" s="28"/>
    </row>
    <row r="3290" spans="23:23" x14ac:dyDescent="0.25">
      <c r="W3290" s="28"/>
    </row>
    <row r="3291" spans="23:23" x14ac:dyDescent="0.25">
      <c r="W3291" s="28"/>
    </row>
    <row r="3292" spans="23:23" x14ac:dyDescent="0.25">
      <c r="W3292" s="28"/>
    </row>
    <row r="3293" spans="23:23" x14ac:dyDescent="0.25">
      <c r="W3293" s="28"/>
    </row>
    <row r="3294" spans="23:23" x14ac:dyDescent="0.25">
      <c r="W3294" s="28"/>
    </row>
    <row r="3295" spans="23:23" x14ac:dyDescent="0.25">
      <c r="W3295" s="28"/>
    </row>
    <row r="3296" spans="23:23" x14ac:dyDescent="0.25">
      <c r="W3296" s="28"/>
    </row>
    <row r="3297" spans="23:23" x14ac:dyDescent="0.25">
      <c r="W3297" s="28"/>
    </row>
    <row r="3298" spans="23:23" x14ac:dyDescent="0.25">
      <c r="W3298" s="28"/>
    </row>
    <row r="3299" spans="23:23" x14ac:dyDescent="0.25">
      <c r="W3299" s="28"/>
    </row>
    <row r="3300" spans="23:23" x14ac:dyDescent="0.25">
      <c r="W3300" s="28"/>
    </row>
    <row r="3301" spans="23:23" x14ac:dyDescent="0.25">
      <c r="W3301" s="28"/>
    </row>
    <row r="3302" spans="23:23" x14ac:dyDescent="0.25">
      <c r="W3302" s="28"/>
    </row>
    <row r="3303" spans="23:23" x14ac:dyDescent="0.25">
      <c r="W3303" s="28"/>
    </row>
    <row r="3304" spans="23:23" x14ac:dyDescent="0.25">
      <c r="W3304" s="28"/>
    </row>
    <row r="3305" spans="23:23" x14ac:dyDescent="0.25">
      <c r="W3305" s="28"/>
    </row>
    <row r="3306" spans="23:23" x14ac:dyDescent="0.25">
      <c r="W3306" s="28"/>
    </row>
    <row r="3307" spans="23:23" x14ac:dyDescent="0.25">
      <c r="W3307" s="28"/>
    </row>
    <row r="3308" spans="23:23" x14ac:dyDescent="0.25">
      <c r="W3308" s="28"/>
    </row>
    <row r="3309" spans="23:23" x14ac:dyDescent="0.25">
      <c r="W3309" s="28"/>
    </row>
    <row r="3310" spans="23:23" x14ac:dyDescent="0.25">
      <c r="W3310" s="28"/>
    </row>
    <row r="3311" spans="23:23" x14ac:dyDescent="0.25">
      <c r="W3311" s="28"/>
    </row>
    <row r="3312" spans="23:23" x14ac:dyDescent="0.25">
      <c r="W3312" s="28"/>
    </row>
    <row r="3313" spans="23:23" x14ac:dyDescent="0.25">
      <c r="W3313" s="28"/>
    </row>
    <row r="3314" spans="23:23" x14ac:dyDescent="0.25">
      <c r="W3314" s="28"/>
    </row>
    <row r="3315" spans="23:23" x14ac:dyDescent="0.25">
      <c r="W3315" s="28"/>
    </row>
    <row r="3316" spans="23:23" x14ac:dyDescent="0.25">
      <c r="W3316" s="28"/>
    </row>
    <row r="3317" spans="23:23" x14ac:dyDescent="0.25">
      <c r="W3317" s="28"/>
    </row>
    <row r="3318" spans="23:23" x14ac:dyDescent="0.25">
      <c r="W3318" s="28"/>
    </row>
    <row r="3319" spans="23:23" x14ac:dyDescent="0.25">
      <c r="W3319" s="28"/>
    </row>
    <row r="3320" spans="23:23" x14ac:dyDescent="0.25">
      <c r="W3320" s="28"/>
    </row>
    <row r="3321" spans="23:23" x14ac:dyDescent="0.25">
      <c r="W3321" s="28"/>
    </row>
    <row r="3322" spans="23:23" x14ac:dyDescent="0.25">
      <c r="W3322" s="28"/>
    </row>
    <row r="3323" spans="23:23" x14ac:dyDescent="0.25">
      <c r="W3323" s="28"/>
    </row>
    <row r="3324" spans="23:23" x14ac:dyDescent="0.25">
      <c r="W3324" s="28"/>
    </row>
    <row r="3325" spans="23:23" x14ac:dyDescent="0.25">
      <c r="W3325" s="28"/>
    </row>
    <row r="3326" spans="23:23" x14ac:dyDescent="0.25">
      <c r="W3326" s="28"/>
    </row>
    <row r="3327" spans="23:23" x14ac:dyDescent="0.25">
      <c r="W3327" s="28"/>
    </row>
    <row r="3328" spans="23:23" x14ac:dyDescent="0.25">
      <c r="W3328" s="28"/>
    </row>
    <row r="3329" spans="23:23" x14ac:dyDescent="0.25">
      <c r="W3329" s="28"/>
    </row>
    <row r="3330" spans="23:23" x14ac:dyDescent="0.25">
      <c r="W3330" s="28"/>
    </row>
    <row r="3331" spans="23:23" x14ac:dyDescent="0.25">
      <c r="W3331" s="28"/>
    </row>
    <row r="3332" spans="23:23" x14ac:dyDescent="0.25">
      <c r="W3332" s="28"/>
    </row>
    <row r="3333" spans="23:23" x14ac:dyDescent="0.25">
      <c r="W3333" s="28"/>
    </row>
    <row r="3334" spans="23:23" x14ac:dyDescent="0.25">
      <c r="W3334" s="28"/>
    </row>
    <row r="3335" spans="23:23" x14ac:dyDescent="0.25">
      <c r="W3335" s="28"/>
    </row>
    <row r="3336" spans="23:23" x14ac:dyDescent="0.25">
      <c r="W3336" s="28"/>
    </row>
    <row r="3337" spans="23:23" x14ac:dyDescent="0.25">
      <c r="W3337" s="28"/>
    </row>
    <row r="3338" spans="23:23" x14ac:dyDescent="0.25">
      <c r="W3338" s="28"/>
    </row>
    <row r="3339" spans="23:23" x14ac:dyDescent="0.25">
      <c r="W3339" s="28"/>
    </row>
    <row r="3340" spans="23:23" x14ac:dyDescent="0.25">
      <c r="W3340" s="28"/>
    </row>
    <row r="3341" spans="23:23" x14ac:dyDescent="0.25">
      <c r="W3341" s="28"/>
    </row>
    <row r="3342" spans="23:23" x14ac:dyDescent="0.25">
      <c r="W3342" s="28"/>
    </row>
    <row r="3343" spans="23:23" x14ac:dyDescent="0.25">
      <c r="W3343" s="28"/>
    </row>
    <row r="3344" spans="23:23" x14ac:dyDescent="0.25">
      <c r="W3344" s="28"/>
    </row>
    <row r="3345" spans="23:23" x14ac:dyDescent="0.25">
      <c r="W3345" s="28"/>
    </row>
    <row r="3346" spans="23:23" x14ac:dyDescent="0.25">
      <c r="W3346" s="28"/>
    </row>
    <row r="3347" spans="23:23" x14ac:dyDescent="0.25">
      <c r="W3347" s="28"/>
    </row>
    <row r="3348" spans="23:23" x14ac:dyDescent="0.25">
      <c r="W3348" s="28"/>
    </row>
    <row r="3349" spans="23:23" x14ac:dyDescent="0.25">
      <c r="W3349" s="28"/>
    </row>
    <row r="3350" spans="23:23" x14ac:dyDescent="0.25">
      <c r="W3350" s="28"/>
    </row>
    <row r="3351" spans="23:23" x14ac:dyDescent="0.25">
      <c r="W3351" s="28"/>
    </row>
    <row r="3352" spans="23:23" x14ac:dyDescent="0.25">
      <c r="W3352" s="28"/>
    </row>
    <row r="3353" spans="23:23" x14ac:dyDescent="0.25">
      <c r="W3353" s="28"/>
    </row>
    <row r="3354" spans="23:23" x14ac:dyDescent="0.25">
      <c r="W3354" s="28"/>
    </row>
    <row r="3355" spans="23:23" x14ac:dyDescent="0.25">
      <c r="W3355" s="28"/>
    </row>
    <row r="3356" spans="23:23" x14ac:dyDescent="0.25">
      <c r="W3356" s="28"/>
    </row>
    <row r="3357" spans="23:23" x14ac:dyDescent="0.25">
      <c r="W3357" s="28"/>
    </row>
    <row r="3358" spans="23:23" x14ac:dyDescent="0.25">
      <c r="W3358" s="28"/>
    </row>
    <row r="3359" spans="23:23" x14ac:dyDescent="0.25">
      <c r="W3359" s="28"/>
    </row>
    <row r="3360" spans="23:23" x14ac:dyDescent="0.25">
      <c r="W3360" s="28"/>
    </row>
    <row r="3361" spans="23:23" x14ac:dyDescent="0.25">
      <c r="W3361" s="28"/>
    </row>
    <row r="3362" spans="23:23" x14ac:dyDescent="0.25">
      <c r="W3362" s="28"/>
    </row>
    <row r="3363" spans="23:23" x14ac:dyDescent="0.25">
      <c r="W3363" s="28"/>
    </row>
    <row r="3364" spans="23:23" x14ac:dyDescent="0.25">
      <c r="W3364" s="28"/>
    </row>
    <row r="3365" spans="23:23" x14ac:dyDescent="0.25">
      <c r="W3365" s="28"/>
    </row>
    <row r="3366" spans="23:23" x14ac:dyDescent="0.25">
      <c r="W3366" s="28"/>
    </row>
    <row r="3367" spans="23:23" x14ac:dyDescent="0.25">
      <c r="W3367" s="28"/>
    </row>
    <row r="3368" spans="23:23" x14ac:dyDescent="0.25">
      <c r="W3368" s="28"/>
    </row>
    <row r="3369" spans="23:23" x14ac:dyDescent="0.25">
      <c r="W3369" s="28"/>
    </row>
    <row r="3370" spans="23:23" x14ac:dyDescent="0.25">
      <c r="W3370" s="28"/>
    </row>
    <row r="3371" spans="23:23" x14ac:dyDescent="0.25">
      <c r="W3371" s="28"/>
    </row>
    <row r="3372" spans="23:23" x14ac:dyDescent="0.25">
      <c r="W3372" s="28"/>
    </row>
    <row r="3373" spans="23:23" x14ac:dyDescent="0.25">
      <c r="W3373" s="28"/>
    </row>
    <row r="3374" spans="23:23" x14ac:dyDescent="0.25">
      <c r="W3374" s="28"/>
    </row>
    <row r="3375" spans="23:23" x14ac:dyDescent="0.25">
      <c r="W3375" s="28"/>
    </row>
    <row r="3376" spans="23:23" x14ac:dyDescent="0.25">
      <c r="W3376" s="28"/>
    </row>
    <row r="3377" spans="23:23" x14ac:dyDescent="0.25">
      <c r="W3377" s="28"/>
    </row>
    <row r="3378" spans="23:23" x14ac:dyDescent="0.25">
      <c r="W3378" s="28"/>
    </row>
    <row r="3379" spans="23:23" x14ac:dyDescent="0.25">
      <c r="W3379" s="28"/>
    </row>
    <row r="3380" spans="23:23" x14ac:dyDescent="0.25">
      <c r="W3380" s="28"/>
    </row>
    <row r="3381" spans="23:23" x14ac:dyDescent="0.25">
      <c r="W3381" s="28"/>
    </row>
    <row r="3382" spans="23:23" x14ac:dyDescent="0.25">
      <c r="W3382" s="28"/>
    </row>
    <row r="3383" spans="23:23" x14ac:dyDescent="0.25">
      <c r="W3383" s="28"/>
    </row>
    <row r="3384" spans="23:23" x14ac:dyDescent="0.25">
      <c r="W3384" s="28"/>
    </row>
    <row r="3385" spans="23:23" x14ac:dyDescent="0.25">
      <c r="W3385" s="28"/>
    </row>
    <row r="3386" spans="23:23" x14ac:dyDescent="0.25">
      <c r="W3386" s="28"/>
    </row>
    <row r="3387" spans="23:23" x14ac:dyDescent="0.25">
      <c r="W3387" s="28"/>
    </row>
    <row r="3388" spans="23:23" x14ac:dyDescent="0.25">
      <c r="W3388" s="28"/>
    </row>
    <row r="3389" spans="23:23" x14ac:dyDescent="0.25">
      <c r="W3389" s="28"/>
    </row>
    <row r="3390" spans="23:23" x14ac:dyDescent="0.25">
      <c r="W3390" s="28"/>
    </row>
    <row r="3391" spans="23:23" x14ac:dyDescent="0.25">
      <c r="W3391" s="28"/>
    </row>
    <row r="3392" spans="23:23" x14ac:dyDescent="0.25">
      <c r="W3392" s="28"/>
    </row>
    <row r="3393" spans="23:23" x14ac:dyDescent="0.25">
      <c r="W3393" s="28"/>
    </row>
    <row r="3394" spans="23:23" x14ac:dyDescent="0.25">
      <c r="W3394" s="28"/>
    </row>
    <row r="3395" spans="23:23" x14ac:dyDescent="0.25">
      <c r="W3395" s="28"/>
    </row>
    <row r="3396" spans="23:23" x14ac:dyDescent="0.25">
      <c r="W3396" s="28"/>
    </row>
    <row r="3397" spans="23:23" x14ac:dyDescent="0.25">
      <c r="W3397" s="28"/>
    </row>
    <row r="3398" spans="23:23" x14ac:dyDescent="0.25">
      <c r="W3398" s="28"/>
    </row>
    <row r="3399" spans="23:23" x14ac:dyDescent="0.25">
      <c r="W3399" s="28"/>
    </row>
    <row r="3400" spans="23:23" x14ac:dyDescent="0.25">
      <c r="W3400" s="28"/>
    </row>
    <row r="3401" spans="23:23" x14ac:dyDescent="0.25">
      <c r="W3401" s="28"/>
    </row>
    <row r="3402" spans="23:23" x14ac:dyDescent="0.25">
      <c r="W3402" s="28"/>
    </row>
    <row r="3403" spans="23:23" x14ac:dyDescent="0.25">
      <c r="W3403" s="28"/>
    </row>
    <row r="3404" spans="23:23" x14ac:dyDescent="0.25">
      <c r="W3404" s="28"/>
    </row>
    <row r="3405" spans="23:23" x14ac:dyDescent="0.25">
      <c r="W3405" s="28"/>
    </row>
    <row r="3406" spans="23:23" x14ac:dyDescent="0.25">
      <c r="W3406" s="28"/>
    </row>
    <row r="3407" spans="23:23" x14ac:dyDescent="0.25">
      <c r="W3407" s="28"/>
    </row>
    <row r="3408" spans="23:23" x14ac:dyDescent="0.25">
      <c r="W3408" s="28"/>
    </row>
    <row r="3409" spans="23:23" x14ac:dyDescent="0.25">
      <c r="W3409" s="28"/>
    </row>
    <row r="3410" spans="23:23" x14ac:dyDescent="0.25">
      <c r="W3410" s="28"/>
    </row>
    <row r="3411" spans="23:23" x14ac:dyDescent="0.25">
      <c r="W3411" s="28"/>
    </row>
    <row r="3412" spans="23:23" x14ac:dyDescent="0.25">
      <c r="W3412" s="28"/>
    </row>
    <row r="3413" spans="23:23" x14ac:dyDescent="0.25">
      <c r="W3413" s="28"/>
    </row>
    <row r="3414" spans="23:23" x14ac:dyDescent="0.25">
      <c r="W3414" s="28"/>
    </row>
    <row r="3415" spans="23:23" x14ac:dyDescent="0.25">
      <c r="W3415" s="28"/>
    </row>
    <row r="3416" spans="23:23" x14ac:dyDescent="0.25">
      <c r="W3416" s="28"/>
    </row>
    <row r="3417" spans="23:23" x14ac:dyDescent="0.25">
      <c r="W3417" s="28"/>
    </row>
    <row r="3418" spans="23:23" x14ac:dyDescent="0.25">
      <c r="W3418" s="28"/>
    </row>
    <row r="3419" spans="23:23" x14ac:dyDescent="0.25">
      <c r="W3419" s="28"/>
    </row>
    <row r="3420" spans="23:23" x14ac:dyDescent="0.25">
      <c r="W3420" s="28"/>
    </row>
    <row r="3421" spans="23:23" x14ac:dyDescent="0.25">
      <c r="W3421" s="28"/>
    </row>
    <row r="3422" spans="23:23" x14ac:dyDescent="0.25">
      <c r="W3422" s="28"/>
    </row>
    <row r="3423" spans="23:23" x14ac:dyDescent="0.25">
      <c r="W3423" s="28"/>
    </row>
    <row r="3424" spans="23:23" x14ac:dyDescent="0.25">
      <c r="W3424" s="28"/>
    </row>
    <row r="3425" spans="23:23" x14ac:dyDescent="0.25">
      <c r="W3425" s="28"/>
    </row>
    <row r="3426" spans="23:23" x14ac:dyDescent="0.25">
      <c r="W3426" s="28"/>
    </row>
    <row r="3427" spans="23:23" x14ac:dyDescent="0.25">
      <c r="W3427" s="28"/>
    </row>
    <row r="3428" spans="23:23" x14ac:dyDescent="0.25">
      <c r="W3428" s="28"/>
    </row>
    <row r="3429" spans="23:23" x14ac:dyDescent="0.25">
      <c r="W3429" s="28"/>
    </row>
    <row r="3430" spans="23:23" x14ac:dyDescent="0.25">
      <c r="W3430" s="28"/>
    </row>
    <row r="3431" spans="23:23" x14ac:dyDescent="0.25">
      <c r="W3431" s="28"/>
    </row>
    <row r="3432" spans="23:23" x14ac:dyDescent="0.25">
      <c r="W3432" s="28"/>
    </row>
    <row r="3433" spans="23:23" x14ac:dyDescent="0.25">
      <c r="W3433" s="28"/>
    </row>
    <row r="3434" spans="23:23" x14ac:dyDescent="0.25">
      <c r="W3434" s="28"/>
    </row>
    <row r="3435" spans="23:23" x14ac:dyDescent="0.25">
      <c r="W3435" s="28"/>
    </row>
    <row r="3436" spans="23:23" x14ac:dyDescent="0.25">
      <c r="W3436" s="28"/>
    </row>
    <row r="3437" spans="23:23" x14ac:dyDescent="0.25">
      <c r="W3437" s="28"/>
    </row>
    <row r="3438" spans="23:23" x14ac:dyDescent="0.25">
      <c r="W3438" s="28"/>
    </row>
    <row r="3439" spans="23:23" x14ac:dyDescent="0.25">
      <c r="W3439" s="28"/>
    </row>
    <row r="3440" spans="23:23" x14ac:dyDescent="0.25">
      <c r="W3440" s="28"/>
    </row>
    <row r="3441" spans="23:23" x14ac:dyDescent="0.25">
      <c r="W3441" s="28"/>
    </row>
    <row r="3442" spans="23:23" x14ac:dyDescent="0.25">
      <c r="W3442" s="28"/>
    </row>
    <row r="3443" spans="23:23" x14ac:dyDescent="0.25">
      <c r="W3443" s="28"/>
    </row>
    <row r="3444" spans="23:23" x14ac:dyDescent="0.25">
      <c r="W3444" s="28"/>
    </row>
    <row r="3445" spans="23:23" x14ac:dyDescent="0.25">
      <c r="W3445" s="28"/>
    </row>
    <row r="3446" spans="23:23" x14ac:dyDescent="0.25">
      <c r="W3446" s="28"/>
    </row>
    <row r="3447" spans="23:23" x14ac:dyDescent="0.25">
      <c r="W3447" s="28"/>
    </row>
    <row r="3448" spans="23:23" x14ac:dyDescent="0.25">
      <c r="W3448" s="28"/>
    </row>
    <row r="3449" spans="23:23" x14ac:dyDescent="0.25">
      <c r="W3449" s="28"/>
    </row>
    <row r="3450" spans="23:23" x14ac:dyDescent="0.25">
      <c r="W3450" s="28"/>
    </row>
    <row r="3451" spans="23:23" x14ac:dyDescent="0.25">
      <c r="W3451" s="28"/>
    </row>
    <row r="3452" spans="23:23" x14ac:dyDescent="0.25">
      <c r="W3452" s="28"/>
    </row>
    <row r="3453" spans="23:23" x14ac:dyDescent="0.25">
      <c r="W3453" s="28"/>
    </row>
    <row r="3454" spans="23:23" x14ac:dyDescent="0.25">
      <c r="W3454" s="28"/>
    </row>
    <row r="3455" spans="23:23" x14ac:dyDescent="0.25">
      <c r="W3455" s="28"/>
    </row>
    <row r="3456" spans="23:23" x14ac:dyDescent="0.25">
      <c r="W3456" s="28"/>
    </row>
    <row r="3457" spans="23:23" x14ac:dyDescent="0.25">
      <c r="W3457" s="28"/>
    </row>
    <row r="3458" spans="23:23" x14ac:dyDescent="0.25">
      <c r="W3458" s="28"/>
    </row>
    <row r="3459" spans="23:23" x14ac:dyDescent="0.25">
      <c r="W3459" s="28"/>
    </row>
    <row r="3460" spans="23:23" x14ac:dyDescent="0.25">
      <c r="W3460" s="28"/>
    </row>
    <row r="3461" spans="23:23" x14ac:dyDescent="0.25">
      <c r="W3461" s="28"/>
    </row>
    <row r="3462" spans="23:23" x14ac:dyDescent="0.25">
      <c r="W3462" s="28"/>
    </row>
    <row r="3463" spans="23:23" x14ac:dyDescent="0.25">
      <c r="W3463" s="28"/>
    </row>
    <row r="3464" spans="23:23" x14ac:dyDescent="0.25">
      <c r="W3464" s="28"/>
    </row>
    <row r="3465" spans="23:23" x14ac:dyDescent="0.25">
      <c r="W3465" s="28"/>
    </row>
    <row r="3466" spans="23:23" x14ac:dyDescent="0.25">
      <c r="W3466" s="28"/>
    </row>
    <row r="3467" spans="23:23" x14ac:dyDescent="0.25">
      <c r="W3467" s="28"/>
    </row>
    <row r="3468" spans="23:23" x14ac:dyDescent="0.25">
      <c r="W3468" s="28"/>
    </row>
    <row r="3469" spans="23:23" x14ac:dyDescent="0.25">
      <c r="W3469" s="28"/>
    </row>
    <row r="3470" spans="23:23" x14ac:dyDescent="0.25">
      <c r="W3470" s="28"/>
    </row>
    <row r="3471" spans="23:23" x14ac:dyDescent="0.25">
      <c r="W3471" s="28"/>
    </row>
    <row r="3472" spans="23:23" x14ac:dyDescent="0.25">
      <c r="W3472" s="28"/>
    </row>
    <row r="3473" spans="23:23" x14ac:dyDescent="0.25">
      <c r="W3473" s="28"/>
    </row>
    <row r="3474" spans="23:23" x14ac:dyDescent="0.25">
      <c r="W3474" s="28"/>
    </row>
    <row r="3475" spans="23:23" x14ac:dyDescent="0.25">
      <c r="W3475" s="28"/>
    </row>
    <row r="3476" spans="23:23" x14ac:dyDescent="0.25">
      <c r="W3476" s="28"/>
    </row>
    <row r="3477" spans="23:23" x14ac:dyDescent="0.25">
      <c r="W3477" s="28"/>
    </row>
    <row r="3478" spans="23:23" x14ac:dyDescent="0.25">
      <c r="W3478" s="28"/>
    </row>
    <row r="3479" spans="23:23" x14ac:dyDescent="0.25">
      <c r="W3479" s="28"/>
    </row>
    <row r="3480" spans="23:23" x14ac:dyDescent="0.25">
      <c r="W3480" s="28"/>
    </row>
    <row r="3481" spans="23:23" x14ac:dyDescent="0.25">
      <c r="W3481" s="28"/>
    </row>
    <row r="3482" spans="23:23" x14ac:dyDescent="0.25">
      <c r="W3482" s="28"/>
    </row>
    <row r="3483" spans="23:23" x14ac:dyDescent="0.25">
      <c r="W3483" s="28"/>
    </row>
    <row r="3484" spans="23:23" x14ac:dyDescent="0.25">
      <c r="W3484" s="28"/>
    </row>
    <row r="3485" spans="23:23" x14ac:dyDescent="0.25">
      <c r="W3485" s="28"/>
    </row>
    <row r="3486" spans="23:23" x14ac:dyDescent="0.25">
      <c r="W3486" s="28"/>
    </row>
    <row r="3487" spans="23:23" x14ac:dyDescent="0.25">
      <c r="W3487" s="28"/>
    </row>
    <row r="3488" spans="23:23" x14ac:dyDescent="0.25">
      <c r="W3488" s="28"/>
    </row>
    <row r="3489" spans="23:23" x14ac:dyDescent="0.25">
      <c r="W3489" s="28"/>
    </row>
    <row r="3490" spans="23:23" x14ac:dyDescent="0.25">
      <c r="W3490" s="28"/>
    </row>
    <row r="3491" spans="23:23" x14ac:dyDescent="0.25">
      <c r="W3491" s="28"/>
    </row>
    <row r="3492" spans="23:23" x14ac:dyDescent="0.25">
      <c r="W3492" s="28"/>
    </row>
    <row r="3493" spans="23:23" x14ac:dyDescent="0.25">
      <c r="W3493" s="28"/>
    </row>
    <row r="3494" spans="23:23" x14ac:dyDescent="0.25">
      <c r="W3494" s="28"/>
    </row>
    <row r="3495" spans="23:23" x14ac:dyDescent="0.25">
      <c r="W3495" s="28"/>
    </row>
    <row r="3496" spans="23:23" x14ac:dyDescent="0.25">
      <c r="W3496" s="28"/>
    </row>
    <row r="3497" spans="23:23" x14ac:dyDescent="0.25">
      <c r="W3497" s="28"/>
    </row>
    <row r="3498" spans="23:23" x14ac:dyDescent="0.25">
      <c r="W3498" s="28"/>
    </row>
    <row r="3499" spans="23:23" x14ac:dyDescent="0.25">
      <c r="W3499" s="28"/>
    </row>
    <row r="3500" spans="23:23" x14ac:dyDescent="0.25">
      <c r="W3500" s="28"/>
    </row>
    <row r="3501" spans="23:23" x14ac:dyDescent="0.25">
      <c r="W3501" s="28"/>
    </row>
    <row r="3502" spans="23:23" x14ac:dyDescent="0.25">
      <c r="W3502" s="28"/>
    </row>
    <row r="3503" spans="23:23" x14ac:dyDescent="0.25">
      <c r="W3503" s="28"/>
    </row>
    <row r="3504" spans="23:23" x14ac:dyDescent="0.25">
      <c r="W3504" s="28"/>
    </row>
    <row r="3505" spans="23:23" x14ac:dyDescent="0.25">
      <c r="W3505" s="28"/>
    </row>
    <row r="3506" spans="23:23" x14ac:dyDescent="0.25">
      <c r="W3506" s="28"/>
    </row>
    <row r="3507" spans="23:23" x14ac:dyDescent="0.25">
      <c r="W3507" s="28"/>
    </row>
    <row r="3508" spans="23:23" x14ac:dyDescent="0.25">
      <c r="W3508" s="28"/>
    </row>
    <row r="3509" spans="23:23" x14ac:dyDescent="0.25">
      <c r="W3509" s="28"/>
    </row>
    <row r="3510" spans="23:23" x14ac:dyDescent="0.25">
      <c r="W3510" s="28"/>
    </row>
    <row r="3511" spans="23:23" x14ac:dyDescent="0.25">
      <c r="W3511" s="28"/>
    </row>
    <row r="3512" spans="23:23" x14ac:dyDescent="0.25">
      <c r="W3512" s="28"/>
    </row>
    <row r="3513" spans="23:23" x14ac:dyDescent="0.25">
      <c r="W3513" s="28"/>
    </row>
    <row r="3514" spans="23:23" x14ac:dyDescent="0.25">
      <c r="W3514" s="28"/>
    </row>
    <row r="3515" spans="23:23" x14ac:dyDescent="0.25">
      <c r="W3515" s="28"/>
    </row>
    <row r="3516" spans="23:23" x14ac:dyDescent="0.25">
      <c r="W3516" s="28"/>
    </row>
    <row r="3517" spans="23:23" x14ac:dyDescent="0.25">
      <c r="W3517" s="28"/>
    </row>
    <row r="3518" spans="23:23" x14ac:dyDescent="0.25">
      <c r="W3518" s="28"/>
    </row>
    <row r="3519" spans="23:23" x14ac:dyDescent="0.25">
      <c r="W3519" s="28"/>
    </row>
    <row r="3520" spans="23:23" x14ac:dyDescent="0.25">
      <c r="W3520" s="28"/>
    </row>
    <row r="3521" spans="23:23" x14ac:dyDescent="0.25">
      <c r="W3521" s="28"/>
    </row>
    <row r="3522" spans="23:23" x14ac:dyDescent="0.25">
      <c r="W3522" s="28"/>
    </row>
    <row r="3523" spans="23:23" x14ac:dyDescent="0.25">
      <c r="W3523" s="28"/>
    </row>
    <row r="3524" spans="23:23" x14ac:dyDescent="0.25">
      <c r="W3524" s="28"/>
    </row>
    <row r="3525" spans="23:23" x14ac:dyDescent="0.25">
      <c r="W3525" s="28"/>
    </row>
    <row r="3526" spans="23:23" x14ac:dyDescent="0.25">
      <c r="W3526" s="28"/>
    </row>
    <row r="3527" spans="23:23" x14ac:dyDescent="0.25">
      <c r="W3527" s="28"/>
    </row>
    <row r="3528" spans="23:23" x14ac:dyDescent="0.25">
      <c r="W3528" s="28"/>
    </row>
    <row r="3529" spans="23:23" x14ac:dyDescent="0.25">
      <c r="W3529" s="28"/>
    </row>
    <row r="3530" spans="23:23" x14ac:dyDescent="0.25">
      <c r="W3530" s="28"/>
    </row>
    <row r="3531" spans="23:23" x14ac:dyDescent="0.25">
      <c r="W3531" s="28"/>
    </row>
    <row r="3532" spans="23:23" x14ac:dyDescent="0.25">
      <c r="W3532" s="28"/>
    </row>
    <row r="3533" spans="23:23" x14ac:dyDescent="0.25">
      <c r="W3533" s="28"/>
    </row>
    <row r="3534" spans="23:23" x14ac:dyDescent="0.25">
      <c r="W3534" s="28"/>
    </row>
    <row r="3535" spans="23:23" x14ac:dyDescent="0.25">
      <c r="W3535" s="28"/>
    </row>
    <row r="3536" spans="23:23" x14ac:dyDescent="0.25">
      <c r="W3536" s="28"/>
    </row>
    <row r="3537" spans="23:23" x14ac:dyDescent="0.25">
      <c r="W3537" s="28"/>
    </row>
    <row r="3538" spans="23:23" x14ac:dyDescent="0.25">
      <c r="W3538" s="28"/>
    </row>
    <row r="3539" spans="23:23" x14ac:dyDescent="0.25">
      <c r="W3539" s="28"/>
    </row>
    <row r="3540" spans="23:23" x14ac:dyDescent="0.25">
      <c r="W3540" s="28"/>
    </row>
    <row r="3541" spans="23:23" x14ac:dyDescent="0.25">
      <c r="W3541" s="28"/>
    </row>
    <row r="3542" spans="23:23" x14ac:dyDescent="0.25">
      <c r="W3542" s="28"/>
    </row>
    <row r="3543" spans="23:23" x14ac:dyDescent="0.25">
      <c r="W3543" s="28"/>
    </row>
    <row r="3544" spans="23:23" x14ac:dyDescent="0.25">
      <c r="W3544" s="28"/>
    </row>
    <row r="3545" spans="23:23" x14ac:dyDescent="0.25">
      <c r="W3545" s="28"/>
    </row>
    <row r="3546" spans="23:23" x14ac:dyDescent="0.25">
      <c r="W3546" s="28"/>
    </row>
    <row r="3547" spans="23:23" x14ac:dyDescent="0.25">
      <c r="W3547" s="28"/>
    </row>
    <row r="3548" spans="23:23" x14ac:dyDescent="0.25">
      <c r="W3548" s="28"/>
    </row>
    <row r="3549" spans="23:23" x14ac:dyDescent="0.25">
      <c r="W3549" s="28"/>
    </row>
    <row r="3550" spans="23:23" x14ac:dyDescent="0.25">
      <c r="W3550" s="28"/>
    </row>
    <row r="3551" spans="23:23" x14ac:dyDescent="0.25">
      <c r="W3551" s="28"/>
    </row>
    <row r="3552" spans="23:23" x14ac:dyDescent="0.25">
      <c r="W3552" s="28"/>
    </row>
    <row r="3553" spans="23:23" x14ac:dyDescent="0.25">
      <c r="W3553" s="28"/>
    </row>
    <row r="3554" spans="23:23" x14ac:dyDescent="0.25">
      <c r="W3554" s="28"/>
    </row>
    <row r="3555" spans="23:23" x14ac:dyDescent="0.25">
      <c r="W3555" s="28"/>
    </row>
    <row r="3556" spans="23:23" x14ac:dyDescent="0.25">
      <c r="W3556" s="28"/>
    </row>
    <row r="3557" spans="23:23" x14ac:dyDescent="0.25">
      <c r="W3557" s="28"/>
    </row>
    <row r="3558" spans="23:23" x14ac:dyDescent="0.25">
      <c r="W3558" s="28"/>
    </row>
    <row r="3559" spans="23:23" x14ac:dyDescent="0.25">
      <c r="W3559" s="28"/>
    </row>
    <row r="3560" spans="23:23" x14ac:dyDescent="0.25">
      <c r="W3560" s="28"/>
    </row>
    <row r="3561" spans="23:23" x14ac:dyDescent="0.25">
      <c r="W3561" s="28"/>
    </row>
    <row r="3562" spans="23:23" x14ac:dyDescent="0.25">
      <c r="W3562" s="28"/>
    </row>
    <row r="3563" spans="23:23" x14ac:dyDescent="0.25">
      <c r="W3563" s="28"/>
    </row>
    <row r="3564" spans="23:23" x14ac:dyDescent="0.25">
      <c r="W3564" s="28"/>
    </row>
    <row r="3565" spans="23:23" x14ac:dyDescent="0.25">
      <c r="W3565" s="28"/>
    </row>
    <row r="3566" spans="23:23" x14ac:dyDescent="0.25">
      <c r="W3566" s="28"/>
    </row>
    <row r="3567" spans="23:23" x14ac:dyDescent="0.25">
      <c r="W3567" s="28"/>
    </row>
    <row r="3568" spans="23:23" x14ac:dyDescent="0.25">
      <c r="W3568" s="28"/>
    </row>
    <row r="3569" spans="23:23" x14ac:dyDescent="0.25">
      <c r="W3569" s="28"/>
    </row>
    <row r="3570" spans="23:23" x14ac:dyDescent="0.25">
      <c r="W3570" s="28"/>
    </row>
    <row r="3571" spans="23:23" x14ac:dyDescent="0.25">
      <c r="W3571" s="28"/>
    </row>
    <row r="3572" spans="23:23" x14ac:dyDescent="0.25">
      <c r="W3572" s="28"/>
    </row>
    <row r="3573" spans="23:23" x14ac:dyDescent="0.25">
      <c r="W3573" s="28"/>
    </row>
    <row r="3574" spans="23:23" x14ac:dyDescent="0.25">
      <c r="W3574" s="28"/>
    </row>
    <row r="3575" spans="23:23" x14ac:dyDescent="0.25">
      <c r="W3575" s="28"/>
    </row>
    <row r="3576" spans="23:23" x14ac:dyDescent="0.25">
      <c r="W3576" s="28"/>
    </row>
    <row r="3577" spans="23:23" x14ac:dyDescent="0.25">
      <c r="W3577" s="28"/>
    </row>
    <row r="3578" spans="23:23" x14ac:dyDescent="0.25">
      <c r="W3578" s="28"/>
    </row>
    <row r="3579" spans="23:23" x14ac:dyDescent="0.25">
      <c r="W3579" s="28"/>
    </row>
    <row r="3580" spans="23:23" x14ac:dyDescent="0.25">
      <c r="W3580" s="28"/>
    </row>
    <row r="3581" spans="23:23" x14ac:dyDescent="0.25">
      <c r="W3581" s="28"/>
    </row>
    <row r="3582" spans="23:23" x14ac:dyDescent="0.25">
      <c r="W3582" s="28"/>
    </row>
    <row r="3583" spans="23:23" x14ac:dyDescent="0.25">
      <c r="W3583" s="28"/>
    </row>
    <row r="3584" spans="23:23" x14ac:dyDescent="0.25">
      <c r="W3584" s="28"/>
    </row>
    <row r="3585" spans="23:23" x14ac:dyDescent="0.25">
      <c r="W3585" s="28"/>
    </row>
    <row r="3586" spans="23:23" x14ac:dyDescent="0.25">
      <c r="W3586" s="28"/>
    </row>
    <row r="3587" spans="23:23" x14ac:dyDescent="0.25">
      <c r="W3587" s="28"/>
    </row>
    <row r="3588" spans="23:23" x14ac:dyDescent="0.25">
      <c r="W3588" s="28"/>
    </row>
    <row r="3589" spans="23:23" x14ac:dyDescent="0.25">
      <c r="W3589" s="28"/>
    </row>
    <row r="3590" spans="23:23" x14ac:dyDescent="0.25">
      <c r="W3590" s="28"/>
    </row>
    <row r="3591" spans="23:23" x14ac:dyDescent="0.25">
      <c r="W3591" s="28"/>
    </row>
    <row r="3592" spans="23:23" x14ac:dyDescent="0.25">
      <c r="W3592" s="28"/>
    </row>
    <row r="3593" spans="23:23" x14ac:dyDescent="0.25">
      <c r="W3593" s="28"/>
    </row>
    <row r="3594" spans="23:23" x14ac:dyDescent="0.25">
      <c r="W3594" s="28"/>
    </row>
    <row r="3595" spans="23:23" x14ac:dyDescent="0.25">
      <c r="W3595" s="28"/>
    </row>
    <row r="3596" spans="23:23" x14ac:dyDescent="0.25">
      <c r="W3596" s="28"/>
    </row>
    <row r="3597" spans="23:23" x14ac:dyDescent="0.25">
      <c r="W3597" s="28"/>
    </row>
    <row r="3598" spans="23:23" x14ac:dyDescent="0.25">
      <c r="W3598" s="28"/>
    </row>
    <row r="3599" spans="23:23" x14ac:dyDescent="0.25">
      <c r="W3599" s="28"/>
    </row>
    <row r="3600" spans="23:23" x14ac:dyDescent="0.25">
      <c r="W3600" s="28"/>
    </row>
    <row r="3601" spans="23:23" x14ac:dyDescent="0.25">
      <c r="W3601" s="28"/>
    </row>
    <row r="3602" spans="23:23" x14ac:dyDescent="0.25">
      <c r="W3602" s="28"/>
    </row>
    <row r="3603" spans="23:23" x14ac:dyDescent="0.25">
      <c r="W3603" s="28"/>
    </row>
    <row r="3604" spans="23:23" x14ac:dyDescent="0.25">
      <c r="W3604" s="28"/>
    </row>
    <row r="3605" spans="23:23" x14ac:dyDescent="0.25">
      <c r="W3605" s="28"/>
    </row>
    <row r="3606" spans="23:23" x14ac:dyDescent="0.25">
      <c r="W3606" s="28"/>
    </row>
    <row r="3607" spans="23:23" x14ac:dyDescent="0.25">
      <c r="W3607" s="28"/>
    </row>
    <row r="3608" spans="23:23" x14ac:dyDescent="0.25">
      <c r="W3608" s="28"/>
    </row>
    <row r="3609" spans="23:23" x14ac:dyDescent="0.25">
      <c r="W3609" s="28"/>
    </row>
    <row r="3610" spans="23:23" x14ac:dyDescent="0.25">
      <c r="W3610" s="28"/>
    </row>
    <row r="3611" spans="23:23" x14ac:dyDescent="0.25">
      <c r="W3611" s="28"/>
    </row>
    <row r="3612" spans="23:23" x14ac:dyDescent="0.25">
      <c r="W3612" s="28"/>
    </row>
    <row r="3613" spans="23:23" x14ac:dyDescent="0.25">
      <c r="W3613" s="28"/>
    </row>
    <row r="3614" spans="23:23" x14ac:dyDescent="0.25">
      <c r="W3614" s="28"/>
    </row>
    <row r="3615" spans="23:23" x14ac:dyDescent="0.25">
      <c r="W3615" s="28"/>
    </row>
    <row r="3616" spans="23:23" x14ac:dyDescent="0.25">
      <c r="W3616" s="28"/>
    </row>
    <row r="3617" spans="23:23" x14ac:dyDescent="0.25">
      <c r="W3617" s="28"/>
    </row>
    <row r="3618" spans="23:23" x14ac:dyDescent="0.25">
      <c r="W3618" s="28"/>
    </row>
    <row r="3619" spans="23:23" x14ac:dyDescent="0.25">
      <c r="W3619" s="28"/>
    </row>
    <row r="3620" spans="23:23" x14ac:dyDescent="0.25">
      <c r="W3620" s="28"/>
    </row>
    <row r="3621" spans="23:23" x14ac:dyDescent="0.25">
      <c r="W3621" s="28"/>
    </row>
    <row r="3622" spans="23:23" x14ac:dyDescent="0.25">
      <c r="W3622" s="28"/>
    </row>
    <row r="3623" spans="23:23" x14ac:dyDescent="0.25">
      <c r="W3623" s="28"/>
    </row>
    <row r="3624" spans="23:23" x14ac:dyDescent="0.25">
      <c r="W3624" s="28"/>
    </row>
    <row r="3625" spans="23:23" x14ac:dyDescent="0.25">
      <c r="W3625" s="28"/>
    </row>
    <row r="3626" spans="23:23" x14ac:dyDescent="0.25">
      <c r="W3626" s="28"/>
    </row>
    <row r="3627" spans="23:23" x14ac:dyDescent="0.25">
      <c r="W3627" s="28"/>
    </row>
    <row r="3628" spans="23:23" x14ac:dyDescent="0.25">
      <c r="W3628" s="28"/>
    </row>
    <row r="3629" spans="23:23" x14ac:dyDescent="0.25">
      <c r="W3629" s="28"/>
    </row>
    <row r="3630" spans="23:23" x14ac:dyDescent="0.25">
      <c r="W3630" s="28"/>
    </row>
    <row r="3631" spans="23:23" x14ac:dyDescent="0.25">
      <c r="W3631" s="28"/>
    </row>
    <row r="3632" spans="23:23" x14ac:dyDescent="0.25">
      <c r="W3632" s="28"/>
    </row>
    <row r="3633" spans="23:23" x14ac:dyDescent="0.25">
      <c r="W3633" s="28"/>
    </row>
    <row r="3634" spans="23:23" x14ac:dyDescent="0.25">
      <c r="W3634" s="28"/>
    </row>
    <row r="3635" spans="23:23" x14ac:dyDescent="0.25">
      <c r="W3635" s="28"/>
    </row>
    <row r="3636" spans="23:23" x14ac:dyDescent="0.25">
      <c r="W3636" s="28"/>
    </row>
    <row r="3637" spans="23:23" x14ac:dyDescent="0.25">
      <c r="W3637" s="28"/>
    </row>
    <row r="3638" spans="23:23" x14ac:dyDescent="0.25">
      <c r="W3638" s="28"/>
    </row>
    <row r="3639" spans="23:23" x14ac:dyDescent="0.25">
      <c r="W3639" s="28"/>
    </row>
    <row r="3640" spans="23:23" x14ac:dyDescent="0.25">
      <c r="W3640" s="28"/>
    </row>
    <row r="3641" spans="23:23" x14ac:dyDescent="0.25">
      <c r="W3641" s="28"/>
    </row>
    <row r="3642" spans="23:23" x14ac:dyDescent="0.25">
      <c r="W3642" s="28"/>
    </row>
    <row r="3643" spans="23:23" x14ac:dyDescent="0.25">
      <c r="W3643" s="28"/>
    </row>
    <row r="3644" spans="23:23" x14ac:dyDescent="0.25">
      <c r="W3644" s="28"/>
    </row>
    <row r="3645" spans="23:23" x14ac:dyDescent="0.25">
      <c r="W3645" s="28"/>
    </row>
    <row r="3646" spans="23:23" x14ac:dyDescent="0.25">
      <c r="W3646" s="28"/>
    </row>
    <row r="3647" spans="23:23" x14ac:dyDescent="0.25">
      <c r="W3647" s="28"/>
    </row>
    <row r="3648" spans="23:23" x14ac:dyDescent="0.25">
      <c r="W3648" s="28"/>
    </row>
    <row r="3649" spans="23:23" x14ac:dyDescent="0.25">
      <c r="W3649" s="28"/>
    </row>
    <row r="3650" spans="23:23" x14ac:dyDescent="0.25">
      <c r="W3650" s="28"/>
    </row>
    <row r="3651" spans="23:23" x14ac:dyDescent="0.25">
      <c r="W3651" s="28"/>
    </row>
    <row r="3652" spans="23:23" x14ac:dyDescent="0.25">
      <c r="W3652" s="28"/>
    </row>
    <row r="3653" spans="23:23" x14ac:dyDescent="0.25">
      <c r="W3653" s="28"/>
    </row>
    <row r="3654" spans="23:23" x14ac:dyDescent="0.25">
      <c r="W3654" s="28"/>
    </row>
    <row r="3655" spans="23:23" x14ac:dyDescent="0.25">
      <c r="W3655" s="28"/>
    </row>
    <row r="3656" spans="23:23" x14ac:dyDescent="0.25">
      <c r="W3656" s="28"/>
    </row>
    <row r="3657" spans="23:23" x14ac:dyDescent="0.25">
      <c r="W3657" s="28"/>
    </row>
    <row r="3658" spans="23:23" x14ac:dyDescent="0.25">
      <c r="W3658" s="28"/>
    </row>
    <row r="3659" spans="23:23" x14ac:dyDescent="0.25">
      <c r="W3659" s="28"/>
    </row>
    <row r="3660" spans="23:23" x14ac:dyDescent="0.25">
      <c r="W3660" s="28"/>
    </row>
    <row r="3661" spans="23:23" x14ac:dyDescent="0.25">
      <c r="W3661" s="28"/>
    </row>
    <row r="3662" spans="23:23" x14ac:dyDescent="0.25">
      <c r="W3662" s="28"/>
    </row>
    <row r="3663" spans="23:23" x14ac:dyDescent="0.25">
      <c r="W3663" s="28"/>
    </row>
    <row r="3664" spans="23:23" x14ac:dyDescent="0.25">
      <c r="W3664" s="28"/>
    </row>
    <row r="3665" spans="23:23" x14ac:dyDescent="0.25">
      <c r="W3665" s="28"/>
    </row>
    <row r="3666" spans="23:23" x14ac:dyDescent="0.25">
      <c r="W3666" s="28"/>
    </row>
    <row r="3667" spans="23:23" x14ac:dyDescent="0.25">
      <c r="W3667" s="28"/>
    </row>
    <row r="3668" spans="23:23" x14ac:dyDescent="0.25">
      <c r="W3668" s="28"/>
    </row>
    <row r="3669" spans="23:23" x14ac:dyDescent="0.25">
      <c r="W3669" s="28"/>
    </row>
    <row r="3670" spans="23:23" x14ac:dyDescent="0.25">
      <c r="W3670" s="28"/>
    </row>
    <row r="3671" spans="23:23" x14ac:dyDescent="0.25">
      <c r="W3671" s="28"/>
    </row>
    <row r="3672" spans="23:23" x14ac:dyDescent="0.25">
      <c r="W3672" s="28"/>
    </row>
    <row r="3673" spans="23:23" x14ac:dyDescent="0.25">
      <c r="W3673" s="28"/>
    </row>
    <row r="3674" spans="23:23" x14ac:dyDescent="0.25">
      <c r="W3674" s="28"/>
    </row>
    <row r="3675" spans="23:23" x14ac:dyDescent="0.25">
      <c r="W3675" s="28"/>
    </row>
    <row r="3676" spans="23:23" x14ac:dyDescent="0.25">
      <c r="W3676" s="28"/>
    </row>
    <row r="3677" spans="23:23" x14ac:dyDescent="0.25">
      <c r="W3677" s="28"/>
    </row>
    <row r="3678" spans="23:23" x14ac:dyDescent="0.25">
      <c r="W3678" s="28"/>
    </row>
    <row r="3679" spans="23:23" x14ac:dyDescent="0.25">
      <c r="W3679" s="28"/>
    </row>
    <row r="3680" spans="23:23" x14ac:dyDescent="0.25">
      <c r="W3680" s="28"/>
    </row>
    <row r="3681" spans="23:23" x14ac:dyDescent="0.25">
      <c r="W3681" s="28"/>
    </row>
    <row r="3682" spans="23:23" x14ac:dyDescent="0.25">
      <c r="W3682" s="28"/>
    </row>
    <row r="3683" spans="23:23" x14ac:dyDescent="0.25">
      <c r="W3683" s="28"/>
    </row>
    <row r="3684" spans="23:23" x14ac:dyDescent="0.25">
      <c r="W3684" s="28"/>
    </row>
    <row r="3685" spans="23:23" x14ac:dyDescent="0.25">
      <c r="W3685" s="28"/>
    </row>
    <row r="3686" spans="23:23" x14ac:dyDescent="0.25">
      <c r="W3686" s="28"/>
    </row>
    <row r="3687" spans="23:23" x14ac:dyDescent="0.25">
      <c r="W3687" s="28"/>
    </row>
    <row r="3688" spans="23:23" x14ac:dyDescent="0.25">
      <c r="W3688" s="28"/>
    </row>
    <row r="3689" spans="23:23" x14ac:dyDescent="0.25">
      <c r="W3689" s="28"/>
    </row>
    <row r="3690" spans="23:23" x14ac:dyDescent="0.25">
      <c r="W3690" s="28"/>
    </row>
    <row r="3691" spans="23:23" x14ac:dyDescent="0.25">
      <c r="W3691" s="28"/>
    </row>
    <row r="3692" spans="23:23" x14ac:dyDescent="0.25">
      <c r="W3692" s="28"/>
    </row>
    <row r="3693" spans="23:23" x14ac:dyDescent="0.25">
      <c r="W3693" s="28"/>
    </row>
    <row r="3694" spans="23:23" x14ac:dyDescent="0.25">
      <c r="W3694" s="28"/>
    </row>
    <row r="3695" spans="23:23" x14ac:dyDescent="0.25">
      <c r="W3695" s="28"/>
    </row>
    <row r="3696" spans="23:23" x14ac:dyDescent="0.25">
      <c r="W3696" s="28"/>
    </row>
    <row r="3697" spans="23:23" x14ac:dyDescent="0.25">
      <c r="W3697" s="28"/>
    </row>
    <row r="3698" spans="23:23" x14ac:dyDescent="0.25">
      <c r="W3698" s="28"/>
    </row>
    <row r="3699" spans="23:23" x14ac:dyDescent="0.25">
      <c r="W3699" s="28"/>
    </row>
    <row r="3700" spans="23:23" x14ac:dyDescent="0.25">
      <c r="W3700" s="28"/>
    </row>
    <row r="3701" spans="23:23" x14ac:dyDescent="0.25">
      <c r="W3701" s="28"/>
    </row>
    <row r="3702" spans="23:23" x14ac:dyDescent="0.25">
      <c r="W3702" s="28"/>
    </row>
    <row r="3703" spans="23:23" x14ac:dyDescent="0.25">
      <c r="W3703" s="28"/>
    </row>
    <row r="3704" spans="23:23" x14ac:dyDescent="0.25">
      <c r="W3704" s="28"/>
    </row>
    <row r="3705" spans="23:23" x14ac:dyDescent="0.25">
      <c r="W3705" s="28"/>
    </row>
    <row r="3706" spans="23:23" x14ac:dyDescent="0.25">
      <c r="W3706" s="28"/>
    </row>
    <row r="3707" spans="23:23" x14ac:dyDescent="0.25">
      <c r="W3707" s="28"/>
    </row>
    <row r="3708" spans="23:23" x14ac:dyDescent="0.25">
      <c r="W3708" s="28"/>
    </row>
    <row r="3709" spans="23:23" x14ac:dyDescent="0.25">
      <c r="W3709" s="28"/>
    </row>
    <row r="3710" spans="23:23" x14ac:dyDescent="0.25">
      <c r="W3710" s="28"/>
    </row>
    <row r="3711" spans="23:23" x14ac:dyDescent="0.25">
      <c r="W3711" s="28"/>
    </row>
    <row r="3712" spans="23:23" x14ac:dyDescent="0.25">
      <c r="W3712" s="28"/>
    </row>
    <row r="3713" spans="23:23" x14ac:dyDescent="0.25">
      <c r="W3713" s="28"/>
    </row>
    <row r="3714" spans="23:23" x14ac:dyDescent="0.25">
      <c r="W3714" s="28"/>
    </row>
    <row r="3715" spans="23:23" x14ac:dyDescent="0.25">
      <c r="W3715" s="28"/>
    </row>
    <row r="3716" spans="23:23" x14ac:dyDescent="0.25">
      <c r="W3716" s="28"/>
    </row>
    <row r="3717" spans="23:23" x14ac:dyDescent="0.25">
      <c r="W3717" s="28"/>
    </row>
    <row r="3718" spans="23:23" x14ac:dyDescent="0.25">
      <c r="W3718" s="28"/>
    </row>
    <row r="3719" spans="23:23" x14ac:dyDescent="0.25">
      <c r="W3719" s="28"/>
    </row>
    <row r="3720" spans="23:23" x14ac:dyDescent="0.25">
      <c r="W3720" s="28"/>
    </row>
    <row r="3721" spans="23:23" x14ac:dyDescent="0.25">
      <c r="W3721" s="28"/>
    </row>
    <row r="3722" spans="23:23" x14ac:dyDescent="0.25">
      <c r="W3722" s="28"/>
    </row>
    <row r="3723" spans="23:23" x14ac:dyDescent="0.25">
      <c r="W3723" s="28"/>
    </row>
    <row r="3724" spans="23:23" x14ac:dyDescent="0.25">
      <c r="W3724" s="28"/>
    </row>
    <row r="3725" spans="23:23" x14ac:dyDescent="0.25">
      <c r="W3725" s="28"/>
    </row>
    <row r="3726" spans="23:23" x14ac:dyDescent="0.25">
      <c r="W3726" s="28"/>
    </row>
    <row r="3727" spans="23:23" x14ac:dyDescent="0.25">
      <c r="W3727" s="28"/>
    </row>
    <row r="3728" spans="23:23" x14ac:dyDescent="0.25">
      <c r="W3728" s="28"/>
    </row>
    <row r="3729" spans="23:23" x14ac:dyDescent="0.25">
      <c r="W3729" s="28"/>
    </row>
    <row r="3730" spans="23:23" x14ac:dyDescent="0.25">
      <c r="W3730" s="28"/>
    </row>
    <row r="3731" spans="23:23" x14ac:dyDescent="0.25">
      <c r="W3731" s="28"/>
    </row>
    <row r="3732" spans="23:23" x14ac:dyDescent="0.25">
      <c r="W3732" s="28"/>
    </row>
    <row r="3733" spans="23:23" x14ac:dyDescent="0.25">
      <c r="W3733" s="28"/>
    </row>
    <row r="3734" spans="23:23" x14ac:dyDescent="0.25">
      <c r="W3734" s="28"/>
    </row>
    <row r="3735" spans="23:23" x14ac:dyDescent="0.25">
      <c r="W3735" s="28"/>
    </row>
    <row r="3736" spans="23:23" x14ac:dyDescent="0.25">
      <c r="W3736" s="28"/>
    </row>
    <row r="3737" spans="23:23" x14ac:dyDescent="0.25">
      <c r="W3737" s="28"/>
    </row>
    <row r="3738" spans="23:23" x14ac:dyDescent="0.25">
      <c r="W3738" s="28"/>
    </row>
    <row r="3739" spans="23:23" x14ac:dyDescent="0.25">
      <c r="W3739" s="28"/>
    </row>
    <row r="3740" spans="23:23" x14ac:dyDescent="0.25">
      <c r="W3740" s="28"/>
    </row>
    <row r="3741" spans="23:23" x14ac:dyDescent="0.25">
      <c r="W3741" s="28"/>
    </row>
    <row r="3742" spans="23:23" x14ac:dyDescent="0.25">
      <c r="W3742" s="28"/>
    </row>
    <row r="3743" spans="23:23" x14ac:dyDescent="0.25">
      <c r="W3743" s="28"/>
    </row>
    <row r="3744" spans="23:23" x14ac:dyDescent="0.25">
      <c r="W3744" s="28"/>
    </row>
    <row r="3745" spans="23:23" x14ac:dyDescent="0.25">
      <c r="W3745" s="28"/>
    </row>
    <row r="3746" spans="23:23" x14ac:dyDescent="0.25">
      <c r="W3746" s="28"/>
    </row>
    <row r="3747" spans="23:23" x14ac:dyDescent="0.25">
      <c r="W3747" s="28"/>
    </row>
    <row r="3748" spans="23:23" x14ac:dyDescent="0.25">
      <c r="W3748" s="28"/>
    </row>
    <row r="3749" spans="23:23" x14ac:dyDescent="0.25">
      <c r="W3749" s="28"/>
    </row>
    <row r="3750" spans="23:23" x14ac:dyDescent="0.25">
      <c r="W3750" s="28"/>
    </row>
    <row r="3751" spans="23:23" x14ac:dyDescent="0.25">
      <c r="W3751" s="28"/>
    </row>
    <row r="3752" spans="23:23" x14ac:dyDescent="0.25">
      <c r="W3752" s="28"/>
    </row>
    <row r="3753" spans="23:23" x14ac:dyDescent="0.25">
      <c r="W3753" s="28"/>
    </row>
    <row r="3754" spans="23:23" x14ac:dyDescent="0.25">
      <c r="W3754" s="28"/>
    </row>
    <row r="3755" spans="23:23" x14ac:dyDescent="0.25">
      <c r="W3755" s="28"/>
    </row>
    <row r="3756" spans="23:23" x14ac:dyDescent="0.25">
      <c r="W3756" s="28"/>
    </row>
    <row r="3757" spans="23:23" x14ac:dyDescent="0.25">
      <c r="W3757" s="28"/>
    </row>
    <row r="3758" spans="23:23" x14ac:dyDescent="0.25">
      <c r="W3758" s="28"/>
    </row>
    <row r="3759" spans="23:23" x14ac:dyDescent="0.25">
      <c r="W3759" s="28"/>
    </row>
    <row r="3760" spans="23:23" x14ac:dyDescent="0.25">
      <c r="W3760" s="28"/>
    </row>
    <row r="3761" spans="23:23" x14ac:dyDescent="0.25">
      <c r="W3761" s="28"/>
    </row>
    <row r="3762" spans="23:23" x14ac:dyDescent="0.25">
      <c r="W3762" s="28"/>
    </row>
    <row r="3763" spans="23:23" x14ac:dyDescent="0.25">
      <c r="W3763" s="28"/>
    </row>
    <row r="3764" spans="23:23" x14ac:dyDescent="0.25">
      <c r="W3764" s="28"/>
    </row>
    <row r="3765" spans="23:23" x14ac:dyDescent="0.25">
      <c r="W3765" s="28"/>
    </row>
    <row r="3766" spans="23:23" x14ac:dyDescent="0.25">
      <c r="W3766" s="28"/>
    </row>
    <row r="3767" spans="23:23" x14ac:dyDescent="0.25">
      <c r="W3767" s="28"/>
    </row>
    <row r="3768" spans="23:23" x14ac:dyDescent="0.25">
      <c r="W3768" s="28"/>
    </row>
    <row r="3769" spans="23:23" x14ac:dyDescent="0.25">
      <c r="W3769" s="28"/>
    </row>
    <row r="3770" spans="23:23" x14ac:dyDescent="0.25">
      <c r="W3770" s="28"/>
    </row>
    <row r="3771" spans="23:23" x14ac:dyDescent="0.25">
      <c r="W3771" s="28"/>
    </row>
    <row r="3772" spans="23:23" x14ac:dyDescent="0.25">
      <c r="W3772" s="28"/>
    </row>
    <row r="3773" spans="23:23" x14ac:dyDescent="0.25">
      <c r="W3773" s="28"/>
    </row>
    <row r="3774" spans="23:23" x14ac:dyDescent="0.25">
      <c r="W3774" s="28"/>
    </row>
    <row r="3775" spans="23:23" x14ac:dyDescent="0.25">
      <c r="W3775" s="28"/>
    </row>
    <row r="3776" spans="23:23" x14ac:dyDescent="0.25">
      <c r="W3776" s="28"/>
    </row>
    <row r="3777" spans="23:23" x14ac:dyDescent="0.25">
      <c r="W3777" s="28"/>
    </row>
    <row r="3778" spans="23:23" x14ac:dyDescent="0.25">
      <c r="W3778" s="28"/>
    </row>
    <row r="3779" spans="23:23" x14ac:dyDescent="0.25">
      <c r="W3779" s="28"/>
    </row>
    <row r="3780" spans="23:23" x14ac:dyDescent="0.25">
      <c r="W3780" s="28"/>
    </row>
    <row r="3781" spans="23:23" x14ac:dyDescent="0.25">
      <c r="W3781" s="28"/>
    </row>
    <row r="3782" spans="23:23" x14ac:dyDescent="0.25">
      <c r="W3782" s="28"/>
    </row>
    <row r="3783" spans="23:23" x14ac:dyDescent="0.25">
      <c r="W3783" s="28"/>
    </row>
    <row r="3784" spans="23:23" x14ac:dyDescent="0.25">
      <c r="W3784" s="28"/>
    </row>
    <row r="3785" spans="23:23" x14ac:dyDescent="0.25">
      <c r="W3785" s="28"/>
    </row>
    <row r="3786" spans="23:23" x14ac:dyDescent="0.25">
      <c r="W3786" s="28"/>
    </row>
    <row r="3787" spans="23:23" x14ac:dyDescent="0.25">
      <c r="W3787" s="28"/>
    </row>
    <row r="3788" spans="23:23" x14ac:dyDescent="0.25">
      <c r="W3788" s="28"/>
    </row>
    <row r="3789" spans="23:23" x14ac:dyDescent="0.25">
      <c r="W3789" s="28"/>
    </row>
    <row r="3790" spans="23:23" x14ac:dyDescent="0.25">
      <c r="W3790" s="28"/>
    </row>
    <row r="3791" spans="23:23" x14ac:dyDescent="0.25">
      <c r="W3791" s="28"/>
    </row>
    <row r="3792" spans="23:23" x14ac:dyDescent="0.25">
      <c r="W3792" s="28"/>
    </row>
    <row r="3793" spans="23:23" x14ac:dyDescent="0.25">
      <c r="W3793" s="28"/>
    </row>
    <row r="3794" spans="23:23" x14ac:dyDescent="0.25">
      <c r="W3794" s="28"/>
    </row>
    <row r="3795" spans="23:23" x14ac:dyDescent="0.25">
      <c r="W3795" s="28"/>
    </row>
    <row r="3796" spans="23:23" x14ac:dyDescent="0.25">
      <c r="W3796" s="28"/>
    </row>
    <row r="3797" spans="23:23" x14ac:dyDescent="0.25">
      <c r="W3797" s="28"/>
    </row>
    <row r="3798" spans="23:23" x14ac:dyDescent="0.25">
      <c r="W3798" s="28"/>
    </row>
    <row r="3799" spans="23:23" x14ac:dyDescent="0.25">
      <c r="W3799" s="28"/>
    </row>
    <row r="3800" spans="23:23" x14ac:dyDescent="0.25">
      <c r="W3800" s="28"/>
    </row>
    <row r="3801" spans="23:23" x14ac:dyDescent="0.25">
      <c r="W3801" s="28"/>
    </row>
    <row r="3802" spans="23:23" x14ac:dyDescent="0.25">
      <c r="W3802" s="28"/>
    </row>
    <row r="3803" spans="23:23" x14ac:dyDescent="0.25">
      <c r="W3803" s="28"/>
    </row>
    <row r="3804" spans="23:23" x14ac:dyDescent="0.25">
      <c r="W3804" s="28"/>
    </row>
    <row r="3805" spans="23:23" x14ac:dyDescent="0.25">
      <c r="W3805" s="28"/>
    </row>
    <row r="3806" spans="23:23" x14ac:dyDescent="0.25">
      <c r="W3806" s="28"/>
    </row>
    <row r="3807" spans="23:23" x14ac:dyDescent="0.25">
      <c r="W3807" s="28"/>
    </row>
    <row r="3808" spans="23:23" x14ac:dyDescent="0.25">
      <c r="W3808" s="28"/>
    </row>
    <row r="3809" spans="23:23" x14ac:dyDescent="0.25">
      <c r="W3809" s="28"/>
    </row>
    <row r="3810" spans="23:23" x14ac:dyDescent="0.25">
      <c r="W3810" s="28"/>
    </row>
    <row r="3811" spans="23:23" x14ac:dyDescent="0.25">
      <c r="W3811" s="28"/>
    </row>
    <row r="3812" spans="23:23" x14ac:dyDescent="0.25">
      <c r="W3812" s="28"/>
    </row>
    <row r="3813" spans="23:23" x14ac:dyDescent="0.25">
      <c r="W3813" s="28"/>
    </row>
    <row r="3814" spans="23:23" x14ac:dyDescent="0.25">
      <c r="W3814" s="28"/>
    </row>
    <row r="3815" spans="23:23" x14ac:dyDescent="0.25">
      <c r="W3815" s="28"/>
    </row>
    <row r="3816" spans="23:23" x14ac:dyDescent="0.25">
      <c r="W3816" s="28"/>
    </row>
    <row r="3817" spans="23:23" x14ac:dyDescent="0.25">
      <c r="W3817" s="28"/>
    </row>
    <row r="3818" spans="23:23" x14ac:dyDescent="0.25">
      <c r="W3818" s="28"/>
    </row>
    <row r="3819" spans="23:23" x14ac:dyDescent="0.25">
      <c r="W3819" s="28"/>
    </row>
    <row r="3820" spans="23:23" x14ac:dyDescent="0.25">
      <c r="W3820" s="28"/>
    </row>
    <row r="3821" spans="23:23" x14ac:dyDescent="0.25">
      <c r="W3821" s="28"/>
    </row>
    <row r="3822" spans="23:23" x14ac:dyDescent="0.25">
      <c r="W3822" s="28"/>
    </row>
    <row r="3823" spans="23:23" x14ac:dyDescent="0.25">
      <c r="W3823" s="28"/>
    </row>
    <row r="3824" spans="23:23" x14ac:dyDescent="0.25">
      <c r="W3824" s="28"/>
    </row>
    <row r="3825" spans="23:23" x14ac:dyDescent="0.25">
      <c r="W3825" s="28"/>
    </row>
    <row r="3826" spans="23:23" x14ac:dyDescent="0.25">
      <c r="W3826" s="28"/>
    </row>
    <row r="3827" spans="23:23" x14ac:dyDescent="0.25">
      <c r="W3827" s="28"/>
    </row>
    <row r="3828" spans="23:23" x14ac:dyDescent="0.25">
      <c r="W3828" s="28"/>
    </row>
    <row r="3829" spans="23:23" x14ac:dyDescent="0.25">
      <c r="W3829" s="28"/>
    </row>
    <row r="3830" spans="23:23" x14ac:dyDescent="0.25">
      <c r="W3830" s="28"/>
    </row>
    <row r="3831" spans="23:23" x14ac:dyDescent="0.25">
      <c r="W3831" s="28"/>
    </row>
    <row r="3832" spans="23:23" x14ac:dyDescent="0.25">
      <c r="W3832" s="28"/>
    </row>
    <row r="3833" spans="23:23" x14ac:dyDescent="0.25">
      <c r="W3833" s="28"/>
    </row>
    <row r="3834" spans="23:23" x14ac:dyDescent="0.25">
      <c r="W3834" s="28"/>
    </row>
    <row r="3835" spans="23:23" x14ac:dyDescent="0.25">
      <c r="W3835" s="28"/>
    </row>
    <row r="3836" spans="23:23" x14ac:dyDescent="0.25">
      <c r="W3836" s="28"/>
    </row>
    <row r="3837" spans="23:23" x14ac:dyDescent="0.25">
      <c r="W3837" s="28"/>
    </row>
    <row r="3838" spans="23:23" x14ac:dyDescent="0.25">
      <c r="W3838" s="28"/>
    </row>
    <row r="3839" spans="23:23" x14ac:dyDescent="0.25">
      <c r="W3839" s="28"/>
    </row>
    <row r="3840" spans="23:23" x14ac:dyDescent="0.25">
      <c r="W3840" s="28"/>
    </row>
    <row r="3841" spans="23:23" x14ac:dyDescent="0.25">
      <c r="W3841" s="28"/>
    </row>
    <row r="3842" spans="23:23" x14ac:dyDescent="0.25">
      <c r="W3842" s="28"/>
    </row>
    <row r="3843" spans="23:23" x14ac:dyDescent="0.25">
      <c r="W3843" s="28"/>
    </row>
    <row r="3844" spans="23:23" x14ac:dyDescent="0.25">
      <c r="W3844" s="28"/>
    </row>
    <row r="3845" spans="23:23" x14ac:dyDescent="0.25">
      <c r="W3845" s="28"/>
    </row>
    <row r="3846" spans="23:23" x14ac:dyDescent="0.25">
      <c r="W3846" s="28"/>
    </row>
    <row r="3847" spans="23:23" x14ac:dyDescent="0.25">
      <c r="W3847" s="28"/>
    </row>
    <row r="3848" spans="23:23" x14ac:dyDescent="0.25">
      <c r="W3848" s="28"/>
    </row>
    <row r="3849" spans="23:23" x14ac:dyDescent="0.25">
      <c r="W3849" s="28"/>
    </row>
    <row r="3850" spans="23:23" x14ac:dyDescent="0.25">
      <c r="W3850" s="28"/>
    </row>
    <row r="3851" spans="23:23" x14ac:dyDescent="0.25">
      <c r="W3851" s="28"/>
    </row>
    <row r="3852" spans="23:23" x14ac:dyDescent="0.25">
      <c r="W3852" s="28"/>
    </row>
    <row r="3853" spans="23:23" x14ac:dyDescent="0.25">
      <c r="W3853" s="28"/>
    </row>
    <row r="3854" spans="23:23" x14ac:dyDescent="0.25">
      <c r="W3854" s="28"/>
    </row>
    <row r="3855" spans="23:23" x14ac:dyDescent="0.25">
      <c r="W3855" s="28"/>
    </row>
    <row r="3856" spans="23:23" x14ac:dyDescent="0.25">
      <c r="W3856" s="28"/>
    </row>
    <row r="3857" spans="23:23" x14ac:dyDescent="0.25">
      <c r="W3857" s="28"/>
    </row>
    <row r="3858" spans="23:23" x14ac:dyDescent="0.25">
      <c r="W3858" s="28"/>
    </row>
    <row r="3859" spans="23:23" x14ac:dyDescent="0.25">
      <c r="W3859" s="28"/>
    </row>
    <row r="3860" spans="23:23" x14ac:dyDescent="0.25">
      <c r="W3860" s="28"/>
    </row>
    <row r="3861" spans="23:23" x14ac:dyDescent="0.25">
      <c r="W3861" s="28"/>
    </row>
    <row r="3862" spans="23:23" x14ac:dyDescent="0.25">
      <c r="W3862" s="28"/>
    </row>
    <row r="3863" spans="23:23" x14ac:dyDescent="0.25">
      <c r="W3863" s="28"/>
    </row>
    <row r="3864" spans="23:23" x14ac:dyDescent="0.25">
      <c r="W3864" s="28"/>
    </row>
    <row r="3865" spans="23:23" x14ac:dyDescent="0.25">
      <c r="W3865" s="28"/>
    </row>
    <row r="3866" spans="23:23" x14ac:dyDescent="0.25">
      <c r="W3866" s="28"/>
    </row>
    <row r="3867" spans="23:23" x14ac:dyDescent="0.25">
      <c r="W3867" s="28"/>
    </row>
    <row r="3868" spans="23:23" x14ac:dyDescent="0.25">
      <c r="W3868" s="28"/>
    </row>
    <row r="3869" spans="23:23" x14ac:dyDescent="0.25">
      <c r="W3869" s="28"/>
    </row>
    <row r="3870" spans="23:23" x14ac:dyDescent="0.25">
      <c r="W3870" s="28"/>
    </row>
    <row r="3871" spans="23:23" x14ac:dyDescent="0.25">
      <c r="W3871" s="28"/>
    </row>
    <row r="3872" spans="23:23" x14ac:dyDescent="0.25">
      <c r="W3872" s="28"/>
    </row>
    <row r="3873" spans="23:23" x14ac:dyDescent="0.25">
      <c r="W3873" s="28"/>
    </row>
    <row r="3874" spans="23:23" x14ac:dyDescent="0.25">
      <c r="W3874" s="28"/>
    </row>
    <row r="3875" spans="23:23" x14ac:dyDescent="0.25">
      <c r="W3875" s="28"/>
    </row>
    <row r="3876" spans="23:23" x14ac:dyDescent="0.25">
      <c r="W3876" s="28"/>
    </row>
    <row r="3877" spans="23:23" x14ac:dyDescent="0.25">
      <c r="W3877" s="28"/>
    </row>
    <row r="3878" spans="23:23" x14ac:dyDescent="0.25">
      <c r="W3878" s="28"/>
    </row>
    <row r="3879" spans="23:23" x14ac:dyDescent="0.25">
      <c r="W3879" s="28"/>
    </row>
    <row r="3880" spans="23:23" x14ac:dyDescent="0.25">
      <c r="W3880" s="28"/>
    </row>
    <row r="3881" spans="23:23" x14ac:dyDescent="0.25">
      <c r="W3881" s="28"/>
    </row>
    <row r="3882" spans="23:23" x14ac:dyDescent="0.25">
      <c r="W3882" s="28"/>
    </row>
    <row r="3883" spans="23:23" x14ac:dyDescent="0.25">
      <c r="W3883" s="28"/>
    </row>
    <row r="3884" spans="23:23" x14ac:dyDescent="0.25">
      <c r="W3884" s="28"/>
    </row>
    <row r="3885" spans="23:23" x14ac:dyDescent="0.25">
      <c r="W3885" s="28"/>
    </row>
    <row r="3886" spans="23:23" x14ac:dyDescent="0.25">
      <c r="W3886" s="28"/>
    </row>
    <row r="3887" spans="23:23" x14ac:dyDescent="0.25">
      <c r="W3887" s="28"/>
    </row>
    <row r="3888" spans="23:23" x14ac:dyDescent="0.25">
      <c r="W3888" s="28"/>
    </row>
    <row r="3889" spans="23:23" x14ac:dyDescent="0.25">
      <c r="W3889" s="28"/>
    </row>
    <row r="3890" spans="23:23" x14ac:dyDescent="0.25">
      <c r="W3890" s="28"/>
    </row>
    <row r="3891" spans="23:23" x14ac:dyDescent="0.25">
      <c r="W3891" s="28"/>
    </row>
    <row r="3892" spans="23:23" x14ac:dyDescent="0.25">
      <c r="W3892" s="28"/>
    </row>
    <row r="3893" spans="23:23" x14ac:dyDescent="0.25">
      <c r="W3893" s="28"/>
    </row>
    <row r="3894" spans="23:23" x14ac:dyDescent="0.25">
      <c r="W3894" s="28"/>
    </row>
    <row r="3895" spans="23:23" x14ac:dyDescent="0.25">
      <c r="W3895" s="28"/>
    </row>
    <row r="3896" spans="23:23" x14ac:dyDescent="0.25">
      <c r="W3896" s="28"/>
    </row>
    <row r="3897" spans="23:23" x14ac:dyDescent="0.25">
      <c r="W3897" s="28"/>
    </row>
    <row r="3898" spans="23:23" x14ac:dyDescent="0.25">
      <c r="W3898" s="28"/>
    </row>
    <row r="3899" spans="23:23" x14ac:dyDescent="0.25">
      <c r="W3899" s="28"/>
    </row>
    <row r="3900" spans="23:23" x14ac:dyDescent="0.25">
      <c r="W3900" s="28"/>
    </row>
    <row r="3901" spans="23:23" x14ac:dyDescent="0.25">
      <c r="W3901" s="28"/>
    </row>
    <row r="3902" spans="23:23" x14ac:dyDescent="0.25">
      <c r="W3902" s="28"/>
    </row>
    <row r="3903" spans="23:23" x14ac:dyDescent="0.25">
      <c r="W3903" s="28"/>
    </row>
    <row r="3904" spans="23:23" x14ac:dyDescent="0.25">
      <c r="W3904" s="28"/>
    </row>
    <row r="3905" spans="23:23" x14ac:dyDescent="0.25">
      <c r="W3905" s="28"/>
    </row>
    <row r="3906" spans="23:23" x14ac:dyDescent="0.25">
      <c r="W3906" s="28"/>
    </row>
    <row r="3907" spans="23:23" x14ac:dyDescent="0.25">
      <c r="W3907" s="28"/>
    </row>
    <row r="3908" spans="23:23" x14ac:dyDescent="0.25">
      <c r="W3908" s="28"/>
    </row>
    <row r="3909" spans="23:23" x14ac:dyDescent="0.25">
      <c r="W3909" s="28"/>
    </row>
    <row r="3910" spans="23:23" x14ac:dyDescent="0.25">
      <c r="W3910" s="28"/>
    </row>
    <row r="3911" spans="23:23" x14ac:dyDescent="0.25">
      <c r="W3911" s="28"/>
    </row>
    <row r="3912" spans="23:23" x14ac:dyDescent="0.25">
      <c r="W3912" s="28"/>
    </row>
    <row r="3913" spans="23:23" x14ac:dyDescent="0.25">
      <c r="W3913" s="28"/>
    </row>
    <row r="3914" spans="23:23" x14ac:dyDescent="0.25">
      <c r="W3914" s="28"/>
    </row>
    <row r="3915" spans="23:23" x14ac:dyDescent="0.25">
      <c r="W3915" s="28"/>
    </row>
    <row r="3916" spans="23:23" x14ac:dyDescent="0.25">
      <c r="W3916" s="28"/>
    </row>
    <row r="3917" spans="23:23" x14ac:dyDescent="0.25">
      <c r="W3917" s="28"/>
    </row>
    <row r="3918" spans="23:23" x14ac:dyDescent="0.25">
      <c r="W3918" s="28"/>
    </row>
    <row r="3919" spans="23:23" x14ac:dyDescent="0.25">
      <c r="W3919" s="28"/>
    </row>
    <row r="3920" spans="23:23" x14ac:dyDescent="0.25">
      <c r="W3920" s="28"/>
    </row>
    <row r="3921" spans="23:23" x14ac:dyDescent="0.25">
      <c r="W3921" s="28"/>
    </row>
    <row r="3922" spans="23:23" x14ac:dyDescent="0.25">
      <c r="W3922" s="28"/>
    </row>
    <row r="3923" spans="23:23" x14ac:dyDescent="0.25">
      <c r="W3923" s="28"/>
    </row>
    <row r="3924" spans="23:23" x14ac:dyDescent="0.25">
      <c r="W3924" s="28"/>
    </row>
    <row r="3925" spans="23:23" x14ac:dyDescent="0.25">
      <c r="W3925" s="28"/>
    </row>
    <row r="3926" spans="23:23" x14ac:dyDescent="0.25">
      <c r="W3926" s="28"/>
    </row>
    <row r="3927" spans="23:23" x14ac:dyDescent="0.25">
      <c r="W3927" s="28"/>
    </row>
    <row r="3928" spans="23:23" x14ac:dyDescent="0.25">
      <c r="W3928" s="28"/>
    </row>
    <row r="3929" spans="23:23" x14ac:dyDescent="0.25">
      <c r="W3929" s="28"/>
    </row>
    <row r="3930" spans="23:23" x14ac:dyDescent="0.25">
      <c r="W3930" s="28"/>
    </row>
    <row r="3931" spans="23:23" x14ac:dyDescent="0.25">
      <c r="W3931" s="28"/>
    </row>
    <row r="3932" spans="23:23" x14ac:dyDescent="0.25">
      <c r="W3932" s="28"/>
    </row>
    <row r="3933" spans="23:23" x14ac:dyDescent="0.25">
      <c r="W3933" s="28"/>
    </row>
    <row r="3934" spans="23:23" x14ac:dyDescent="0.25">
      <c r="W3934" s="28"/>
    </row>
    <row r="3935" spans="23:23" x14ac:dyDescent="0.25">
      <c r="W3935" s="28"/>
    </row>
    <row r="3936" spans="23:23" x14ac:dyDescent="0.25">
      <c r="W3936" s="28"/>
    </row>
    <row r="3937" spans="23:23" x14ac:dyDescent="0.25">
      <c r="W3937" s="28"/>
    </row>
    <row r="3938" spans="23:23" x14ac:dyDescent="0.25">
      <c r="W3938" s="28"/>
    </row>
    <row r="3939" spans="23:23" x14ac:dyDescent="0.25">
      <c r="W3939" s="28"/>
    </row>
    <row r="3940" spans="23:23" x14ac:dyDescent="0.25">
      <c r="W3940" s="28"/>
    </row>
    <row r="3941" spans="23:23" x14ac:dyDescent="0.25">
      <c r="W3941" s="28"/>
    </row>
    <row r="3942" spans="23:23" x14ac:dyDescent="0.25">
      <c r="W3942" s="28"/>
    </row>
    <row r="3943" spans="23:23" x14ac:dyDescent="0.25">
      <c r="W3943" s="28"/>
    </row>
    <row r="3944" spans="23:23" x14ac:dyDescent="0.25">
      <c r="W3944" s="28"/>
    </row>
    <row r="3945" spans="23:23" x14ac:dyDescent="0.25">
      <c r="W3945" s="28"/>
    </row>
    <row r="3946" spans="23:23" x14ac:dyDescent="0.25">
      <c r="W3946" s="28"/>
    </row>
    <row r="3947" spans="23:23" x14ac:dyDescent="0.25">
      <c r="W3947" s="28"/>
    </row>
    <row r="3948" spans="23:23" x14ac:dyDescent="0.25">
      <c r="W3948" s="28"/>
    </row>
    <row r="3949" spans="23:23" x14ac:dyDescent="0.25">
      <c r="W3949" s="28"/>
    </row>
    <row r="3950" spans="23:23" x14ac:dyDescent="0.25">
      <c r="W3950" s="28"/>
    </row>
    <row r="3951" spans="23:23" x14ac:dyDescent="0.25">
      <c r="W3951" s="28"/>
    </row>
    <row r="3952" spans="23:23" x14ac:dyDescent="0.25">
      <c r="W3952" s="28"/>
    </row>
    <row r="3953" spans="23:23" x14ac:dyDescent="0.25">
      <c r="W3953" s="28"/>
    </row>
    <row r="3954" spans="23:23" x14ac:dyDescent="0.25">
      <c r="W3954" s="28"/>
    </row>
    <row r="3955" spans="23:23" x14ac:dyDescent="0.25">
      <c r="W3955" s="28"/>
    </row>
    <row r="3956" spans="23:23" x14ac:dyDescent="0.25">
      <c r="W3956" s="28"/>
    </row>
    <row r="3957" spans="23:23" x14ac:dyDescent="0.25">
      <c r="W3957" s="28"/>
    </row>
    <row r="3958" spans="23:23" x14ac:dyDescent="0.25">
      <c r="W3958" s="28"/>
    </row>
    <row r="3959" spans="23:23" x14ac:dyDescent="0.25">
      <c r="W3959" s="28"/>
    </row>
    <row r="3960" spans="23:23" x14ac:dyDescent="0.25">
      <c r="W3960" s="28"/>
    </row>
    <row r="3961" spans="23:23" x14ac:dyDescent="0.25">
      <c r="W3961" s="28"/>
    </row>
    <row r="3962" spans="23:23" x14ac:dyDescent="0.25">
      <c r="W3962" s="28"/>
    </row>
    <row r="3963" spans="23:23" x14ac:dyDescent="0.25">
      <c r="W3963" s="28"/>
    </row>
    <row r="3964" spans="23:23" x14ac:dyDescent="0.25">
      <c r="W3964" s="28"/>
    </row>
    <row r="3965" spans="23:23" x14ac:dyDescent="0.25">
      <c r="W3965" s="28"/>
    </row>
    <row r="3966" spans="23:23" x14ac:dyDescent="0.25">
      <c r="W3966" s="28"/>
    </row>
    <row r="3967" spans="23:23" x14ac:dyDescent="0.25">
      <c r="W3967" s="28"/>
    </row>
    <row r="3968" spans="23:23" x14ac:dyDescent="0.25">
      <c r="W3968" s="28"/>
    </row>
    <row r="3969" spans="23:23" x14ac:dyDescent="0.25">
      <c r="W3969" s="28"/>
    </row>
    <row r="3970" spans="23:23" x14ac:dyDescent="0.25">
      <c r="W3970" s="28"/>
    </row>
    <row r="3971" spans="23:23" x14ac:dyDescent="0.25">
      <c r="W3971" s="28"/>
    </row>
    <row r="3972" spans="23:23" x14ac:dyDescent="0.25">
      <c r="W3972" s="28"/>
    </row>
    <row r="3973" spans="23:23" x14ac:dyDescent="0.25">
      <c r="W3973" s="28"/>
    </row>
    <row r="3974" spans="23:23" x14ac:dyDescent="0.25">
      <c r="W3974" s="28"/>
    </row>
    <row r="3975" spans="23:23" x14ac:dyDescent="0.25">
      <c r="W3975" s="28"/>
    </row>
    <row r="3976" spans="23:23" x14ac:dyDescent="0.25">
      <c r="W3976" s="28"/>
    </row>
    <row r="3977" spans="23:23" x14ac:dyDescent="0.25">
      <c r="W3977" s="28"/>
    </row>
    <row r="3978" spans="23:23" x14ac:dyDescent="0.25">
      <c r="W3978" s="28"/>
    </row>
    <row r="3979" spans="23:23" x14ac:dyDescent="0.25">
      <c r="W3979" s="28"/>
    </row>
    <row r="3980" spans="23:23" x14ac:dyDescent="0.25">
      <c r="W3980" s="28"/>
    </row>
    <row r="3981" spans="23:23" x14ac:dyDescent="0.25">
      <c r="W3981" s="28"/>
    </row>
    <row r="3982" spans="23:23" x14ac:dyDescent="0.25">
      <c r="W3982" s="28"/>
    </row>
    <row r="3983" spans="23:23" x14ac:dyDescent="0.25">
      <c r="W3983" s="28"/>
    </row>
    <row r="3984" spans="23:23" x14ac:dyDescent="0.25">
      <c r="W3984" s="28"/>
    </row>
    <row r="3985" spans="23:23" x14ac:dyDescent="0.25">
      <c r="W3985" s="28"/>
    </row>
    <row r="3986" spans="23:23" x14ac:dyDescent="0.25">
      <c r="W3986" s="28"/>
    </row>
    <row r="3987" spans="23:23" x14ac:dyDescent="0.25">
      <c r="W3987" s="28"/>
    </row>
    <row r="3988" spans="23:23" x14ac:dyDescent="0.25">
      <c r="W3988" s="28"/>
    </row>
    <row r="3989" spans="23:23" x14ac:dyDescent="0.25">
      <c r="W3989" s="28"/>
    </row>
    <row r="3990" spans="23:23" x14ac:dyDescent="0.25">
      <c r="W3990" s="28"/>
    </row>
    <row r="3991" spans="23:23" x14ac:dyDescent="0.25">
      <c r="W3991" s="28"/>
    </row>
    <row r="3992" spans="23:23" x14ac:dyDescent="0.25">
      <c r="W3992" s="28"/>
    </row>
    <row r="3993" spans="23:23" x14ac:dyDescent="0.25">
      <c r="W3993" s="28"/>
    </row>
    <row r="3994" spans="23:23" x14ac:dyDescent="0.25">
      <c r="W3994" s="28"/>
    </row>
    <row r="3995" spans="23:23" x14ac:dyDescent="0.25">
      <c r="W3995" s="28"/>
    </row>
    <row r="3996" spans="23:23" x14ac:dyDescent="0.25">
      <c r="W3996" s="28"/>
    </row>
    <row r="3997" spans="23:23" x14ac:dyDescent="0.25">
      <c r="W3997" s="28"/>
    </row>
    <row r="3998" spans="23:23" x14ac:dyDescent="0.25">
      <c r="W3998" s="28"/>
    </row>
    <row r="3999" spans="23:23" x14ac:dyDescent="0.25">
      <c r="W3999" s="28"/>
    </row>
    <row r="4000" spans="23:23" x14ac:dyDescent="0.25">
      <c r="W4000" s="28"/>
    </row>
    <row r="4001" spans="23:23" x14ac:dyDescent="0.25">
      <c r="W4001" s="28"/>
    </row>
    <row r="4002" spans="23:23" x14ac:dyDescent="0.25">
      <c r="W4002" s="28"/>
    </row>
    <row r="4003" spans="23:23" x14ac:dyDescent="0.25">
      <c r="W4003" s="28"/>
    </row>
    <row r="4004" spans="23:23" x14ac:dyDescent="0.25">
      <c r="W4004" s="28"/>
    </row>
    <row r="4005" spans="23:23" x14ac:dyDescent="0.25">
      <c r="W4005" s="28"/>
    </row>
    <row r="4006" spans="23:23" x14ac:dyDescent="0.25">
      <c r="W4006" s="28"/>
    </row>
    <row r="4007" spans="23:23" x14ac:dyDescent="0.25">
      <c r="W4007" s="28"/>
    </row>
    <row r="4008" spans="23:23" x14ac:dyDescent="0.25">
      <c r="W4008" s="28"/>
    </row>
    <row r="4009" spans="23:23" x14ac:dyDescent="0.25">
      <c r="W4009" s="28"/>
    </row>
    <row r="4010" spans="23:23" x14ac:dyDescent="0.25">
      <c r="W4010" s="28"/>
    </row>
    <row r="4011" spans="23:23" x14ac:dyDescent="0.25">
      <c r="W4011" s="28"/>
    </row>
    <row r="4012" spans="23:23" x14ac:dyDescent="0.25">
      <c r="W4012" s="28"/>
    </row>
    <row r="4013" spans="23:23" x14ac:dyDescent="0.25">
      <c r="W4013" s="28"/>
    </row>
    <row r="4014" spans="23:23" x14ac:dyDescent="0.25">
      <c r="W4014" s="28"/>
    </row>
    <row r="4015" spans="23:23" x14ac:dyDescent="0.25">
      <c r="W4015" s="28"/>
    </row>
    <row r="4016" spans="23:23" x14ac:dyDescent="0.25">
      <c r="W4016" s="28"/>
    </row>
    <row r="4017" spans="23:23" x14ac:dyDescent="0.25">
      <c r="W4017" s="28"/>
    </row>
    <row r="4018" spans="23:23" x14ac:dyDescent="0.25">
      <c r="W4018" s="28"/>
    </row>
    <row r="4019" spans="23:23" x14ac:dyDescent="0.25">
      <c r="W4019" s="28"/>
    </row>
    <row r="4020" spans="23:23" x14ac:dyDescent="0.25">
      <c r="W4020" s="28"/>
    </row>
    <row r="4021" spans="23:23" x14ac:dyDescent="0.25">
      <c r="W4021" s="28"/>
    </row>
    <row r="4022" spans="23:23" x14ac:dyDescent="0.25">
      <c r="W4022" s="28"/>
    </row>
    <row r="4023" spans="23:23" x14ac:dyDescent="0.25">
      <c r="W4023" s="28"/>
    </row>
    <row r="4024" spans="23:23" x14ac:dyDescent="0.25">
      <c r="W4024" s="28"/>
    </row>
    <row r="4025" spans="23:23" x14ac:dyDescent="0.25">
      <c r="W4025" s="28"/>
    </row>
    <row r="4026" spans="23:23" x14ac:dyDescent="0.25">
      <c r="W4026" s="28"/>
    </row>
    <row r="4027" spans="23:23" x14ac:dyDescent="0.25">
      <c r="W4027" s="28"/>
    </row>
    <row r="4028" spans="23:23" x14ac:dyDescent="0.25">
      <c r="W4028" s="28"/>
    </row>
    <row r="4029" spans="23:23" x14ac:dyDescent="0.25">
      <c r="W4029" s="28"/>
    </row>
    <row r="4030" spans="23:23" x14ac:dyDescent="0.25">
      <c r="W4030" s="28"/>
    </row>
    <row r="4031" spans="23:23" x14ac:dyDescent="0.25">
      <c r="W4031" s="28"/>
    </row>
    <row r="4032" spans="23:23" x14ac:dyDescent="0.25">
      <c r="W4032" s="28"/>
    </row>
    <row r="4033" spans="23:23" x14ac:dyDescent="0.25">
      <c r="W4033" s="28"/>
    </row>
    <row r="4034" spans="23:23" x14ac:dyDescent="0.25">
      <c r="W4034" s="28"/>
    </row>
    <row r="4035" spans="23:23" x14ac:dyDescent="0.25">
      <c r="W4035" s="28"/>
    </row>
    <row r="4036" spans="23:23" x14ac:dyDescent="0.25">
      <c r="W4036" s="28"/>
    </row>
    <row r="4037" spans="23:23" x14ac:dyDescent="0.25">
      <c r="W4037" s="28"/>
    </row>
    <row r="4038" spans="23:23" x14ac:dyDescent="0.25">
      <c r="W4038" s="28"/>
    </row>
    <row r="4039" spans="23:23" x14ac:dyDescent="0.25">
      <c r="W4039" s="28"/>
    </row>
    <row r="4040" spans="23:23" x14ac:dyDescent="0.25">
      <c r="W4040" s="28"/>
    </row>
    <row r="4041" spans="23:23" x14ac:dyDescent="0.25">
      <c r="W4041" s="28"/>
    </row>
    <row r="4042" spans="23:23" x14ac:dyDescent="0.25">
      <c r="W4042" s="28"/>
    </row>
    <row r="4043" spans="23:23" x14ac:dyDescent="0.25">
      <c r="W4043" s="28"/>
    </row>
    <row r="4044" spans="23:23" x14ac:dyDescent="0.25">
      <c r="W4044" s="28"/>
    </row>
    <row r="4045" spans="23:23" x14ac:dyDescent="0.25">
      <c r="W4045" s="28"/>
    </row>
    <row r="4046" spans="23:23" x14ac:dyDescent="0.25">
      <c r="W4046" s="28"/>
    </row>
    <row r="4047" spans="23:23" x14ac:dyDescent="0.25">
      <c r="W4047" s="28"/>
    </row>
    <row r="4048" spans="23:23" x14ac:dyDescent="0.25">
      <c r="W4048" s="28"/>
    </row>
    <row r="4049" spans="23:23" x14ac:dyDescent="0.25">
      <c r="W4049" s="28"/>
    </row>
    <row r="4050" spans="23:23" x14ac:dyDescent="0.25">
      <c r="W4050" s="28"/>
    </row>
    <row r="4051" spans="23:23" x14ac:dyDescent="0.25">
      <c r="W4051" s="28"/>
    </row>
    <row r="4052" spans="23:23" x14ac:dyDescent="0.25">
      <c r="W4052" s="28"/>
    </row>
    <row r="4053" spans="23:23" x14ac:dyDescent="0.25">
      <c r="W4053" s="28"/>
    </row>
    <row r="4054" spans="23:23" x14ac:dyDescent="0.25">
      <c r="W4054" s="28"/>
    </row>
    <row r="4055" spans="23:23" x14ac:dyDescent="0.25">
      <c r="W4055" s="28"/>
    </row>
    <row r="4056" spans="23:23" x14ac:dyDescent="0.25">
      <c r="W4056" s="28"/>
    </row>
    <row r="4057" spans="23:23" x14ac:dyDescent="0.25">
      <c r="W4057" s="28"/>
    </row>
    <row r="4058" spans="23:23" x14ac:dyDescent="0.25">
      <c r="W4058" s="28"/>
    </row>
    <row r="4059" spans="23:23" x14ac:dyDescent="0.25">
      <c r="W4059" s="28"/>
    </row>
    <row r="4060" spans="23:23" x14ac:dyDescent="0.25">
      <c r="W4060" s="28"/>
    </row>
    <row r="4061" spans="23:23" x14ac:dyDescent="0.25">
      <c r="W4061" s="28"/>
    </row>
    <row r="4062" spans="23:23" x14ac:dyDescent="0.25">
      <c r="W4062" s="28"/>
    </row>
    <row r="4063" spans="23:23" x14ac:dyDescent="0.25">
      <c r="W4063" s="28"/>
    </row>
    <row r="4064" spans="23:23" x14ac:dyDescent="0.25">
      <c r="W4064" s="28"/>
    </row>
    <row r="4065" spans="23:23" x14ac:dyDescent="0.25">
      <c r="W4065" s="28"/>
    </row>
    <row r="4066" spans="23:23" x14ac:dyDescent="0.25">
      <c r="W4066" s="28"/>
    </row>
    <row r="4067" spans="23:23" x14ac:dyDescent="0.25">
      <c r="W4067" s="28"/>
    </row>
    <row r="4068" spans="23:23" x14ac:dyDescent="0.25">
      <c r="W4068" s="28"/>
    </row>
    <row r="4069" spans="23:23" x14ac:dyDescent="0.25">
      <c r="W4069" s="28"/>
    </row>
    <row r="4070" spans="23:23" x14ac:dyDescent="0.25">
      <c r="W4070" s="28"/>
    </row>
    <row r="4071" spans="23:23" x14ac:dyDescent="0.25">
      <c r="W4071" s="28"/>
    </row>
    <row r="4072" spans="23:23" x14ac:dyDescent="0.25">
      <c r="W4072" s="28"/>
    </row>
    <row r="4073" spans="23:23" x14ac:dyDescent="0.25">
      <c r="W4073" s="28"/>
    </row>
    <row r="4074" spans="23:23" x14ac:dyDescent="0.25">
      <c r="W4074" s="28"/>
    </row>
    <row r="4075" spans="23:23" x14ac:dyDescent="0.25">
      <c r="W4075" s="28"/>
    </row>
    <row r="4076" spans="23:23" x14ac:dyDescent="0.25">
      <c r="W4076" s="28"/>
    </row>
    <row r="4077" spans="23:23" x14ac:dyDescent="0.25">
      <c r="W4077" s="28"/>
    </row>
    <row r="4078" spans="23:23" x14ac:dyDescent="0.25">
      <c r="W4078" s="28"/>
    </row>
    <row r="4079" spans="23:23" x14ac:dyDescent="0.25">
      <c r="W4079" s="28"/>
    </row>
    <row r="4080" spans="23:23" x14ac:dyDescent="0.25">
      <c r="W4080" s="28"/>
    </row>
    <row r="4081" spans="23:23" x14ac:dyDescent="0.25">
      <c r="W4081" s="28"/>
    </row>
    <row r="4082" spans="23:23" x14ac:dyDescent="0.25">
      <c r="W4082" s="28"/>
    </row>
    <row r="4083" spans="23:23" x14ac:dyDescent="0.25">
      <c r="W4083" s="28"/>
    </row>
    <row r="4084" spans="23:23" x14ac:dyDescent="0.25">
      <c r="W4084" s="28"/>
    </row>
    <row r="4085" spans="23:23" x14ac:dyDescent="0.25">
      <c r="W4085" s="28"/>
    </row>
    <row r="4086" spans="23:23" x14ac:dyDescent="0.25">
      <c r="W4086" s="28"/>
    </row>
    <row r="4087" spans="23:23" x14ac:dyDescent="0.25">
      <c r="W4087" s="28"/>
    </row>
    <row r="4088" spans="23:23" x14ac:dyDescent="0.25">
      <c r="W4088" s="28"/>
    </row>
    <row r="4089" spans="23:23" x14ac:dyDescent="0.25">
      <c r="W4089" s="28"/>
    </row>
    <row r="4090" spans="23:23" x14ac:dyDescent="0.25">
      <c r="W4090" s="28"/>
    </row>
    <row r="4091" spans="23:23" x14ac:dyDescent="0.25">
      <c r="W4091" s="28"/>
    </row>
    <row r="4092" spans="23:23" x14ac:dyDescent="0.25">
      <c r="W4092" s="28"/>
    </row>
    <row r="4093" spans="23:23" x14ac:dyDescent="0.25">
      <c r="W4093" s="28"/>
    </row>
    <row r="4094" spans="23:23" x14ac:dyDescent="0.25">
      <c r="W4094" s="28"/>
    </row>
    <row r="4095" spans="23:23" x14ac:dyDescent="0.25">
      <c r="W4095" s="28"/>
    </row>
    <row r="4096" spans="23:23" x14ac:dyDescent="0.25">
      <c r="W4096" s="28"/>
    </row>
    <row r="4097" spans="23:23" x14ac:dyDescent="0.25">
      <c r="W4097" s="28"/>
    </row>
    <row r="4098" spans="23:23" x14ac:dyDescent="0.25">
      <c r="W4098" s="28"/>
    </row>
    <row r="4099" spans="23:23" x14ac:dyDescent="0.25">
      <c r="W4099" s="28"/>
    </row>
    <row r="4100" spans="23:23" x14ac:dyDescent="0.25">
      <c r="W4100" s="28"/>
    </row>
    <row r="4101" spans="23:23" x14ac:dyDescent="0.25">
      <c r="W4101" s="28"/>
    </row>
    <row r="4102" spans="23:23" x14ac:dyDescent="0.25">
      <c r="W4102" s="28"/>
    </row>
    <row r="4103" spans="23:23" x14ac:dyDescent="0.25">
      <c r="W4103" s="28"/>
    </row>
    <row r="4104" spans="23:23" x14ac:dyDescent="0.25">
      <c r="W4104" s="28"/>
    </row>
    <row r="4105" spans="23:23" x14ac:dyDescent="0.25">
      <c r="W4105" s="28"/>
    </row>
    <row r="4106" spans="23:23" x14ac:dyDescent="0.25">
      <c r="W4106" s="28"/>
    </row>
    <row r="4107" spans="23:23" x14ac:dyDescent="0.25">
      <c r="W4107" s="28"/>
    </row>
    <row r="4108" spans="23:23" x14ac:dyDescent="0.25">
      <c r="W4108" s="28"/>
    </row>
    <row r="4109" spans="23:23" x14ac:dyDescent="0.25">
      <c r="W4109" s="28"/>
    </row>
    <row r="4110" spans="23:23" x14ac:dyDescent="0.25">
      <c r="W4110" s="28"/>
    </row>
    <row r="4111" spans="23:23" x14ac:dyDescent="0.25">
      <c r="W4111" s="28"/>
    </row>
    <row r="4112" spans="23:23" x14ac:dyDescent="0.25">
      <c r="W4112" s="28"/>
    </row>
    <row r="4113" spans="23:23" x14ac:dyDescent="0.25">
      <c r="W4113" s="28"/>
    </row>
    <row r="4114" spans="23:23" x14ac:dyDescent="0.25">
      <c r="W4114" s="28"/>
    </row>
    <row r="4115" spans="23:23" x14ac:dyDescent="0.25">
      <c r="W4115" s="28"/>
    </row>
    <row r="4116" spans="23:23" x14ac:dyDescent="0.25">
      <c r="W4116" s="28"/>
    </row>
    <row r="4117" spans="23:23" x14ac:dyDescent="0.25">
      <c r="W4117" s="28"/>
    </row>
    <row r="4118" spans="23:23" x14ac:dyDescent="0.25">
      <c r="W4118" s="28"/>
    </row>
    <row r="4119" spans="23:23" x14ac:dyDescent="0.25">
      <c r="W4119" s="28"/>
    </row>
    <row r="4120" spans="23:23" x14ac:dyDescent="0.25">
      <c r="W4120" s="28"/>
    </row>
    <row r="4121" spans="23:23" x14ac:dyDescent="0.25">
      <c r="W4121" s="28"/>
    </row>
    <row r="4122" spans="23:23" x14ac:dyDescent="0.25">
      <c r="W4122" s="28"/>
    </row>
    <row r="4123" spans="23:23" x14ac:dyDescent="0.25">
      <c r="W4123" s="28"/>
    </row>
    <row r="4124" spans="23:23" x14ac:dyDescent="0.25">
      <c r="W4124" s="28"/>
    </row>
    <row r="4125" spans="23:23" x14ac:dyDescent="0.25">
      <c r="W4125" s="28"/>
    </row>
    <row r="4126" spans="23:23" x14ac:dyDescent="0.25">
      <c r="W4126" s="28"/>
    </row>
    <row r="4127" spans="23:23" x14ac:dyDescent="0.25">
      <c r="W4127" s="28"/>
    </row>
    <row r="4128" spans="23:23" x14ac:dyDescent="0.25">
      <c r="W4128" s="28"/>
    </row>
    <row r="4129" spans="23:23" x14ac:dyDescent="0.25">
      <c r="W4129" s="28"/>
    </row>
    <row r="4130" spans="23:23" x14ac:dyDescent="0.25">
      <c r="W4130" s="28"/>
    </row>
    <row r="4131" spans="23:23" x14ac:dyDescent="0.25">
      <c r="W4131" s="28"/>
    </row>
    <row r="4132" spans="23:23" x14ac:dyDescent="0.25">
      <c r="W4132" s="28"/>
    </row>
    <row r="4133" spans="23:23" x14ac:dyDescent="0.25">
      <c r="W4133" s="28"/>
    </row>
    <row r="4134" spans="23:23" x14ac:dyDescent="0.25">
      <c r="W4134" s="28"/>
    </row>
    <row r="4135" spans="23:23" x14ac:dyDescent="0.25">
      <c r="W4135" s="28"/>
    </row>
    <row r="4136" spans="23:23" x14ac:dyDescent="0.25">
      <c r="W4136" s="28"/>
    </row>
    <row r="4137" spans="23:23" x14ac:dyDescent="0.25">
      <c r="W4137" s="28"/>
    </row>
    <row r="4138" spans="23:23" x14ac:dyDescent="0.25">
      <c r="W4138" s="28"/>
    </row>
    <row r="4139" spans="23:23" x14ac:dyDescent="0.25">
      <c r="W4139" s="28"/>
    </row>
    <row r="4140" spans="23:23" x14ac:dyDescent="0.25">
      <c r="W4140" s="28"/>
    </row>
    <row r="4141" spans="23:23" x14ac:dyDescent="0.25">
      <c r="W4141" s="28"/>
    </row>
    <row r="4142" spans="23:23" x14ac:dyDescent="0.25">
      <c r="W4142" s="28"/>
    </row>
    <row r="4143" spans="23:23" x14ac:dyDescent="0.25">
      <c r="W4143" s="28"/>
    </row>
    <row r="4144" spans="23:23" x14ac:dyDescent="0.25">
      <c r="W4144" s="28"/>
    </row>
    <row r="4145" spans="23:23" x14ac:dyDescent="0.25">
      <c r="W4145" s="28"/>
    </row>
    <row r="4146" spans="23:23" x14ac:dyDescent="0.25">
      <c r="W4146" s="28"/>
    </row>
    <row r="4147" spans="23:23" x14ac:dyDescent="0.25">
      <c r="W4147" s="28"/>
    </row>
    <row r="4148" spans="23:23" x14ac:dyDescent="0.25">
      <c r="W4148" s="28"/>
    </row>
    <row r="4149" spans="23:23" x14ac:dyDescent="0.25">
      <c r="W4149" s="28"/>
    </row>
    <row r="4150" spans="23:23" x14ac:dyDescent="0.25">
      <c r="W4150" s="28"/>
    </row>
    <row r="4151" spans="23:23" x14ac:dyDescent="0.25">
      <c r="W4151" s="28"/>
    </row>
    <row r="4152" spans="23:23" x14ac:dyDescent="0.25">
      <c r="W4152" s="28"/>
    </row>
    <row r="4153" spans="23:23" x14ac:dyDescent="0.25">
      <c r="W4153" s="28"/>
    </row>
    <row r="4154" spans="23:23" x14ac:dyDescent="0.25">
      <c r="W4154" s="28"/>
    </row>
    <row r="4155" spans="23:23" x14ac:dyDescent="0.25">
      <c r="W4155" s="28"/>
    </row>
    <row r="4156" spans="23:23" x14ac:dyDescent="0.25">
      <c r="W4156" s="28"/>
    </row>
    <row r="4157" spans="23:23" x14ac:dyDescent="0.25">
      <c r="W4157" s="28"/>
    </row>
    <row r="4158" spans="23:23" x14ac:dyDescent="0.25">
      <c r="W4158" s="28"/>
    </row>
    <row r="4159" spans="23:23" x14ac:dyDescent="0.25">
      <c r="W4159" s="28"/>
    </row>
    <row r="4160" spans="23:23" x14ac:dyDescent="0.25">
      <c r="W4160" s="28"/>
    </row>
    <row r="4161" spans="23:23" x14ac:dyDescent="0.25">
      <c r="W4161" s="28"/>
    </row>
    <row r="4162" spans="23:23" x14ac:dyDescent="0.25">
      <c r="W4162" s="28"/>
    </row>
    <row r="4163" spans="23:23" x14ac:dyDescent="0.25">
      <c r="W4163" s="28"/>
    </row>
    <row r="4164" spans="23:23" x14ac:dyDescent="0.25">
      <c r="W4164" s="28"/>
    </row>
    <row r="4165" spans="23:23" x14ac:dyDescent="0.25">
      <c r="W4165" s="28"/>
    </row>
    <row r="4166" spans="23:23" x14ac:dyDescent="0.25">
      <c r="W4166" s="28"/>
    </row>
    <row r="4167" spans="23:23" x14ac:dyDescent="0.25">
      <c r="W4167" s="28"/>
    </row>
    <row r="4168" spans="23:23" x14ac:dyDescent="0.25">
      <c r="W4168" s="28"/>
    </row>
    <row r="4169" spans="23:23" x14ac:dyDescent="0.25">
      <c r="W4169" s="28"/>
    </row>
    <row r="4170" spans="23:23" x14ac:dyDescent="0.25">
      <c r="W4170" s="28"/>
    </row>
    <row r="4171" spans="23:23" x14ac:dyDescent="0.25">
      <c r="W4171" s="28"/>
    </row>
    <row r="4172" spans="23:23" x14ac:dyDescent="0.25">
      <c r="W4172" s="28"/>
    </row>
    <row r="4173" spans="23:23" x14ac:dyDescent="0.25">
      <c r="W4173" s="28"/>
    </row>
    <row r="4174" spans="23:23" x14ac:dyDescent="0.25">
      <c r="W4174" s="28"/>
    </row>
    <row r="4175" spans="23:23" x14ac:dyDescent="0.25">
      <c r="W4175" s="28"/>
    </row>
    <row r="4176" spans="23:23" x14ac:dyDescent="0.25">
      <c r="W4176" s="28"/>
    </row>
    <row r="4177" spans="23:23" x14ac:dyDescent="0.25">
      <c r="W4177" s="28"/>
    </row>
    <row r="4178" spans="23:23" x14ac:dyDescent="0.25">
      <c r="W4178" s="28"/>
    </row>
    <row r="4179" spans="23:23" x14ac:dyDescent="0.25">
      <c r="W4179" s="28"/>
    </row>
    <row r="4180" spans="23:23" x14ac:dyDescent="0.25">
      <c r="W4180" s="28"/>
    </row>
    <row r="4181" spans="23:23" x14ac:dyDescent="0.25">
      <c r="W4181" s="28"/>
    </row>
    <row r="4182" spans="23:23" x14ac:dyDescent="0.25">
      <c r="W4182" s="28"/>
    </row>
    <row r="4183" spans="23:23" x14ac:dyDescent="0.25">
      <c r="W4183" s="28"/>
    </row>
    <row r="4184" spans="23:23" x14ac:dyDescent="0.25">
      <c r="W4184" s="28"/>
    </row>
    <row r="4185" spans="23:23" x14ac:dyDescent="0.25">
      <c r="W4185" s="28"/>
    </row>
    <row r="4186" spans="23:23" x14ac:dyDescent="0.25">
      <c r="W4186" s="28"/>
    </row>
    <row r="4187" spans="23:23" x14ac:dyDescent="0.25">
      <c r="W4187" s="28"/>
    </row>
    <row r="4188" spans="23:23" x14ac:dyDescent="0.25">
      <c r="W4188" s="28"/>
    </row>
    <row r="4189" spans="23:23" x14ac:dyDescent="0.25">
      <c r="W4189" s="28"/>
    </row>
    <row r="4190" spans="23:23" x14ac:dyDescent="0.25">
      <c r="W4190" s="28"/>
    </row>
    <row r="4191" spans="23:23" x14ac:dyDescent="0.25">
      <c r="W4191" s="28"/>
    </row>
    <row r="4192" spans="23:23" x14ac:dyDescent="0.25">
      <c r="W4192" s="28"/>
    </row>
    <row r="4193" spans="23:23" x14ac:dyDescent="0.25">
      <c r="W4193" s="28"/>
    </row>
    <row r="4194" spans="23:23" x14ac:dyDescent="0.25">
      <c r="W4194" s="28"/>
    </row>
    <row r="4195" spans="23:23" x14ac:dyDescent="0.25">
      <c r="W4195" s="28"/>
    </row>
    <row r="4196" spans="23:23" x14ac:dyDescent="0.25">
      <c r="W4196" s="28"/>
    </row>
    <row r="4197" spans="23:23" x14ac:dyDescent="0.25">
      <c r="W4197" s="28"/>
    </row>
    <row r="4198" spans="23:23" x14ac:dyDescent="0.25">
      <c r="W4198" s="28"/>
    </row>
    <row r="4199" spans="23:23" x14ac:dyDescent="0.25">
      <c r="W4199" s="28"/>
    </row>
    <row r="4200" spans="23:23" x14ac:dyDescent="0.25">
      <c r="W4200" s="28"/>
    </row>
    <row r="4201" spans="23:23" x14ac:dyDescent="0.25">
      <c r="W4201" s="28"/>
    </row>
    <row r="4202" spans="23:23" x14ac:dyDescent="0.25">
      <c r="W4202" s="28"/>
    </row>
    <row r="4203" spans="23:23" x14ac:dyDescent="0.25">
      <c r="W4203" s="28"/>
    </row>
    <row r="4204" spans="23:23" x14ac:dyDescent="0.25">
      <c r="W4204" s="28"/>
    </row>
    <row r="4205" spans="23:23" x14ac:dyDescent="0.25">
      <c r="W4205" s="28"/>
    </row>
    <row r="4206" spans="23:23" x14ac:dyDescent="0.25">
      <c r="W4206" s="28"/>
    </row>
    <row r="4207" spans="23:23" x14ac:dyDescent="0.25">
      <c r="W4207" s="28"/>
    </row>
    <row r="4208" spans="23:23" x14ac:dyDescent="0.25">
      <c r="W4208" s="28"/>
    </row>
    <row r="4209" spans="23:23" x14ac:dyDescent="0.25">
      <c r="W4209" s="28"/>
    </row>
    <row r="4210" spans="23:23" x14ac:dyDescent="0.25">
      <c r="W4210" s="28"/>
    </row>
    <row r="4211" spans="23:23" x14ac:dyDescent="0.25">
      <c r="W4211" s="28"/>
    </row>
    <row r="4212" spans="23:23" x14ac:dyDescent="0.25">
      <c r="W4212" s="28"/>
    </row>
    <row r="4213" spans="23:23" x14ac:dyDescent="0.25">
      <c r="W4213" s="28"/>
    </row>
    <row r="4214" spans="23:23" x14ac:dyDescent="0.25">
      <c r="W4214" s="28"/>
    </row>
    <row r="4215" spans="23:23" x14ac:dyDescent="0.25">
      <c r="W4215" s="28"/>
    </row>
    <row r="4216" spans="23:23" x14ac:dyDescent="0.25">
      <c r="W4216" s="28"/>
    </row>
    <row r="4217" spans="23:23" x14ac:dyDescent="0.25">
      <c r="W4217" s="28"/>
    </row>
    <row r="4218" spans="23:23" x14ac:dyDescent="0.25">
      <c r="W4218" s="28"/>
    </row>
    <row r="4219" spans="23:23" x14ac:dyDescent="0.25">
      <c r="W4219" s="28"/>
    </row>
    <row r="4220" spans="23:23" x14ac:dyDescent="0.25">
      <c r="W4220" s="28"/>
    </row>
    <row r="4221" spans="23:23" x14ac:dyDescent="0.25">
      <c r="W4221" s="28"/>
    </row>
    <row r="4222" spans="23:23" x14ac:dyDescent="0.25">
      <c r="W4222" s="28"/>
    </row>
    <row r="4223" spans="23:23" x14ac:dyDescent="0.25">
      <c r="W4223" s="28"/>
    </row>
    <row r="4224" spans="23:23" x14ac:dyDescent="0.25">
      <c r="W4224" s="28"/>
    </row>
    <row r="4225" spans="23:23" x14ac:dyDescent="0.25">
      <c r="W4225" s="28"/>
    </row>
    <row r="4226" spans="23:23" x14ac:dyDescent="0.25">
      <c r="W4226" s="28"/>
    </row>
    <row r="4227" spans="23:23" x14ac:dyDescent="0.25">
      <c r="W4227" s="28"/>
    </row>
    <row r="4228" spans="23:23" x14ac:dyDescent="0.25">
      <c r="W4228" s="28"/>
    </row>
    <row r="4229" spans="23:23" x14ac:dyDescent="0.25">
      <c r="W4229" s="28"/>
    </row>
    <row r="4230" spans="23:23" x14ac:dyDescent="0.25">
      <c r="W4230" s="28"/>
    </row>
    <row r="4231" spans="23:23" x14ac:dyDescent="0.25">
      <c r="W4231" s="28"/>
    </row>
    <row r="4232" spans="23:23" x14ac:dyDescent="0.25">
      <c r="W4232" s="28"/>
    </row>
    <row r="4233" spans="23:23" x14ac:dyDescent="0.25">
      <c r="W4233" s="28"/>
    </row>
    <row r="4234" spans="23:23" x14ac:dyDescent="0.25">
      <c r="W4234" s="28"/>
    </row>
    <row r="4235" spans="23:23" x14ac:dyDescent="0.25">
      <c r="W4235" s="28"/>
    </row>
    <row r="4236" spans="23:23" x14ac:dyDescent="0.25">
      <c r="W4236" s="28"/>
    </row>
    <row r="4237" spans="23:23" x14ac:dyDescent="0.25">
      <c r="W4237" s="28"/>
    </row>
    <row r="4238" spans="23:23" x14ac:dyDescent="0.25">
      <c r="W4238" s="28"/>
    </row>
    <row r="4239" spans="23:23" x14ac:dyDescent="0.25">
      <c r="W4239" s="28"/>
    </row>
    <row r="4240" spans="23:23" x14ac:dyDescent="0.25">
      <c r="W4240" s="28"/>
    </row>
    <row r="4241" spans="23:23" x14ac:dyDescent="0.25">
      <c r="W4241" s="28"/>
    </row>
    <row r="4242" spans="23:23" x14ac:dyDescent="0.25">
      <c r="W4242" s="28"/>
    </row>
    <row r="4243" spans="23:23" x14ac:dyDescent="0.25">
      <c r="W4243" s="28"/>
    </row>
    <row r="4244" spans="23:23" x14ac:dyDescent="0.25">
      <c r="W4244" s="28"/>
    </row>
    <row r="4245" spans="23:23" x14ac:dyDescent="0.25">
      <c r="W4245" s="28"/>
    </row>
    <row r="4246" spans="23:23" x14ac:dyDescent="0.25">
      <c r="W4246" s="28"/>
    </row>
    <row r="4247" spans="23:23" x14ac:dyDescent="0.25">
      <c r="W4247" s="28"/>
    </row>
    <row r="4248" spans="23:23" x14ac:dyDescent="0.25">
      <c r="W4248" s="28"/>
    </row>
    <row r="4249" spans="23:23" x14ac:dyDescent="0.25">
      <c r="W4249" s="28"/>
    </row>
    <row r="4250" spans="23:23" x14ac:dyDescent="0.25">
      <c r="W4250" s="28"/>
    </row>
    <row r="4251" spans="23:23" x14ac:dyDescent="0.25">
      <c r="W4251" s="28"/>
    </row>
    <row r="4252" spans="23:23" x14ac:dyDescent="0.25">
      <c r="W4252" s="28"/>
    </row>
    <row r="4253" spans="23:23" x14ac:dyDescent="0.25">
      <c r="W4253" s="28"/>
    </row>
    <row r="4254" spans="23:23" x14ac:dyDescent="0.25">
      <c r="W4254" s="28"/>
    </row>
    <row r="4255" spans="23:23" x14ac:dyDescent="0.25">
      <c r="W4255" s="28"/>
    </row>
    <row r="4256" spans="23:23" x14ac:dyDescent="0.25">
      <c r="W4256" s="28"/>
    </row>
    <row r="4257" spans="23:23" x14ac:dyDescent="0.25">
      <c r="W4257" s="28"/>
    </row>
    <row r="4258" spans="23:23" x14ac:dyDescent="0.25">
      <c r="W4258" s="28"/>
    </row>
    <row r="4259" spans="23:23" x14ac:dyDescent="0.25">
      <c r="W4259" s="28"/>
    </row>
    <row r="4260" spans="23:23" x14ac:dyDescent="0.25">
      <c r="W4260" s="28"/>
    </row>
    <row r="4261" spans="23:23" x14ac:dyDescent="0.25">
      <c r="W4261" s="28"/>
    </row>
    <row r="4262" spans="23:23" x14ac:dyDescent="0.25">
      <c r="W4262" s="28"/>
    </row>
    <row r="4263" spans="23:23" x14ac:dyDescent="0.25">
      <c r="W4263" s="28"/>
    </row>
    <row r="4264" spans="23:23" x14ac:dyDescent="0.25">
      <c r="W4264" s="28"/>
    </row>
    <row r="4265" spans="23:23" x14ac:dyDescent="0.25">
      <c r="W4265" s="28"/>
    </row>
    <row r="4266" spans="23:23" x14ac:dyDescent="0.25">
      <c r="W4266" s="28"/>
    </row>
    <row r="4267" spans="23:23" x14ac:dyDescent="0.25">
      <c r="W4267" s="28"/>
    </row>
    <row r="4268" spans="23:23" x14ac:dyDescent="0.25">
      <c r="W4268" s="28"/>
    </row>
    <row r="4269" spans="23:23" x14ac:dyDescent="0.25">
      <c r="W4269" s="28"/>
    </row>
    <row r="4270" spans="23:23" x14ac:dyDescent="0.25">
      <c r="W4270" s="28"/>
    </row>
    <row r="4271" spans="23:23" x14ac:dyDescent="0.25">
      <c r="W4271" s="28"/>
    </row>
    <row r="4272" spans="23:23" x14ac:dyDescent="0.25">
      <c r="W4272" s="28"/>
    </row>
    <row r="4273" spans="23:23" x14ac:dyDescent="0.25">
      <c r="W4273" s="28"/>
    </row>
    <row r="4274" spans="23:23" x14ac:dyDescent="0.25">
      <c r="W4274" s="28"/>
    </row>
    <row r="4275" spans="23:23" x14ac:dyDescent="0.25">
      <c r="W4275" s="28"/>
    </row>
    <row r="4276" spans="23:23" x14ac:dyDescent="0.25">
      <c r="W4276" s="28"/>
    </row>
    <row r="4277" spans="23:23" x14ac:dyDescent="0.25">
      <c r="W4277" s="28"/>
    </row>
    <row r="4278" spans="23:23" x14ac:dyDescent="0.25">
      <c r="W4278" s="28"/>
    </row>
    <row r="4279" spans="23:23" x14ac:dyDescent="0.25">
      <c r="W4279" s="28"/>
    </row>
    <row r="4280" spans="23:23" x14ac:dyDescent="0.25">
      <c r="W4280" s="28"/>
    </row>
    <row r="4281" spans="23:23" x14ac:dyDescent="0.25">
      <c r="W4281" s="28"/>
    </row>
    <row r="4282" spans="23:23" x14ac:dyDescent="0.25">
      <c r="W4282" s="28"/>
    </row>
    <row r="4283" spans="23:23" x14ac:dyDescent="0.25">
      <c r="W4283" s="28"/>
    </row>
    <row r="4284" spans="23:23" x14ac:dyDescent="0.25">
      <c r="W4284" s="28"/>
    </row>
    <row r="4285" spans="23:23" x14ac:dyDescent="0.25">
      <c r="W4285" s="28"/>
    </row>
    <row r="4286" spans="23:23" x14ac:dyDescent="0.25">
      <c r="W4286" s="28"/>
    </row>
    <row r="4287" spans="23:23" x14ac:dyDescent="0.25">
      <c r="W4287" s="28"/>
    </row>
    <row r="4288" spans="23:23" x14ac:dyDescent="0.25">
      <c r="W4288" s="28"/>
    </row>
    <row r="4289" spans="23:23" x14ac:dyDescent="0.25">
      <c r="W4289" s="28"/>
    </row>
    <row r="4290" spans="23:23" x14ac:dyDescent="0.25">
      <c r="W4290" s="28"/>
    </row>
    <row r="4291" spans="23:23" x14ac:dyDescent="0.25">
      <c r="W4291" s="28"/>
    </row>
    <row r="4292" spans="23:23" x14ac:dyDescent="0.25">
      <c r="W4292" s="28"/>
    </row>
    <row r="4293" spans="23:23" x14ac:dyDescent="0.25">
      <c r="W4293" s="28"/>
    </row>
    <row r="4294" spans="23:23" x14ac:dyDescent="0.25">
      <c r="W4294" s="28"/>
    </row>
    <row r="4295" spans="23:23" x14ac:dyDescent="0.25">
      <c r="W4295" s="28"/>
    </row>
    <row r="4296" spans="23:23" x14ac:dyDescent="0.25">
      <c r="W4296" s="28"/>
    </row>
    <row r="4297" spans="23:23" x14ac:dyDescent="0.25">
      <c r="W4297" s="28"/>
    </row>
    <row r="4298" spans="23:23" x14ac:dyDescent="0.25">
      <c r="W4298" s="28"/>
    </row>
    <row r="4299" spans="23:23" x14ac:dyDescent="0.25">
      <c r="W4299" s="28"/>
    </row>
    <row r="4300" spans="23:23" x14ac:dyDescent="0.25">
      <c r="W4300" s="28"/>
    </row>
    <row r="4301" spans="23:23" x14ac:dyDescent="0.25">
      <c r="W4301" s="28"/>
    </row>
    <row r="4302" spans="23:23" x14ac:dyDescent="0.25">
      <c r="W4302" s="28"/>
    </row>
    <row r="4303" spans="23:23" x14ac:dyDescent="0.25">
      <c r="W4303" s="28"/>
    </row>
    <row r="4304" spans="23:23" x14ac:dyDescent="0.25">
      <c r="W4304" s="28"/>
    </row>
    <row r="4305" spans="23:23" x14ac:dyDescent="0.25">
      <c r="W4305" s="28"/>
    </row>
    <row r="4306" spans="23:23" x14ac:dyDescent="0.25">
      <c r="W4306" s="28"/>
    </row>
    <row r="4307" spans="23:23" x14ac:dyDescent="0.25">
      <c r="W4307" s="28"/>
    </row>
    <row r="4308" spans="23:23" x14ac:dyDescent="0.25">
      <c r="W4308" s="28"/>
    </row>
    <row r="4309" spans="23:23" x14ac:dyDescent="0.25">
      <c r="W4309" s="28"/>
    </row>
    <row r="4310" spans="23:23" x14ac:dyDescent="0.25">
      <c r="W4310" s="28"/>
    </row>
    <row r="4311" spans="23:23" x14ac:dyDescent="0.25">
      <c r="W4311" s="28"/>
    </row>
    <row r="4312" spans="23:23" x14ac:dyDescent="0.25">
      <c r="W4312" s="28"/>
    </row>
    <row r="4313" spans="23:23" x14ac:dyDescent="0.25">
      <c r="W4313" s="28"/>
    </row>
    <row r="4314" spans="23:23" x14ac:dyDescent="0.25">
      <c r="W4314" s="28"/>
    </row>
    <row r="4315" spans="23:23" x14ac:dyDescent="0.25">
      <c r="W4315" s="28"/>
    </row>
    <row r="4316" spans="23:23" x14ac:dyDescent="0.25">
      <c r="W4316" s="28"/>
    </row>
    <row r="4317" spans="23:23" x14ac:dyDescent="0.25">
      <c r="W4317" s="28"/>
    </row>
    <row r="4318" spans="23:23" x14ac:dyDescent="0.25">
      <c r="W4318" s="28"/>
    </row>
    <row r="4319" spans="23:23" x14ac:dyDescent="0.25">
      <c r="W4319" s="28"/>
    </row>
    <row r="4320" spans="23:23" x14ac:dyDescent="0.25">
      <c r="W4320" s="28"/>
    </row>
    <row r="4321" spans="23:23" x14ac:dyDescent="0.25">
      <c r="W4321" s="28"/>
    </row>
    <row r="4322" spans="23:23" x14ac:dyDescent="0.25">
      <c r="W4322" s="28"/>
    </row>
    <row r="4323" spans="23:23" x14ac:dyDescent="0.25">
      <c r="W4323" s="28"/>
    </row>
    <row r="4324" spans="23:23" x14ac:dyDescent="0.25">
      <c r="W4324" s="28"/>
    </row>
    <row r="4325" spans="23:23" x14ac:dyDescent="0.25">
      <c r="W4325" s="28"/>
    </row>
    <row r="4326" spans="23:23" x14ac:dyDescent="0.25">
      <c r="W4326" s="28"/>
    </row>
    <row r="4327" spans="23:23" x14ac:dyDescent="0.25">
      <c r="W4327" s="28"/>
    </row>
    <row r="4328" spans="23:23" x14ac:dyDescent="0.25">
      <c r="W4328" s="28"/>
    </row>
    <row r="4329" spans="23:23" x14ac:dyDescent="0.25">
      <c r="W4329" s="28"/>
    </row>
    <row r="4330" spans="23:23" x14ac:dyDescent="0.25">
      <c r="W4330" s="28"/>
    </row>
    <row r="4331" spans="23:23" x14ac:dyDescent="0.25">
      <c r="W4331" s="28"/>
    </row>
    <row r="4332" spans="23:23" x14ac:dyDescent="0.25">
      <c r="W4332" s="28"/>
    </row>
    <row r="4333" spans="23:23" x14ac:dyDescent="0.25">
      <c r="W4333" s="28"/>
    </row>
    <row r="4334" spans="23:23" x14ac:dyDescent="0.25">
      <c r="W4334" s="28"/>
    </row>
    <row r="4335" spans="23:23" x14ac:dyDescent="0.25">
      <c r="W4335" s="28"/>
    </row>
    <row r="4336" spans="23:23" x14ac:dyDescent="0.25">
      <c r="W4336" s="28"/>
    </row>
    <row r="4337" spans="23:23" x14ac:dyDescent="0.25">
      <c r="W4337" s="28"/>
    </row>
    <row r="4338" spans="23:23" x14ac:dyDescent="0.25">
      <c r="W4338" s="28"/>
    </row>
    <row r="4339" spans="23:23" x14ac:dyDescent="0.25">
      <c r="W4339" s="28"/>
    </row>
    <row r="4340" spans="23:23" x14ac:dyDescent="0.25">
      <c r="W4340" s="28"/>
    </row>
    <row r="4341" spans="23:23" x14ac:dyDescent="0.25">
      <c r="W4341" s="28"/>
    </row>
    <row r="4342" spans="23:23" x14ac:dyDescent="0.25">
      <c r="W4342" s="28"/>
    </row>
    <row r="4343" spans="23:23" x14ac:dyDescent="0.25">
      <c r="W4343" s="28"/>
    </row>
    <row r="4344" spans="23:23" x14ac:dyDescent="0.25">
      <c r="W4344" s="28"/>
    </row>
    <row r="4345" spans="23:23" x14ac:dyDescent="0.25">
      <c r="W4345" s="28"/>
    </row>
    <row r="4346" spans="23:23" x14ac:dyDescent="0.25">
      <c r="W4346" s="28"/>
    </row>
    <row r="4347" spans="23:23" x14ac:dyDescent="0.25">
      <c r="W4347" s="28"/>
    </row>
    <row r="4348" spans="23:23" x14ac:dyDescent="0.25">
      <c r="W4348" s="28"/>
    </row>
    <row r="4349" spans="23:23" x14ac:dyDescent="0.25">
      <c r="W4349" s="28"/>
    </row>
    <row r="4350" spans="23:23" x14ac:dyDescent="0.25">
      <c r="W4350" s="28"/>
    </row>
    <row r="4351" spans="23:23" x14ac:dyDescent="0.25">
      <c r="W4351" s="28"/>
    </row>
    <row r="4352" spans="23:23" x14ac:dyDescent="0.25">
      <c r="W4352" s="28"/>
    </row>
    <row r="4353" spans="23:23" x14ac:dyDescent="0.25">
      <c r="W4353" s="28"/>
    </row>
    <row r="4354" spans="23:23" x14ac:dyDescent="0.25">
      <c r="W4354" s="28"/>
    </row>
    <row r="4355" spans="23:23" x14ac:dyDescent="0.25">
      <c r="W4355" s="28"/>
    </row>
    <row r="4356" spans="23:23" x14ac:dyDescent="0.25">
      <c r="W4356" s="28"/>
    </row>
    <row r="4357" spans="23:23" x14ac:dyDescent="0.25">
      <c r="W4357" s="28"/>
    </row>
    <row r="4358" spans="23:23" x14ac:dyDescent="0.25">
      <c r="W4358" s="28"/>
    </row>
    <row r="4359" spans="23:23" x14ac:dyDescent="0.25">
      <c r="W4359" s="28"/>
    </row>
    <row r="4360" spans="23:23" x14ac:dyDescent="0.25">
      <c r="W4360" s="28"/>
    </row>
    <row r="4361" spans="23:23" x14ac:dyDescent="0.25">
      <c r="W4361" s="28"/>
    </row>
    <row r="4362" spans="23:23" x14ac:dyDescent="0.25">
      <c r="W4362" s="28"/>
    </row>
    <row r="4363" spans="23:23" x14ac:dyDescent="0.25">
      <c r="W4363" s="28"/>
    </row>
    <row r="4364" spans="23:23" x14ac:dyDescent="0.25">
      <c r="W4364" s="28"/>
    </row>
    <row r="4365" spans="23:23" x14ac:dyDescent="0.25">
      <c r="W4365" s="28"/>
    </row>
    <row r="4366" spans="23:23" x14ac:dyDescent="0.25">
      <c r="W4366" s="28"/>
    </row>
    <row r="4367" spans="23:23" x14ac:dyDescent="0.25">
      <c r="W4367" s="28"/>
    </row>
    <row r="4368" spans="23:23" x14ac:dyDescent="0.25">
      <c r="W4368" s="28"/>
    </row>
    <row r="4369" spans="23:23" x14ac:dyDescent="0.25">
      <c r="W4369" s="28"/>
    </row>
    <row r="4370" spans="23:23" x14ac:dyDescent="0.25">
      <c r="W4370" s="28"/>
    </row>
    <row r="4371" spans="23:23" x14ac:dyDescent="0.25">
      <c r="W4371" s="28"/>
    </row>
    <row r="4372" spans="23:23" x14ac:dyDescent="0.25">
      <c r="W4372" s="28"/>
    </row>
    <row r="4373" spans="23:23" x14ac:dyDescent="0.25">
      <c r="W4373" s="28"/>
    </row>
    <row r="4374" spans="23:23" x14ac:dyDescent="0.25">
      <c r="W4374" s="28"/>
    </row>
    <row r="4375" spans="23:23" x14ac:dyDescent="0.25">
      <c r="W4375" s="28"/>
    </row>
    <row r="4376" spans="23:23" x14ac:dyDescent="0.25">
      <c r="W4376" s="28"/>
    </row>
    <row r="4377" spans="23:23" x14ac:dyDescent="0.25">
      <c r="W4377" s="28"/>
    </row>
    <row r="4378" spans="23:23" x14ac:dyDescent="0.25">
      <c r="W4378" s="28"/>
    </row>
    <row r="4379" spans="23:23" x14ac:dyDescent="0.25">
      <c r="W4379" s="28"/>
    </row>
    <row r="4380" spans="23:23" x14ac:dyDescent="0.25">
      <c r="W4380" s="28"/>
    </row>
    <row r="4381" spans="23:23" x14ac:dyDescent="0.25">
      <c r="W4381" s="28"/>
    </row>
    <row r="4382" spans="23:23" x14ac:dyDescent="0.25">
      <c r="W4382" s="28"/>
    </row>
    <row r="4383" spans="23:23" x14ac:dyDescent="0.25">
      <c r="W4383" s="28"/>
    </row>
    <row r="4384" spans="23:23" x14ac:dyDescent="0.25">
      <c r="W4384" s="28"/>
    </row>
    <row r="4385" spans="23:23" x14ac:dyDescent="0.25">
      <c r="W4385" s="28"/>
    </row>
    <row r="4386" spans="23:23" x14ac:dyDescent="0.25">
      <c r="W4386" s="28"/>
    </row>
    <row r="4387" spans="23:23" x14ac:dyDescent="0.25">
      <c r="W4387" s="28"/>
    </row>
    <row r="4388" spans="23:23" x14ac:dyDescent="0.25">
      <c r="W4388" s="28"/>
    </row>
    <row r="4389" spans="23:23" x14ac:dyDescent="0.25">
      <c r="W4389" s="28"/>
    </row>
    <row r="4390" spans="23:23" x14ac:dyDescent="0.25">
      <c r="W4390" s="28"/>
    </row>
    <row r="4391" spans="23:23" x14ac:dyDescent="0.25">
      <c r="W4391" s="28"/>
    </row>
    <row r="4392" spans="23:23" x14ac:dyDescent="0.25">
      <c r="W4392" s="28"/>
    </row>
    <row r="4393" spans="23:23" x14ac:dyDescent="0.25">
      <c r="W4393" s="28"/>
    </row>
    <row r="4394" spans="23:23" x14ac:dyDescent="0.25">
      <c r="W4394" s="28"/>
    </row>
    <row r="4395" spans="23:23" x14ac:dyDescent="0.25">
      <c r="W4395" s="28"/>
    </row>
    <row r="4396" spans="23:23" x14ac:dyDescent="0.25">
      <c r="W4396" s="28"/>
    </row>
    <row r="4397" spans="23:23" x14ac:dyDescent="0.25">
      <c r="W4397" s="28"/>
    </row>
    <row r="4398" spans="23:23" x14ac:dyDescent="0.25">
      <c r="W4398" s="28"/>
    </row>
    <row r="4399" spans="23:23" x14ac:dyDescent="0.25">
      <c r="W4399" s="28"/>
    </row>
    <row r="4400" spans="23:23" x14ac:dyDescent="0.25">
      <c r="W4400" s="28"/>
    </row>
    <row r="4401" spans="23:23" x14ac:dyDescent="0.25">
      <c r="W4401" s="28"/>
    </row>
    <row r="4402" spans="23:23" x14ac:dyDescent="0.25">
      <c r="W4402" s="28"/>
    </row>
    <row r="4403" spans="23:23" x14ac:dyDescent="0.25">
      <c r="W4403" s="28"/>
    </row>
    <row r="4404" spans="23:23" x14ac:dyDescent="0.25">
      <c r="W4404" s="28"/>
    </row>
    <row r="4405" spans="23:23" x14ac:dyDescent="0.25">
      <c r="W4405" s="28"/>
    </row>
    <row r="4406" spans="23:23" x14ac:dyDescent="0.25">
      <c r="W4406" s="28"/>
    </row>
    <row r="4407" spans="23:23" x14ac:dyDescent="0.25">
      <c r="W4407" s="28"/>
    </row>
    <row r="4408" spans="23:23" x14ac:dyDescent="0.25">
      <c r="W4408" s="28"/>
    </row>
    <row r="4409" spans="23:23" x14ac:dyDescent="0.25">
      <c r="W4409" s="28"/>
    </row>
    <row r="4410" spans="23:23" x14ac:dyDescent="0.25">
      <c r="W4410" s="28"/>
    </row>
    <row r="4411" spans="23:23" x14ac:dyDescent="0.25">
      <c r="W4411" s="28"/>
    </row>
    <row r="4412" spans="23:23" x14ac:dyDescent="0.25">
      <c r="W4412" s="28"/>
    </row>
    <row r="4413" spans="23:23" x14ac:dyDescent="0.25">
      <c r="W4413" s="28"/>
    </row>
    <row r="4414" spans="23:23" x14ac:dyDescent="0.25">
      <c r="W4414" s="28"/>
    </row>
    <row r="4415" spans="23:23" x14ac:dyDescent="0.25">
      <c r="W4415" s="28"/>
    </row>
    <row r="4416" spans="23:23" x14ac:dyDescent="0.25">
      <c r="W4416" s="28"/>
    </row>
    <row r="4417" spans="23:23" x14ac:dyDescent="0.25">
      <c r="W4417" s="28"/>
    </row>
    <row r="4418" spans="23:23" x14ac:dyDescent="0.25">
      <c r="W4418" s="28"/>
    </row>
    <row r="4419" spans="23:23" x14ac:dyDescent="0.25">
      <c r="W4419" s="28"/>
    </row>
    <row r="4420" spans="23:23" x14ac:dyDescent="0.25">
      <c r="W4420" s="28"/>
    </row>
    <row r="4421" spans="23:23" x14ac:dyDescent="0.25">
      <c r="W4421" s="28"/>
    </row>
    <row r="4422" spans="23:23" x14ac:dyDescent="0.25">
      <c r="W4422" s="28"/>
    </row>
    <row r="4423" spans="23:23" x14ac:dyDescent="0.25">
      <c r="W4423" s="28"/>
    </row>
    <row r="4424" spans="23:23" x14ac:dyDescent="0.25">
      <c r="W4424" s="28"/>
    </row>
    <row r="4425" spans="23:23" x14ac:dyDescent="0.25">
      <c r="W4425" s="28"/>
    </row>
    <row r="4426" spans="23:23" x14ac:dyDescent="0.25">
      <c r="W4426" s="28"/>
    </row>
    <row r="4427" spans="23:23" x14ac:dyDescent="0.25">
      <c r="W4427" s="28"/>
    </row>
    <row r="4428" spans="23:23" x14ac:dyDescent="0.25">
      <c r="W4428" s="28"/>
    </row>
    <row r="4429" spans="23:23" x14ac:dyDescent="0.25">
      <c r="W4429" s="28"/>
    </row>
    <row r="4430" spans="23:23" x14ac:dyDescent="0.25">
      <c r="W4430" s="28"/>
    </row>
    <row r="4431" spans="23:23" x14ac:dyDescent="0.25">
      <c r="W4431" s="28"/>
    </row>
    <row r="4432" spans="23:23" x14ac:dyDescent="0.25">
      <c r="W4432" s="28"/>
    </row>
    <row r="4433" spans="23:23" x14ac:dyDescent="0.25">
      <c r="W4433" s="28"/>
    </row>
    <row r="4434" spans="23:23" x14ac:dyDescent="0.25">
      <c r="W4434" s="28"/>
    </row>
    <row r="4435" spans="23:23" x14ac:dyDescent="0.25">
      <c r="W4435" s="28"/>
    </row>
    <row r="4436" spans="23:23" x14ac:dyDescent="0.25">
      <c r="W4436" s="28"/>
    </row>
    <row r="4437" spans="23:23" x14ac:dyDescent="0.25">
      <c r="W4437" s="28"/>
    </row>
    <row r="4438" spans="23:23" x14ac:dyDescent="0.25">
      <c r="W4438" s="28"/>
    </row>
    <row r="4439" spans="23:23" x14ac:dyDescent="0.25">
      <c r="W4439" s="28"/>
    </row>
    <row r="4440" spans="23:23" x14ac:dyDescent="0.25">
      <c r="W4440" s="28"/>
    </row>
    <row r="4441" spans="23:23" x14ac:dyDescent="0.25">
      <c r="W4441" s="28"/>
    </row>
    <row r="4442" spans="23:23" x14ac:dyDescent="0.25">
      <c r="W4442" s="28"/>
    </row>
    <row r="4443" spans="23:23" x14ac:dyDescent="0.25">
      <c r="W4443" s="28"/>
    </row>
    <row r="4444" spans="23:23" x14ac:dyDescent="0.25">
      <c r="W4444" s="28"/>
    </row>
    <row r="4445" spans="23:23" x14ac:dyDescent="0.25">
      <c r="W4445" s="28"/>
    </row>
    <row r="4446" spans="23:23" x14ac:dyDescent="0.25">
      <c r="W4446" s="28"/>
    </row>
    <row r="4447" spans="23:23" x14ac:dyDescent="0.25">
      <c r="W4447" s="28"/>
    </row>
    <row r="4448" spans="23:23" x14ac:dyDescent="0.25">
      <c r="W4448" s="28"/>
    </row>
    <row r="4449" spans="23:23" x14ac:dyDescent="0.25">
      <c r="W4449" s="28"/>
    </row>
    <row r="4450" spans="23:23" x14ac:dyDescent="0.25">
      <c r="W4450" s="28"/>
    </row>
    <row r="4451" spans="23:23" x14ac:dyDescent="0.25">
      <c r="W4451" s="28"/>
    </row>
    <row r="4452" spans="23:23" x14ac:dyDescent="0.25">
      <c r="W4452" s="28"/>
    </row>
    <row r="4453" spans="23:23" x14ac:dyDescent="0.25">
      <c r="W4453" s="28"/>
    </row>
    <row r="4454" spans="23:23" x14ac:dyDescent="0.25">
      <c r="W4454" s="28"/>
    </row>
    <row r="4455" spans="23:23" x14ac:dyDescent="0.25">
      <c r="W4455" s="28"/>
    </row>
    <row r="4456" spans="23:23" x14ac:dyDescent="0.25">
      <c r="W4456" s="28"/>
    </row>
    <row r="4457" spans="23:23" x14ac:dyDescent="0.25">
      <c r="W4457" s="28"/>
    </row>
    <row r="4458" spans="23:23" x14ac:dyDescent="0.25">
      <c r="W4458" s="28"/>
    </row>
    <row r="4459" spans="23:23" x14ac:dyDescent="0.25">
      <c r="W4459" s="28"/>
    </row>
    <row r="4460" spans="23:23" x14ac:dyDescent="0.25">
      <c r="W4460" s="28"/>
    </row>
    <row r="4461" spans="23:23" x14ac:dyDescent="0.25">
      <c r="W4461" s="28"/>
    </row>
    <row r="4462" spans="23:23" x14ac:dyDescent="0.25">
      <c r="W4462" s="28"/>
    </row>
    <row r="4463" spans="23:23" x14ac:dyDescent="0.25">
      <c r="W4463" s="28"/>
    </row>
    <row r="4464" spans="23:23" x14ac:dyDescent="0.25">
      <c r="W4464" s="28"/>
    </row>
    <row r="4465" spans="23:23" x14ac:dyDescent="0.25">
      <c r="W4465" s="28"/>
    </row>
    <row r="4466" spans="23:23" x14ac:dyDescent="0.25">
      <c r="W4466" s="28"/>
    </row>
    <row r="4467" spans="23:23" x14ac:dyDescent="0.25">
      <c r="W4467" s="28"/>
    </row>
    <row r="4468" spans="23:23" x14ac:dyDescent="0.25">
      <c r="W4468" s="28"/>
    </row>
    <row r="4469" spans="23:23" x14ac:dyDescent="0.25">
      <c r="W4469" s="28"/>
    </row>
    <row r="4470" spans="23:23" x14ac:dyDescent="0.25">
      <c r="W4470" s="28"/>
    </row>
    <row r="4471" spans="23:23" x14ac:dyDescent="0.25">
      <c r="W4471" s="28"/>
    </row>
    <row r="4472" spans="23:23" x14ac:dyDescent="0.25">
      <c r="W4472" s="28"/>
    </row>
    <row r="4473" spans="23:23" x14ac:dyDescent="0.25">
      <c r="W4473" s="28"/>
    </row>
    <row r="4474" spans="23:23" x14ac:dyDescent="0.25">
      <c r="W4474" s="28"/>
    </row>
    <row r="4475" spans="23:23" x14ac:dyDescent="0.25">
      <c r="W4475" s="28"/>
    </row>
    <row r="4476" spans="23:23" x14ac:dyDescent="0.25">
      <c r="W4476" s="28"/>
    </row>
    <row r="4477" spans="23:23" x14ac:dyDescent="0.25">
      <c r="W4477" s="28"/>
    </row>
    <row r="4478" spans="23:23" x14ac:dyDescent="0.25">
      <c r="W4478" s="28"/>
    </row>
    <row r="4479" spans="23:23" x14ac:dyDescent="0.25">
      <c r="W4479" s="28"/>
    </row>
    <row r="4480" spans="23:23" x14ac:dyDescent="0.25">
      <c r="W4480" s="28"/>
    </row>
    <row r="4481" spans="23:23" x14ac:dyDescent="0.25">
      <c r="W4481" s="28"/>
    </row>
    <row r="4482" spans="23:23" x14ac:dyDescent="0.25">
      <c r="W4482" s="28"/>
    </row>
    <row r="4483" spans="23:23" x14ac:dyDescent="0.25">
      <c r="W4483" s="28"/>
    </row>
    <row r="4484" spans="23:23" x14ac:dyDescent="0.25">
      <c r="W4484" s="28"/>
    </row>
    <row r="4485" spans="23:23" x14ac:dyDescent="0.25">
      <c r="W4485" s="28"/>
    </row>
    <row r="4486" spans="23:23" x14ac:dyDescent="0.25">
      <c r="W4486" s="28"/>
    </row>
    <row r="4487" spans="23:23" x14ac:dyDescent="0.25">
      <c r="W4487" s="28"/>
    </row>
    <row r="4488" spans="23:23" x14ac:dyDescent="0.25">
      <c r="W4488" s="28"/>
    </row>
    <row r="4489" spans="23:23" x14ac:dyDescent="0.25">
      <c r="W4489" s="28"/>
    </row>
    <row r="4490" spans="23:23" x14ac:dyDescent="0.25">
      <c r="W4490" s="28"/>
    </row>
    <row r="4491" spans="23:23" x14ac:dyDescent="0.25">
      <c r="W4491" s="28"/>
    </row>
    <row r="4492" spans="23:23" x14ac:dyDescent="0.25">
      <c r="W4492" s="28"/>
    </row>
    <row r="4493" spans="23:23" x14ac:dyDescent="0.25">
      <c r="W4493" s="28"/>
    </row>
    <row r="4494" spans="23:23" x14ac:dyDescent="0.25">
      <c r="W4494" s="28"/>
    </row>
    <row r="4495" spans="23:23" x14ac:dyDescent="0.25">
      <c r="W4495" s="28"/>
    </row>
    <row r="4496" spans="23:23" x14ac:dyDescent="0.25">
      <c r="W4496" s="28"/>
    </row>
    <row r="4497" spans="23:23" x14ac:dyDescent="0.25">
      <c r="W4497" s="28"/>
    </row>
    <row r="4498" spans="23:23" x14ac:dyDescent="0.25">
      <c r="W4498" s="28"/>
    </row>
    <row r="4499" spans="23:23" x14ac:dyDescent="0.25">
      <c r="W4499" s="28"/>
    </row>
    <row r="4500" spans="23:23" x14ac:dyDescent="0.25">
      <c r="W4500" s="28"/>
    </row>
    <row r="4501" spans="23:23" x14ac:dyDescent="0.25">
      <c r="W4501" s="28"/>
    </row>
    <row r="4502" spans="23:23" x14ac:dyDescent="0.25">
      <c r="W4502" s="28"/>
    </row>
    <row r="4503" spans="23:23" x14ac:dyDescent="0.25">
      <c r="W4503" s="28"/>
    </row>
    <row r="4504" spans="23:23" x14ac:dyDescent="0.25">
      <c r="W4504" s="28"/>
    </row>
    <row r="4505" spans="23:23" x14ac:dyDescent="0.25">
      <c r="W4505" s="28"/>
    </row>
    <row r="4506" spans="23:23" x14ac:dyDescent="0.25">
      <c r="W4506" s="28"/>
    </row>
    <row r="4507" spans="23:23" x14ac:dyDescent="0.25">
      <c r="W4507" s="28"/>
    </row>
    <row r="4508" spans="23:23" x14ac:dyDescent="0.25">
      <c r="W4508" s="28"/>
    </row>
    <row r="4509" spans="23:23" x14ac:dyDescent="0.25">
      <c r="W4509" s="28"/>
    </row>
    <row r="4510" spans="23:23" x14ac:dyDescent="0.25">
      <c r="W4510" s="28"/>
    </row>
    <row r="4511" spans="23:23" x14ac:dyDescent="0.25">
      <c r="W4511" s="28"/>
    </row>
    <row r="4512" spans="23:23" x14ac:dyDescent="0.25">
      <c r="W4512" s="28"/>
    </row>
    <row r="4513" spans="23:23" x14ac:dyDescent="0.25">
      <c r="W4513" s="28"/>
    </row>
    <row r="4514" spans="23:23" x14ac:dyDescent="0.25">
      <c r="W4514" s="28"/>
    </row>
    <row r="4515" spans="23:23" x14ac:dyDescent="0.25">
      <c r="W4515" s="28"/>
    </row>
    <row r="4516" spans="23:23" x14ac:dyDescent="0.25">
      <c r="W4516" s="28"/>
    </row>
    <row r="4517" spans="23:23" x14ac:dyDescent="0.25">
      <c r="W4517" s="28"/>
    </row>
    <row r="4518" spans="23:23" x14ac:dyDescent="0.25">
      <c r="W4518" s="28"/>
    </row>
    <row r="4519" spans="23:23" x14ac:dyDescent="0.25">
      <c r="W4519" s="28"/>
    </row>
    <row r="4520" spans="23:23" x14ac:dyDescent="0.25">
      <c r="W4520" s="28"/>
    </row>
    <row r="4521" spans="23:23" x14ac:dyDescent="0.25">
      <c r="W4521" s="28"/>
    </row>
    <row r="4522" spans="23:23" x14ac:dyDescent="0.25">
      <c r="W4522" s="28"/>
    </row>
    <row r="4523" spans="23:23" x14ac:dyDescent="0.25">
      <c r="W4523" s="28"/>
    </row>
    <row r="4524" spans="23:23" x14ac:dyDescent="0.25">
      <c r="W4524" s="28"/>
    </row>
    <row r="4525" spans="23:23" x14ac:dyDescent="0.25">
      <c r="W4525" s="28"/>
    </row>
    <row r="4526" spans="23:23" x14ac:dyDescent="0.25">
      <c r="W4526" s="28"/>
    </row>
    <row r="4527" spans="23:23" x14ac:dyDescent="0.25">
      <c r="W4527" s="28"/>
    </row>
    <row r="4528" spans="23:23" x14ac:dyDescent="0.25">
      <c r="W4528" s="28"/>
    </row>
    <row r="4529" spans="23:23" x14ac:dyDescent="0.25">
      <c r="W4529" s="28"/>
    </row>
    <row r="4530" spans="23:23" x14ac:dyDescent="0.25">
      <c r="W4530" s="28"/>
    </row>
    <row r="4531" spans="23:23" x14ac:dyDescent="0.25">
      <c r="W4531" s="28"/>
    </row>
    <row r="4532" spans="23:23" x14ac:dyDescent="0.25">
      <c r="W4532" s="28"/>
    </row>
    <row r="4533" spans="23:23" x14ac:dyDescent="0.25">
      <c r="W4533" s="28"/>
    </row>
    <row r="4534" spans="23:23" x14ac:dyDescent="0.25">
      <c r="W4534" s="28"/>
    </row>
    <row r="4535" spans="23:23" x14ac:dyDescent="0.25">
      <c r="W4535" s="28"/>
    </row>
    <row r="4536" spans="23:23" x14ac:dyDescent="0.25">
      <c r="W4536" s="28"/>
    </row>
    <row r="4537" spans="23:23" x14ac:dyDescent="0.25">
      <c r="W4537" s="28"/>
    </row>
    <row r="4538" spans="23:23" x14ac:dyDescent="0.25">
      <c r="W4538" s="28"/>
    </row>
    <row r="4539" spans="23:23" x14ac:dyDescent="0.25">
      <c r="W4539" s="28"/>
    </row>
    <row r="4540" spans="23:23" x14ac:dyDescent="0.25">
      <c r="W4540" s="28"/>
    </row>
    <row r="4541" spans="23:23" x14ac:dyDescent="0.25">
      <c r="W4541" s="28"/>
    </row>
    <row r="4542" spans="23:23" x14ac:dyDescent="0.25">
      <c r="W4542" s="28"/>
    </row>
    <row r="4543" spans="23:23" x14ac:dyDescent="0.25">
      <c r="W4543" s="28"/>
    </row>
    <row r="4544" spans="23:23" x14ac:dyDescent="0.25">
      <c r="W4544" s="28"/>
    </row>
    <row r="4545" spans="23:23" x14ac:dyDescent="0.25">
      <c r="W4545" s="28"/>
    </row>
    <row r="4546" spans="23:23" x14ac:dyDescent="0.25">
      <c r="W4546" s="28"/>
    </row>
    <row r="4547" spans="23:23" x14ac:dyDescent="0.25">
      <c r="W4547" s="28"/>
    </row>
    <row r="4548" spans="23:23" x14ac:dyDescent="0.25">
      <c r="W4548" s="28"/>
    </row>
    <row r="4549" spans="23:23" x14ac:dyDescent="0.25">
      <c r="W4549" s="28"/>
    </row>
    <row r="4550" spans="23:23" x14ac:dyDescent="0.25">
      <c r="W4550" s="28"/>
    </row>
    <row r="4551" spans="23:23" x14ac:dyDescent="0.25">
      <c r="W4551" s="28"/>
    </row>
    <row r="4552" spans="23:23" x14ac:dyDescent="0.25">
      <c r="W4552" s="28"/>
    </row>
    <row r="4553" spans="23:23" x14ac:dyDescent="0.25">
      <c r="W4553" s="28"/>
    </row>
    <row r="4554" spans="23:23" x14ac:dyDescent="0.25">
      <c r="W4554" s="28"/>
    </row>
    <row r="4555" spans="23:23" x14ac:dyDescent="0.25">
      <c r="W4555" s="28"/>
    </row>
    <row r="4556" spans="23:23" x14ac:dyDescent="0.25">
      <c r="W4556" s="28"/>
    </row>
    <row r="4557" spans="23:23" x14ac:dyDescent="0.25">
      <c r="W4557" s="28"/>
    </row>
    <row r="4558" spans="23:23" x14ac:dyDescent="0.25">
      <c r="W4558" s="28"/>
    </row>
    <row r="4559" spans="23:23" x14ac:dyDescent="0.25">
      <c r="W4559" s="28"/>
    </row>
    <row r="4560" spans="23:23" x14ac:dyDescent="0.25">
      <c r="W4560" s="28"/>
    </row>
    <row r="4561" spans="23:23" x14ac:dyDescent="0.25">
      <c r="W4561" s="28"/>
    </row>
    <row r="4562" spans="23:23" x14ac:dyDescent="0.25">
      <c r="W4562" s="28"/>
    </row>
    <row r="4563" spans="23:23" x14ac:dyDescent="0.25">
      <c r="W4563" s="28"/>
    </row>
    <row r="4564" spans="23:23" x14ac:dyDescent="0.25">
      <c r="W4564" s="28"/>
    </row>
    <row r="4565" spans="23:23" x14ac:dyDescent="0.25">
      <c r="W4565" s="28"/>
    </row>
    <row r="4566" spans="23:23" x14ac:dyDescent="0.25">
      <c r="W4566" s="28"/>
    </row>
    <row r="4567" spans="23:23" x14ac:dyDescent="0.25">
      <c r="W4567" s="28"/>
    </row>
    <row r="4568" spans="23:23" x14ac:dyDescent="0.25">
      <c r="W4568" s="28"/>
    </row>
    <row r="4569" spans="23:23" x14ac:dyDescent="0.25">
      <c r="W4569" s="28"/>
    </row>
    <row r="4570" spans="23:23" x14ac:dyDescent="0.25">
      <c r="W4570" s="28"/>
    </row>
    <row r="4571" spans="23:23" x14ac:dyDescent="0.25">
      <c r="W4571" s="28"/>
    </row>
    <row r="4572" spans="23:23" x14ac:dyDescent="0.25">
      <c r="W4572" s="28"/>
    </row>
    <row r="4573" spans="23:23" x14ac:dyDescent="0.25">
      <c r="W4573" s="28"/>
    </row>
    <row r="4574" spans="23:23" x14ac:dyDescent="0.25">
      <c r="W4574" s="28"/>
    </row>
    <row r="4575" spans="23:23" x14ac:dyDescent="0.25">
      <c r="W4575" s="28"/>
    </row>
    <row r="4576" spans="23:23" x14ac:dyDescent="0.25">
      <c r="W4576" s="28"/>
    </row>
    <row r="4577" spans="23:23" x14ac:dyDescent="0.25">
      <c r="W4577" s="28"/>
    </row>
    <row r="4578" spans="23:23" x14ac:dyDescent="0.25">
      <c r="W4578" s="28"/>
    </row>
    <row r="4579" spans="23:23" x14ac:dyDescent="0.25">
      <c r="W4579" s="28"/>
    </row>
    <row r="4580" spans="23:23" x14ac:dyDescent="0.25">
      <c r="W4580" s="28"/>
    </row>
    <row r="4581" spans="23:23" x14ac:dyDescent="0.25">
      <c r="W4581" s="28"/>
    </row>
    <row r="4582" spans="23:23" x14ac:dyDescent="0.25">
      <c r="W4582" s="28"/>
    </row>
    <row r="4583" spans="23:23" x14ac:dyDescent="0.25">
      <c r="W4583" s="28"/>
    </row>
    <row r="4584" spans="23:23" x14ac:dyDescent="0.25">
      <c r="W4584" s="28"/>
    </row>
    <row r="4585" spans="23:23" x14ac:dyDescent="0.25">
      <c r="W4585" s="28"/>
    </row>
    <row r="4586" spans="23:23" x14ac:dyDescent="0.25">
      <c r="W4586" s="28"/>
    </row>
    <row r="4587" spans="23:23" x14ac:dyDescent="0.25">
      <c r="W4587" s="28"/>
    </row>
    <row r="4588" spans="23:23" x14ac:dyDescent="0.25">
      <c r="W4588" s="28"/>
    </row>
    <row r="4589" spans="23:23" x14ac:dyDescent="0.25">
      <c r="W4589" s="28"/>
    </row>
    <row r="4590" spans="23:23" x14ac:dyDescent="0.25">
      <c r="W4590" s="28"/>
    </row>
    <row r="4591" spans="23:23" x14ac:dyDescent="0.25">
      <c r="W4591" s="28"/>
    </row>
    <row r="4592" spans="23:23" x14ac:dyDescent="0.25">
      <c r="W4592" s="28"/>
    </row>
    <row r="4593" spans="23:23" x14ac:dyDescent="0.25">
      <c r="W4593" s="28"/>
    </row>
    <row r="4594" spans="23:23" x14ac:dyDescent="0.25">
      <c r="W4594" s="28"/>
    </row>
    <row r="4595" spans="23:23" x14ac:dyDescent="0.25">
      <c r="W4595" s="28"/>
    </row>
    <row r="4596" spans="23:23" x14ac:dyDescent="0.25">
      <c r="W4596" s="28"/>
    </row>
    <row r="4597" spans="23:23" x14ac:dyDescent="0.25">
      <c r="W4597" s="28"/>
    </row>
    <row r="4598" spans="23:23" x14ac:dyDescent="0.25">
      <c r="W4598" s="28"/>
    </row>
    <row r="4599" spans="23:23" x14ac:dyDescent="0.25">
      <c r="W4599" s="28"/>
    </row>
    <row r="4600" spans="23:23" x14ac:dyDescent="0.25">
      <c r="W4600" s="28"/>
    </row>
    <row r="4601" spans="23:23" x14ac:dyDescent="0.25">
      <c r="W4601" s="28"/>
    </row>
    <row r="4602" spans="23:23" x14ac:dyDescent="0.25">
      <c r="W4602" s="28"/>
    </row>
    <row r="4603" spans="23:23" x14ac:dyDescent="0.25">
      <c r="W4603" s="28"/>
    </row>
    <row r="4604" spans="23:23" x14ac:dyDescent="0.25">
      <c r="W4604" s="28"/>
    </row>
    <row r="4605" spans="23:23" x14ac:dyDescent="0.25">
      <c r="W4605" s="28"/>
    </row>
    <row r="4606" spans="23:23" x14ac:dyDescent="0.25">
      <c r="W4606" s="28"/>
    </row>
    <row r="4607" spans="23:23" x14ac:dyDescent="0.25">
      <c r="W4607" s="28"/>
    </row>
    <row r="4608" spans="23:23" x14ac:dyDescent="0.25">
      <c r="W4608" s="28"/>
    </row>
    <row r="4609" spans="23:23" x14ac:dyDescent="0.25">
      <c r="W4609" s="28"/>
    </row>
    <row r="4610" spans="23:23" x14ac:dyDescent="0.25">
      <c r="W4610" s="28"/>
    </row>
    <row r="4611" spans="23:23" x14ac:dyDescent="0.25">
      <c r="W4611" s="28"/>
    </row>
    <row r="4612" spans="23:23" x14ac:dyDescent="0.25">
      <c r="W4612" s="28"/>
    </row>
    <row r="4613" spans="23:23" x14ac:dyDescent="0.25">
      <c r="W4613" s="28"/>
    </row>
    <row r="4614" spans="23:23" x14ac:dyDescent="0.25">
      <c r="W4614" s="28"/>
    </row>
    <row r="4615" spans="23:23" x14ac:dyDescent="0.25">
      <c r="W4615" s="28"/>
    </row>
    <row r="4616" spans="23:23" x14ac:dyDescent="0.25">
      <c r="W4616" s="28"/>
    </row>
    <row r="4617" spans="23:23" x14ac:dyDescent="0.25">
      <c r="W4617" s="28"/>
    </row>
    <row r="4618" spans="23:23" x14ac:dyDescent="0.25">
      <c r="W4618" s="28"/>
    </row>
    <row r="4619" spans="23:23" x14ac:dyDescent="0.25">
      <c r="W4619" s="28"/>
    </row>
    <row r="4620" spans="23:23" x14ac:dyDescent="0.25">
      <c r="W4620" s="28"/>
    </row>
    <row r="4621" spans="23:23" x14ac:dyDescent="0.25">
      <c r="W4621" s="28"/>
    </row>
    <row r="4622" spans="23:23" x14ac:dyDescent="0.25">
      <c r="W4622" s="28"/>
    </row>
    <row r="4623" spans="23:23" x14ac:dyDescent="0.25">
      <c r="W4623" s="28"/>
    </row>
    <row r="4624" spans="23:23" x14ac:dyDescent="0.25">
      <c r="W4624" s="28"/>
    </row>
    <row r="4625" spans="23:23" x14ac:dyDescent="0.25">
      <c r="W4625" s="28"/>
    </row>
    <row r="4626" spans="23:23" x14ac:dyDescent="0.25">
      <c r="W4626" s="28"/>
    </row>
    <row r="4627" spans="23:23" x14ac:dyDescent="0.25">
      <c r="W4627" s="28"/>
    </row>
    <row r="4628" spans="23:23" x14ac:dyDescent="0.25">
      <c r="W4628" s="28"/>
    </row>
    <row r="4629" spans="23:23" x14ac:dyDescent="0.25">
      <c r="W4629" s="28"/>
    </row>
    <row r="4630" spans="23:23" x14ac:dyDescent="0.25">
      <c r="W4630" s="28"/>
    </row>
    <row r="4631" spans="23:23" x14ac:dyDescent="0.25">
      <c r="W4631" s="28"/>
    </row>
    <row r="4632" spans="23:23" x14ac:dyDescent="0.25">
      <c r="W4632" s="28"/>
    </row>
    <row r="4633" spans="23:23" x14ac:dyDescent="0.25">
      <c r="W4633" s="28"/>
    </row>
    <row r="4634" spans="23:23" x14ac:dyDescent="0.25">
      <c r="W4634" s="28"/>
    </row>
    <row r="4635" spans="23:23" x14ac:dyDescent="0.25">
      <c r="W4635" s="28"/>
    </row>
    <row r="4636" spans="23:23" x14ac:dyDescent="0.25">
      <c r="W4636" s="28"/>
    </row>
    <row r="4637" spans="23:23" x14ac:dyDescent="0.25">
      <c r="W4637" s="28"/>
    </row>
    <row r="4638" spans="23:23" x14ac:dyDescent="0.25">
      <c r="W4638" s="28"/>
    </row>
    <row r="4639" spans="23:23" x14ac:dyDescent="0.25">
      <c r="W4639" s="28"/>
    </row>
    <row r="4640" spans="23:23" x14ac:dyDescent="0.25">
      <c r="W4640" s="28"/>
    </row>
    <row r="4641" spans="23:23" x14ac:dyDescent="0.25">
      <c r="W4641" s="28"/>
    </row>
    <row r="4642" spans="23:23" x14ac:dyDescent="0.25">
      <c r="W4642" s="28"/>
    </row>
    <row r="4643" spans="23:23" x14ac:dyDescent="0.25">
      <c r="W4643" s="28"/>
    </row>
    <row r="4644" spans="23:23" x14ac:dyDescent="0.25">
      <c r="W4644" s="28"/>
    </row>
    <row r="4645" spans="23:23" x14ac:dyDescent="0.25">
      <c r="W4645" s="28"/>
    </row>
    <row r="4646" spans="23:23" x14ac:dyDescent="0.25">
      <c r="W4646" s="28"/>
    </row>
    <row r="4647" spans="23:23" x14ac:dyDescent="0.25">
      <c r="W4647" s="28"/>
    </row>
    <row r="4648" spans="23:23" x14ac:dyDescent="0.25">
      <c r="W4648" s="28"/>
    </row>
    <row r="4649" spans="23:23" x14ac:dyDescent="0.25">
      <c r="W4649" s="28"/>
    </row>
    <row r="4650" spans="23:23" x14ac:dyDescent="0.25">
      <c r="W4650" s="28"/>
    </row>
    <row r="4651" spans="23:23" x14ac:dyDescent="0.25">
      <c r="W4651" s="28"/>
    </row>
    <row r="4652" spans="23:23" x14ac:dyDescent="0.25">
      <c r="W4652" s="28"/>
    </row>
    <row r="4653" spans="23:23" x14ac:dyDescent="0.25">
      <c r="W4653" s="28"/>
    </row>
    <row r="4654" spans="23:23" x14ac:dyDescent="0.25">
      <c r="W4654" s="28"/>
    </row>
    <row r="4655" spans="23:23" x14ac:dyDescent="0.25">
      <c r="W4655" s="28"/>
    </row>
    <row r="4656" spans="23:23" x14ac:dyDescent="0.25">
      <c r="W4656" s="28"/>
    </row>
    <row r="4657" spans="23:23" x14ac:dyDescent="0.25">
      <c r="W4657" s="28"/>
    </row>
    <row r="4658" spans="23:23" x14ac:dyDescent="0.25">
      <c r="W4658" s="28"/>
    </row>
    <row r="4659" spans="23:23" x14ac:dyDescent="0.25">
      <c r="W4659" s="28"/>
    </row>
    <row r="4660" spans="23:23" x14ac:dyDescent="0.25">
      <c r="W4660" s="28"/>
    </row>
    <row r="4661" spans="23:23" x14ac:dyDescent="0.25">
      <c r="W4661" s="28"/>
    </row>
    <row r="4662" spans="23:23" x14ac:dyDescent="0.25">
      <c r="W4662" s="28"/>
    </row>
    <row r="4663" spans="23:23" x14ac:dyDescent="0.25">
      <c r="W4663" s="28"/>
    </row>
    <row r="4664" spans="23:23" x14ac:dyDescent="0.25">
      <c r="W4664" s="28"/>
    </row>
    <row r="4665" spans="23:23" x14ac:dyDescent="0.25">
      <c r="W4665" s="28"/>
    </row>
    <row r="4666" spans="23:23" x14ac:dyDescent="0.25">
      <c r="W4666" s="28"/>
    </row>
    <row r="4667" spans="23:23" x14ac:dyDescent="0.25">
      <c r="W4667" s="28"/>
    </row>
    <row r="4668" spans="23:23" x14ac:dyDescent="0.25">
      <c r="W4668" s="28"/>
    </row>
    <row r="4669" spans="23:23" x14ac:dyDescent="0.25">
      <c r="W4669" s="28"/>
    </row>
    <row r="4670" spans="23:23" x14ac:dyDescent="0.25">
      <c r="W4670" s="28"/>
    </row>
    <row r="4671" spans="23:23" x14ac:dyDescent="0.25">
      <c r="W4671" s="28"/>
    </row>
    <row r="4672" spans="23:23" x14ac:dyDescent="0.25">
      <c r="W4672" s="28"/>
    </row>
    <row r="4673" spans="23:23" x14ac:dyDescent="0.25">
      <c r="W4673" s="28"/>
    </row>
    <row r="4674" spans="23:23" x14ac:dyDescent="0.25">
      <c r="W4674" s="28"/>
    </row>
    <row r="4675" spans="23:23" x14ac:dyDescent="0.25">
      <c r="W4675" s="28"/>
    </row>
    <row r="4676" spans="23:23" x14ac:dyDescent="0.25">
      <c r="W4676" s="28"/>
    </row>
    <row r="4677" spans="23:23" x14ac:dyDescent="0.25">
      <c r="W4677" s="28"/>
    </row>
    <row r="4678" spans="23:23" x14ac:dyDescent="0.25">
      <c r="W4678" s="28"/>
    </row>
    <row r="4679" spans="23:23" x14ac:dyDescent="0.25">
      <c r="W4679" s="28"/>
    </row>
    <row r="4680" spans="23:23" x14ac:dyDescent="0.25">
      <c r="W4680" s="28"/>
    </row>
    <row r="4681" spans="23:23" x14ac:dyDescent="0.25">
      <c r="W4681" s="28"/>
    </row>
    <row r="4682" spans="23:23" x14ac:dyDescent="0.25">
      <c r="W4682" s="28"/>
    </row>
    <row r="4683" spans="23:23" x14ac:dyDescent="0.25">
      <c r="W4683" s="28"/>
    </row>
    <row r="4684" spans="23:23" x14ac:dyDescent="0.25">
      <c r="W4684" s="28"/>
    </row>
    <row r="4685" spans="23:23" x14ac:dyDescent="0.25">
      <c r="W4685" s="28"/>
    </row>
    <row r="4686" spans="23:23" x14ac:dyDescent="0.25">
      <c r="W4686" s="28"/>
    </row>
    <row r="4687" spans="23:23" x14ac:dyDescent="0.25">
      <c r="W4687" s="28"/>
    </row>
    <row r="4688" spans="23:23" x14ac:dyDescent="0.25">
      <c r="W4688" s="28"/>
    </row>
    <row r="4689" spans="23:23" x14ac:dyDescent="0.25">
      <c r="W4689" s="28"/>
    </row>
    <row r="4690" spans="23:23" x14ac:dyDescent="0.25">
      <c r="W4690" s="28"/>
    </row>
    <row r="4691" spans="23:23" x14ac:dyDescent="0.25">
      <c r="W4691" s="28"/>
    </row>
    <row r="4692" spans="23:23" x14ac:dyDescent="0.25">
      <c r="W4692" s="28"/>
    </row>
    <row r="4693" spans="23:23" x14ac:dyDescent="0.25">
      <c r="W4693" s="28"/>
    </row>
    <row r="4694" spans="23:23" x14ac:dyDescent="0.25">
      <c r="W4694" s="28"/>
    </row>
    <row r="4695" spans="23:23" x14ac:dyDescent="0.25">
      <c r="W4695" s="28"/>
    </row>
    <row r="4696" spans="23:23" x14ac:dyDescent="0.25">
      <c r="W4696" s="28"/>
    </row>
    <row r="4697" spans="23:23" x14ac:dyDescent="0.25">
      <c r="W4697" s="28"/>
    </row>
    <row r="4698" spans="23:23" x14ac:dyDescent="0.25">
      <c r="W4698" s="28"/>
    </row>
    <row r="4699" spans="23:23" x14ac:dyDescent="0.25">
      <c r="W4699" s="28"/>
    </row>
    <row r="4700" spans="23:23" x14ac:dyDescent="0.25">
      <c r="W4700" s="28"/>
    </row>
    <row r="4701" spans="23:23" x14ac:dyDescent="0.25">
      <c r="W4701" s="28"/>
    </row>
    <row r="4702" spans="23:23" x14ac:dyDescent="0.25">
      <c r="W4702" s="28"/>
    </row>
    <row r="4703" spans="23:23" x14ac:dyDescent="0.25">
      <c r="W4703" s="28"/>
    </row>
    <row r="4704" spans="23:23" x14ac:dyDescent="0.25">
      <c r="W4704" s="28"/>
    </row>
    <row r="4705" spans="23:23" x14ac:dyDescent="0.25">
      <c r="W4705" s="28"/>
    </row>
    <row r="4706" spans="23:23" x14ac:dyDescent="0.25">
      <c r="W4706" s="28"/>
    </row>
    <row r="4707" spans="23:23" x14ac:dyDescent="0.25">
      <c r="W4707" s="28"/>
    </row>
    <row r="4708" spans="23:23" x14ac:dyDescent="0.25">
      <c r="W4708" s="28"/>
    </row>
    <row r="4709" spans="23:23" x14ac:dyDescent="0.25">
      <c r="W4709" s="28"/>
    </row>
    <row r="4710" spans="23:23" x14ac:dyDescent="0.25">
      <c r="W4710" s="28"/>
    </row>
    <row r="4711" spans="23:23" x14ac:dyDescent="0.25">
      <c r="W4711" s="28"/>
    </row>
    <row r="4712" spans="23:23" x14ac:dyDescent="0.25">
      <c r="W4712" s="28"/>
    </row>
    <row r="4713" spans="23:23" x14ac:dyDescent="0.25">
      <c r="W4713" s="28"/>
    </row>
    <row r="4714" spans="23:23" x14ac:dyDescent="0.25">
      <c r="W4714" s="28"/>
    </row>
    <row r="4715" spans="23:23" x14ac:dyDescent="0.25">
      <c r="W4715" s="28"/>
    </row>
    <row r="4716" spans="23:23" x14ac:dyDescent="0.25">
      <c r="W4716" s="28"/>
    </row>
    <row r="4717" spans="23:23" x14ac:dyDescent="0.25">
      <c r="W4717" s="28"/>
    </row>
    <row r="4718" spans="23:23" x14ac:dyDescent="0.25">
      <c r="W4718" s="28"/>
    </row>
    <row r="4719" spans="23:23" x14ac:dyDescent="0.25">
      <c r="W4719" s="28"/>
    </row>
    <row r="4720" spans="23:23" x14ac:dyDescent="0.25">
      <c r="W4720" s="28"/>
    </row>
    <row r="4721" spans="23:23" x14ac:dyDescent="0.25">
      <c r="W4721" s="28"/>
    </row>
    <row r="4722" spans="23:23" x14ac:dyDescent="0.25">
      <c r="W4722" s="28"/>
    </row>
    <row r="4723" spans="23:23" x14ac:dyDescent="0.25">
      <c r="W4723" s="28"/>
    </row>
    <row r="4724" spans="23:23" x14ac:dyDescent="0.25">
      <c r="W4724" s="28"/>
    </row>
    <row r="4725" spans="23:23" x14ac:dyDescent="0.25">
      <c r="W4725" s="28"/>
    </row>
    <row r="4726" spans="23:23" x14ac:dyDescent="0.25">
      <c r="W4726" s="28"/>
    </row>
    <row r="4727" spans="23:23" x14ac:dyDescent="0.25">
      <c r="W4727" s="28"/>
    </row>
    <row r="4728" spans="23:23" x14ac:dyDescent="0.25">
      <c r="W4728" s="28"/>
    </row>
    <row r="4729" spans="23:23" x14ac:dyDescent="0.25">
      <c r="W4729" s="28"/>
    </row>
    <row r="4730" spans="23:23" x14ac:dyDescent="0.25">
      <c r="W4730" s="28"/>
    </row>
    <row r="4731" spans="23:23" x14ac:dyDescent="0.25">
      <c r="W4731" s="28"/>
    </row>
    <row r="4732" spans="23:23" x14ac:dyDescent="0.25">
      <c r="W4732" s="28"/>
    </row>
    <row r="4733" spans="23:23" x14ac:dyDescent="0.25">
      <c r="W4733" s="28"/>
    </row>
    <row r="4734" spans="23:23" x14ac:dyDescent="0.25">
      <c r="W4734" s="28"/>
    </row>
    <row r="4735" spans="23:23" x14ac:dyDescent="0.25">
      <c r="W4735" s="28"/>
    </row>
    <row r="4736" spans="23:23" x14ac:dyDescent="0.25">
      <c r="W4736" s="28"/>
    </row>
    <row r="4737" spans="23:23" x14ac:dyDescent="0.25">
      <c r="W4737" s="28"/>
    </row>
    <row r="4738" spans="23:23" x14ac:dyDescent="0.25">
      <c r="W4738" s="28"/>
    </row>
    <row r="4739" spans="23:23" x14ac:dyDescent="0.25">
      <c r="W4739" s="28"/>
    </row>
    <row r="4740" spans="23:23" x14ac:dyDescent="0.25">
      <c r="W4740" s="28"/>
    </row>
    <row r="4741" spans="23:23" x14ac:dyDescent="0.25">
      <c r="W4741" s="28"/>
    </row>
    <row r="4742" spans="23:23" x14ac:dyDescent="0.25">
      <c r="W4742" s="28"/>
    </row>
    <row r="4743" spans="23:23" x14ac:dyDescent="0.25">
      <c r="W4743" s="28"/>
    </row>
    <row r="4744" spans="23:23" x14ac:dyDescent="0.25">
      <c r="W4744" s="28"/>
    </row>
    <row r="4745" spans="23:23" x14ac:dyDescent="0.25">
      <c r="W4745" s="28"/>
    </row>
    <row r="4746" spans="23:23" x14ac:dyDescent="0.25">
      <c r="W4746" s="28"/>
    </row>
    <row r="4747" spans="23:23" x14ac:dyDescent="0.25">
      <c r="W4747" s="28"/>
    </row>
    <row r="4748" spans="23:23" x14ac:dyDescent="0.25">
      <c r="W4748" s="28"/>
    </row>
    <row r="4749" spans="23:23" x14ac:dyDescent="0.25">
      <c r="W4749" s="28"/>
    </row>
    <row r="4750" spans="23:23" x14ac:dyDescent="0.25">
      <c r="W4750" s="28"/>
    </row>
    <row r="4751" spans="23:23" x14ac:dyDescent="0.25">
      <c r="W4751" s="28"/>
    </row>
    <row r="4752" spans="23:23" x14ac:dyDescent="0.25">
      <c r="W4752" s="28"/>
    </row>
    <row r="4753" spans="23:23" x14ac:dyDescent="0.25">
      <c r="W4753" s="28"/>
    </row>
    <row r="4754" spans="23:23" x14ac:dyDescent="0.25">
      <c r="W4754" s="28"/>
    </row>
    <row r="4755" spans="23:23" x14ac:dyDescent="0.25">
      <c r="W4755" s="28"/>
    </row>
    <row r="4756" spans="23:23" x14ac:dyDescent="0.25">
      <c r="W4756" s="28"/>
    </row>
    <row r="4757" spans="23:23" x14ac:dyDescent="0.25">
      <c r="W4757" s="28"/>
    </row>
    <row r="4758" spans="23:23" x14ac:dyDescent="0.25">
      <c r="W4758" s="28"/>
    </row>
    <row r="4759" spans="23:23" x14ac:dyDescent="0.25">
      <c r="W4759" s="28"/>
    </row>
    <row r="4760" spans="23:23" x14ac:dyDescent="0.25">
      <c r="W4760" s="28"/>
    </row>
    <row r="4761" spans="23:23" x14ac:dyDescent="0.25">
      <c r="W4761" s="28"/>
    </row>
    <row r="4762" spans="23:23" x14ac:dyDescent="0.25">
      <c r="W4762" s="28"/>
    </row>
    <row r="4763" spans="23:23" x14ac:dyDescent="0.25">
      <c r="W4763" s="28"/>
    </row>
    <row r="4764" spans="23:23" x14ac:dyDescent="0.25">
      <c r="W4764" s="28"/>
    </row>
    <row r="4765" spans="23:23" x14ac:dyDescent="0.25">
      <c r="W4765" s="28"/>
    </row>
    <row r="4766" spans="23:23" x14ac:dyDescent="0.25">
      <c r="W4766" s="28"/>
    </row>
    <row r="4767" spans="23:23" x14ac:dyDescent="0.25">
      <c r="W4767" s="28"/>
    </row>
    <row r="4768" spans="23:23" x14ac:dyDescent="0.25">
      <c r="W4768" s="28"/>
    </row>
    <row r="4769" spans="23:23" x14ac:dyDescent="0.25">
      <c r="W4769" s="28"/>
    </row>
    <row r="4770" spans="23:23" x14ac:dyDescent="0.25">
      <c r="W4770" s="28"/>
    </row>
    <row r="4771" spans="23:23" x14ac:dyDescent="0.25">
      <c r="W4771" s="28"/>
    </row>
    <row r="4772" spans="23:23" x14ac:dyDescent="0.25">
      <c r="W4772" s="28"/>
    </row>
    <row r="4773" spans="23:23" x14ac:dyDescent="0.25">
      <c r="W4773" s="28"/>
    </row>
    <row r="4774" spans="23:23" x14ac:dyDescent="0.25">
      <c r="W4774" s="28"/>
    </row>
    <row r="4775" spans="23:23" x14ac:dyDescent="0.25">
      <c r="W4775" s="28"/>
    </row>
    <row r="4776" spans="23:23" x14ac:dyDescent="0.25">
      <c r="W4776" s="28"/>
    </row>
    <row r="4777" spans="23:23" x14ac:dyDescent="0.25">
      <c r="W4777" s="28"/>
    </row>
    <row r="4778" spans="23:23" x14ac:dyDescent="0.25">
      <c r="W4778" s="28"/>
    </row>
    <row r="4779" spans="23:23" x14ac:dyDescent="0.25">
      <c r="W4779" s="28"/>
    </row>
    <row r="4780" spans="23:23" x14ac:dyDescent="0.25">
      <c r="W4780" s="28"/>
    </row>
    <row r="4781" spans="23:23" x14ac:dyDescent="0.25">
      <c r="W4781" s="28"/>
    </row>
    <row r="4782" spans="23:23" x14ac:dyDescent="0.25">
      <c r="W4782" s="28"/>
    </row>
    <row r="4783" spans="23:23" x14ac:dyDescent="0.25">
      <c r="W4783" s="28"/>
    </row>
    <row r="4784" spans="23:23" x14ac:dyDescent="0.25">
      <c r="W4784" s="28"/>
    </row>
    <row r="4785" spans="23:23" x14ac:dyDescent="0.25">
      <c r="W4785" s="28"/>
    </row>
    <row r="4786" spans="23:23" x14ac:dyDescent="0.25">
      <c r="W4786" s="28"/>
    </row>
    <row r="4787" spans="23:23" x14ac:dyDescent="0.25">
      <c r="W4787" s="28"/>
    </row>
    <row r="4788" spans="23:23" x14ac:dyDescent="0.25">
      <c r="W4788" s="28"/>
    </row>
    <row r="4789" spans="23:23" x14ac:dyDescent="0.25">
      <c r="W4789" s="28"/>
    </row>
    <row r="4790" spans="23:23" x14ac:dyDescent="0.25">
      <c r="W4790" s="28"/>
    </row>
    <row r="4791" spans="23:23" x14ac:dyDescent="0.25">
      <c r="W4791" s="28"/>
    </row>
    <row r="4792" spans="23:23" x14ac:dyDescent="0.25">
      <c r="W4792" s="28"/>
    </row>
    <row r="4793" spans="23:23" x14ac:dyDescent="0.25">
      <c r="W4793" s="28"/>
    </row>
    <row r="4794" spans="23:23" x14ac:dyDescent="0.25">
      <c r="W4794" s="28"/>
    </row>
    <row r="4795" spans="23:23" x14ac:dyDescent="0.25">
      <c r="W4795" s="28"/>
    </row>
    <row r="4796" spans="23:23" x14ac:dyDescent="0.25">
      <c r="W4796" s="28"/>
    </row>
    <row r="4797" spans="23:23" x14ac:dyDescent="0.25">
      <c r="W4797" s="28"/>
    </row>
    <row r="4798" spans="23:23" x14ac:dyDescent="0.25">
      <c r="W4798" s="28"/>
    </row>
    <row r="4799" spans="23:23" x14ac:dyDescent="0.25">
      <c r="W4799" s="28"/>
    </row>
    <row r="4800" spans="23:23" x14ac:dyDescent="0.25">
      <c r="W4800" s="28"/>
    </row>
    <row r="4801" spans="23:23" x14ac:dyDescent="0.25">
      <c r="W4801" s="28"/>
    </row>
    <row r="4802" spans="23:23" x14ac:dyDescent="0.25">
      <c r="W4802" s="28"/>
    </row>
    <row r="4803" spans="23:23" x14ac:dyDescent="0.25">
      <c r="W4803" s="28"/>
    </row>
    <row r="4804" spans="23:23" x14ac:dyDescent="0.25">
      <c r="W4804" s="28"/>
    </row>
    <row r="4805" spans="23:23" x14ac:dyDescent="0.25">
      <c r="W4805" s="28"/>
    </row>
    <row r="4806" spans="23:23" x14ac:dyDescent="0.25">
      <c r="W4806" s="28"/>
    </row>
    <row r="4807" spans="23:23" x14ac:dyDescent="0.25">
      <c r="W4807" s="28"/>
    </row>
    <row r="4808" spans="23:23" x14ac:dyDescent="0.25">
      <c r="W4808" s="28"/>
    </row>
    <row r="4809" spans="23:23" x14ac:dyDescent="0.25">
      <c r="W4809" s="28"/>
    </row>
    <row r="4810" spans="23:23" x14ac:dyDescent="0.25">
      <c r="W4810" s="28"/>
    </row>
    <row r="4811" spans="23:23" x14ac:dyDescent="0.25">
      <c r="W4811" s="28"/>
    </row>
    <row r="4812" spans="23:23" x14ac:dyDescent="0.25">
      <c r="W4812" s="28"/>
    </row>
    <row r="4813" spans="23:23" x14ac:dyDescent="0.25">
      <c r="W4813" s="28"/>
    </row>
    <row r="4814" spans="23:23" x14ac:dyDescent="0.25">
      <c r="W4814" s="28"/>
    </row>
    <row r="4815" spans="23:23" x14ac:dyDescent="0.25">
      <c r="W4815" s="28"/>
    </row>
    <row r="4816" spans="23:23" x14ac:dyDescent="0.25">
      <c r="W4816" s="28"/>
    </row>
    <row r="4817" spans="23:23" x14ac:dyDescent="0.25">
      <c r="W4817" s="28"/>
    </row>
    <row r="4818" spans="23:23" x14ac:dyDescent="0.25">
      <c r="W4818" s="28"/>
    </row>
    <row r="4819" spans="23:23" x14ac:dyDescent="0.25">
      <c r="W4819" s="28"/>
    </row>
    <row r="4820" spans="23:23" x14ac:dyDescent="0.25">
      <c r="W4820" s="28"/>
    </row>
    <row r="4821" spans="23:23" x14ac:dyDescent="0.25">
      <c r="W4821" s="28"/>
    </row>
    <row r="4822" spans="23:23" x14ac:dyDescent="0.25">
      <c r="W4822" s="28"/>
    </row>
    <row r="4823" spans="23:23" x14ac:dyDescent="0.25">
      <c r="W4823" s="28"/>
    </row>
    <row r="4824" spans="23:23" x14ac:dyDescent="0.25">
      <c r="W4824" s="28"/>
    </row>
    <row r="4825" spans="23:23" x14ac:dyDescent="0.25">
      <c r="W4825" s="28"/>
    </row>
    <row r="4826" spans="23:23" x14ac:dyDescent="0.25">
      <c r="W4826" s="28"/>
    </row>
    <row r="4827" spans="23:23" x14ac:dyDescent="0.25">
      <c r="W4827" s="28"/>
    </row>
    <row r="4828" spans="23:23" x14ac:dyDescent="0.25">
      <c r="W4828" s="28"/>
    </row>
    <row r="4829" spans="23:23" x14ac:dyDescent="0.25">
      <c r="W4829" s="28"/>
    </row>
    <row r="4830" spans="23:23" x14ac:dyDescent="0.25">
      <c r="W4830" s="28"/>
    </row>
    <row r="4831" spans="23:23" x14ac:dyDescent="0.25">
      <c r="W4831" s="28"/>
    </row>
    <row r="4832" spans="23:23" x14ac:dyDescent="0.25">
      <c r="W4832" s="28"/>
    </row>
    <row r="4833" spans="23:23" x14ac:dyDescent="0.25">
      <c r="W4833" s="28"/>
    </row>
    <row r="4834" spans="23:23" x14ac:dyDescent="0.25">
      <c r="W4834" s="28"/>
    </row>
    <row r="4835" spans="23:23" x14ac:dyDescent="0.25">
      <c r="W4835" s="28"/>
    </row>
    <row r="4836" spans="23:23" x14ac:dyDescent="0.25">
      <c r="W4836" s="28"/>
    </row>
    <row r="4837" spans="23:23" x14ac:dyDescent="0.25">
      <c r="W4837" s="28"/>
    </row>
    <row r="4838" spans="23:23" x14ac:dyDescent="0.25">
      <c r="W4838" s="28"/>
    </row>
    <row r="4839" spans="23:23" x14ac:dyDescent="0.25">
      <c r="W4839" s="28"/>
    </row>
    <row r="4840" spans="23:23" x14ac:dyDescent="0.25">
      <c r="W4840" s="28"/>
    </row>
    <row r="4841" spans="23:23" x14ac:dyDescent="0.25">
      <c r="W4841" s="28"/>
    </row>
    <row r="4842" spans="23:23" x14ac:dyDescent="0.25">
      <c r="W4842" s="28"/>
    </row>
    <row r="4843" spans="23:23" x14ac:dyDescent="0.25">
      <c r="W4843" s="28"/>
    </row>
    <row r="4844" spans="23:23" x14ac:dyDescent="0.25">
      <c r="W4844" s="28"/>
    </row>
    <row r="4845" spans="23:23" x14ac:dyDescent="0.25">
      <c r="W4845" s="28"/>
    </row>
    <row r="4846" spans="23:23" x14ac:dyDescent="0.25">
      <c r="W4846" s="28"/>
    </row>
    <row r="4847" spans="23:23" x14ac:dyDescent="0.25">
      <c r="W4847" s="28"/>
    </row>
    <row r="4848" spans="23:23" x14ac:dyDescent="0.25">
      <c r="W4848" s="28"/>
    </row>
    <row r="4849" spans="23:23" x14ac:dyDescent="0.25">
      <c r="W4849" s="28"/>
    </row>
    <row r="4850" spans="23:23" x14ac:dyDescent="0.25">
      <c r="W4850" s="28"/>
    </row>
    <row r="4851" spans="23:23" x14ac:dyDescent="0.25">
      <c r="W4851" s="28"/>
    </row>
    <row r="4852" spans="23:23" x14ac:dyDescent="0.25">
      <c r="W4852" s="28"/>
    </row>
    <row r="4853" spans="23:23" x14ac:dyDescent="0.25">
      <c r="W4853" s="28"/>
    </row>
    <row r="4854" spans="23:23" x14ac:dyDescent="0.25">
      <c r="W4854" s="28"/>
    </row>
    <row r="4855" spans="23:23" x14ac:dyDescent="0.25">
      <c r="W4855" s="28"/>
    </row>
    <row r="4856" spans="23:23" x14ac:dyDescent="0.25">
      <c r="W4856" s="28"/>
    </row>
    <row r="4857" spans="23:23" x14ac:dyDescent="0.25">
      <c r="W4857" s="28"/>
    </row>
    <row r="4858" spans="23:23" x14ac:dyDescent="0.25">
      <c r="W4858" s="28"/>
    </row>
    <row r="4859" spans="23:23" x14ac:dyDescent="0.25">
      <c r="W4859" s="28"/>
    </row>
    <row r="4860" spans="23:23" x14ac:dyDescent="0.25">
      <c r="W4860" s="28"/>
    </row>
    <row r="4861" spans="23:23" x14ac:dyDescent="0.25">
      <c r="W4861" s="28"/>
    </row>
    <row r="4862" spans="23:23" x14ac:dyDescent="0.25">
      <c r="W4862" s="28"/>
    </row>
    <row r="4863" spans="23:23" x14ac:dyDescent="0.25">
      <c r="W4863" s="28"/>
    </row>
    <row r="4864" spans="23:23" x14ac:dyDescent="0.25">
      <c r="W4864" s="28"/>
    </row>
    <row r="4865" spans="23:23" x14ac:dyDescent="0.25">
      <c r="W4865" s="28"/>
    </row>
    <row r="4866" spans="23:23" x14ac:dyDescent="0.25">
      <c r="W4866" s="28"/>
    </row>
    <row r="4867" spans="23:23" x14ac:dyDescent="0.25">
      <c r="W4867" s="28"/>
    </row>
    <row r="4868" spans="23:23" x14ac:dyDescent="0.25">
      <c r="W4868" s="28"/>
    </row>
    <row r="4869" spans="23:23" x14ac:dyDescent="0.25">
      <c r="W4869" s="28"/>
    </row>
    <row r="4870" spans="23:23" x14ac:dyDescent="0.25">
      <c r="W4870" s="28"/>
    </row>
    <row r="4871" spans="23:23" x14ac:dyDescent="0.25">
      <c r="W4871" s="28"/>
    </row>
    <row r="4872" spans="23:23" x14ac:dyDescent="0.25">
      <c r="W4872" s="28"/>
    </row>
    <row r="4873" spans="23:23" x14ac:dyDescent="0.25">
      <c r="W4873" s="28"/>
    </row>
    <row r="4874" spans="23:23" x14ac:dyDescent="0.25">
      <c r="W4874" s="28"/>
    </row>
    <row r="4875" spans="23:23" x14ac:dyDescent="0.25">
      <c r="W4875" s="28"/>
    </row>
    <row r="4876" spans="23:23" x14ac:dyDescent="0.25">
      <c r="W4876" s="28"/>
    </row>
    <row r="4877" spans="23:23" x14ac:dyDescent="0.25">
      <c r="W4877" s="28"/>
    </row>
    <row r="4878" spans="23:23" x14ac:dyDescent="0.25">
      <c r="W4878" s="28"/>
    </row>
    <row r="4879" spans="23:23" x14ac:dyDescent="0.25">
      <c r="W4879" s="28"/>
    </row>
    <row r="4880" spans="23:23" x14ac:dyDescent="0.25">
      <c r="W4880" s="28"/>
    </row>
    <row r="4881" spans="23:23" x14ac:dyDescent="0.25">
      <c r="W4881" s="28"/>
    </row>
    <row r="4882" spans="23:23" x14ac:dyDescent="0.25">
      <c r="W4882" s="28"/>
    </row>
    <row r="4883" spans="23:23" x14ac:dyDescent="0.25">
      <c r="W4883" s="28"/>
    </row>
    <row r="4884" spans="23:23" x14ac:dyDescent="0.25">
      <c r="W4884" s="28"/>
    </row>
    <row r="4885" spans="23:23" x14ac:dyDescent="0.25">
      <c r="W4885" s="28"/>
    </row>
    <row r="4886" spans="23:23" x14ac:dyDescent="0.25">
      <c r="W4886" s="28"/>
    </row>
    <row r="4887" spans="23:23" x14ac:dyDescent="0.25">
      <c r="W4887" s="28"/>
    </row>
    <row r="4888" spans="23:23" x14ac:dyDescent="0.25">
      <c r="W4888" s="28"/>
    </row>
    <row r="4889" spans="23:23" x14ac:dyDescent="0.25">
      <c r="W4889" s="28"/>
    </row>
    <row r="4890" spans="23:23" x14ac:dyDescent="0.25">
      <c r="W4890" s="28"/>
    </row>
    <row r="4891" spans="23:23" x14ac:dyDescent="0.25">
      <c r="W4891" s="28"/>
    </row>
    <row r="4892" spans="23:23" x14ac:dyDescent="0.25">
      <c r="W4892" s="28"/>
    </row>
    <row r="4893" spans="23:23" x14ac:dyDescent="0.25">
      <c r="W4893" s="28"/>
    </row>
    <row r="4894" spans="23:23" x14ac:dyDescent="0.25">
      <c r="W4894" s="28"/>
    </row>
    <row r="4895" spans="23:23" x14ac:dyDescent="0.25">
      <c r="W4895" s="28"/>
    </row>
    <row r="4896" spans="23:23" x14ac:dyDescent="0.25">
      <c r="W4896" s="28"/>
    </row>
    <row r="4897" spans="23:23" x14ac:dyDescent="0.25">
      <c r="W4897" s="28"/>
    </row>
    <row r="4898" spans="23:23" x14ac:dyDescent="0.25">
      <c r="W4898" s="28"/>
    </row>
    <row r="4899" spans="23:23" x14ac:dyDescent="0.25">
      <c r="W4899" s="28"/>
    </row>
    <row r="4900" spans="23:23" x14ac:dyDescent="0.25">
      <c r="W4900" s="28"/>
    </row>
    <row r="4901" spans="23:23" x14ac:dyDescent="0.25">
      <c r="W4901" s="28"/>
    </row>
    <row r="4902" spans="23:23" x14ac:dyDescent="0.25">
      <c r="W4902" s="28"/>
    </row>
    <row r="4903" spans="23:23" x14ac:dyDescent="0.25">
      <c r="W4903" s="28"/>
    </row>
    <row r="4904" spans="23:23" x14ac:dyDescent="0.25">
      <c r="W4904" s="28"/>
    </row>
    <row r="4905" spans="23:23" x14ac:dyDescent="0.25">
      <c r="W4905" s="28"/>
    </row>
    <row r="4906" spans="23:23" x14ac:dyDescent="0.25">
      <c r="W4906" s="28"/>
    </row>
    <row r="4907" spans="23:23" x14ac:dyDescent="0.25">
      <c r="W4907" s="28"/>
    </row>
    <row r="4908" spans="23:23" x14ac:dyDescent="0.25">
      <c r="W4908" s="28"/>
    </row>
    <row r="4909" spans="23:23" x14ac:dyDescent="0.25">
      <c r="W4909" s="28"/>
    </row>
    <row r="4910" spans="23:23" x14ac:dyDescent="0.25">
      <c r="W4910" s="28"/>
    </row>
    <row r="4911" spans="23:23" x14ac:dyDescent="0.25">
      <c r="W4911" s="28"/>
    </row>
    <row r="4912" spans="23:23" x14ac:dyDescent="0.25">
      <c r="W4912" s="28"/>
    </row>
    <row r="4913" spans="23:23" x14ac:dyDescent="0.25">
      <c r="W4913" s="28"/>
    </row>
    <row r="4914" spans="23:23" x14ac:dyDescent="0.25">
      <c r="W4914" s="28"/>
    </row>
    <row r="4915" spans="23:23" x14ac:dyDescent="0.25">
      <c r="W4915" s="28"/>
    </row>
    <row r="4916" spans="23:23" x14ac:dyDescent="0.25">
      <c r="W4916" s="28"/>
    </row>
    <row r="4917" spans="23:23" x14ac:dyDescent="0.25">
      <c r="W4917" s="28"/>
    </row>
    <row r="4918" spans="23:23" x14ac:dyDescent="0.25">
      <c r="W4918" s="28"/>
    </row>
    <row r="4919" spans="23:23" x14ac:dyDescent="0.25">
      <c r="W4919" s="28"/>
    </row>
    <row r="4920" spans="23:23" x14ac:dyDescent="0.25">
      <c r="W4920" s="28"/>
    </row>
    <row r="4921" spans="23:23" x14ac:dyDescent="0.25">
      <c r="W4921" s="28"/>
    </row>
    <row r="4922" spans="23:23" x14ac:dyDescent="0.25">
      <c r="W4922" s="28"/>
    </row>
    <row r="4923" spans="23:23" x14ac:dyDescent="0.25">
      <c r="W4923" s="28"/>
    </row>
    <row r="4924" spans="23:23" x14ac:dyDescent="0.25">
      <c r="W4924" s="28"/>
    </row>
    <row r="4925" spans="23:23" x14ac:dyDescent="0.25">
      <c r="W4925" s="28"/>
    </row>
    <row r="4926" spans="23:23" x14ac:dyDescent="0.25">
      <c r="W4926" s="28"/>
    </row>
    <row r="4927" spans="23:23" x14ac:dyDescent="0.25">
      <c r="W4927" s="28"/>
    </row>
    <row r="4928" spans="23:23" x14ac:dyDescent="0.25">
      <c r="W4928" s="28"/>
    </row>
    <row r="4929" spans="23:23" x14ac:dyDescent="0.25">
      <c r="W4929" s="28"/>
    </row>
    <row r="4930" spans="23:23" x14ac:dyDescent="0.25">
      <c r="W4930" s="28"/>
    </row>
    <row r="4931" spans="23:23" x14ac:dyDescent="0.25">
      <c r="W4931" s="28"/>
    </row>
    <row r="4932" spans="23:23" x14ac:dyDescent="0.25">
      <c r="W4932" s="28"/>
    </row>
    <row r="4933" spans="23:23" x14ac:dyDescent="0.25">
      <c r="W4933" s="28"/>
    </row>
    <row r="4934" spans="23:23" x14ac:dyDescent="0.25">
      <c r="W4934" s="28"/>
    </row>
    <row r="4935" spans="23:23" x14ac:dyDescent="0.25">
      <c r="W4935" s="28"/>
    </row>
    <row r="4936" spans="23:23" x14ac:dyDescent="0.25">
      <c r="W4936" s="28"/>
    </row>
    <row r="4937" spans="23:23" x14ac:dyDescent="0.25">
      <c r="W4937" s="28"/>
    </row>
    <row r="4938" spans="23:23" x14ac:dyDescent="0.25">
      <c r="W4938" s="28"/>
    </row>
    <row r="4939" spans="23:23" x14ac:dyDescent="0.25">
      <c r="W4939" s="28"/>
    </row>
    <row r="4940" spans="23:23" x14ac:dyDescent="0.25">
      <c r="W4940" s="28"/>
    </row>
    <row r="4941" spans="23:23" x14ac:dyDescent="0.25">
      <c r="W4941" s="28"/>
    </row>
    <row r="4942" spans="23:23" x14ac:dyDescent="0.25">
      <c r="W4942" s="28"/>
    </row>
    <row r="4943" spans="23:23" x14ac:dyDescent="0.25">
      <c r="W4943" s="28"/>
    </row>
    <row r="4944" spans="23:23" x14ac:dyDescent="0.25">
      <c r="W4944" s="28"/>
    </row>
    <row r="4945" spans="23:23" x14ac:dyDescent="0.25">
      <c r="W4945" s="28"/>
    </row>
    <row r="4946" spans="23:23" x14ac:dyDescent="0.25">
      <c r="W4946" s="28"/>
    </row>
    <row r="4947" spans="23:23" x14ac:dyDescent="0.25">
      <c r="W4947" s="28"/>
    </row>
    <row r="4948" spans="23:23" x14ac:dyDescent="0.25">
      <c r="W4948" s="28"/>
    </row>
    <row r="4949" spans="23:23" x14ac:dyDescent="0.25">
      <c r="W4949" s="28"/>
    </row>
    <row r="4950" spans="23:23" x14ac:dyDescent="0.25">
      <c r="W4950" s="28"/>
    </row>
    <row r="4951" spans="23:23" x14ac:dyDescent="0.25">
      <c r="W4951" s="28"/>
    </row>
    <row r="4952" spans="23:23" x14ac:dyDescent="0.25">
      <c r="W4952" s="28"/>
    </row>
    <row r="4953" spans="23:23" x14ac:dyDescent="0.25">
      <c r="W4953" s="28"/>
    </row>
    <row r="4954" spans="23:23" x14ac:dyDescent="0.25">
      <c r="W4954" s="28"/>
    </row>
    <row r="4955" spans="23:23" x14ac:dyDescent="0.25">
      <c r="W4955" s="28"/>
    </row>
    <row r="4956" spans="23:23" x14ac:dyDescent="0.25">
      <c r="W4956" s="28"/>
    </row>
    <row r="4957" spans="23:23" x14ac:dyDescent="0.25">
      <c r="W4957" s="28"/>
    </row>
    <row r="4958" spans="23:23" x14ac:dyDescent="0.25">
      <c r="W4958" s="28"/>
    </row>
    <row r="4959" spans="23:23" x14ac:dyDescent="0.25">
      <c r="W4959" s="28"/>
    </row>
    <row r="4960" spans="23:23" x14ac:dyDescent="0.25">
      <c r="W4960" s="28"/>
    </row>
    <row r="4961" spans="23:23" x14ac:dyDescent="0.25">
      <c r="W4961" s="28"/>
    </row>
    <row r="4962" spans="23:23" x14ac:dyDescent="0.25">
      <c r="W4962" s="28"/>
    </row>
    <row r="4963" spans="23:23" x14ac:dyDescent="0.25">
      <c r="W4963" s="28"/>
    </row>
    <row r="4964" spans="23:23" x14ac:dyDescent="0.25">
      <c r="W4964" s="28"/>
    </row>
    <row r="4965" spans="23:23" x14ac:dyDescent="0.25">
      <c r="W4965" s="28"/>
    </row>
    <row r="4966" spans="23:23" x14ac:dyDescent="0.25">
      <c r="W4966" s="28"/>
    </row>
    <row r="4967" spans="23:23" x14ac:dyDescent="0.25">
      <c r="W4967" s="28"/>
    </row>
    <row r="4968" spans="23:23" x14ac:dyDescent="0.25">
      <c r="W4968" s="28"/>
    </row>
    <row r="4969" spans="23:23" x14ac:dyDescent="0.25">
      <c r="W4969" s="28"/>
    </row>
    <row r="4970" spans="23:23" x14ac:dyDescent="0.25">
      <c r="W4970" s="28"/>
    </row>
    <row r="4971" spans="23:23" x14ac:dyDescent="0.25">
      <c r="W4971" s="28"/>
    </row>
    <row r="4972" spans="23:23" x14ac:dyDescent="0.25">
      <c r="W4972" s="28"/>
    </row>
    <row r="4973" spans="23:23" x14ac:dyDescent="0.25">
      <c r="W4973" s="28"/>
    </row>
    <row r="4974" spans="23:23" x14ac:dyDescent="0.25">
      <c r="W4974" s="28"/>
    </row>
    <row r="4975" spans="23:23" x14ac:dyDescent="0.25">
      <c r="W4975" s="28"/>
    </row>
    <row r="4976" spans="23:23" x14ac:dyDescent="0.25">
      <c r="W4976" s="28"/>
    </row>
    <row r="4977" spans="23:23" x14ac:dyDescent="0.25">
      <c r="W4977" s="28"/>
    </row>
    <row r="4978" spans="23:23" x14ac:dyDescent="0.25">
      <c r="W4978" s="28"/>
    </row>
    <row r="4979" spans="23:23" x14ac:dyDescent="0.25">
      <c r="W4979" s="28"/>
    </row>
    <row r="4980" spans="23:23" x14ac:dyDescent="0.25">
      <c r="W4980" s="28"/>
    </row>
    <row r="4981" spans="23:23" x14ac:dyDescent="0.25">
      <c r="W4981" s="28"/>
    </row>
    <row r="4982" spans="23:23" x14ac:dyDescent="0.25">
      <c r="W4982" s="28"/>
    </row>
    <row r="4983" spans="23:23" x14ac:dyDescent="0.25">
      <c r="W4983" s="28"/>
    </row>
    <row r="4984" spans="23:23" x14ac:dyDescent="0.25">
      <c r="W4984" s="28"/>
    </row>
    <row r="4985" spans="23:23" x14ac:dyDescent="0.25">
      <c r="W4985" s="28"/>
    </row>
    <row r="4986" spans="23:23" x14ac:dyDescent="0.25">
      <c r="W4986" s="28"/>
    </row>
    <row r="4987" spans="23:23" x14ac:dyDescent="0.25">
      <c r="W4987" s="28"/>
    </row>
    <row r="4988" spans="23:23" x14ac:dyDescent="0.25">
      <c r="W4988" s="28"/>
    </row>
    <row r="4989" spans="23:23" x14ac:dyDescent="0.25">
      <c r="W4989" s="28"/>
    </row>
    <row r="4990" spans="23:23" x14ac:dyDescent="0.25">
      <c r="W4990" s="28"/>
    </row>
    <row r="4991" spans="23:23" x14ac:dyDescent="0.25">
      <c r="W4991" s="28"/>
    </row>
    <row r="4992" spans="23:23" x14ac:dyDescent="0.25">
      <c r="W4992" s="28"/>
    </row>
    <row r="4993" spans="23:23" x14ac:dyDescent="0.25">
      <c r="W4993" s="28"/>
    </row>
    <row r="4994" spans="23:23" x14ac:dyDescent="0.25">
      <c r="W4994" s="28"/>
    </row>
    <row r="4995" spans="23:23" x14ac:dyDescent="0.25">
      <c r="W4995" s="28"/>
    </row>
    <row r="4996" spans="23:23" x14ac:dyDescent="0.25">
      <c r="W4996" s="28"/>
    </row>
    <row r="4997" spans="23:23" x14ac:dyDescent="0.25">
      <c r="W4997" s="28"/>
    </row>
    <row r="4998" spans="23:23" x14ac:dyDescent="0.25">
      <c r="W4998" s="28"/>
    </row>
    <row r="4999" spans="23:23" x14ac:dyDescent="0.25">
      <c r="W4999" s="28"/>
    </row>
    <row r="5000" spans="23:23" x14ac:dyDescent="0.25">
      <c r="W5000" s="28"/>
    </row>
    <row r="5001" spans="23:23" x14ac:dyDescent="0.25">
      <c r="W5001" s="28"/>
    </row>
    <row r="5002" spans="23:23" x14ac:dyDescent="0.25">
      <c r="W5002" s="28"/>
    </row>
    <row r="5003" spans="23:23" x14ac:dyDescent="0.25">
      <c r="W5003" s="28"/>
    </row>
    <row r="5004" spans="23:23" x14ac:dyDescent="0.25">
      <c r="W5004" s="28"/>
    </row>
    <row r="5005" spans="23:23" x14ac:dyDescent="0.25">
      <c r="W5005" s="28"/>
    </row>
    <row r="5006" spans="23:23" x14ac:dyDescent="0.25">
      <c r="W5006" s="28"/>
    </row>
    <row r="5007" spans="23:23" x14ac:dyDescent="0.25">
      <c r="W5007" s="28"/>
    </row>
    <row r="5008" spans="23:23" x14ac:dyDescent="0.25">
      <c r="W5008" s="28"/>
    </row>
    <row r="5009" spans="23:23" x14ac:dyDescent="0.25">
      <c r="W5009" s="28"/>
    </row>
    <row r="5010" spans="23:23" x14ac:dyDescent="0.25">
      <c r="W5010" s="28"/>
    </row>
    <row r="5011" spans="23:23" x14ac:dyDescent="0.25">
      <c r="W5011" s="28"/>
    </row>
    <row r="5012" spans="23:23" x14ac:dyDescent="0.25">
      <c r="W5012" s="28"/>
    </row>
    <row r="5013" spans="23:23" x14ac:dyDescent="0.25">
      <c r="W5013" s="28"/>
    </row>
    <row r="5014" spans="23:23" x14ac:dyDescent="0.25">
      <c r="W5014" s="28"/>
    </row>
    <row r="5015" spans="23:23" x14ac:dyDescent="0.25">
      <c r="W5015" s="28"/>
    </row>
    <row r="5016" spans="23:23" x14ac:dyDescent="0.25">
      <c r="W5016" s="28"/>
    </row>
    <row r="5017" spans="23:23" x14ac:dyDescent="0.25">
      <c r="W5017" s="28"/>
    </row>
    <row r="5018" spans="23:23" x14ac:dyDescent="0.25">
      <c r="W5018" s="28"/>
    </row>
    <row r="5019" spans="23:23" x14ac:dyDescent="0.25">
      <c r="W5019" s="28"/>
    </row>
    <row r="5020" spans="23:23" x14ac:dyDescent="0.25">
      <c r="W5020" s="28"/>
    </row>
    <row r="5021" spans="23:23" x14ac:dyDescent="0.25">
      <c r="W5021" s="28"/>
    </row>
    <row r="5022" spans="23:23" x14ac:dyDescent="0.25">
      <c r="W5022" s="28"/>
    </row>
    <row r="5023" spans="23:23" x14ac:dyDescent="0.25">
      <c r="W5023" s="28"/>
    </row>
    <row r="5024" spans="23:23" x14ac:dyDescent="0.25">
      <c r="W5024" s="28"/>
    </row>
    <row r="5025" spans="23:23" x14ac:dyDescent="0.25">
      <c r="W5025" s="28"/>
    </row>
    <row r="5026" spans="23:23" x14ac:dyDescent="0.25">
      <c r="W5026" s="28"/>
    </row>
    <row r="5027" spans="23:23" x14ac:dyDescent="0.25">
      <c r="W5027" s="28"/>
    </row>
    <row r="5028" spans="23:23" x14ac:dyDescent="0.25">
      <c r="W5028" s="28"/>
    </row>
    <row r="5029" spans="23:23" x14ac:dyDescent="0.25">
      <c r="W5029" s="28"/>
    </row>
    <row r="5030" spans="23:23" x14ac:dyDescent="0.25">
      <c r="W5030" s="28"/>
    </row>
    <row r="5031" spans="23:23" x14ac:dyDescent="0.25">
      <c r="W5031" s="28"/>
    </row>
    <row r="5032" spans="23:23" x14ac:dyDescent="0.25">
      <c r="W5032" s="28"/>
    </row>
    <row r="5033" spans="23:23" x14ac:dyDescent="0.25">
      <c r="W5033" s="28"/>
    </row>
    <row r="5034" spans="23:23" x14ac:dyDescent="0.25">
      <c r="W5034" s="28"/>
    </row>
    <row r="5035" spans="23:23" x14ac:dyDescent="0.25">
      <c r="W5035" s="28"/>
    </row>
    <row r="5036" spans="23:23" x14ac:dyDescent="0.25">
      <c r="W5036" s="28"/>
    </row>
    <row r="5037" spans="23:23" x14ac:dyDescent="0.25">
      <c r="W5037" s="28"/>
    </row>
    <row r="5038" spans="23:23" x14ac:dyDescent="0.25">
      <c r="W5038" s="28"/>
    </row>
    <row r="5039" spans="23:23" x14ac:dyDescent="0.25">
      <c r="W5039" s="28"/>
    </row>
    <row r="5040" spans="23:23" x14ac:dyDescent="0.25">
      <c r="W5040" s="28"/>
    </row>
    <row r="5041" spans="23:23" x14ac:dyDescent="0.25">
      <c r="W5041" s="28"/>
    </row>
    <row r="5042" spans="23:23" x14ac:dyDescent="0.25">
      <c r="W5042" s="28"/>
    </row>
    <row r="5043" spans="23:23" x14ac:dyDescent="0.25">
      <c r="W5043" s="28"/>
    </row>
    <row r="5044" spans="23:23" x14ac:dyDescent="0.25">
      <c r="W5044" s="28"/>
    </row>
    <row r="5045" spans="23:23" x14ac:dyDescent="0.25">
      <c r="W5045" s="28"/>
    </row>
    <row r="5046" spans="23:23" x14ac:dyDescent="0.25">
      <c r="W5046" s="28"/>
    </row>
    <row r="5047" spans="23:23" x14ac:dyDescent="0.25">
      <c r="W5047" s="28"/>
    </row>
    <row r="5048" spans="23:23" x14ac:dyDescent="0.25">
      <c r="W5048" s="28"/>
    </row>
    <row r="5049" spans="23:23" x14ac:dyDescent="0.25">
      <c r="W5049" s="28"/>
    </row>
    <row r="5050" spans="23:23" x14ac:dyDescent="0.25">
      <c r="W5050" s="28"/>
    </row>
    <row r="5051" spans="23:23" x14ac:dyDescent="0.25">
      <c r="W5051" s="28"/>
    </row>
    <row r="5052" spans="23:23" x14ac:dyDescent="0.25">
      <c r="W5052" s="28"/>
    </row>
    <row r="5053" spans="23:23" x14ac:dyDescent="0.25">
      <c r="W5053" s="28"/>
    </row>
    <row r="5054" spans="23:23" x14ac:dyDescent="0.25">
      <c r="W5054" s="28"/>
    </row>
    <row r="5055" spans="23:23" x14ac:dyDescent="0.25">
      <c r="W5055" s="28"/>
    </row>
    <row r="5056" spans="23:23" x14ac:dyDescent="0.25">
      <c r="W5056" s="28"/>
    </row>
    <row r="5057" spans="23:23" x14ac:dyDescent="0.25">
      <c r="W5057" s="28"/>
    </row>
    <row r="5058" spans="23:23" x14ac:dyDescent="0.25">
      <c r="W5058" s="28"/>
    </row>
    <row r="5059" spans="23:23" x14ac:dyDescent="0.25">
      <c r="W5059" s="28"/>
    </row>
    <row r="5060" spans="23:23" x14ac:dyDescent="0.25">
      <c r="W5060" s="28"/>
    </row>
    <row r="5061" spans="23:23" x14ac:dyDescent="0.25">
      <c r="W5061" s="28"/>
    </row>
    <row r="5062" spans="23:23" x14ac:dyDescent="0.25">
      <c r="W5062" s="28"/>
    </row>
    <row r="5063" spans="23:23" x14ac:dyDescent="0.25">
      <c r="W5063" s="28"/>
    </row>
    <row r="5064" spans="23:23" x14ac:dyDescent="0.25">
      <c r="W5064" s="28"/>
    </row>
    <row r="5065" spans="23:23" x14ac:dyDescent="0.25">
      <c r="W5065" s="28"/>
    </row>
    <row r="5066" spans="23:23" x14ac:dyDescent="0.25">
      <c r="W5066" s="28"/>
    </row>
    <row r="5067" spans="23:23" x14ac:dyDescent="0.25">
      <c r="W5067" s="28"/>
    </row>
    <row r="5068" spans="23:23" x14ac:dyDescent="0.25">
      <c r="W5068" s="28"/>
    </row>
    <row r="5069" spans="23:23" x14ac:dyDescent="0.25">
      <c r="W5069" s="28"/>
    </row>
    <row r="5070" spans="23:23" x14ac:dyDescent="0.25">
      <c r="W5070" s="28"/>
    </row>
    <row r="5071" spans="23:23" x14ac:dyDescent="0.25">
      <c r="W5071" s="28"/>
    </row>
    <row r="5072" spans="23:23" x14ac:dyDescent="0.25">
      <c r="W5072" s="28"/>
    </row>
    <row r="5073" spans="23:23" x14ac:dyDescent="0.25">
      <c r="W5073" s="28"/>
    </row>
    <row r="5074" spans="23:23" x14ac:dyDescent="0.25">
      <c r="W5074" s="28"/>
    </row>
    <row r="5075" spans="23:23" x14ac:dyDescent="0.25">
      <c r="W5075" s="28"/>
    </row>
    <row r="5076" spans="23:23" x14ac:dyDescent="0.25">
      <c r="W5076" s="28"/>
    </row>
    <row r="5077" spans="23:23" x14ac:dyDescent="0.25">
      <c r="W5077" s="28"/>
    </row>
    <row r="5078" spans="23:23" x14ac:dyDescent="0.25">
      <c r="W5078" s="28"/>
    </row>
    <row r="5079" spans="23:23" x14ac:dyDescent="0.25">
      <c r="W5079" s="28"/>
    </row>
    <row r="5080" spans="23:23" x14ac:dyDescent="0.25">
      <c r="W5080" s="28"/>
    </row>
    <row r="5081" spans="23:23" x14ac:dyDescent="0.25">
      <c r="W5081" s="28"/>
    </row>
    <row r="5082" spans="23:23" x14ac:dyDescent="0.25">
      <c r="W5082" s="28"/>
    </row>
    <row r="5083" spans="23:23" x14ac:dyDescent="0.25">
      <c r="W5083" s="28"/>
    </row>
    <row r="5084" spans="23:23" x14ac:dyDescent="0.25">
      <c r="W5084" s="28"/>
    </row>
    <row r="5085" spans="23:23" x14ac:dyDescent="0.25">
      <c r="W5085" s="28"/>
    </row>
    <row r="5086" spans="23:23" x14ac:dyDescent="0.25">
      <c r="W5086" s="28"/>
    </row>
    <row r="5087" spans="23:23" x14ac:dyDescent="0.25">
      <c r="W5087" s="28"/>
    </row>
    <row r="5088" spans="23:23" x14ac:dyDescent="0.25">
      <c r="W5088" s="28"/>
    </row>
    <row r="5089" spans="23:23" x14ac:dyDescent="0.25">
      <c r="W5089" s="28"/>
    </row>
    <row r="5090" spans="23:23" x14ac:dyDescent="0.25">
      <c r="W5090" s="28"/>
    </row>
    <row r="5091" spans="23:23" x14ac:dyDescent="0.25">
      <c r="W5091" s="28"/>
    </row>
    <row r="5092" spans="23:23" x14ac:dyDescent="0.25">
      <c r="W5092" s="28"/>
    </row>
    <row r="5093" spans="23:23" x14ac:dyDescent="0.25">
      <c r="W5093" s="28"/>
    </row>
    <row r="5094" spans="23:23" x14ac:dyDescent="0.25">
      <c r="W5094" s="28"/>
    </row>
    <row r="5095" spans="23:23" x14ac:dyDescent="0.25">
      <c r="W5095" s="28"/>
    </row>
    <row r="5096" spans="23:23" x14ac:dyDescent="0.25">
      <c r="W5096" s="28"/>
    </row>
    <row r="5097" spans="23:23" x14ac:dyDescent="0.25">
      <c r="W5097" s="28"/>
    </row>
    <row r="5098" spans="23:23" x14ac:dyDescent="0.25">
      <c r="W5098" s="28"/>
    </row>
    <row r="5099" spans="23:23" x14ac:dyDescent="0.25">
      <c r="W5099" s="28"/>
    </row>
    <row r="5100" spans="23:23" x14ac:dyDescent="0.25">
      <c r="W5100" s="28"/>
    </row>
    <row r="5101" spans="23:23" x14ac:dyDescent="0.25">
      <c r="W5101" s="28"/>
    </row>
    <row r="5102" spans="23:23" x14ac:dyDescent="0.25">
      <c r="W5102" s="28"/>
    </row>
    <row r="5103" spans="23:23" x14ac:dyDescent="0.25">
      <c r="W5103" s="28"/>
    </row>
    <row r="5104" spans="23:23" x14ac:dyDescent="0.25">
      <c r="W5104" s="28"/>
    </row>
    <row r="5105" spans="23:23" x14ac:dyDescent="0.25">
      <c r="W5105" s="28"/>
    </row>
    <row r="5106" spans="23:23" x14ac:dyDescent="0.25">
      <c r="W5106" s="28"/>
    </row>
    <row r="5107" spans="23:23" x14ac:dyDescent="0.25">
      <c r="W5107" s="28"/>
    </row>
    <row r="5108" spans="23:23" x14ac:dyDescent="0.25">
      <c r="W5108" s="28"/>
    </row>
    <row r="5109" spans="23:23" x14ac:dyDescent="0.25">
      <c r="W5109" s="28"/>
    </row>
    <row r="5110" spans="23:23" x14ac:dyDescent="0.25">
      <c r="W5110" s="28"/>
    </row>
    <row r="5111" spans="23:23" x14ac:dyDescent="0.25">
      <c r="W5111" s="28"/>
    </row>
    <row r="5112" spans="23:23" x14ac:dyDescent="0.25">
      <c r="W5112" s="28"/>
    </row>
    <row r="5113" spans="23:23" x14ac:dyDescent="0.25">
      <c r="W5113" s="28"/>
    </row>
    <row r="5114" spans="23:23" x14ac:dyDescent="0.25">
      <c r="W5114" s="28"/>
    </row>
    <row r="5115" spans="23:23" x14ac:dyDescent="0.25">
      <c r="W5115" s="28"/>
    </row>
    <row r="5116" spans="23:23" x14ac:dyDescent="0.25">
      <c r="W5116" s="28"/>
    </row>
    <row r="5117" spans="23:23" x14ac:dyDescent="0.25">
      <c r="W5117" s="28"/>
    </row>
    <row r="5118" spans="23:23" x14ac:dyDescent="0.25">
      <c r="W5118" s="28"/>
    </row>
    <row r="5119" spans="23:23" x14ac:dyDescent="0.25">
      <c r="W5119" s="28"/>
    </row>
    <row r="5120" spans="23:23" x14ac:dyDescent="0.25">
      <c r="W5120" s="28"/>
    </row>
    <row r="5121" spans="23:23" x14ac:dyDescent="0.25">
      <c r="W5121" s="28"/>
    </row>
    <row r="5122" spans="23:23" x14ac:dyDescent="0.25">
      <c r="W5122" s="28"/>
    </row>
    <row r="5123" spans="23:23" x14ac:dyDescent="0.25">
      <c r="W5123" s="28"/>
    </row>
    <row r="5124" spans="23:23" x14ac:dyDescent="0.25">
      <c r="W5124" s="28"/>
    </row>
    <row r="5125" spans="23:23" x14ac:dyDescent="0.25">
      <c r="W5125" s="28"/>
    </row>
    <row r="5126" spans="23:23" x14ac:dyDescent="0.25">
      <c r="W5126" s="28"/>
    </row>
    <row r="5127" spans="23:23" x14ac:dyDescent="0.25">
      <c r="W5127" s="28"/>
    </row>
    <row r="5128" spans="23:23" x14ac:dyDescent="0.25">
      <c r="W5128" s="28"/>
    </row>
    <row r="5129" spans="23:23" x14ac:dyDescent="0.25">
      <c r="W5129" s="28"/>
    </row>
    <row r="5130" spans="23:23" x14ac:dyDescent="0.25">
      <c r="W5130" s="28"/>
    </row>
    <row r="5131" spans="23:23" x14ac:dyDescent="0.25">
      <c r="W5131" s="28"/>
    </row>
    <row r="5132" spans="23:23" x14ac:dyDescent="0.25">
      <c r="W5132" s="28"/>
    </row>
    <row r="5133" spans="23:23" x14ac:dyDescent="0.25">
      <c r="W5133" s="28"/>
    </row>
    <row r="5134" spans="23:23" x14ac:dyDescent="0.25">
      <c r="W5134" s="28"/>
    </row>
    <row r="5135" spans="23:23" x14ac:dyDescent="0.25">
      <c r="W5135" s="28"/>
    </row>
    <row r="5136" spans="23:23" x14ac:dyDescent="0.25">
      <c r="W5136" s="28"/>
    </row>
    <row r="5137" spans="23:23" x14ac:dyDescent="0.25">
      <c r="W5137" s="28"/>
    </row>
    <row r="5138" spans="23:23" x14ac:dyDescent="0.25">
      <c r="W5138" s="28"/>
    </row>
    <row r="5139" spans="23:23" x14ac:dyDescent="0.25">
      <c r="W5139" s="28"/>
    </row>
    <row r="5140" spans="23:23" x14ac:dyDescent="0.25">
      <c r="W5140" s="28"/>
    </row>
    <row r="5141" spans="23:23" x14ac:dyDescent="0.25">
      <c r="W5141" s="28"/>
    </row>
    <row r="5142" spans="23:23" x14ac:dyDescent="0.25">
      <c r="W5142" s="28"/>
    </row>
    <row r="5143" spans="23:23" x14ac:dyDescent="0.25">
      <c r="W5143" s="28"/>
    </row>
    <row r="5144" spans="23:23" x14ac:dyDescent="0.25">
      <c r="W5144" s="28"/>
    </row>
    <row r="5145" spans="23:23" x14ac:dyDescent="0.25">
      <c r="W5145" s="28"/>
    </row>
    <row r="5146" spans="23:23" x14ac:dyDescent="0.25">
      <c r="W5146" s="28"/>
    </row>
    <row r="5147" spans="23:23" x14ac:dyDescent="0.25">
      <c r="W5147" s="28"/>
    </row>
    <row r="5148" spans="23:23" x14ac:dyDescent="0.25">
      <c r="W5148" s="28"/>
    </row>
    <row r="5149" spans="23:23" x14ac:dyDescent="0.25">
      <c r="W5149" s="28"/>
    </row>
    <row r="5150" spans="23:23" x14ac:dyDescent="0.25">
      <c r="W5150" s="28"/>
    </row>
    <row r="5151" spans="23:23" x14ac:dyDescent="0.25">
      <c r="W5151" s="28"/>
    </row>
    <row r="5152" spans="23:23" x14ac:dyDescent="0.25">
      <c r="W5152" s="28"/>
    </row>
    <row r="5153" spans="23:23" x14ac:dyDescent="0.25">
      <c r="W5153" s="28"/>
    </row>
    <row r="5154" spans="23:23" x14ac:dyDescent="0.25">
      <c r="W5154" s="28"/>
    </row>
    <row r="5155" spans="23:23" x14ac:dyDescent="0.25">
      <c r="W5155" s="28"/>
    </row>
    <row r="5156" spans="23:23" x14ac:dyDescent="0.25">
      <c r="W5156" s="28"/>
    </row>
    <row r="5157" spans="23:23" x14ac:dyDescent="0.25">
      <c r="W5157" s="28"/>
    </row>
    <row r="5158" spans="23:23" x14ac:dyDescent="0.25">
      <c r="W5158" s="28"/>
    </row>
    <row r="5159" spans="23:23" x14ac:dyDescent="0.25">
      <c r="W5159" s="28"/>
    </row>
    <row r="5160" spans="23:23" x14ac:dyDescent="0.25">
      <c r="W5160" s="28"/>
    </row>
    <row r="5161" spans="23:23" x14ac:dyDescent="0.25">
      <c r="W5161" s="28"/>
    </row>
    <row r="5162" spans="23:23" x14ac:dyDescent="0.25">
      <c r="W5162" s="28"/>
    </row>
    <row r="5163" spans="23:23" x14ac:dyDescent="0.25">
      <c r="W5163" s="28"/>
    </row>
    <row r="5164" spans="23:23" x14ac:dyDescent="0.25">
      <c r="W5164" s="28"/>
    </row>
    <row r="5165" spans="23:23" x14ac:dyDescent="0.25">
      <c r="W5165" s="28"/>
    </row>
    <row r="5166" spans="23:23" x14ac:dyDescent="0.25">
      <c r="W5166" s="28"/>
    </row>
    <row r="5167" spans="23:23" x14ac:dyDescent="0.25">
      <c r="W5167" s="28"/>
    </row>
    <row r="5168" spans="23:23" x14ac:dyDescent="0.25">
      <c r="W5168" s="28"/>
    </row>
    <row r="5169" spans="23:23" x14ac:dyDescent="0.25">
      <c r="W5169" s="28"/>
    </row>
    <row r="5170" spans="23:23" x14ac:dyDescent="0.25">
      <c r="W5170" s="28"/>
    </row>
    <row r="5171" spans="23:23" x14ac:dyDescent="0.25">
      <c r="W5171" s="28"/>
    </row>
    <row r="5172" spans="23:23" x14ac:dyDescent="0.25">
      <c r="W5172" s="28"/>
    </row>
    <row r="5173" spans="23:23" x14ac:dyDescent="0.25">
      <c r="W5173" s="28"/>
    </row>
    <row r="5174" spans="23:23" x14ac:dyDescent="0.25">
      <c r="W5174" s="28"/>
    </row>
    <row r="5175" spans="23:23" x14ac:dyDescent="0.25">
      <c r="W5175" s="28"/>
    </row>
    <row r="5176" spans="23:23" x14ac:dyDescent="0.25">
      <c r="W5176" s="28"/>
    </row>
    <row r="5177" spans="23:23" x14ac:dyDescent="0.25">
      <c r="W5177" s="28"/>
    </row>
    <row r="5178" spans="23:23" x14ac:dyDescent="0.25">
      <c r="W5178" s="28"/>
    </row>
    <row r="5179" spans="23:23" x14ac:dyDescent="0.25">
      <c r="W5179" s="28"/>
    </row>
    <row r="5180" spans="23:23" x14ac:dyDescent="0.25">
      <c r="W5180" s="28"/>
    </row>
    <row r="5181" spans="23:23" x14ac:dyDescent="0.25">
      <c r="W5181" s="28"/>
    </row>
    <row r="5182" spans="23:23" x14ac:dyDescent="0.25">
      <c r="W5182" s="28"/>
    </row>
    <row r="5183" spans="23:23" x14ac:dyDescent="0.25">
      <c r="W5183" s="28"/>
    </row>
    <row r="5184" spans="23:23" x14ac:dyDescent="0.25">
      <c r="W5184" s="28"/>
    </row>
    <row r="5185" spans="23:23" x14ac:dyDescent="0.25">
      <c r="W5185" s="28"/>
    </row>
    <row r="5186" spans="23:23" x14ac:dyDescent="0.25">
      <c r="W5186" s="28"/>
    </row>
    <row r="5187" spans="23:23" x14ac:dyDescent="0.25">
      <c r="W5187" s="28"/>
    </row>
    <row r="5188" spans="23:23" x14ac:dyDescent="0.25">
      <c r="W5188" s="28"/>
    </row>
    <row r="5189" spans="23:23" x14ac:dyDescent="0.25">
      <c r="W5189" s="28"/>
    </row>
    <row r="5190" spans="23:23" x14ac:dyDescent="0.25">
      <c r="W5190" s="28"/>
    </row>
    <row r="5191" spans="23:23" x14ac:dyDescent="0.25">
      <c r="W5191" s="28"/>
    </row>
    <row r="5192" spans="23:23" x14ac:dyDescent="0.25">
      <c r="W5192" s="28"/>
    </row>
    <row r="5193" spans="23:23" x14ac:dyDescent="0.25">
      <c r="W5193" s="28"/>
    </row>
    <row r="5194" spans="23:23" x14ac:dyDescent="0.25">
      <c r="W5194" s="28"/>
    </row>
    <row r="5195" spans="23:23" x14ac:dyDescent="0.25">
      <c r="W5195" s="28"/>
    </row>
    <row r="5196" spans="23:23" x14ac:dyDescent="0.25">
      <c r="W5196" s="28"/>
    </row>
    <row r="5197" spans="23:23" x14ac:dyDescent="0.25">
      <c r="W5197" s="28"/>
    </row>
    <row r="5198" spans="23:23" x14ac:dyDescent="0.25">
      <c r="W5198" s="28"/>
    </row>
    <row r="5199" spans="23:23" x14ac:dyDescent="0.25">
      <c r="W5199" s="28"/>
    </row>
    <row r="5200" spans="23:23" x14ac:dyDescent="0.25">
      <c r="W5200" s="28"/>
    </row>
    <row r="5201" spans="23:23" x14ac:dyDescent="0.25">
      <c r="W5201" s="28"/>
    </row>
    <row r="5202" spans="23:23" x14ac:dyDescent="0.25">
      <c r="W5202" s="28"/>
    </row>
    <row r="5203" spans="23:23" x14ac:dyDescent="0.25">
      <c r="W5203" s="28"/>
    </row>
    <row r="5204" spans="23:23" x14ac:dyDescent="0.25">
      <c r="W5204" s="28"/>
    </row>
    <row r="5205" spans="23:23" x14ac:dyDescent="0.25">
      <c r="W5205" s="28"/>
    </row>
    <row r="5206" spans="23:23" x14ac:dyDescent="0.25">
      <c r="W5206" s="28"/>
    </row>
    <row r="5207" spans="23:23" x14ac:dyDescent="0.25">
      <c r="W5207" s="28"/>
    </row>
    <row r="5208" spans="23:23" x14ac:dyDescent="0.25">
      <c r="W5208" s="28"/>
    </row>
    <row r="5209" spans="23:23" x14ac:dyDescent="0.25">
      <c r="W5209" s="28"/>
    </row>
    <row r="5210" spans="23:23" x14ac:dyDescent="0.25">
      <c r="W5210" s="28"/>
    </row>
    <row r="5211" spans="23:23" x14ac:dyDescent="0.25">
      <c r="W5211" s="28"/>
    </row>
    <row r="5212" spans="23:23" x14ac:dyDescent="0.25">
      <c r="W5212" s="28"/>
    </row>
    <row r="5213" spans="23:23" x14ac:dyDescent="0.25">
      <c r="W5213" s="28"/>
    </row>
    <row r="5214" spans="23:23" x14ac:dyDescent="0.25">
      <c r="W5214" s="28"/>
    </row>
    <row r="5215" spans="23:23" x14ac:dyDescent="0.25">
      <c r="W5215" s="28"/>
    </row>
    <row r="5216" spans="23:23" x14ac:dyDescent="0.25">
      <c r="W5216" s="28"/>
    </row>
    <row r="5217" spans="23:23" x14ac:dyDescent="0.25">
      <c r="W5217" s="28"/>
    </row>
    <row r="5218" spans="23:23" x14ac:dyDescent="0.25">
      <c r="W5218" s="28"/>
    </row>
    <row r="5219" spans="23:23" x14ac:dyDescent="0.25">
      <c r="W5219" s="28"/>
    </row>
    <row r="5220" spans="23:23" x14ac:dyDescent="0.25">
      <c r="W5220" s="28"/>
    </row>
    <row r="5221" spans="23:23" x14ac:dyDescent="0.25">
      <c r="W5221" s="28"/>
    </row>
    <row r="5222" spans="23:23" x14ac:dyDescent="0.25">
      <c r="W5222" s="28"/>
    </row>
    <row r="5223" spans="23:23" x14ac:dyDescent="0.25">
      <c r="W5223" s="28"/>
    </row>
    <row r="5224" spans="23:23" x14ac:dyDescent="0.25">
      <c r="W5224" s="28"/>
    </row>
    <row r="5225" spans="23:23" x14ac:dyDescent="0.25">
      <c r="W5225" s="28"/>
    </row>
    <row r="5226" spans="23:23" x14ac:dyDescent="0.25">
      <c r="W5226" s="28"/>
    </row>
    <row r="5227" spans="23:23" x14ac:dyDescent="0.25">
      <c r="W5227" s="28"/>
    </row>
    <row r="5228" spans="23:23" x14ac:dyDescent="0.25">
      <c r="W5228" s="28"/>
    </row>
    <row r="5229" spans="23:23" x14ac:dyDescent="0.25">
      <c r="W5229" s="28"/>
    </row>
    <row r="5230" spans="23:23" x14ac:dyDescent="0.25">
      <c r="W5230" s="28"/>
    </row>
    <row r="5231" spans="23:23" x14ac:dyDescent="0.25">
      <c r="W5231" s="28"/>
    </row>
    <row r="5232" spans="23:23" x14ac:dyDescent="0.25">
      <c r="W5232" s="28"/>
    </row>
    <row r="5233" spans="23:23" x14ac:dyDescent="0.25">
      <c r="W5233" s="28"/>
    </row>
    <row r="5234" spans="23:23" x14ac:dyDescent="0.25">
      <c r="W5234" s="28"/>
    </row>
    <row r="5235" spans="23:23" x14ac:dyDescent="0.25">
      <c r="W5235" s="28"/>
    </row>
    <row r="5236" spans="23:23" x14ac:dyDescent="0.25">
      <c r="W5236" s="28"/>
    </row>
    <row r="5237" spans="23:23" x14ac:dyDescent="0.25">
      <c r="W5237" s="28"/>
    </row>
    <row r="5238" spans="23:23" x14ac:dyDescent="0.25">
      <c r="W5238" s="28"/>
    </row>
    <row r="5239" spans="23:23" x14ac:dyDescent="0.25">
      <c r="W5239" s="28"/>
    </row>
    <row r="5240" spans="23:23" x14ac:dyDescent="0.25">
      <c r="W5240" s="28"/>
    </row>
    <row r="5241" spans="23:23" x14ac:dyDescent="0.25">
      <c r="W5241" s="28"/>
    </row>
    <row r="5242" spans="23:23" x14ac:dyDescent="0.25">
      <c r="W5242" s="28"/>
    </row>
    <row r="5243" spans="23:23" x14ac:dyDescent="0.25">
      <c r="W5243" s="28"/>
    </row>
    <row r="5244" spans="23:23" x14ac:dyDescent="0.25">
      <c r="W5244" s="28"/>
    </row>
    <row r="5245" spans="23:23" x14ac:dyDescent="0.25">
      <c r="W5245" s="28"/>
    </row>
    <row r="5246" spans="23:23" x14ac:dyDescent="0.25">
      <c r="W5246" s="28"/>
    </row>
    <row r="5247" spans="23:23" x14ac:dyDescent="0.25">
      <c r="W5247" s="28"/>
    </row>
    <row r="5248" spans="23:23" x14ac:dyDescent="0.25">
      <c r="W5248" s="28"/>
    </row>
    <row r="5249" spans="23:23" x14ac:dyDescent="0.25">
      <c r="W5249" s="28"/>
    </row>
    <row r="5250" spans="23:23" x14ac:dyDescent="0.25">
      <c r="W5250" s="28"/>
    </row>
    <row r="5251" spans="23:23" x14ac:dyDescent="0.25">
      <c r="W5251" s="28"/>
    </row>
    <row r="5252" spans="23:23" x14ac:dyDescent="0.25">
      <c r="W5252" s="28"/>
    </row>
    <row r="5253" spans="23:23" x14ac:dyDescent="0.25">
      <c r="W5253" s="28"/>
    </row>
    <row r="5254" spans="23:23" x14ac:dyDescent="0.25">
      <c r="W5254" s="28"/>
    </row>
    <row r="5255" spans="23:23" x14ac:dyDescent="0.25">
      <c r="W5255" s="28"/>
    </row>
    <row r="5256" spans="23:23" x14ac:dyDescent="0.25">
      <c r="W5256" s="28"/>
    </row>
    <row r="5257" spans="23:23" x14ac:dyDescent="0.25">
      <c r="W5257" s="28"/>
    </row>
    <row r="5258" spans="23:23" x14ac:dyDescent="0.25">
      <c r="W5258" s="28"/>
    </row>
    <row r="5259" spans="23:23" x14ac:dyDescent="0.25">
      <c r="W5259" s="28"/>
    </row>
    <row r="5260" spans="23:23" x14ac:dyDescent="0.25">
      <c r="W5260" s="28"/>
    </row>
    <row r="5261" spans="23:23" x14ac:dyDescent="0.25">
      <c r="W5261" s="28"/>
    </row>
    <row r="5262" spans="23:23" x14ac:dyDescent="0.25">
      <c r="W5262" s="28"/>
    </row>
    <row r="5263" spans="23:23" x14ac:dyDescent="0.25">
      <c r="W5263" s="28"/>
    </row>
    <row r="5264" spans="23:23" x14ac:dyDescent="0.25">
      <c r="W5264" s="28"/>
    </row>
    <row r="5265" spans="23:23" x14ac:dyDescent="0.25">
      <c r="W5265" s="28"/>
    </row>
    <row r="5266" spans="23:23" x14ac:dyDescent="0.25">
      <c r="W5266" s="28"/>
    </row>
    <row r="5267" spans="23:23" x14ac:dyDescent="0.25">
      <c r="W5267" s="28"/>
    </row>
    <row r="5268" spans="23:23" x14ac:dyDescent="0.25">
      <c r="W5268" s="28"/>
    </row>
    <row r="5269" spans="23:23" x14ac:dyDescent="0.25">
      <c r="W5269" s="28"/>
    </row>
    <row r="5270" spans="23:23" x14ac:dyDescent="0.25">
      <c r="W5270" s="28"/>
    </row>
    <row r="5271" spans="23:23" x14ac:dyDescent="0.25">
      <c r="W5271" s="28"/>
    </row>
    <row r="5272" spans="23:23" x14ac:dyDescent="0.25">
      <c r="W5272" s="28"/>
    </row>
    <row r="5273" spans="23:23" x14ac:dyDescent="0.25">
      <c r="W5273" s="28"/>
    </row>
    <row r="5274" spans="23:23" x14ac:dyDescent="0.25">
      <c r="W5274" s="28"/>
    </row>
    <row r="5275" spans="23:23" x14ac:dyDescent="0.25">
      <c r="W5275" s="28"/>
    </row>
    <row r="5276" spans="23:23" x14ac:dyDescent="0.25">
      <c r="W5276" s="28"/>
    </row>
    <row r="5277" spans="23:23" x14ac:dyDescent="0.25">
      <c r="W5277" s="28"/>
    </row>
    <row r="5278" spans="23:23" x14ac:dyDescent="0.25">
      <c r="W5278" s="28"/>
    </row>
    <row r="5279" spans="23:23" x14ac:dyDescent="0.25">
      <c r="W5279" s="28"/>
    </row>
    <row r="5280" spans="23:23" x14ac:dyDescent="0.25">
      <c r="W5280" s="28"/>
    </row>
    <row r="5281" spans="23:23" x14ac:dyDescent="0.25">
      <c r="W5281" s="28"/>
    </row>
    <row r="5282" spans="23:23" x14ac:dyDescent="0.25">
      <c r="W5282" s="28"/>
    </row>
    <row r="5283" spans="23:23" x14ac:dyDescent="0.25">
      <c r="W5283" s="28"/>
    </row>
    <row r="5284" spans="23:23" x14ac:dyDescent="0.25">
      <c r="W5284" s="28"/>
    </row>
    <row r="5285" spans="23:23" x14ac:dyDescent="0.25">
      <c r="W5285" s="28"/>
    </row>
    <row r="5286" spans="23:23" x14ac:dyDescent="0.25">
      <c r="W5286" s="28"/>
    </row>
    <row r="5287" spans="23:23" x14ac:dyDescent="0.25">
      <c r="W5287" s="28"/>
    </row>
    <row r="5288" spans="23:23" x14ac:dyDescent="0.25">
      <c r="W5288" s="28"/>
    </row>
    <row r="5289" spans="23:23" x14ac:dyDescent="0.25">
      <c r="W5289" s="28"/>
    </row>
    <row r="5290" spans="23:23" x14ac:dyDescent="0.25">
      <c r="W5290" s="28"/>
    </row>
    <row r="5291" spans="23:23" x14ac:dyDescent="0.25">
      <c r="W5291" s="28"/>
    </row>
    <row r="5292" spans="23:23" x14ac:dyDescent="0.25">
      <c r="W5292" s="28"/>
    </row>
    <row r="5293" spans="23:23" x14ac:dyDescent="0.25">
      <c r="W5293" s="28"/>
    </row>
    <row r="5294" spans="23:23" x14ac:dyDescent="0.25">
      <c r="W5294" s="28"/>
    </row>
    <row r="5295" spans="23:23" x14ac:dyDescent="0.25">
      <c r="W5295" s="28"/>
    </row>
    <row r="5296" spans="23:23" x14ac:dyDescent="0.25">
      <c r="W5296" s="28"/>
    </row>
    <row r="5297" spans="23:23" x14ac:dyDescent="0.25">
      <c r="W5297" s="28"/>
    </row>
    <row r="5298" spans="23:23" x14ac:dyDescent="0.25">
      <c r="W5298" s="28"/>
    </row>
    <row r="5299" spans="23:23" x14ac:dyDescent="0.25">
      <c r="W5299" s="28"/>
    </row>
    <row r="5300" spans="23:23" x14ac:dyDescent="0.25">
      <c r="W5300" s="28"/>
    </row>
    <row r="5301" spans="23:23" x14ac:dyDescent="0.25">
      <c r="W5301" s="28"/>
    </row>
    <row r="5302" spans="23:23" x14ac:dyDescent="0.25">
      <c r="W5302" s="28"/>
    </row>
    <row r="5303" spans="23:23" x14ac:dyDescent="0.25">
      <c r="W5303" s="28"/>
    </row>
    <row r="5304" spans="23:23" x14ac:dyDescent="0.25">
      <c r="W5304" s="28"/>
    </row>
    <row r="5305" spans="23:23" x14ac:dyDescent="0.25">
      <c r="W5305" s="28"/>
    </row>
    <row r="5306" spans="23:23" x14ac:dyDescent="0.25">
      <c r="W5306" s="28"/>
    </row>
    <row r="5307" spans="23:23" x14ac:dyDescent="0.25">
      <c r="W5307" s="28"/>
    </row>
    <row r="5308" spans="23:23" x14ac:dyDescent="0.25">
      <c r="W5308" s="28"/>
    </row>
    <row r="5309" spans="23:23" x14ac:dyDescent="0.25">
      <c r="W5309" s="28"/>
    </row>
    <row r="5310" spans="23:23" x14ac:dyDescent="0.25">
      <c r="W5310" s="28"/>
    </row>
    <row r="5311" spans="23:23" x14ac:dyDescent="0.25">
      <c r="W5311" s="28"/>
    </row>
    <row r="5312" spans="23:23" x14ac:dyDescent="0.25">
      <c r="W5312" s="28"/>
    </row>
    <row r="5313" spans="23:23" x14ac:dyDescent="0.25">
      <c r="W5313" s="28"/>
    </row>
    <row r="5314" spans="23:23" x14ac:dyDescent="0.25">
      <c r="W5314" s="28"/>
    </row>
    <row r="5315" spans="23:23" x14ac:dyDescent="0.25">
      <c r="W5315" s="28"/>
    </row>
    <row r="5316" spans="23:23" x14ac:dyDescent="0.25">
      <c r="W5316" s="28"/>
    </row>
    <row r="5317" spans="23:23" x14ac:dyDescent="0.25">
      <c r="W5317" s="28"/>
    </row>
    <row r="5318" spans="23:23" x14ac:dyDescent="0.25">
      <c r="W5318" s="28"/>
    </row>
    <row r="5319" spans="23:23" x14ac:dyDescent="0.25">
      <c r="W5319" s="28"/>
    </row>
    <row r="5320" spans="23:23" x14ac:dyDescent="0.25">
      <c r="W5320" s="28"/>
    </row>
    <row r="5321" spans="23:23" x14ac:dyDescent="0.25">
      <c r="W5321" s="28"/>
    </row>
    <row r="5322" spans="23:23" x14ac:dyDescent="0.25">
      <c r="W5322" s="28"/>
    </row>
    <row r="5323" spans="23:23" x14ac:dyDescent="0.25">
      <c r="W5323" s="28"/>
    </row>
    <row r="5324" spans="23:23" x14ac:dyDescent="0.25">
      <c r="W5324" s="28"/>
    </row>
    <row r="5325" spans="23:23" x14ac:dyDescent="0.25">
      <c r="W5325" s="28"/>
    </row>
    <row r="5326" spans="23:23" x14ac:dyDescent="0.25">
      <c r="W5326" s="28"/>
    </row>
    <row r="5327" spans="23:23" x14ac:dyDescent="0.25">
      <c r="W5327" s="28"/>
    </row>
    <row r="5328" spans="23:23" x14ac:dyDescent="0.25">
      <c r="W5328" s="28"/>
    </row>
    <row r="5329" spans="23:23" x14ac:dyDescent="0.25">
      <c r="W5329" s="28"/>
    </row>
    <row r="5330" spans="23:23" x14ac:dyDescent="0.25">
      <c r="W5330" s="28"/>
    </row>
    <row r="5331" spans="23:23" x14ac:dyDescent="0.25">
      <c r="W5331" s="28"/>
    </row>
    <row r="5332" spans="23:23" x14ac:dyDescent="0.25">
      <c r="W5332" s="28"/>
    </row>
    <row r="5333" spans="23:23" x14ac:dyDescent="0.25">
      <c r="W5333" s="28"/>
    </row>
    <row r="5334" spans="23:23" x14ac:dyDescent="0.25">
      <c r="W5334" s="28"/>
    </row>
    <row r="5335" spans="23:23" x14ac:dyDescent="0.25">
      <c r="W5335" s="28"/>
    </row>
    <row r="5336" spans="23:23" x14ac:dyDescent="0.25">
      <c r="W5336" s="28"/>
    </row>
    <row r="5337" spans="23:23" x14ac:dyDescent="0.25">
      <c r="W5337" s="28"/>
    </row>
    <row r="5338" spans="23:23" x14ac:dyDescent="0.25">
      <c r="W5338" s="28"/>
    </row>
    <row r="5339" spans="23:23" x14ac:dyDescent="0.25">
      <c r="W5339" s="28"/>
    </row>
    <row r="5340" spans="23:23" x14ac:dyDescent="0.25">
      <c r="W5340" s="28"/>
    </row>
    <row r="5341" spans="23:23" x14ac:dyDescent="0.25">
      <c r="W5341" s="28"/>
    </row>
    <row r="5342" spans="23:23" x14ac:dyDescent="0.25">
      <c r="W5342" s="28"/>
    </row>
    <row r="5343" spans="23:23" x14ac:dyDescent="0.25">
      <c r="W5343" s="28"/>
    </row>
    <row r="5344" spans="23:23" x14ac:dyDescent="0.25">
      <c r="W5344" s="28"/>
    </row>
    <row r="5345" spans="23:23" x14ac:dyDescent="0.25">
      <c r="W5345" s="28"/>
    </row>
    <row r="5346" spans="23:23" x14ac:dyDescent="0.25">
      <c r="W5346" s="28"/>
    </row>
    <row r="5347" spans="23:23" x14ac:dyDescent="0.25">
      <c r="W5347" s="28"/>
    </row>
    <row r="5348" spans="23:23" x14ac:dyDescent="0.25">
      <c r="W5348" s="28"/>
    </row>
    <row r="5349" spans="23:23" x14ac:dyDescent="0.25">
      <c r="W5349" s="28"/>
    </row>
    <row r="5350" spans="23:23" x14ac:dyDescent="0.25">
      <c r="W5350" s="28"/>
    </row>
    <row r="5351" spans="23:23" x14ac:dyDescent="0.25">
      <c r="W5351" s="28"/>
    </row>
    <row r="5352" spans="23:23" x14ac:dyDescent="0.25">
      <c r="W5352" s="28"/>
    </row>
    <row r="5353" spans="23:23" x14ac:dyDescent="0.25">
      <c r="W5353" s="28"/>
    </row>
    <row r="5354" spans="23:23" x14ac:dyDescent="0.25">
      <c r="W5354" s="28"/>
    </row>
    <row r="5355" spans="23:23" x14ac:dyDescent="0.25">
      <c r="W5355" s="28"/>
    </row>
    <row r="5356" spans="23:23" x14ac:dyDescent="0.25">
      <c r="W5356" s="28"/>
    </row>
    <row r="5357" spans="23:23" x14ac:dyDescent="0.25">
      <c r="W5357" s="28"/>
    </row>
    <row r="5358" spans="23:23" x14ac:dyDescent="0.25">
      <c r="W5358" s="28"/>
    </row>
    <row r="5359" spans="23:23" x14ac:dyDescent="0.25">
      <c r="W5359" s="28"/>
    </row>
    <row r="5360" spans="23:23" x14ac:dyDescent="0.25">
      <c r="W5360" s="28"/>
    </row>
    <row r="5361" spans="23:23" x14ac:dyDescent="0.25">
      <c r="W5361" s="28"/>
    </row>
    <row r="5362" spans="23:23" x14ac:dyDescent="0.25">
      <c r="W5362" s="28"/>
    </row>
    <row r="5363" spans="23:23" x14ac:dyDescent="0.25">
      <c r="W5363" s="28"/>
    </row>
    <row r="5364" spans="23:23" x14ac:dyDescent="0.25">
      <c r="W5364" s="28"/>
    </row>
    <row r="5365" spans="23:23" x14ac:dyDescent="0.25">
      <c r="W5365" s="28"/>
    </row>
    <row r="5366" spans="23:23" x14ac:dyDescent="0.25">
      <c r="W5366" s="28"/>
    </row>
    <row r="5367" spans="23:23" x14ac:dyDescent="0.25">
      <c r="W5367" s="28"/>
    </row>
    <row r="5368" spans="23:23" x14ac:dyDescent="0.25">
      <c r="W5368" s="28"/>
    </row>
    <row r="5369" spans="23:23" x14ac:dyDescent="0.25">
      <c r="W5369" s="28"/>
    </row>
    <row r="5370" spans="23:23" x14ac:dyDescent="0.25">
      <c r="W5370" s="28"/>
    </row>
    <row r="5371" spans="23:23" x14ac:dyDescent="0.25">
      <c r="W5371" s="28"/>
    </row>
    <row r="5372" spans="23:23" x14ac:dyDescent="0.25">
      <c r="W5372" s="28"/>
    </row>
    <row r="5373" spans="23:23" x14ac:dyDescent="0.25">
      <c r="W5373" s="28"/>
    </row>
    <row r="5374" spans="23:23" x14ac:dyDescent="0.25">
      <c r="W5374" s="28"/>
    </row>
    <row r="5375" spans="23:23" x14ac:dyDescent="0.25">
      <c r="W5375" s="28"/>
    </row>
    <row r="5376" spans="23:23" x14ac:dyDescent="0.25">
      <c r="W5376" s="28"/>
    </row>
    <row r="5377" spans="23:23" x14ac:dyDescent="0.25">
      <c r="W5377" s="28"/>
    </row>
    <row r="5378" spans="23:23" x14ac:dyDescent="0.25">
      <c r="W5378" s="28"/>
    </row>
    <row r="5379" spans="23:23" x14ac:dyDescent="0.25">
      <c r="W5379" s="28"/>
    </row>
    <row r="5380" spans="23:23" x14ac:dyDescent="0.25">
      <c r="W5380" s="28"/>
    </row>
    <row r="5381" spans="23:23" x14ac:dyDescent="0.25">
      <c r="W5381" s="28"/>
    </row>
    <row r="5382" spans="23:23" x14ac:dyDescent="0.25">
      <c r="W5382" s="28"/>
    </row>
    <row r="5383" spans="23:23" x14ac:dyDescent="0.25">
      <c r="W5383" s="28"/>
    </row>
    <row r="5384" spans="23:23" x14ac:dyDescent="0.25">
      <c r="W5384" s="28"/>
    </row>
    <row r="5385" spans="23:23" x14ac:dyDescent="0.25">
      <c r="W5385" s="28"/>
    </row>
    <row r="5386" spans="23:23" x14ac:dyDescent="0.25">
      <c r="W5386" s="28"/>
    </row>
    <row r="5387" spans="23:23" x14ac:dyDescent="0.25">
      <c r="W5387" s="28"/>
    </row>
    <row r="5388" spans="23:23" x14ac:dyDescent="0.25">
      <c r="W5388" s="28"/>
    </row>
    <row r="5389" spans="23:23" x14ac:dyDescent="0.25">
      <c r="W5389" s="28"/>
    </row>
    <row r="5390" spans="23:23" x14ac:dyDescent="0.25">
      <c r="W5390" s="28"/>
    </row>
    <row r="5391" spans="23:23" x14ac:dyDescent="0.25">
      <c r="W5391" s="28"/>
    </row>
    <row r="5392" spans="23:23" x14ac:dyDescent="0.25">
      <c r="W5392" s="28"/>
    </row>
    <row r="5393" spans="23:23" x14ac:dyDescent="0.25">
      <c r="W5393" s="28"/>
    </row>
    <row r="5394" spans="23:23" x14ac:dyDescent="0.25">
      <c r="W5394" s="28"/>
    </row>
    <row r="5395" spans="23:23" x14ac:dyDescent="0.25">
      <c r="W5395" s="28"/>
    </row>
    <row r="5396" spans="23:23" x14ac:dyDescent="0.25">
      <c r="W5396" s="28"/>
    </row>
    <row r="5397" spans="23:23" x14ac:dyDescent="0.25">
      <c r="W5397" s="28"/>
    </row>
    <row r="5398" spans="23:23" x14ac:dyDescent="0.25">
      <c r="W5398" s="28"/>
    </row>
    <row r="5399" spans="23:23" x14ac:dyDescent="0.25">
      <c r="W5399" s="28"/>
    </row>
    <row r="5400" spans="23:23" x14ac:dyDescent="0.25">
      <c r="W5400" s="28"/>
    </row>
    <row r="5401" spans="23:23" x14ac:dyDescent="0.25">
      <c r="W5401" s="28"/>
    </row>
    <row r="5402" spans="23:23" x14ac:dyDescent="0.25">
      <c r="W5402" s="28"/>
    </row>
    <row r="5403" spans="23:23" x14ac:dyDescent="0.25">
      <c r="W5403" s="28"/>
    </row>
    <row r="5404" spans="23:23" x14ac:dyDescent="0.25">
      <c r="W5404" s="28"/>
    </row>
    <row r="5405" spans="23:23" x14ac:dyDescent="0.25">
      <c r="W5405" s="28"/>
    </row>
    <row r="5406" spans="23:23" x14ac:dyDescent="0.25">
      <c r="W5406" s="28"/>
    </row>
    <row r="5407" spans="23:23" x14ac:dyDescent="0.25">
      <c r="W5407" s="28"/>
    </row>
    <row r="5408" spans="23:23" x14ac:dyDescent="0.25">
      <c r="W5408" s="28"/>
    </row>
    <row r="5409" spans="23:23" x14ac:dyDescent="0.25">
      <c r="W5409" s="28"/>
    </row>
    <row r="5410" spans="23:23" x14ac:dyDescent="0.25">
      <c r="W5410" s="28"/>
    </row>
    <row r="5411" spans="23:23" x14ac:dyDescent="0.25">
      <c r="W5411" s="28"/>
    </row>
    <row r="5412" spans="23:23" x14ac:dyDescent="0.25">
      <c r="W5412" s="28"/>
    </row>
    <row r="5413" spans="23:23" x14ac:dyDescent="0.25">
      <c r="W5413" s="28"/>
    </row>
    <row r="5414" spans="23:23" x14ac:dyDescent="0.25">
      <c r="W5414" s="28"/>
    </row>
    <row r="5415" spans="23:23" x14ac:dyDescent="0.25">
      <c r="W5415" s="28"/>
    </row>
    <row r="5416" spans="23:23" x14ac:dyDescent="0.25">
      <c r="W5416" s="28"/>
    </row>
    <row r="5417" spans="23:23" x14ac:dyDescent="0.25">
      <c r="W5417" s="28"/>
    </row>
    <row r="5418" spans="23:23" x14ac:dyDescent="0.25">
      <c r="W5418" s="28"/>
    </row>
    <row r="5419" spans="23:23" x14ac:dyDescent="0.25">
      <c r="W5419" s="28"/>
    </row>
    <row r="5420" spans="23:23" x14ac:dyDescent="0.25">
      <c r="W5420" s="28"/>
    </row>
    <row r="5421" spans="23:23" x14ac:dyDescent="0.25">
      <c r="W5421" s="28"/>
    </row>
    <row r="5422" spans="23:23" x14ac:dyDescent="0.25">
      <c r="W5422" s="28"/>
    </row>
    <row r="5423" spans="23:23" x14ac:dyDescent="0.25">
      <c r="W5423" s="28"/>
    </row>
    <row r="5424" spans="23:23" x14ac:dyDescent="0.25">
      <c r="W5424" s="28"/>
    </row>
    <row r="5425" spans="23:23" x14ac:dyDescent="0.25">
      <c r="W5425" s="28"/>
    </row>
    <row r="5426" spans="23:23" x14ac:dyDescent="0.25">
      <c r="W5426" s="28"/>
    </row>
    <row r="5427" spans="23:23" x14ac:dyDescent="0.25">
      <c r="W5427" s="28"/>
    </row>
    <row r="5428" spans="23:23" x14ac:dyDescent="0.25">
      <c r="W5428" s="28"/>
    </row>
    <row r="5429" spans="23:23" x14ac:dyDescent="0.25">
      <c r="W5429" s="28"/>
    </row>
    <row r="5430" spans="23:23" x14ac:dyDescent="0.25">
      <c r="W5430" s="28"/>
    </row>
    <row r="5431" spans="23:23" x14ac:dyDescent="0.25">
      <c r="W5431" s="28"/>
    </row>
    <row r="5432" spans="23:23" x14ac:dyDescent="0.25">
      <c r="W5432" s="28"/>
    </row>
    <row r="5433" spans="23:23" x14ac:dyDescent="0.25">
      <c r="W5433" s="28"/>
    </row>
    <row r="5434" spans="23:23" x14ac:dyDescent="0.25">
      <c r="W5434" s="28"/>
    </row>
    <row r="5435" spans="23:23" x14ac:dyDescent="0.25">
      <c r="W5435" s="28"/>
    </row>
    <row r="5436" spans="23:23" x14ac:dyDescent="0.25">
      <c r="W5436" s="28"/>
    </row>
    <row r="5437" spans="23:23" x14ac:dyDescent="0.25">
      <c r="W5437" s="28"/>
    </row>
    <row r="5438" spans="23:23" x14ac:dyDescent="0.25">
      <c r="W5438" s="28"/>
    </row>
    <row r="5439" spans="23:23" x14ac:dyDescent="0.25">
      <c r="W5439" s="28"/>
    </row>
    <row r="5440" spans="23:23" x14ac:dyDescent="0.25">
      <c r="W5440" s="28"/>
    </row>
    <row r="5441" spans="23:23" x14ac:dyDescent="0.25">
      <c r="W5441" s="28"/>
    </row>
    <row r="5442" spans="23:23" x14ac:dyDescent="0.25">
      <c r="W5442" s="28"/>
    </row>
    <row r="5443" spans="23:23" x14ac:dyDescent="0.25">
      <c r="W5443" s="28"/>
    </row>
    <row r="5444" spans="23:23" x14ac:dyDescent="0.25">
      <c r="W5444" s="28"/>
    </row>
    <row r="5445" spans="23:23" x14ac:dyDescent="0.25">
      <c r="W5445" s="28"/>
    </row>
    <row r="5446" spans="23:23" x14ac:dyDescent="0.25">
      <c r="W5446" s="28"/>
    </row>
    <row r="5447" spans="23:23" x14ac:dyDescent="0.25">
      <c r="W5447" s="28"/>
    </row>
    <row r="5448" spans="23:23" x14ac:dyDescent="0.25">
      <c r="W5448" s="28"/>
    </row>
    <row r="5449" spans="23:23" x14ac:dyDescent="0.25">
      <c r="W5449" s="28"/>
    </row>
    <row r="5450" spans="23:23" x14ac:dyDescent="0.25">
      <c r="W5450" s="28"/>
    </row>
    <row r="5451" spans="23:23" x14ac:dyDescent="0.25">
      <c r="W5451" s="28"/>
    </row>
    <row r="5452" spans="23:23" x14ac:dyDescent="0.25">
      <c r="W5452" s="28"/>
    </row>
    <row r="5453" spans="23:23" x14ac:dyDescent="0.25">
      <c r="W5453" s="28"/>
    </row>
    <row r="5454" spans="23:23" x14ac:dyDescent="0.25">
      <c r="W5454" s="28"/>
    </row>
    <row r="5455" spans="23:23" x14ac:dyDescent="0.25">
      <c r="W5455" s="28"/>
    </row>
    <row r="5456" spans="23:23" x14ac:dyDescent="0.25">
      <c r="W5456" s="28"/>
    </row>
    <row r="5457" spans="23:23" x14ac:dyDescent="0.25">
      <c r="W5457" s="28"/>
    </row>
    <row r="5458" spans="23:23" x14ac:dyDescent="0.25">
      <c r="W5458" s="28"/>
    </row>
    <row r="5459" spans="23:23" x14ac:dyDescent="0.25">
      <c r="W5459" s="28"/>
    </row>
    <row r="5460" spans="23:23" x14ac:dyDescent="0.25">
      <c r="W5460" s="28"/>
    </row>
    <row r="5461" spans="23:23" x14ac:dyDescent="0.25">
      <c r="W5461" s="28"/>
    </row>
    <row r="5462" spans="23:23" x14ac:dyDescent="0.25">
      <c r="W5462" s="28"/>
    </row>
    <row r="5463" spans="23:23" x14ac:dyDescent="0.25">
      <c r="W5463" s="28"/>
    </row>
    <row r="5464" spans="23:23" x14ac:dyDescent="0.25">
      <c r="W5464" s="28"/>
    </row>
    <row r="5465" spans="23:23" x14ac:dyDescent="0.25">
      <c r="W5465" s="28"/>
    </row>
    <row r="5466" spans="23:23" x14ac:dyDescent="0.25">
      <c r="W5466" s="28"/>
    </row>
    <row r="5467" spans="23:23" x14ac:dyDescent="0.25">
      <c r="W5467" s="28"/>
    </row>
    <row r="5468" spans="23:23" x14ac:dyDescent="0.25">
      <c r="W5468" s="28"/>
    </row>
    <row r="5469" spans="23:23" x14ac:dyDescent="0.25">
      <c r="W5469" s="28"/>
    </row>
    <row r="5470" spans="23:23" x14ac:dyDescent="0.25">
      <c r="W5470" s="28"/>
    </row>
    <row r="5471" spans="23:23" x14ac:dyDescent="0.25">
      <c r="W5471" s="28"/>
    </row>
    <row r="5472" spans="23:23" x14ac:dyDescent="0.25">
      <c r="W5472" s="28"/>
    </row>
    <row r="5473" spans="23:23" x14ac:dyDescent="0.25">
      <c r="W5473" s="28"/>
    </row>
    <row r="5474" spans="23:23" x14ac:dyDescent="0.25">
      <c r="W5474" s="28"/>
    </row>
    <row r="5475" spans="23:23" x14ac:dyDescent="0.25">
      <c r="W5475" s="28"/>
    </row>
    <row r="5476" spans="23:23" x14ac:dyDescent="0.25">
      <c r="W5476" s="28"/>
    </row>
    <row r="5477" spans="23:23" x14ac:dyDescent="0.25">
      <c r="W5477" s="28"/>
    </row>
    <row r="5478" spans="23:23" x14ac:dyDescent="0.25">
      <c r="W5478" s="28"/>
    </row>
    <row r="5479" spans="23:23" x14ac:dyDescent="0.25">
      <c r="W5479" s="28"/>
    </row>
    <row r="5480" spans="23:23" x14ac:dyDescent="0.25">
      <c r="W5480" s="28"/>
    </row>
    <row r="5481" spans="23:23" x14ac:dyDescent="0.25">
      <c r="W5481" s="28"/>
    </row>
    <row r="5482" spans="23:23" x14ac:dyDescent="0.25">
      <c r="W5482" s="28"/>
    </row>
    <row r="5483" spans="23:23" x14ac:dyDescent="0.25">
      <c r="W5483" s="28"/>
    </row>
    <row r="5484" spans="23:23" x14ac:dyDescent="0.25">
      <c r="W5484" s="28"/>
    </row>
    <row r="5485" spans="23:23" x14ac:dyDescent="0.25">
      <c r="W5485" s="28"/>
    </row>
    <row r="5486" spans="23:23" x14ac:dyDescent="0.25">
      <c r="W5486" s="28"/>
    </row>
    <row r="5487" spans="23:23" x14ac:dyDescent="0.25">
      <c r="W5487" s="28"/>
    </row>
    <row r="5488" spans="23:23" x14ac:dyDescent="0.25">
      <c r="W5488" s="28"/>
    </row>
    <row r="5489" spans="23:23" x14ac:dyDescent="0.25">
      <c r="W5489" s="28"/>
    </row>
    <row r="5490" spans="23:23" x14ac:dyDescent="0.25">
      <c r="W5490" s="28"/>
    </row>
    <row r="5491" spans="23:23" x14ac:dyDescent="0.25">
      <c r="W5491" s="28"/>
    </row>
    <row r="5492" spans="23:23" x14ac:dyDescent="0.25">
      <c r="W5492" s="28"/>
    </row>
    <row r="5493" spans="23:23" x14ac:dyDescent="0.25">
      <c r="W5493" s="28"/>
    </row>
    <row r="5494" spans="23:23" x14ac:dyDescent="0.25">
      <c r="W5494" s="28"/>
    </row>
    <row r="5495" spans="23:23" x14ac:dyDescent="0.25">
      <c r="W5495" s="28"/>
    </row>
    <row r="5496" spans="23:23" x14ac:dyDescent="0.25">
      <c r="W5496" s="28"/>
    </row>
    <row r="5497" spans="23:23" x14ac:dyDescent="0.25">
      <c r="W5497" s="28"/>
    </row>
    <row r="5498" spans="23:23" x14ac:dyDescent="0.25">
      <c r="W5498" s="28"/>
    </row>
    <row r="5499" spans="23:23" x14ac:dyDescent="0.25">
      <c r="W5499" s="28"/>
    </row>
    <row r="5500" spans="23:23" x14ac:dyDescent="0.25">
      <c r="W5500" s="28"/>
    </row>
    <row r="5501" spans="23:23" x14ac:dyDescent="0.25">
      <c r="W5501" s="28"/>
    </row>
    <row r="5502" spans="23:23" x14ac:dyDescent="0.25">
      <c r="W5502" s="28"/>
    </row>
    <row r="5503" spans="23:23" x14ac:dyDescent="0.25">
      <c r="W5503" s="28"/>
    </row>
    <row r="5504" spans="23:23" x14ac:dyDescent="0.25">
      <c r="W5504" s="28"/>
    </row>
    <row r="5505" spans="23:23" x14ac:dyDescent="0.25">
      <c r="W5505" s="28"/>
    </row>
    <row r="5506" spans="23:23" x14ac:dyDescent="0.25">
      <c r="W5506" s="28"/>
    </row>
    <row r="5507" spans="23:23" x14ac:dyDescent="0.25">
      <c r="W5507" s="28"/>
    </row>
    <row r="5508" spans="23:23" x14ac:dyDescent="0.25">
      <c r="W5508" s="28"/>
    </row>
    <row r="5509" spans="23:23" x14ac:dyDescent="0.25">
      <c r="W5509" s="28"/>
    </row>
    <row r="5510" spans="23:23" x14ac:dyDescent="0.25">
      <c r="W5510" s="28"/>
    </row>
    <row r="5511" spans="23:23" x14ac:dyDescent="0.25">
      <c r="W5511" s="28"/>
    </row>
    <row r="5512" spans="23:23" x14ac:dyDescent="0.25">
      <c r="W5512" s="28"/>
    </row>
    <row r="5513" spans="23:23" x14ac:dyDescent="0.25">
      <c r="W5513" s="28"/>
    </row>
    <row r="5514" spans="23:23" x14ac:dyDescent="0.25">
      <c r="W5514" s="28"/>
    </row>
    <row r="5515" spans="23:23" x14ac:dyDescent="0.25">
      <c r="W5515" s="28"/>
    </row>
    <row r="5516" spans="23:23" x14ac:dyDescent="0.25">
      <c r="W5516" s="28"/>
    </row>
    <row r="5517" spans="23:23" x14ac:dyDescent="0.25">
      <c r="W5517" s="28"/>
    </row>
    <row r="5518" spans="23:23" x14ac:dyDescent="0.25">
      <c r="W5518" s="28"/>
    </row>
    <row r="5519" spans="23:23" x14ac:dyDescent="0.25">
      <c r="W5519" s="28"/>
    </row>
    <row r="5520" spans="23:23" x14ac:dyDescent="0.25">
      <c r="W5520" s="28"/>
    </row>
    <row r="5521" spans="23:23" x14ac:dyDescent="0.25">
      <c r="W5521" s="28"/>
    </row>
    <row r="5522" spans="23:23" x14ac:dyDescent="0.25">
      <c r="W5522" s="28"/>
    </row>
    <row r="5523" spans="23:23" x14ac:dyDescent="0.25">
      <c r="W5523" s="28"/>
    </row>
    <row r="5524" spans="23:23" x14ac:dyDescent="0.25">
      <c r="W5524" s="28"/>
    </row>
    <row r="5525" spans="23:23" x14ac:dyDescent="0.25">
      <c r="W5525" s="28"/>
    </row>
    <row r="5526" spans="23:23" x14ac:dyDescent="0.25">
      <c r="W5526" s="28"/>
    </row>
    <row r="5527" spans="23:23" x14ac:dyDescent="0.25">
      <c r="W5527" s="28"/>
    </row>
    <row r="5528" spans="23:23" x14ac:dyDescent="0.25">
      <c r="W5528" s="28"/>
    </row>
    <row r="5529" spans="23:23" x14ac:dyDescent="0.25">
      <c r="W5529" s="28"/>
    </row>
    <row r="5530" spans="23:23" x14ac:dyDescent="0.25">
      <c r="W5530" s="28"/>
    </row>
    <row r="5531" spans="23:23" x14ac:dyDescent="0.25">
      <c r="W5531" s="28"/>
    </row>
    <row r="5532" spans="23:23" x14ac:dyDescent="0.25">
      <c r="W5532" s="28"/>
    </row>
    <row r="5533" spans="23:23" x14ac:dyDescent="0.25">
      <c r="W5533" s="28"/>
    </row>
    <row r="5534" spans="23:23" x14ac:dyDescent="0.25">
      <c r="W5534" s="28"/>
    </row>
    <row r="5535" spans="23:23" x14ac:dyDescent="0.25">
      <c r="W5535" s="28"/>
    </row>
    <row r="5536" spans="23:23" x14ac:dyDescent="0.25">
      <c r="W5536" s="28"/>
    </row>
    <row r="5537" spans="23:23" x14ac:dyDescent="0.25">
      <c r="W5537" s="28"/>
    </row>
    <row r="5538" spans="23:23" x14ac:dyDescent="0.25">
      <c r="W5538" s="28"/>
    </row>
    <row r="5539" spans="23:23" x14ac:dyDescent="0.25">
      <c r="W5539" s="28"/>
    </row>
    <row r="5540" spans="23:23" x14ac:dyDescent="0.25">
      <c r="W5540" s="28"/>
    </row>
    <row r="5541" spans="23:23" x14ac:dyDescent="0.25">
      <c r="W5541" s="28"/>
    </row>
    <row r="5542" spans="23:23" x14ac:dyDescent="0.25">
      <c r="W5542" s="28"/>
    </row>
    <row r="5543" spans="23:23" x14ac:dyDescent="0.25">
      <c r="W5543" s="28"/>
    </row>
    <row r="5544" spans="23:23" x14ac:dyDescent="0.25">
      <c r="W5544" s="28"/>
    </row>
    <row r="5545" spans="23:23" x14ac:dyDescent="0.25">
      <c r="W5545" s="28"/>
    </row>
    <row r="5546" spans="23:23" x14ac:dyDescent="0.25">
      <c r="W5546" s="28"/>
    </row>
    <row r="5547" spans="23:23" x14ac:dyDescent="0.25">
      <c r="W5547" s="28"/>
    </row>
    <row r="5548" spans="23:23" x14ac:dyDescent="0.25">
      <c r="W5548" s="28"/>
    </row>
    <row r="5549" spans="23:23" x14ac:dyDescent="0.25">
      <c r="W5549" s="28"/>
    </row>
    <row r="5550" spans="23:23" x14ac:dyDescent="0.25">
      <c r="W5550" s="28"/>
    </row>
    <row r="5551" spans="23:23" x14ac:dyDescent="0.25">
      <c r="W5551" s="28"/>
    </row>
    <row r="5552" spans="23:23" x14ac:dyDescent="0.25">
      <c r="W5552" s="28"/>
    </row>
    <row r="5553" spans="23:23" x14ac:dyDescent="0.25">
      <c r="W5553" s="28"/>
    </row>
    <row r="5554" spans="23:23" x14ac:dyDescent="0.25">
      <c r="W5554" s="28"/>
    </row>
    <row r="5555" spans="23:23" x14ac:dyDescent="0.25">
      <c r="W5555" s="28"/>
    </row>
    <row r="5556" spans="23:23" x14ac:dyDescent="0.25">
      <c r="W5556" s="28"/>
    </row>
    <row r="5557" spans="23:23" x14ac:dyDescent="0.25">
      <c r="W5557" s="28"/>
    </row>
    <row r="5558" spans="23:23" x14ac:dyDescent="0.25">
      <c r="W5558" s="28"/>
    </row>
    <row r="5559" spans="23:23" x14ac:dyDescent="0.25">
      <c r="W5559" s="28"/>
    </row>
    <row r="5560" spans="23:23" x14ac:dyDescent="0.25">
      <c r="W5560" s="28"/>
    </row>
    <row r="5561" spans="23:23" x14ac:dyDescent="0.25">
      <c r="W5561" s="28"/>
    </row>
    <row r="5562" spans="23:23" x14ac:dyDescent="0.25">
      <c r="W5562" s="28"/>
    </row>
    <row r="5563" spans="23:23" x14ac:dyDescent="0.25">
      <c r="W5563" s="28"/>
    </row>
    <row r="5564" spans="23:23" x14ac:dyDescent="0.25">
      <c r="W5564" s="28"/>
    </row>
    <row r="5565" spans="23:23" x14ac:dyDescent="0.25">
      <c r="W5565" s="28"/>
    </row>
    <row r="5566" spans="23:23" x14ac:dyDescent="0.25">
      <c r="W5566" s="28"/>
    </row>
    <row r="5567" spans="23:23" x14ac:dyDescent="0.25">
      <c r="W5567" s="28"/>
    </row>
    <row r="5568" spans="23:23" x14ac:dyDescent="0.25">
      <c r="W5568" s="28"/>
    </row>
    <row r="5569" spans="23:23" x14ac:dyDescent="0.25">
      <c r="W5569" s="28"/>
    </row>
    <row r="5570" spans="23:23" x14ac:dyDescent="0.25">
      <c r="W5570" s="28"/>
    </row>
    <row r="5571" spans="23:23" x14ac:dyDescent="0.25">
      <c r="W5571" s="28"/>
    </row>
    <row r="5572" spans="23:23" x14ac:dyDescent="0.25">
      <c r="W5572" s="28"/>
    </row>
    <row r="5573" spans="23:23" x14ac:dyDescent="0.25">
      <c r="W5573" s="28"/>
    </row>
    <row r="5574" spans="23:23" x14ac:dyDescent="0.25">
      <c r="W5574" s="28"/>
    </row>
    <row r="5575" spans="23:23" x14ac:dyDescent="0.25">
      <c r="W5575" s="28"/>
    </row>
    <row r="5576" spans="23:23" x14ac:dyDescent="0.25">
      <c r="W5576" s="28"/>
    </row>
    <row r="5577" spans="23:23" x14ac:dyDescent="0.25">
      <c r="W5577" s="28"/>
    </row>
    <row r="5578" spans="23:23" x14ac:dyDescent="0.25">
      <c r="W5578" s="28"/>
    </row>
    <row r="5579" spans="23:23" x14ac:dyDescent="0.25">
      <c r="W5579" s="28"/>
    </row>
    <row r="5580" spans="23:23" x14ac:dyDescent="0.25">
      <c r="W5580" s="28"/>
    </row>
    <row r="5581" spans="23:23" x14ac:dyDescent="0.25">
      <c r="W5581" s="28"/>
    </row>
    <row r="5582" spans="23:23" x14ac:dyDescent="0.25">
      <c r="W5582" s="28"/>
    </row>
    <row r="5583" spans="23:23" x14ac:dyDescent="0.25">
      <c r="W5583" s="28"/>
    </row>
    <row r="5584" spans="23:23" x14ac:dyDescent="0.25">
      <c r="W5584" s="28"/>
    </row>
    <row r="5585" spans="23:23" x14ac:dyDescent="0.25">
      <c r="W5585" s="28"/>
    </row>
    <row r="5586" spans="23:23" x14ac:dyDescent="0.25">
      <c r="W5586" s="28"/>
    </row>
    <row r="5587" spans="23:23" x14ac:dyDescent="0.25">
      <c r="W5587" s="28"/>
    </row>
    <row r="5588" spans="23:23" x14ac:dyDescent="0.25">
      <c r="W5588" s="28"/>
    </row>
    <row r="5589" spans="23:23" x14ac:dyDescent="0.25">
      <c r="W5589" s="28"/>
    </row>
    <row r="5590" spans="23:23" x14ac:dyDescent="0.25">
      <c r="W5590" s="28"/>
    </row>
    <row r="5591" spans="23:23" x14ac:dyDescent="0.25">
      <c r="W5591" s="28"/>
    </row>
    <row r="5592" spans="23:23" x14ac:dyDescent="0.25">
      <c r="W5592" s="28"/>
    </row>
    <row r="5593" spans="23:23" x14ac:dyDescent="0.25">
      <c r="W5593" s="28"/>
    </row>
    <row r="5594" spans="23:23" x14ac:dyDescent="0.25">
      <c r="W5594" s="28"/>
    </row>
    <row r="5595" spans="23:23" x14ac:dyDescent="0.25">
      <c r="W5595" s="28"/>
    </row>
    <row r="5596" spans="23:23" x14ac:dyDescent="0.25">
      <c r="W5596" s="28"/>
    </row>
    <row r="5597" spans="23:23" x14ac:dyDescent="0.25">
      <c r="W5597" s="28"/>
    </row>
    <row r="5598" spans="23:23" x14ac:dyDescent="0.25">
      <c r="W5598" s="28"/>
    </row>
    <row r="5599" spans="23:23" x14ac:dyDescent="0.25">
      <c r="W5599" s="28"/>
    </row>
    <row r="5600" spans="23:23" x14ac:dyDescent="0.25">
      <c r="W5600" s="28"/>
    </row>
    <row r="5601" spans="23:23" x14ac:dyDescent="0.25">
      <c r="W5601" s="28"/>
    </row>
    <row r="5602" spans="23:23" x14ac:dyDescent="0.25">
      <c r="W5602" s="28"/>
    </row>
    <row r="5603" spans="23:23" x14ac:dyDescent="0.25">
      <c r="W5603" s="28"/>
    </row>
    <row r="5604" spans="23:23" x14ac:dyDescent="0.25">
      <c r="W5604" s="28"/>
    </row>
    <row r="5605" spans="23:23" x14ac:dyDescent="0.25">
      <c r="W5605" s="28"/>
    </row>
    <row r="5606" spans="23:23" x14ac:dyDescent="0.25">
      <c r="W5606" s="28"/>
    </row>
    <row r="5607" spans="23:23" x14ac:dyDescent="0.25">
      <c r="W5607" s="28"/>
    </row>
    <row r="5608" spans="23:23" x14ac:dyDescent="0.25">
      <c r="W5608" s="28"/>
    </row>
    <row r="5609" spans="23:23" x14ac:dyDescent="0.25">
      <c r="W5609" s="28"/>
    </row>
    <row r="5610" spans="23:23" x14ac:dyDescent="0.25">
      <c r="W5610" s="28"/>
    </row>
    <row r="5611" spans="23:23" x14ac:dyDescent="0.25">
      <c r="W5611" s="28"/>
    </row>
    <row r="5612" spans="23:23" x14ac:dyDescent="0.25">
      <c r="W5612" s="28"/>
    </row>
    <row r="5613" spans="23:23" x14ac:dyDescent="0.25">
      <c r="W5613" s="28"/>
    </row>
    <row r="5614" spans="23:23" x14ac:dyDescent="0.25">
      <c r="W5614" s="28"/>
    </row>
    <row r="5615" spans="23:23" x14ac:dyDescent="0.25">
      <c r="W5615" s="28"/>
    </row>
    <row r="5616" spans="23:23" x14ac:dyDescent="0.25">
      <c r="W5616" s="28"/>
    </row>
    <row r="5617" spans="23:23" x14ac:dyDescent="0.25">
      <c r="W5617" s="28"/>
    </row>
    <row r="5618" spans="23:23" x14ac:dyDescent="0.25">
      <c r="W5618" s="28"/>
    </row>
    <row r="5619" spans="23:23" x14ac:dyDescent="0.25">
      <c r="W5619" s="28"/>
    </row>
    <row r="5620" spans="23:23" x14ac:dyDescent="0.25">
      <c r="W5620" s="28"/>
    </row>
    <row r="5621" spans="23:23" x14ac:dyDescent="0.25">
      <c r="W5621" s="28"/>
    </row>
    <row r="5622" spans="23:23" x14ac:dyDescent="0.25">
      <c r="W5622" s="28"/>
    </row>
    <row r="5623" spans="23:23" x14ac:dyDescent="0.25">
      <c r="W5623" s="28"/>
    </row>
    <row r="5624" spans="23:23" x14ac:dyDescent="0.25">
      <c r="W5624" s="28"/>
    </row>
    <row r="5625" spans="23:23" x14ac:dyDescent="0.25">
      <c r="W5625" s="28"/>
    </row>
    <row r="5626" spans="23:23" x14ac:dyDescent="0.25">
      <c r="W5626" s="28"/>
    </row>
    <row r="5627" spans="23:23" x14ac:dyDescent="0.25">
      <c r="W5627" s="28"/>
    </row>
    <row r="5628" spans="23:23" x14ac:dyDescent="0.25">
      <c r="W5628" s="28"/>
    </row>
    <row r="5629" spans="23:23" x14ac:dyDescent="0.25">
      <c r="W5629" s="28"/>
    </row>
    <row r="5630" spans="23:23" x14ac:dyDescent="0.25">
      <c r="W5630" s="28"/>
    </row>
    <row r="5631" spans="23:23" x14ac:dyDescent="0.25">
      <c r="W5631" s="28"/>
    </row>
    <row r="5632" spans="23:23" x14ac:dyDescent="0.25">
      <c r="W5632" s="28"/>
    </row>
    <row r="5633" spans="23:23" x14ac:dyDescent="0.25">
      <c r="W5633" s="28"/>
    </row>
    <row r="5634" spans="23:23" x14ac:dyDescent="0.25">
      <c r="W5634" s="28"/>
    </row>
    <row r="5635" spans="23:23" x14ac:dyDescent="0.25">
      <c r="W5635" s="28"/>
    </row>
    <row r="5636" spans="23:23" x14ac:dyDescent="0.25">
      <c r="W5636" s="28"/>
    </row>
    <row r="5637" spans="23:23" x14ac:dyDescent="0.25">
      <c r="W5637" s="28"/>
    </row>
    <row r="5638" spans="23:23" x14ac:dyDescent="0.25">
      <c r="W5638" s="28"/>
    </row>
    <row r="5639" spans="23:23" x14ac:dyDescent="0.25">
      <c r="W5639" s="28"/>
    </row>
    <row r="5640" spans="23:23" x14ac:dyDescent="0.25">
      <c r="W5640" s="28"/>
    </row>
    <row r="5641" spans="23:23" x14ac:dyDescent="0.25">
      <c r="W5641" s="28"/>
    </row>
    <row r="5642" spans="23:23" x14ac:dyDescent="0.25">
      <c r="W5642" s="28"/>
    </row>
    <row r="5643" spans="23:23" x14ac:dyDescent="0.25">
      <c r="W5643" s="28"/>
    </row>
    <row r="5644" spans="23:23" x14ac:dyDescent="0.25">
      <c r="W5644" s="28"/>
    </row>
    <row r="5645" spans="23:23" x14ac:dyDescent="0.25">
      <c r="W5645" s="28"/>
    </row>
    <row r="5646" spans="23:23" x14ac:dyDescent="0.25">
      <c r="W5646" s="28"/>
    </row>
    <row r="5647" spans="23:23" x14ac:dyDescent="0.25">
      <c r="W5647" s="28"/>
    </row>
    <row r="5648" spans="23:23" x14ac:dyDescent="0.25">
      <c r="W5648" s="28"/>
    </row>
    <row r="5649" spans="23:23" x14ac:dyDescent="0.25">
      <c r="W5649" s="28"/>
    </row>
    <row r="5650" spans="23:23" x14ac:dyDescent="0.25">
      <c r="W5650" s="28"/>
    </row>
    <row r="5651" spans="23:23" x14ac:dyDescent="0.25">
      <c r="W5651" s="28"/>
    </row>
    <row r="5652" spans="23:23" x14ac:dyDescent="0.25">
      <c r="W5652" s="28"/>
    </row>
    <row r="5653" spans="23:23" x14ac:dyDescent="0.25">
      <c r="W5653" s="28"/>
    </row>
    <row r="5654" spans="23:23" x14ac:dyDescent="0.25">
      <c r="W5654" s="28"/>
    </row>
    <row r="5655" spans="23:23" x14ac:dyDescent="0.25">
      <c r="W5655" s="28"/>
    </row>
    <row r="5656" spans="23:23" x14ac:dyDescent="0.25">
      <c r="W5656" s="28"/>
    </row>
    <row r="5657" spans="23:23" x14ac:dyDescent="0.25">
      <c r="W5657" s="28"/>
    </row>
    <row r="5658" spans="23:23" x14ac:dyDescent="0.25">
      <c r="W5658" s="28"/>
    </row>
    <row r="5659" spans="23:23" x14ac:dyDescent="0.25">
      <c r="W5659" s="28"/>
    </row>
    <row r="5660" spans="23:23" x14ac:dyDescent="0.25">
      <c r="W5660" s="28"/>
    </row>
    <row r="5661" spans="23:23" x14ac:dyDescent="0.25">
      <c r="W5661" s="28"/>
    </row>
    <row r="5662" spans="23:23" x14ac:dyDescent="0.25">
      <c r="W5662" s="28"/>
    </row>
    <row r="5663" spans="23:23" x14ac:dyDescent="0.25">
      <c r="W5663" s="28"/>
    </row>
    <row r="5664" spans="23:23" x14ac:dyDescent="0.25">
      <c r="W5664" s="28"/>
    </row>
    <row r="5665" spans="23:23" x14ac:dyDescent="0.25">
      <c r="W5665" s="28"/>
    </row>
    <row r="5666" spans="23:23" x14ac:dyDescent="0.25">
      <c r="W5666" s="28"/>
    </row>
    <row r="5667" spans="23:23" x14ac:dyDescent="0.25">
      <c r="W5667" s="28"/>
    </row>
    <row r="5668" spans="23:23" x14ac:dyDescent="0.25">
      <c r="W5668" s="28"/>
    </row>
    <row r="5669" spans="23:23" x14ac:dyDescent="0.25">
      <c r="W5669" s="28"/>
    </row>
    <row r="5670" spans="23:23" x14ac:dyDescent="0.25">
      <c r="W5670" s="28"/>
    </row>
    <row r="5671" spans="23:23" x14ac:dyDescent="0.25">
      <c r="W5671" s="28"/>
    </row>
    <row r="5672" spans="23:23" x14ac:dyDescent="0.25">
      <c r="W5672" s="28"/>
    </row>
    <row r="5673" spans="23:23" x14ac:dyDescent="0.25">
      <c r="W5673" s="28"/>
    </row>
    <row r="5674" spans="23:23" x14ac:dyDescent="0.25">
      <c r="W5674" s="28"/>
    </row>
    <row r="5675" spans="23:23" x14ac:dyDescent="0.25">
      <c r="W5675" s="28"/>
    </row>
    <row r="5676" spans="23:23" x14ac:dyDescent="0.25">
      <c r="W5676" s="28"/>
    </row>
    <row r="5677" spans="23:23" x14ac:dyDescent="0.25">
      <c r="W5677" s="28"/>
    </row>
    <row r="5678" spans="23:23" x14ac:dyDescent="0.25">
      <c r="W5678" s="28"/>
    </row>
    <row r="5679" spans="23:23" x14ac:dyDescent="0.25">
      <c r="W5679" s="28"/>
    </row>
    <row r="5680" spans="23:23" x14ac:dyDescent="0.25">
      <c r="W5680" s="28"/>
    </row>
    <row r="5681" spans="23:23" x14ac:dyDescent="0.25">
      <c r="W5681" s="28"/>
    </row>
    <row r="5682" spans="23:23" x14ac:dyDescent="0.25">
      <c r="W5682" s="28"/>
    </row>
    <row r="5683" spans="23:23" x14ac:dyDescent="0.25">
      <c r="W5683" s="28"/>
    </row>
    <row r="5684" spans="23:23" x14ac:dyDescent="0.25">
      <c r="W5684" s="28"/>
    </row>
    <row r="5685" spans="23:23" x14ac:dyDescent="0.25">
      <c r="W5685" s="28"/>
    </row>
    <row r="5686" spans="23:23" x14ac:dyDescent="0.25">
      <c r="W5686" s="28"/>
    </row>
    <row r="5687" spans="23:23" x14ac:dyDescent="0.25">
      <c r="W5687" s="28"/>
    </row>
    <row r="5688" spans="23:23" x14ac:dyDescent="0.25">
      <c r="W5688" s="28"/>
    </row>
    <row r="5689" spans="23:23" x14ac:dyDescent="0.25">
      <c r="W5689" s="28"/>
    </row>
    <row r="5690" spans="23:23" x14ac:dyDescent="0.25">
      <c r="W5690" s="28"/>
    </row>
    <row r="5691" spans="23:23" x14ac:dyDescent="0.25">
      <c r="W5691" s="28"/>
    </row>
    <row r="5692" spans="23:23" x14ac:dyDescent="0.25">
      <c r="W5692" s="28"/>
    </row>
    <row r="5693" spans="23:23" x14ac:dyDescent="0.25">
      <c r="W5693" s="28"/>
    </row>
    <row r="5694" spans="23:23" x14ac:dyDescent="0.25">
      <c r="W5694" s="28"/>
    </row>
    <row r="5695" spans="23:23" x14ac:dyDescent="0.25">
      <c r="W5695" s="28"/>
    </row>
    <row r="5696" spans="23:23" x14ac:dyDescent="0.25">
      <c r="W5696" s="28"/>
    </row>
    <row r="5697" spans="23:23" x14ac:dyDescent="0.25">
      <c r="W5697" s="28"/>
    </row>
    <row r="5698" spans="23:23" x14ac:dyDescent="0.25">
      <c r="W5698" s="28"/>
    </row>
    <row r="5699" spans="23:23" x14ac:dyDescent="0.25">
      <c r="W5699" s="28"/>
    </row>
    <row r="5700" spans="23:23" x14ac:dyDescent="0.25">
      <c r="W5700" s="28"/>
    </row>
    <row r="5701" spans="23:23" x14ac:dyDescent="0.25">
      <c r="W5701" s="28"/>
    </row>
    <row r="5702" spans="23:23" x14ac:dyDescent="0.25">
      <c r="W5702" s="28"/>
    </row>
    <row r="5703" spans="23:23" x14ac:dyDescent="0.25">
      <c r="W5703" s="28"/>
    </row>
    <row r="5704" spans="23:23" x14ac:dyDescent="0.25">
      <c r="W5704" s="28"/>
    </row>
    <row r="5705" spans="23:23" x14ac:dyDescent="0.25">
      <c r="W5705" s="28"/>
    </row>
    <row r="5706" spans="23:23" x14ac:dyDescent="0.25">
      <c r="W5706" s="28"/>
    </row>
    <row r="5707" spans="23:23" x14ac:dyDescent="0.25">
      <c r="W5707" s="28"/>
    </row>
    <row r="5708" spans="23:23" x14ac:dyDescent="0.25">
      <c r="W5708" s="28"/>
    </row>
    <row r="5709" spans="23:23" x14ac:dyDescent="0.25">
      <c r="W5709" s="28"/>
    </row>
    <row r="5710" spans="23:23" x14ac:dyDescent="0.25">
      <c r="W5710" s="28"/>
    </row>
    <row r="5711" spans="23:23" x14ac:dyDescent="0.25">
      <c r="W5711" s="28"/>
    </row>
    <row r="5712" spans="23:23" x14ac:dyDescent="0.25">
      <c r="W5712" s="28"/>
    </row>
    <row r="5713" spans="23:23" x14ac:dyDescent="0.25">
      <c r="W5713" s="28"/>
    </row>
    <row r="5714" spans="23:23" x14ac:dyDescent="0.25">
      <c r="W5714" s="28"/>
    </row>
    <row r="5715" spans="23:23" x14ac:dyDescent="0.25">
      <c r="W5715" s="28"/>
    </row>
    <row r="5716" spans="23:23" x14ac:dyDescent="0.25">
      <c r="W5716" s="28"/>
    </row>
    <row r="5717" spans="23:23" x14ac:dyDescent="0.25">
      <c r="W5717" s="28"/>
    </row>
    <row r="5718" spans="23:23" x14ac:dyDescent="0.25">
      <c r="W5718" s="28"/>
    </row>
    <row r="5719" spans="23:23" x14ac:dyDescent="0.25">
      <c r="W5719" s="28"/>
    </row>
    <row r="5720" spans="23:23" x14ac:dyDescent="0.25">
      <c r="W5720" s="28"/>
    </row>
    <row r="5721" spans="23:23" x14ac:dyDescent="0.25">
      <c r="W5721" s="28"/>
    </row>
    <row r="5722" spans="23:23" x14ac:dyDescent="0.25">
      <c r="W5722" s="28"/>
    </row>
    <row r="5723" spans="23:23" x14ac:dyDescent="0.25">
      <c r="W5723" s="28"/>
    </row>
    <row r="5724" spans="23:23" x14ac:dyDescent="0.25">
      <c r="W5724" s="28"/>
    </row>
    <row r="5725" spans="23:23" x14ac:dyDescent="0.25">
      <c r="W5725" s="28"/>
    </row>
    <row r="5726" spans="23:23" x14ac:dyDescent="0.25">
      <c r="W5726" s="28"/>
    </row>
    <row r="5727" spans="23:23" x14ac:dyDescent="0.25">
      <c r="W5727" s="28"/>
    </row>
    <row r="5728" spans="23:23" x14ac:dyDescent="0.25">
      <c r="W5728" s="28"/>
    </row>
    <row r="5729" spans="23:23" x14ac:dyDescent="0.25">
      <c r="W5729" s="28"/>
    </row>
    <row r="5730" spans="23:23" x14ac:dyDescent="0.25">
      <c r="W5730" s="28"/>
    </row>
    <row r="5731" spans="23:23" x14ac:dyDescent="0.25">
      <c r="W5731" s="28"/>
    </row>
    <row r="5732" spans="23:23" x14ac:dyDescent="0.25">
      <c r="W5732" s="28"/>
    </row>
    <row r="5733" spans="23:23" x14ac:dyDescent="0.25">
      <c r="W5733" s="28"/>
    </row>
    <row r="5734" spans="23:23" x14ac:dyDescent="0.25">
      <c r="W5734" s="28"/>
    </row>
    <row r="5735" spans="23:23" x14ac:dyDescent="0.25">
      <c r="W5735" s="28"/>
    </row>
    <row r="5736" spans="23:23" x14ac:dyDescent="0.25">
      <c r="W5736" s="28"/>
    </row>
    <row r="5737" spans="23:23" x14ac:dyDescent="0.25">
      <c r="W5737" s="28"/>
    </row>
    <row r="5738" spans="23:23" x14ac:dyDescent="0.25">
      <c r="W5738" s="28"/>
    </row>
    <row r="5739" spans="23:23" x14ac:dyDescent="0.25">
      <c r="W5739" s="28"/>
    </row>
    <row r="5740" spans="23:23" x14ac:dyDescent="0.25">
      <c r="W5740" s="28"/>
    </row>
    <row r="5741" spans="23:23" x14ac:dyDescent="0.25">
      <c r="W5741" s="28"/>
    </row>
    <row r="5742" spans="23:23" x14ac:dyDescent="0.25">
      <c r="W5742" s="28"/>
    </row>
    <row r="5743" spans="23:23" x14ac:dyDescent="0.25">
      <c r="W5743" s="28"/>
    </row>
    <row r="5744" spans="23:23" x14ac:dyDescent="0.25">
      <c r="W5744" s="28"/>
    </row>
    <row r="5745" spans="23:23" x14ac:dyDescent="0.25">
      <c r="W5745" s="28"/>
    </row>
    <row r="5746" spans="23:23" x14ac:dyDescent="0.25">
      <c r="W5746" s="28"/>
    </row>
    <row r="5747" spans="23:23" x14ac:dyDescent="0.25">
      <c r="W5747" s="28"/>
    </row>
    <row r="5748" spans="23:23" x14ac:dyDescent="0.25">
      <c r="W5748" s="28"/>
    </row>
    <row r="5749" spans="23:23" x14ac:dyDescent="0.25">
      <c r="W5749" s="28"/>
    </row>
    <row r="5750" spans="23:23" x14ac:dyDescent="0.25">
      <c r="W5750" s="28"/>
    </row>
    <row r="5751" spans="23:23" x14ac:dyDescent="0.25">
      <c r="W5751" s="28"/>
    </row>
    <row r="5752" spans="23:23" x14ac:dyDescent="0.25">
      <c r="W5752" s="28"/>
    </row>
    <row r="5753" spans="23:23" x14ac:dyDescent="0.25">
      <c r="W5753" s="28"/>
    </row>
    <row r="5754" spans="23:23" x14ac:dyDescent="0.25">
      <c r="W5754" s="28"/>
    </row>
    <row r="5755" spans="23:23" x14ac:dyDescent="0.25">
      <c r="W5755" s="28"/>
    </row>
    <row r="5756" spans="23:23" x14ac:dyDescent="0.25">
      <c r="W5756" s="28"/>
    </row>
    <row r="5757" spans="23:23" x14ac:dyDescent="0.25">
      <c r="W5757" s="28"/>
    </row>
    <row r="5758" spans="23:23" x14ac:dyDescent="0.25">
      <c r="W5758" s="28"/>
    </row>
    <row r="5759" spans="23:23" x14ac:dyDescent="0.25">
      <c r="W5759" s="28"/>
    </row>
    <row r="5760" spans="23:23" x14ac:dyDescent="0.25">
      <c r="W5760" s="28"/>
    </row>
    <row r="5761" spans="23:23" x14ac:dyDescent="0.25">
      <c r="W5761" s="28"/>
    </row>
    <row r="5762" spans="23:23" x14ac:dyDescent="0.25">
      <c r="W5762" s="28"/>
    </row>
    <row r="5763" spans="23:23" x14ac:dyDescent="0.25">
      <c r="W5763" s="28"/>
    </row>
    <row r="5764" spans="23:23" x14ac:dyDescent="0.25">
      <c r="W5764" s="28"/>
    </row>
    <row r="5765" spans="23:23" x14ac:dyDescent="0.25">
      <c r="W5765" s="28"/>
    </row>
    <row r="5766" spans="23:23" x14ac:dyDescent="0.25">
      <c r="W5766" s="28"/>
    </row>
    <row r="5767" spans="23:23" x14ac:dyDescent="0.25">
      <c r="W5767" s="28"/>
    </row>
    <row r="5768" spans="23:23" x14ac:dyDescent="0.25">
      <c r="W5768" s="28"/>
    </row>
    <row r="5769" spans="23:23" x14ac:dyDescent="0.25">
      <c r="W5769" s="28"/>
    </row>
    <row r="5770" spans="23:23" x14ac:dyDescent="0.25">
      <c r="W5770" s="28"/>
    </row>
    <row r="5771" spans="23:23" x14ac:dyDescent="0.25">
      <c r="W5771" s="28"/>
    </row>
    <row r="5772" spans="23:23" x14ac:dyDescent="0.25">
      <c r="W5772" s="28"/>
    </row>
    <row r="5773" spans="23:23" x14ac:dyDescent="0.25">
      <c r="W5773" s="28"/>
    </row>
    <row r="5774" spans="23:23" x14ac:dyDescent="0.25">
      <c r="W5774" s="28"/>
    </row>
    <row r="5775" spans="23:23" x14ac:dyDescent="0.25">
      <c r="W5775" s="28"/>
    </row>
    <row r="5776" spans="23:23" x14ac:dyDescent="0.25">
      <c r="W5776" s="28"/>
    </row>
    <row r="5777" spans="23:23" x14ac:dyDescent="0.25">
      <c r="W5777" s="28"/>
    </row>
    <row r="5778" spans="23:23" x14ac:dyDescent="0.25">
      <c r="W5778" s="28"/>
    </row>
    <row r="5779" spans="23:23" x14ac:dyDescent="0.25">
      <c r="W5779" s="28"/>
    </row>
    <row r="5780" spans="23:23" x14ac:dyDescent="0.25">
      <c r="W5780" s="28"/>
    </row>
    <row r="5781" spans="23:23" x14ac:dyDescent="0.25">
      <c r="W5781" s="28"/>
    </row>
    <row r="5782" spans="23:23" x14ac:dyDescent="0.25">
      <c r="W5782" s="28"/>
    </row>
    <row r="5783" spans="23:23" x14ac:dyDescent="0.25">
      <c r="W5783" s="28"/>
    </row>
    <row r="5784" spans="23:23" x14ac:dyDescent="0.25">
      <c r="W5784" s="28"/>
    </row>
    <row r="5785" spans="23:23" x14ac:dyDescent="0.25">
      <c r="W5785" s="28"/>
    </row>
    <row r="5786" spans="23:23" x14ac:dyDescent="0.25">
      <c r="W5786" s="28"/>
    </row>
    <row r="5787" spans="23:23" x14ac:dyDescent="0.25">
      <c r="W5787" s="28"/>
    </row>
    <row r="5788" spans="23:23" x14ac:dyDescent="0.25">
      <c r="W5788" s="28"/>
    </row>
    <row r="5789" spans="23:23" x14ac:dyDescent="0.25">
      <c r="W5789" s="28"/>
    </row>
    <row r="5790" spans="23:23" x14ac:dyDescent="0.25">
      <c r="W5790" s="28"/>
    </row>
    <row r="5791" spans="23:23" x14ac:dyDescent="0.25">
      <c r="W5791" s="28"/>
    </row>
    <row r="5792" spans="23:23" x14ac:dyDescent="0.25">
      <c r="W5792" s="28"/>
    </row>
    <row r="5793" spans="23:23" x14ac:dyDescent="0.25">
      <c r="W5793" s="28"/>
    </row>
    <row r="5794" spans="23:23" x14ac:dyDescent="0.25">
      <c r="W5794" s="28"/>
    </row>
    <row r="5795" spans="23:23" x14ac:dyDescent="0.25">
      <c r="W5795" s="28"/>
    </row>
    <row r="5796" spans="23:23" x14ac:dyDescent="0.25">
      <c r="W5796" s="28"/>
    </row>
    <row r="5797" spans="23:23" x14ac:dyDescent="0.25">
      <c r="W5797" s="28"/>
    </row>
    <row r="5798" spans="23:23" x14ac:dyDescent="0.25">
      <c r="W5798" s="28"/>
    </row>
    <row r="5799" spans="23:23" x14ac:dyDescent="0.25">
      <c r="W5799" s="28"/>
    </row>
    <row r="5800" spans="23:23" x14ac:dyDescent="0.25">
      <c r="W5800" s="28"/>
    </row>
    <row r="5801" spans="23:23" x14ac:dyDescent="0.25">
      <c r="W5801" s="28"/>
    </row>
    <row r="5802" spans="23:23" x14ac:dyDescent="0.25">
      <c r="W5802" s="28"/>
    </row>
    <row r="5803" spans="23:23" x14ac:dyDescent="0.25">
      <c r="W5803" s="28"/>
    </row>
    <row r="5804" spans="23:23" x14ac:dyDescent="0.25">
      <c r="W5804" s="28"/>
    </row>
    <row r="5805" spans="23:23" x14ac:dyDescent="0.25">
      <c r="W5805" s="28"/>
    </row>
    <row r="5806" spans="23:23" x14ac:dyDescent="0.25">
      <c r="W5806" s="28"/>
    </row>
    <row r="5807" spans="23:23" x14ac:dyDescent="0.25">
      <c r="W5807" s="28"/>
    </row>
    <row r="5808" spans="23:23" x14ac:dyDescent="0.25">
      <c r="W5808" s="28"/>
    </row>
    <row r="5809" spans="23:23" x14ac:dyDescent="0.25">
      <c r="W5809" s="28"/>
    </row>
    <row r="5810" spans="23:23" x14ac:dyDescent="0.25">
      <c r="W5810" s="28"/>
    </row>
    <row r="5811" spans="23:23" x14ac:dyDescent="0.25">
      <c r="W5811" s="28"/>
    </row>
    <row r="5812" spans="23:23" x14ac:dyDescent="0.25">
      <c r="W5812" s="28"/>
    </row>
    <row r="5813" spans="23:23" x14ac:dyDescent="0.25">
      <c r="W5813" s="28"/>
    </row>
    <row r="5814" spans="23:23" x14ac:dyDescent="0.25">
      <c r="W5814" s="28"/>
    </row>
    <row r="5815" spans="23:23" x14ac:dyDescent="0.25">
      <c r="W5815" s="28"/>
    </row>
    <row r="5816" spans="23:23" x14ac:dyDescent="0.25">
      <c r="W5816" s="28"/>
    </row>
    <row r="5817" spans="23:23" x14ac:dyDescent="0.25">
      <c r="W5817" s="28"/>
    </row>
    <row r="5818" spans="23:23" x14ac:dyDescent="0.25">
      <c r="W5818" s="28"/>
    </row>
    <row r="5819" spans="23:23" x14ac:dyDescent="0.25">
      <c r="W5819" s="28"/>
    </row>
    <row r="5820" spans="23:23" x14ac:dyDescent="0.25">
      <c r="W5820" s="28"/>
    </row>
    <row r="5821" spans="23:23" x14ac:dyDescent="0.25">
      <c r="W5821" s="28"/>
    </row>
    <row r="5822" spans="23:23" x14ac:dyDescent="0.25">
      <c r="W5822" s="28"/>
    </row>
    <row r="5823" spans="23:23" x14ac:dyDescent="0.25">
      <c r="W5823" s="28"/>
    </row>
    <row r="5824" spans="23:23" x14ac:dyDescent="0.25">
      <c r="W5824" s="28"/>
    </row>
    <row r="5825" spans="23:23" x14ac:dyDescent="0.25">
      <c r="W5825" s="28"/>
    </row>
    <row r="5826" spans="23:23" x14ac:dyDescent="0.25">
      <c r="W5826" s="28"/>
    </row>
    <row r="5827" spans="23:23" x14ac:dyDescent="0.25">
      <c r="W5827" s="28"/>
    </row>
    <row r="5828" spans="23:23" x14ac:dyDescent="0.25">
      <c r="W5828" s="28"/>
    </row>
    <row r="5829" spans="23:23" x14ac:dyDescent="0.25">
      <c r="W5829" s="28"/>
    </row>
    <row r="5830" spans="23:23" x14ac:dyDescent="0.25">
      <c r="W5830" s="28"/>
    </row>
    <row r="5831" spans="23:23" x14ac:dyDescent="0.25">
      <c r="W5831" s="28"/>
    </row>
    <row r="5832" spans="23:23" x14ac:dyDescent="0.25">
      <c r="W5832" s="28"/>
    </row>
    <row r="5833" spans="23:23" x14ac:dyDescent="0.25">
      <c r="W5833" s="28"/>
    </row>
    <row r="5834" spans="23:23" x14ac:dyDescent="0.25">
      <c r="W5834" s="28"/>
    </row>
    <row r="5835" spans="23:23" x14ac:dyDescent="0.25">
      <c r="W5835" s="28"/>
    </row>
    <row r="5836" spans="23:23" x14ac:dyDescent="0.25">
      <c r="W5836" s="28"/>
    </row>
    <row r="5837" spans="23:23" x14ac:dyDescent="0.25">
      <c r="W5837" s="28"/>
    </row>
    <row r="5838" spans="23:23" x14ac:dyDescent="0.25">
      <c r="W5838" s="28"/>
    </row>
    <row r="5839" spans="23:23" x14ac:dyDescent="0.25">
      <c r="W5839" s="28"/>
    </row>
    <row r="5840" spans="23:23" x14ac:dyDescent="0.25">
      <c r="W5840" s="28"/>
    </row>
    <row r="5841" spans="23:23" x14ac:dyDescent="0.25">
      <c r="W5841" s="28"/>
    </row>
    <row r="5842" spans="23:23" x14ac:dyDescent="0.25">
      <c r="W5842" s="28"/>
    </row>
    <row r="5843" spans="23:23" x14ac:dyDescent="0.25">
      <c r="W5843" s="28"/>
    </row>
    <row r="5844" spans="23:23" x14ac:dyDescent="0.25">
      <c r="W5844" s="28"/>
    </row>
    <row r="5845" spans="23:23" x14ac:dyDescent="0.25">
      <c r="W5845" s="28"/>
    </row>
    <row r="5846" spans="23:23" x14ac:dyDescent="0.25">
      <c r="W5846" s="28"/>
    </row>
    <row r="5847" spans="23:23" x14ac:dyDescent="0.25">
      <c r="W5847" s="28"/>
    </row>
    <row r="5848" spans="23:23" x14ac:dyDescent="0.25">
      <c r="W5848" s="28"/>
    </row>
    <row r="5849" spans="23:23" x14ac:dyDescent="0.25">
      <c r="W5849" s="28"/>
    </row>
    <row r="5850" spans="23:23" x14ac:dyDescent="0.25">
      <c r="W5850" s="28"/>
    </row>
    <row r="5851" spans="23:23" x14ac:dyDescent="0.25">
      <c r="W5851" s="28"/>
    </row>
    <row r="5852" spans="23:23" x14ac:dyDescent="0.25">
      <c r="W5852" s="28"/>
    </row>
    <row r="5853" spans="23:23" x14ac:dyDescent="0.25">
      <c r="W5853" s="28"/>
    </row>
    <row r="5854" spans="23:23" x14ac:dyDescent="0.25">
      <c r="W5854" s="28"/>
    </row>
    <row r="5855" spans="23:23" x14ac:dyDescent="0.25">
      <c r="W5855" s="28"/>
    </row>
    <row r="5856" spans="23:23" x14ac:dyDescent="0.25">
      <c r="W5856" s="28"/>
    </row>
    <row r="5857" spans="23:23" x14ac:dyDescent="0.25">
      <c r="W5857" s="28"/>
    </row>
    <row r="5858" spans="23:23" x14ac:dyDescent="0.25">
      <c r="W5858" s="28"/>
    </row>
    <row r="5859" spans="23:23" x14ac:dyDescent="0.25">
      <c r="W5859" s="28"/>
    </row>
    <row r="5860" spans="23:23" x14ac:dyDescent="0.25">
      <c r="W5860" s="28"/>
    </row>
    <row r="5861" spans="23:23" x14ac:dyDescent="0.25">
      <c r="W5861" s="28"/>
    </row>
    <row r="5862" spans="23:23" x14ac:dyDescent="0.25">
      <c r="W5862" s="28"/>
    </row>
    <row r="5863" spans="23:23" x14ac:dyDescent="0.25">
      <c r="W5863" s="28"/>
    </row>
    <row r="5864" spans="23:23" x14ac:dyDescent="0.25">
      <c r="W5864" s="28"/>
    </row>
    <row r="5865" spans="23:23" x14ac:dyDescent="0.25">
      <c r="W5865" s="28"/>
    </row>
    <row r="5866" spans="23:23" x14ac:dyDescent="0.25">
      <c r="W5866" s="28"/>
    </row>
    <row r="5867" spans="23:23" x14ac:dyDescent="0.25">
      <c r="W5867" s="28"/>
    </row>
    <row r="5868" spans="23:23" x14ac:dyDescent="0.25">
      <c r="W5868" s="28"/>
    </row>
    <row r="5869" spans="23:23" x14ac:dyDescent="0.25">
      <c r="W5869" s="28"/>
    </row>
    <row r="5870" spans="23:23" x14ac:dyDescent="0.25">
      <c r="W5870" s="28"/>
    </row>
    <row r="5871" spans="23:23" x14ac:dyDescent="0.25">
      <c r="W5871" s="28"/>
    </row>
    <row r="5872" spans="23:23" x14ac:dyDescent="0.25">
      <c r="W5872" s="28"/>
    </row>
    <row r="5873" spans="23:23" x14ac:dyDescent="0.25">
      <c r="W5873" s="28"/>
    </row>
    <row r="5874" spans="23:23" x14ac:dyDescent="0.25">
      <c r="W5874" s="28"/>
    </row>
    <row r="5875" spans="23:23" x14ac:dyDescent="0.25">
      <c r="W5875" s="28"/>
    </row>
    <row r="5876" spans="23:23" x14ac:dyDescent="0.25">
      <c r="W5876" s="28"/>
    </row>
    <row r="5877" spans="23:23" x14ac:dyDescent="0.25">
      <c r="W5877" s="28"/>
    </row>
    <row r="5878" spans="23:23" x14ac:dyDescent="0.25">
      <c r="W5878" s="28"/>
    </row>
    <row r="5879" spans="23:23" x14ac:dyDescent="0.25">
      <c r="W5879" s="28"/>
    </row>
    <row r="5880" spans="23:23" x14ac:dyDescent="0.25">
      <c r="W5880" s="28"/>
    </row>
    <row r="5881" spans="23:23" x14ac:dyDescent="0.25">
      <c r="W5881" s="28"/>
    </row>
    <row r="5882" spans="23:23" x14ac:dyDescent="0.25">
      <c r="W5882" s="28"/>
    </row>
    <row r="5883" spans="23:23" x14ac:dyDescent="0.25">
      <c r="W5883" s="28"/>
    </row>
    <row r="5884" spans="23:23" x14ac:dyDescent="0.25">
      <c r="W5884" s="28"/>
    </row>
    <row r="5885" spans="23:23" x14ac:dyDescent="0.25">
      <c r="W5885" s="28"/>
    </row>
    <row r="5886" spans="23:23" x14ac:dyDescent="0.25">
      <c r="W5886" s="28"/>
    </row>
    <row r="5887" spans="23:23" x14ac:dyDescent="0.25">
      <c r="W5887" s="28"/>
    </row>
    <row r="5888" spans="23:23" x14ac:dyDescent="0.25">
      <c r="W5888" s="28"/>
    </row>
    <row r="5889" spans="23:23" x14ac:dyDescent="0.25">
      <c r="W5889" s="28"/>
    </row>
    <row r="5890" spans="23:23" x14ac:dyDescent="0.25">
      <c r="W5890" s="28"/>
    </row>
    <row r="5891" spans="23:23" x14ac:dyDescent="0.25">
      <c r="W5891" s="28"/>
    </row>
    <row r="5892" spans="23:23" x14ac:dyDescent="0.25">
      <c r="W5892" s="28"/>
    </row>
    <row r="5893" spans="23:23" x14ac:dyDescent="0.25">
      <c r="W5893" s="28"/>
    </row>
    <row r="5894" spans="23:23" x14ac:dyDescent="0.25">
      <c r="W5894" s="28"/>
    </row>
    <row r="5895" spans="23:23" x14ac:dyDescent="0.25">
      <c r="W5895" s="28"/>
    </row>
    <row r="5896" spans="23:23" x14ac:dyDescent="0.25">
      <c r="W5896" s="28"/>
    </row>
    <row r="5897" spans="23:23" x14ac:dyDescent="0.25">
      <c r="W5897" s="28"/>
    </row>
    <row r="5898" spans="23:23" x14ac:dyDescent="0.25">
      <c r="W5898" s="28"/>
    </row>
    <row r="5899" spans="23:23" x14ac:dyDescent="0.25">
      <c r="W5899" s="28"/>
    </row>
    <row r="5900" spans="23:23" x14ac:dyDescent="0.25">
      <c r="W5900" s="28"/>
    </row>
    <row r="5901" spans="23:23" x14ac:dyDescent="0.25">
      <c r="W5901" s="28"/>
    </row>
    <row r="5902" spans="23:23" x14ac:dyDescent="0.25">
      <c r="W5902" s="28"/>
    </row>
    <row r="5903" spans="23:23" x14ac:dyDescent="0.25">
      <c r="W5903" s="28"/>
    </row>
    <row r="5904" spans="23:23" x14ac:dyDescent="0.25">
      <c r="W5904" s="28"/>
    </row>
    <row r="5905" spans="23:23" x14ac:dyDescent="0.25">
      <c r="W5905" s="28"/>
    </row>
    <row r="5906" spans="23:23" x14ac:dyDescent="0.25">
      <c r="W5906" s="28"/>
    </row>
    <row r="5907" spans="23:23" x14ac:dyDescent="0.25">
      <c r="W5907" s="28"/>
    </row>
    <row r="5908" spans="23:23" x14ac:dyDescent="0.25">
      <c r="W5908" s="28"/>
    </row>
    <row r="5909" spans="23:23" x14ac:dyDescent="0.25">
      <c r="W5909" s="28"/>
    </row>
    <row r="5910" spans="23:23" x14ac:dyDescent="0.25">
      <c r="W5910" s="28"/>
    </row>
    <row r="5911" spans="23:23" x14ac:dyDescent="0.25">
      <c r="W5911" s="28"/>
    </row>
    <row r="5912" spans="23:23" x14ac:dyDescent="0.25">
      <c r="W5912" s="28"/>
    </row>
    <row r="5913" spans="23:23" x14ac:dyDescent="0.25">
      <c r="W5913" s="28"/>
    </row>
    <row r="5914" spans="23:23" x14ac:dyDescent="0.25">
      <c r="W5914" s="28"/>
    </row>
    <row r="5915" spans="23:23" x14ac:dyDescent="0.25">
      <c r="W5915" s="28"/>
    </row>
    <row r="5916" spans="23:23" x14ac:dyDescent="0.25">
      <c r="W5916" s="28"/>
    </row>
    <row r="5917" spans="23:23" x14ac:dyDescent="0.25">
      <c r="W5917" s="28"/>
    </row>
    <row r="5918" spans="23:23" x14ac:dyDescent="0.25">
      <c r="W5918" s="28"/>
    </row>
    <row r="5919" spans="23:23" x14ac:dyDescent="0.25">
      <c r="W5919" s="28"/>
    </row>
    <row r="5920" spans="23:23" x14ac:dyDescent="0.25">
      <c r="W5920" s="28"/>
    </row>
    <row r="5921" spans="23:23" x14ac:dyDescent="0.25">
      <c r="W5921" s="28"/>
    </row>
    <row r="5922" spans="23:23" x14ac:dyDescent="0.25">
      <c r="W5922" s="28"/>
    </row>
    <row r="5923" spans="23:23" x14ac:dyDescent="0.25">
      <c r="W5923" s="28"/>
    </row>
    <row r="5924" spans="23:23" x14ac:dyDescent="0.25">
      <c r="W5924" s="28"/>
    </row>
    <row r="5925" spans="23:23" x14ac:dyDescent="0.25">
      <c r="W5925" s="28"/>
    </row>
    <row r="5926" spans="23:23" x14ac:dyDescent="0.25">
      <c r="W5926" s="28"/>
    </row>
    <row r="5927" spans="23:23" x14ac:dyDescent="0.25">
      <c r="W5927" s="28"/>
    </row>
    <row r="5928" spans="23:23" x14ac:dyDescent="0.25">
      <c r="W5928" s="28"/>
    </row>
    <row r="5929" spans="23:23" x14ac:dyDescent="0.25">
      <c r="W5929" s="28"/>
    </row>
    <row r="5930" spans="23:23" x14ac:dyDescent="0.25">
      <c r="W5930" s="28"/>
    </row>
    <row r="5931" spans="23:23" x14ac:dyDescent="0.25">
      <c r="W5931" s="28"/>
    </row>
    <row r="5932" spans="23:23" x14ac:dyDescent="0.25">
      <c r="W5932" s="28"/>
    </row>
    <row r="5933" spans="23:23" x14ac:dyDescent="0.25">
      <c r="W5933" s="28"/>
    </row>
    <row r="5934" spans="23:23" x14ac:dyDescent="0.25">
      <c r="W5934" s="28"/>
    </row>
    <row r="5935" spans="23:23" x14ac:dyDescent="0.25">
      <c r="W5935" s="28"/>
    </row>
    <row r="5936" spans="23:23" x14ac:dyDescent="0.25">
      <c r="W5936" s="28"/>
    </row>
    <row r="5937" spans="23:23" x14ac:dyDescent="0.25">
      <c r="W5937" s="28"/>
    </row>
    <row r="5938" spans="23:23" x14ac:dyDescent="0.25">
      <c r="W5938" s="28"/>
    </row>
    <row r="5939" spans="23:23" x14ac:dyDescent="0.25">
      <c r="W5939" s="28"/>
    </row>
    <row r="5940" spans="23:23" x14ac:dyDescent="0.25">
      <c r="W5940">
        <f>COUNTA(Tabl_Names_Cut)-1</f>
        <v>118</v>
      </c>
    </row>
  </sheetData>
  <sheetProtection sheet="1" objects="1" scenarios="1"/>
  <autoFilter ref="B12:Y2974" xr:uid="{00000000-0009-0000-0000-000002000000}">
    <filterColumn colId="13">
      <customFilters>
        <customFilter operator="notEqual" val=" "/>
      </customFilters>
    </filterColumn>
  </autoFilter>
  <sortState xmlns:xlrd2="http://schemas.microsoft.com/office/spreadsheetml/2017/richdata2" ref="W2979:W5939">
    <sortCondition descending="1" ref="W2979:W5939"/>
  </sortState>
  <mergeCells count="445">
    <mergeCell ref="V10:V11"/>
    <mergeCell ref="W10:W11"/>
    <mergeCell ref="X10:X11"/>
    <mergeCell ref="Y10:Y11"/>
    <mergeCell ref="W2977:W2978"/>
    <mergeCell ref="J2938:L2938"/>
    <mergeCell ref="J2945:L2945"/>
    <mergeCell ref="J2952:L2952"/>
    <mergeCell ref="J2959:L2959"/>
    <mergeCell ref="J2966:L2966"/>
    <mergeCell ref="J2973:L2973"/>
    <mergeCell ref="J2896:L2896"/>
    <mergeCell ref="J2903:L2903"/>
    <mergeCell ref="J2910:L2910"/>
    <mergeCell ref="J2917:L2917"/>
    <mergeCell ref="J2924:L2924"/>
    <mergeCell ref="J2931:L2931"/>
    <mergeCell ref="J2854:L2854"/>
    <mergeCell ref="J2861:L2861"/>
    <mergeCell ref="J2868:L2868"/>
    <mergeCell ref="J2875:L2875"/>
    <mergeCell ref="J2882:L2882"/>
    <mergeCell ref="J2889:L2889"/>
    <mergeCell ref="J2812:L2812"/>
    <mergeCell ref="J2819:L2819"/>
    <mergeCell ref="J2826:L2826"/>
    <mergeCell ref="J2833:L2833"/>
    <mergeCell ref="J2840:L2840"/>
    <mergeCell ref="J2847:L2847"/>
    <mergeCell ref="J2770:L2770"/>
    <mergeCell ref="J2777:L2777"/>
    <mergeCell ref="J2784:L2784"/>
    <mergeCell ref="J2791:L2791"/>
    <mergeCell ref="J2798:L2798"/>
    <mergeCell ref="J2805:L2805"/>
    <mergeCell ref="J2728:L2728"/>
    <mergeCell ref="J2735:L2735"/>
    <mergeCell ref="J2742:L2742"/>
    <mergeCell ref="J2749:L2749"/>
    <mergeCell ref="J2756:L2756"/>
    <mergeCell ref="J2763:L2763"/>
    <mergeCell ref="J2686:L2686"/>
    <mergeCell ref="J2693:L2693"/>
    <mergeCell ref="J2700:L2700"/>
    <mergeCell ref="J2707:L2707"/>
    <mergeCell ref="J2714:L2714"/>
    <mergeCell ref="J2721:L2721"/>
    <mergeCell ref="J2644:L2644"/>
    <mergeCell ref="J2651:L2651"/>
    <mergeCell ref="J2658:L2658"/>
    <mergeCell ref="J2665:L2665"/>
    <mergeCell ref="J2672:L2672"/>
    <mergeCell ref="J2679:L2679"/>
    <mergeCell ref="J2602:L2602"/>
    <mergeCell ref="J2609:L2609"/>
    <mergeCell ref="J2616:L2616"/>
    <mergeCell ref="J2623:L2623"/>
    <mergeCell ref="J2630:L2630"/>
    <mergeCell ref="J2637:L2637"/>
    <mergeCell ref="J2560:L2560"/>
    <mergeCell ref="J2567:L2567"/>
    <mergeCell ref="J2574:L2574"/>
    <mergeCell ref="J2581:L2581"/>
    <mergeCell ref="J2588:L2588"/>
    <mergeCell ref="J2595:L2595"/>
    <mergeCell ref="J2518:L2518"/>
    <mergeCell ref="J2525:L2525"/>
    <mergeCell ref="J2532:L2532"/>
    <mergeCell ref="J2539:L2539"/>
    <mergeCell ref="J2546:L2546"/>
    <mergeCell ref="J2553:L2553"/>
    <mergeCell ref="J2476:L2476"/>
    <mergeCell ref="J2483:L2483"/>
    <mergeCell ref="J2490:L2490"/>
    <mergeCell ref="J2497:L2497"/>
    <mergeCell ref="J2504:L2504"/>
    <mergeCell ref="J2511:L2511"/>
    <mergeCell ref="J2434:L2434"/>
    <mergeCell ref="J2441:L2441"/>
    <mergeCell ref="J2448:L2448"/>
    <mergeCell ref="J2455:L2455"/>
    <mergeCell ref="J2462:L2462"/>
    <mergeCell ref="J2469:L2469"/>
    <mergeCell ref="J2392:L2392"/>
    <mergeCell ref="J2399:L2399"/>
    <mergeCell ref="J2406:L2406"/>
    <mergeCell ref="J2413:L2413"/>
    <mergeCell ref="J2420:L2420"/>
    <mergeCell ref="J2427:L2427"/>
    <mergeCell ref="J2350:L2350"/>
    <mergeCell ref="J2357:L2357"/>
    <mergeCell ref="J2364:L2364"/>
    <mergeCell ref="J2371:L2371"/>
    <mergeCell ref="J2378:L2378"/>
    <mergeCell ref="J2385:L2385"/>
    <mergeCell ref="J2308:L2308"/>
    <mergeCell ref="J2315:L2315"/>
    <mergeCell ref="J2322:L2322"/>
    <mergeCell ref="J2329:L2329"/>
    <mergeCell ref="J2336:L2336"/>
    <mergeCell ref="J2343:L2343"/>
    <mergeCell ref="J2266:L2266"/>
    <mergeCell ref="J2273:L2273"/>
    <mergeCell ref="J2280:L2280"/>
    <mergeCell ref="J2287:L2287"/>
    <mergeCell ref="J2294:L2294"/>
    <mergeCell ref="J2301:L2301"/>
    <mergeCell ref="J2224:L2224"/>
    <mergeCell ref="J2231:L2231"/>
    <mergeCell ref="J2238:L2238"/>
    <mergeCell ref="J2245:L2245"/>
    <mergeCell ref="J2252:L2252"/>
    <mergeCell ref="J2259:L2259"/>
    <mergeCell ref="J2182:L2182"/>
    <mergeCell ref="J2189:L2189"/>
    <mergeCell ref="J2196:L2196"/>
    <mergeCell ref="J2203:L2203"/>
    <mergeCell ref="J2210:L2210"/>
    <mergeCell ref="J2217:L2217"/>
    <mergeCell ref="J2140:L2140"/>
    <mergeCell ref="J2147:L2147"/>
    <mergeCell ref="J2154:L2154"/>
    <mergeCell ref="J2161:L2161"/>
    <mergeCell ref="J2168:L2168"/>
    <mergeCell ref="J2175:L2175"/>
    <mergeCell ref="J2098:L2098"/>
    <mergeCell ref="J2105:L2105"/>
    <mergeCell ref="J2112:L2112"/>
    <mergeCell ref="J2119:L2119"/>
    <mergeCell ref="J2126:L2126"/>
    <mergeCell ref="J2133:L2133"/>
    <mergeCell ref="J2056:L2056"/>
    <mergeCell ref="J2063:L2063"/>
    <mergeCell ref="J2070:L2070"/>
    <mergeCell ref="J2077:L2077"/>
    <mergeCell ref="J2084:L2084"/>
    <mergeCell ref="J2091:L2091"/>
    <mergeCell ref="J2014:L2014"/>
    <mergeCell ref="J2021:L2021"/>
    <mergeCell ref="J2028:L2028"/>
    <mergeCell ref="J2035:L2035"/>
    <mergeCell ref="J2042:L2042"/>
    <mergeCell ref="J2049:L2049"/>
    <mergeCell ref="J1972:L1972"/>
    <mergeCell ref="J1979:L1979"/>
    <mergeCell ref="J1986:L1986"/>
    <mergeCell ref="J1993:L1993"/>
    <mergeCell ref="J2000:L2000"/>
    <mergeCell ref="J2007:L2007"/>
    <mergeCell ref="J1930:L1930"/>
    <mergeCell ref="J1937:L1937"/>
    <mergeCell ref="J1944:L1944"/>
    <mergeCell ref="J1951:L1951"/>
    <mergeCell ref="J1958:L1958"/>
    <mergeCell ref="J1965:L1965"/>
    <mergeCell ref="J1888:L1888"/>
    <mergeCell ref="J1895:L1895"/>
    <mergeCell ref="J1902:L1902"/>
    <mergeCell ref="J1909:L1909"/>
    <mergeCell ref="J1916:L1916"/>
    <mergeCell ref="J1923:L1923"/>
    <mergeCell ref="J1846:L1846"/>
    <mergeCell ref="J1853:L1853"/>
    <mergeCell ref="J1860:L1860"/>
    <mergeCell ref="J1867:L1867"/>
    <mergeCell ref="J1874:L1874"/>
    <mergeCell ref="J1881:L1881"/>
    <mergeCell ref="J1804:L1804"/>
    <mergeCell ref="J1811:L1811"/>
    <mergeCell ref="J1818:L1818"/>
    <mergeCell ref="J1825:L1825"/>
    <mergeCell ref="J1832:L1832"/>
    <mergeCell ref="J1839:L1839"/>
    <mergeCell ref="J1762:L1762"/>
    <mergeCell ref="J1769:L1769"/>
    <mergeCell ref="J1776:L1776"/>
    <mergeCell ref="J1783:L1783"/>
    <mergeCell ref="J1790:L1790"/>
    <mergeCell ref="J1797:L1797"/>
    <mergeCell ref="J1720:L1720"/>
    <mergeCell ref="J1727:L1727"/>
    <mergeCell ref="J1734:L1734"/>
    <mergeCell ref="J1741:L1741"/>
    <mergeCell ref="J1748:L1748"/>
    <mergeCell ref="J1755:L1755"/>
    <mergeCell ref="J1678:L1678"/>
    <mergeCell ref="J1685:L1685"/>
    <mergeCell ref="J1692:L1692"/>
    <mergeCell ref="J1699:L1699"/>
    <mergeCell ref="J1706:L1706"/>
    <mergeCell ref="J1713:L1713"/>
    <mergeCell ref="J1636:L1636"/>
    <mergeCell ref="J1643:L1643"/>
    <mergeCell ref="J1650:L1650"/>
    <mergeCell ref="J1657:L1657"/>
    <mergeCell ref="J1664:L1664"/>
    <mergeCell ref="J1671:L1671"/>
    <mergeCell ref="J1594:L1594"/>
    <mergeCell ref="J1601:L1601"/>
    <mergeCell ref="J1608:L1608"/>
    <mergeCell ref="J1615:L1615"/>
    <mergeCell ref="J1622:L1622"/>
    <mergeCell ref="J1629:L1629"/>
    <mergeCell ref="J1552:L1552"/>
    <mergeCell ref="J1559:L1559"/>
    <mergeCell ref="J1566:L1566"/>
    <mergeCell ref="J1573:L1573"/>
    <mergeCell ref="J1580:L1580"/>
    <mergeCell ref="J1587:L1587"/>
    <mergeCell ref="J1510:L1510"/>
    <mergeCell ref="J1517:L1517"/>
    <mergeCell ref="J1524:L1524"/>
    <mergeCell ref="J1531:L1531"/>
    <mergeCell ref="J1538:L1538"/>
    <mergeCell ref="J1545:L1545"/>
    <mergeCell ref="J1468:L1468"/>
    <mergeCell ref="J1475:L1475"/>
    <mergeCell ref="J1482:L1482"/>
    <mergeCell ref="J1489:L1489"/>
    <mergeCell ref="J1496:L1496"/>
    <mergeCell ref="J1503:L1503"/>
    <mergeCell ref="J1426:L1426"/>
    <mergeCell ref="J1433:L1433"/>
    <mergeCell ref="J1440:L1440"/>
    <mergeCell ref="J1447:L1447"/>
    <mergeCell ref="J1454:L1454"/>
    <mergeCell ref="J1461:L1461"/>
    <mergeCell ref="J1384:L1384"/>
    <mergeCell ref="J1391:L1391"/>
    <mergeCell ref="J1398:L1398"/>
    <mergeCell ref="J1405:L1405"/>
    <mergeCell ref="J1412:L1412"/>
    <mergeCell ref="J1419:L1419"/>
    <mergeCell ref="J1342:L1342"/>
    <mergeCell ref="J1349:L1349"/>
    <mergeCell ref="J1356:L1356"/>
    <mergeCell ref="J1363:L1363"/>
    <mergeCell ref="J1370:L1370"/>
    <mergeCell ref="J1377:L1377"/>
    <mergeCell ref="J1300:L1300"/>
    <mergeCell ref="J1307:L1307"/>
    <mergeCell ref="J1314:L1314"/>
    <mergeCell ref="J1321:L1321"/>
    <mergeCell ref="J1328:L1328"/>
    <mergeCell ref="J1335:L1335"/>
    <mergeCell ref="J1258:L1258"/>
    <mergeCell ref="J1265:L1265"/>
    <mergeCell ref="J1272:L1272"/>
    <mergeCell ref="J1279:L1279"/>
    <mergeCell ref="J1286:L1286"/>
    <mergeCell ref="J1293:L1293"/>
    <mergeCell ref="J1216:L1216"/>
    <mergeCell ref="J1223:L1223"/>
    <mergeCell ref="J1230:L1230"/>
    <mergeCell ref="J1237:L1237"/>
    <mergeCell ref="J1244:L1244"/>
    <mergeCell ref="J1251:L1251"/>
    <mergeCell ref="J1174:L1174"/>
    <mergeCell ref="J1181:L1181"/>
    <mergeCell ref="J1188:L1188"/>
    <mergeCell ref="J1195:L1195"/>
    <mergeCell ref="J1202:L1202"/>
    <mergeCell ref="J1209:L1209"/>
    <mergeCell ref="J1132:L1132"/>
    <mergeCell ref="J1139:L1139"/>
    <mergeCell ref="J1146:L1146"/>
    <mergeCell ref="J1153:L1153"/>
    <mergeCell ref="J1160:L1160"/>
    <mergeCell ref="J1167:L1167"/>
    <mergeCell ref="J1090:L1090"/>
    <mergeCell ref="J1097:L1097"/>
    <mergeCell ref="J1104:L1104"/>
    <mergeCell ref="J1111:L1111"/>
    <mergeCell ref="J1118:L1118"/>
    <mergeCell ref="J1125:L1125"/>
    <mergeCell ref="J1048:L1048"/>
    <mergeCell ref="J1055:L1055"/>
    <mergeCell ref="J1062:L1062"/>
    <mergeCell ref="J1069:L1069"/>
    <mergeCell ref="J1076:L1076"/>
    <mergeCell ref="J1083:L1083"/>
    <mergeCell ref="J1006:L1006"/>
    <mergeCell ref="J1013:L1013"/>
    <mergeCell ref="J1020:L1020"/>
    <mergeCell ref="J1027:L1027"/>
    <mergeCell ref="J1034:L1034"/>
    <mergeCell ref="J1041:L1041"/>
    <mergeCell ref="J964:L964"/>
    <mergeCell ref="J971:L971"/>
    <mergeCell ref="J978:L978"/>
    <mergeCell ref="J985:L985"/>
    <mergeCell ref="J992:L992"/>
    <mergeCell ref="J999:L999"/>
    <mergeCell ref="J922:L922"/>
    <mergeCell ref="J929:L929"/>
    <mergeCell ref="J936:L936"/>
    <mergeCell ref="J943:L943"/>
    <mergeCell ref="J950:L950"/>
    <mergeCell ref="J957:L957"/>
    <mergeCell ref="J880:L880"/>
    <mergeCell ref="J887:L887"/>
    <mergeCell ref="J894:L894"/>
    <mergeCell ref="J901:L901"/>
    <mergeCell ref="J908:L908"/>
    <mergeCell ref="J915:L915"/>
    <mergeCell ref="J838:L838"/>
    <mergeCell ref="J845:L845"/>
    <mergeCell ref="J852:L852"/>
    <mergeCell ref="J859:L859"/>
    <mergeCell ref="J866:L866"/>
    <mergeCell ref="J873:L873"/>
    <mergeCell ref="J796:L796"/>
    <mergeCell ref="J803:L803"/>
    <mergeCell ref="J810:L810"/>
    <mergeCell ref="J817:L817"/>
    <mergeCell ref="J824:L824"/>
    <mergeCell ref="J831:L831"/>
    <mergeCell ref="J754:L754"/>
    <mergeCell ref="J761:L761"/>
    <mergeCell ref="J768:L768"/>
    <mergeCell ref="J775:L775"/>
    <mergeCell ref="J782:L782"/>
    <mergeCell ref="J789:L789"/>
    <mergeCell ref="J712:L712"/>
    <mergeCell ref="J719:L719"/>
    <mergeCell ref="J726:L726"/>
    <mergeCell ref="J733:L733"/>
    <mergeCell ref="J740:L740"/>
    <mergeCell ref="J747:L747"/>
    <mergeCell ref="J670:L670"/>
    <mergeCell ref="J677:L677"/>
    <mergeCell ref="J684:L684"/>
    <mergeCell ref="J691:L691"/>
    <mergeCell ref="J698:L698"/>
    <mergeCell ref="J705:L705"/>
    <mergeCell ref="J628:L628"/>
    <mergeCell ref="J635:L635"/>
    <mergeCell ref="J642:L642"/>
    <mergeCell ref="J649:L649"/>
    <mergeCell ref="J656:L656"/>
    <mergeCell ref="J663:L663"/>
    <mergeCell ref="J586:L586"/>
    <mergeCell ref="J593:L593"/>
    <mergeCell ref="J600:L600"/>
    <mergeCell ref="J607:L607"/>
    <mergeCell ref="J614:L614"/>
    <mergeCell ref="J621:L621"/>
    <mergeCell ref="J544:L544"/>
    <mergeCell ref="J551:L551"/>
    <mergeCell ref="J558:L558"/>
    <mergeCell ref="J565:L565"/>
    <mergeCell ref="J572:L572"/>
    <mergeCell ref="J579:L579"/>
    <mergeCell ref="J502:L502"/>
    <mergeCell ref="J509:L509"/>
    <mergeCell ref="J516:L516"/>
    <mergeCell ref="J523:L523"/>
    <mergeCell ref="J530:L530"/>
    <mergeCell ref="J537:L537"/>
    <mergeCell ref="J460:L460"/>
    <mergeCell ref="J467:L467"/>
    <mergeCell ref="J474:L474"/>
    <mergeCell ref="J481:L481"/>
    <mergeCell ref="J488:L488"/>
    <mergeCell ref="J495:L495"/>
    <mergeCell ref="J418:L418"/>
    <mergeCell ref="J425:L425"/>
    <mergeCell ref="J432:L432"/>
    <mergeCell ref="J439:L439"/>
    <mergeCell ref="J446:L446"/>
    <mergeCell ref="J453:L453"/>
    <mergeCell ref="J376:L376"/>
    <mergeCell ref="J383:L383"/>
    <mergeCell ref="J390:L390"/>
    <mergeCell ref="J397:L397"/>
    <mergeCell ref="J404:L404"/>
    <mergeCell ref="J411:L411"/>
    <mergeCell ref="J334:L334"/>
    <mergeCell ref="J341:L341"/>
    <mergeCell ref="J348:L348"/>
    <mergeCell ref="J355:L355"/>
    <mergeCell ref="J362:L362"/>
    <mergeCell ref="J369:L369"/>
    <mergeCell ref="J292:L292"/>
    <mergeCell ref="J299:L299"/>
    <mergeCell ref="J306:L306"/>
    <mergeCell ref="J313:L313"/>
    <mergeCell ref="J320:L320"/>
    <mergeCell ref="J327:L327"/>
    <mergeCell ref="J250:L250"/>
    <mergeCell ref="J257:L257"/>
    <mergeCell ref="J264:L264"/>
    <mergeCell ref="J271:L271"/>
    <mergeCell ref="J278:L278"/>
    <mergeCell ref="J285:L285"/>
    <mergeCell ref="J208:L208"/>
    <mergeCell ref="J215:L215"/>
    <mergeCell ref="J222:L222"/>
    <mergeCell ref="J229:L229"/>
    <mergeCell ref="J236:L236"/>
    <mergeCell ref="J243:L243"/>
    <mergeCell ref="J166:L166"/>
    <mergeCell ref="J173:L173"/>
    <mergeCell ref="J180:L180"/>
    <mergeCell ref="J187:L187"/>
    <mergeCell ref="J194:L194"/>
    <mergeCell ref="J201:L201"/>
    <mergeCell ref="J124:L124"/>
    <mergeCell ref="J131:L131"/>
    <mergeCell ref="J138:L138"/>
    <mergeCell ref="J145:L145"/>
    <mergeCell ref="J152:L152"/>
    <mergeCell ref="J159:L159"/>
    <mergeCell ref="J82:L82"/>
    <mergeCell ref="J89:L89"/>
    <mergeCell ref="J96:L96"/>
    <mergeCell ref="J103:L103"/>
    <mergeCell ref="J110:L110"/>
    <mergeCell ref="J117:L117"/>
    <mergeCell ref="J47:L47"/>
    <mergeCell ref="J54:L54"/>
    <mergeCell ref="J61:L61"/>
    <mergeCell ref="J68:L68"/>
    <mergeCell ref="J75:L75"/>
    <mergeCell ref="R10:R11"/>
    <mergeCell ref="S10:S11"/>
    <mergeCell ref="T10:U10"/>
    <mergeCell ref="J19:L19"/>
    <mergeCell ref="J26:L26"/>
    <mergeCell ref="J33:L33"/>
    <mergeCell ref="K10:L10"/>
    <mergeCell ref="M10:M11"/>
    <mergeCell ref="N10:N11"/>
    <mergeCell ref="O10:O11"/>
    <mergeCell ref="P10:P11"/>
    <mergeCell ref="Q10:Q11"/>
    <mergeCell ref="B10:B11"/>
    <mergeCell ref="C10:C11"/>
    <mergeCell ref="D10:D11"/>
    <mergeCell ref="E10:E11"/>
    <mergeCell ref="F10:F11"/>
    <mergeCell ref="G10:G11"/>
    <mergeCell ref="H10:H11"/>
    <mergeCell ref="I10:J10"/>
    <mergeCell ref="J40:L40"/>
  </mergeCells>
  <conditionalFormatting sqref="C5">
    <cfRule type="expression" priority="3" stopIfTrue="1">
      <formula xml:space="preserve"> $O$13&lt;&gt;""</formula>
    </cfRule>
  </conditionalFormatting>
  <conditionalFormatting sqref="D6">
    <cfRule type="expression" priority="2" stopIfTrue="1">
      <formula xml:space="preserve"> $O$188&lt;&gt;""</formula>
    </cfRule>
  </conditionalFormatting>
  <conditionalFormatting sqref="C13">
    <cfRule type="expression" priority="1" stopIfTrue="1">
      <formula xml:space="preserve"> $O$342&lt;&gt;""</formula>
    </cfRule>
  </conditionalFormatting>
  <dataValidations count="1">
    <dataValidation type="date" operator="greaterThanOrEqual" allowBlank="1" showInputMessage="1" showErrorMessage="1" sqref="F4:G4 U3:U5" xr:uid="{00000000-0002-0000-0200-000000000000}">
      <formula1>42880</formula1>
    </dataValidation>
  </dataValidations>
  <printOptions horizontalCentered="1"/>
  <pageMargins left="0.59055118110236227" right="0" top="0" bottom="0" header="0" footer="0"/>
  <pageSetup paperSize="9" scale="72" fitToHeight="0" orientation="portrait" blackAndWhite="1" r:id="rId1"/>
  <headerFooter>
    <oddFooter>&amp;CСтр. &amp;P от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BtnSpravka">
          <controlPr defaultSize="0" autoLine="0" r:id="rId5">
            <anchor moveWithCells="1">
              <from>
                <xdr:col>4</xdr:col>
                <xdr:colOff>285750</xdr:colOff>
                <xdr:row>4</xdr:row>
                <xdr:rowOff>47625</xdr:rowOff>
              </from>
              <to>
                <xdr:col>7</xdr:col>
                <xdr:colOff>171450</xdr:colOff>
                <xdr:row>6</xdr:row>
                <xdr:rowOff>19050</xdr:rowOff>
              </to>
            </anchor>
          </controlPr>
        </control>
      </mc:Choice>
      <mc:Fallback>
        <control shapeId="8193" r:id="rId4" name="ComBtnSpravk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A1:AB71"/>
  <sheetViews>
    <sheetView showGridLines="0" showRowColHeaders="0" tabSelected="1" topLeftCell="A25" workbookViewId="0">
      <selection activeCell="D7" activeCellId="2" sqref="C3:Q3 D5 D7"/>
    </sheetView>
  </sheetViews>
  <sheetFormatPr defaultRowHeight="15" x14ac:dyDescent="0.25"/>
  <cols>
    <col min="1" max="1" width="1.28515625" customWidth="1"/>
    <col min="2" max="2" width="1.42578125" customWidth="1"/>
    <col min="3" max="26" width="5.85546875" customWidth="1"/>
    <col min="27" max="28" width="1.28515625" customWidth="1"/>
  </cols>
  <sheetData>
    <row r="1" spans="1:28" ht="235.5" customHeight="1" x14ac:dyDescent="0.25">
      <c r="A1" s="2"/>
      <c r="B1" s="446" t="s">
        <v>224</v>
      </c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2"/>
    </row>
    <row r="2" spans="1:28" ht="6.75" customHeight="1" x14ac:dyDescent="0.25">
      <c r="A2" s="2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  <c r="AB2" s="2"/>
    </row>
    <row r="3" spans="1:28" ht="17.25" x14ac:dyDescent="0.25">
      <c r="A3" s="2"/>
      <c r="B3" s="7"/>
      <c r="C3" s="9" t="s">
        <v>213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10"/>
      <c r="AB3" s="3"/>
    </row>
    <row r="4" spans="1:28" ht="5.25" customHeight="1" thickBot="1" x14ac:dyDescent="0.3">
      <c r="A4" s="2"/>
      <c r="B4" s="7"/>
      <c r="C4" s="8"/>
      <c r="D4" s="8"/>
      <c r="E4" s="8"/>
      <c r="F4" s="8"/>
      <c r="G4" s="8"/>
      <c r="H4" s="8"/>
      <c r="I4" s="8"/>
      <c r="J4" s="8"/>
      <c r="K4" s="11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3"/>
    </row>
    <row r="5" spans="1:28" ht="21.75" customHeight="1" thickBot="1" x14ac:dyDescent="0.3">
      <c r="A5" s="2"/>
      <c r="B5" s="7"/>
      <c r="C5" s="261" t="s">
        <v>110</v>
      </c>
      <c r="D5" s="261" t="s">
        <v>111</v>
      </c>
      <c r="E5" s="261" t="s">
        <v>112</v>
      </c>
      <c r="F5" s="261" t="s">
        <v>113</v>
      </c>
      <c r="G5" s="261" t="s">
        <v>109</v>
      </c>
      <c r="H5" s="261" t="s">
        <v>114</v>
      </c>
      <c r="I5" s="261" t="s">
        <v>115</v>
      </c>
      <c r="J5" s="261" t="s">
        <v>116</v>
      </c>
      <c r="K5" s="261" t="s">
        <v>117</v>
      </c>
      <c r="L5" s="261" t="s">
        <v>118</v>
      </c>
      <c r="M5" s="261" t="s">
        <v>119</v>
      </c>
      <c r="N5" s="261" t="s">
        <v>120</v>
      </c>
      <c r="O5" s="261" t="s">
        <v>121</v>
      </c>
      <c r="P5" s="261" t="s">
        <v>122</v>
      </c>
      <c r="Q5" s="261" t="s">
        <v>123</v>
      </c>
      <c r="R5" s="261" t="s">
        <v>124</v>
      </c>
      <c r="S5" s="261" t="s">
        <v>125</v>
      </c>
      <c r="T5" s="261" t="s">
        <v>126</v>
      </c>
      <c r="U5" s="261" t="s">
        <v>127</v>
      </c>
      <c r="V5" s="261" t="s">
        <v>128</v>
      </c>
      <c r="W5" s="261" t="s">
        <v>129</v>
      </c>
      <c r="X5" s="261" t="s">
        <v>130</v>
      </c>
      <c r="Y5" s="261" t="s">
        <v>131</v>
      </c>
      <c r="Z5" s="261" t="s">
        <v>132</v>
      </c>
      <c r="AA5" s="10"/>
      <c r="AB5" s="3"/>
    </row>
    <row r="6" spans="1:28" ht="21.75" customHeight="1" thickBot="1" x14ac:dyDescent="0.3">
      <c r="A6" s="2"/>
      <c r="B6" s="7"/>
      <c r="C6" s="261" t="s">
        <v>133</v>
      </c>
      <c r="D6" s="261" t="s">
        <v>134</v>
      </c>
      <c r="E6" s="261" t="s">
        <v>135</v>
      </c>
      <c r="F6" s="261" t="s">
        <v>136</v>
      </c>
      <c r="G6" s="261" t="s">
        <v>137</v>
      </c>
      <c r="H6" s="261" t="s">
        <v>138</v>
      </c>
      <c r="I6" s="261" t="s">
        <v>139</v>
      </c>
      <c r="J6" s="261" t="s">
        <v>140</v>
      </c>
      <c r="K6" s="261" t="s">
        <v>141</v>
      </c>
      <c r="L6" s="261" t="s">
        <v>142</v>
      </c>
      <c r="M6" s="261" t="s">
        <v>143</v>
      </c>
      <c r="N6" s="260" t="s">
        <v>144</v>
      </c>
      <c r="O6" s="260" t="s">
        <v>145</v>
      </c>
      <c r="P6" s="260" t="s">
        <v>146</v>
      </c>
      <c r="Q6" s="260" t="s">
        <v>147</v>
      </c>
      <c r="R6" s="261" t="s">
        <v>148</v>
      </c>
      <c r="S6" s="260" t="s">
        <v>149</v>
      </c>
      <c r="T6" s="260" t="s">
        <v>150</v>
      </c>
      <c r="U6" s="261" t="s">
        <v>151</v>
      </c>
      <c r="V6" s="261" t="s">
        <v>152</v>
      </c>
      <c r="W6" s="260" t="s">
        <v>153</v>
      </c>
      <c r="X6" s="260" t="s">
        <v>154</v>
      </c>
      <c r="Y6" s="260" t="s">
        <v>156</v>
      </c>
      <c r="Z6" s="24"/>
      <c r="AA6" s="10"/>
      <c r="AB6" s="3"/>
    </row>
    <row r="7" spans="1:28" ht="8.25" customHeight="1" x14ac:dyDescent="0.25">
      <c r="A7" s="2"/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4"/>
      <c r="AB7" s="3"/>
    </row>
    <row r="8" spans="1:28" ht="6.75" customHeight="1" x14ac:dyDescent="0.25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7.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</row>
    <row r="10" spans="1:28" ht="6.75" customHeight="1" x14ac:dyDescent="0.25">
      <c r="A10" s="2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6"/>
      <c r="AB10" s="2"/>
    </row>
    <row r="11" spans="1:28" ht="17.25" x14ac:dyDescent="0.25">
      <c r="A11" s="2"/>
      <c r="B11" s="7"/>
      <c r="C11" s="9" t="s">
        <v>214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10"/>
      <c r="AB11" s="3"/>
    </row>
    <row r="12" spans="1:28" ht="5.25" customHeight="1" thickBot="1" x14ac:dyDescent="0.3">
      <c r="A12" s="2"/>
      <c r="B12" s="7"/>
      <c r="C12" s="8"/>
      <c r="D12" s="8"/>
      <c r="E12" s="8"/>
      <c r="F12" s="8"/>
      <c r="G12" s="8"/>
      <c r="H12" s="8"/>
      <c r="I12" s="8"/>
      <c r="J12" s="8"/>
      <c r="K12" s="11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10"/>
      <c r="AB12" s="3"/>
    </row>
    <row r="13" spans="1:28" ht="21.75" customHeight="1" thickBot="1" x14ac:dyDescent="0.3">
      <c r="A13" s="2"/>
      <c r="B13" s="7"/>
      <c r="C13" s="261" t="s">
        <v>110</v>
      </c>
      <c r="D13" s="261" t="s">
        <v>111</v>
      </c>
      <c r="E13" s="261" t="s">
        <v>112</v>
      </c>
      <c r="F13" s="261" t="s">
        <v>113</v>
      </c>
      <c r="G13" s="261" t="s">
        <v>109</v>
      </c>
      <c r="H13" s="261" t="s">
        <v>114</v>
      </c>
      <c r="I13" s="261" t="s">
        <v>115</v>
      </c>
      <c r="J13" s="261" t="s">
        <v>116</v>
      </c>
      <c r="K13" s="261" t="s">
        <v>117</v>
      </c>
      <c r="L13" s="261" t="s">
        <v>118</v>
      </c>
      <c r="M13" s="261" t="s">
        <v>119</v>
      </c>
      <c r="N13" s="261" t="s">
        <v>120</v>
      </c>
      <c r="O13" s="261" t="s">
        <v>121</v>
      </c>
      <c r="P13" s="261" t="s">
        <v>122</v>
      </c>
      <c r="Q13" s="261" t="s">
        <v>123</v>
      </c>
      <c r="R13" s="261" t="s">
        <v>124</v>
      </c>
      <c r="S13" s="261" t="s">
        <v>125</v>
      </c>
      <c r="T13" s="261" t="s">
        <v>126</v>
      </c>
      <c r="U13" s="261" t="s">
        <v>127</v>
      </c>
      <c r="V13" s="261" t="s">
        <v>128</v>
      </c>
      <c r="W13" s="261" t="s">
        <v>129</v>
      </c>
      <c r="X13" s="261" t="s">
        <v>130</v>
      </c>
      <c r="Y13" s="261" t="s">
        <v>131</v>
      </c>
      <c r="Z13" s="261" t="s">
        <v>132</v>
      </c>
      <c r="AA13" s="10"/>
      <c r="AB13" s="3"/>
    </row>
    <row r="14" spans="1:28" ht="21.75" customHeight="1" thickBot="1" x14ac:dyDescent="0.3">
      <c r="A14" s="2"/>
      <c r="B14" s="7"/>
      <c r="C14" s="261" t="s">
        <v>133</v>
      </c>
      <c r="D14" s="261" t="s">
        <v>134</v>
      </c>
      <c r="E14" s="261" t="s">
        <v>135</v>
      </c>
      <c r="F14" s="261" t="s">
        <v>136</v>
      </c>
      <c r="G14" s="261" t="s">
        <v>137</v>
      </c>
      <c r="H14" s="261" t="s">
        <v>138</v>
      </c>
      <c r="I14" s="261" t="s">
        <v>139</v>
      </c>
      <c r="J14" s="261" t="s">
        <v>140</v>
      </c>
      <c r="K14" s="261" t="s">
        <v>141</v>
      </c>
      <c r="L14" s="261" t="s">
        <v>142</v>
      </c>
      <c r="M14" s="261" t="s">
        <v>143</v>
      </c>
      <c r="N14" s="260" t="s">
        <v>144</v>
      </c>
      <c r="O14" s="260" t="s">
        <v>145</v>
      </c>
      <c r="P14" s="260" t="s">
        <v>146</v>
      </c>
      <c r="Q14" s="260" t="s">
        <v>147</v>
      </c>
      <c r="R14" s="261" t="s">
        <v>148</v>
      </c>
      <c r="S14" s="260" t="s">
        <v>149</v>
      </c>
      <c r="T14" s="260" t="s">
        <v>150</v>
      </c>
      <c r="U14" s="261" t="s">
        <v>151</v>
      </c>
      <c r="V14" s="261" t="s">
        <v>152</v>
      </c>
      <c r="W14" s="260" t="s">
        <v>153</v>
      </c>
      <c r="X14" s="260" t="s">
        <v>154</v>
      </c>
      <c r="Y14" s="260" t="s">
        <v>156</v>
      </c>
      <c r="Z14" s="24"/>
      <c r="AA14" s="10"/>
      <c r="AB14" s="3"/>
    </row>
    <row r="15" spans="1:28" ht="8.25" customHeight="1" x14ac:dyDescent="0.25">
      <c r="A15" s="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4"/>
      <c r="AB15" s="3"/>
    </row>
    <row r="16" spans="1:28" ht="6.75" customHeight="1" x14ac:dyDescent="0.25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ht="7.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</row>
    <row r="18" spans="1:28" ht="6.75" customHeight="1" x14ac:dyDescent="0.25">
      <c r="A18" s="2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6"/>
      <c r="AB18" s="2"/>
    </row>
    <row r="19" spans="1:28" ht="17.25" x14ac:dyDescent="0.25">
      <c r="A19" s="2"/>
      <c r="B19" s="7"/>
      <c r="C19" s="9" t="s">
        <v>215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10"/>
      <c r="AB19" s="3"/>
    </row>
    <row r="20" spans="1:28" ht="5.25" customHeight="1" thickBot="1" x14ac:dyDescent="0.3">
      <c r="A20" s="2"/>
      <c r="B20" s="7"/>
      <c r="C20" s="8"/>
      <c r="D20" s="8"/>
      <c r="E20" s="8"/>
      <c r="F20" s="8"/>
      <c r="G20" s="8"/>
      <c r="H20" s="8"/>
      <c r="I20" s="8"/>
      <c r="J20" s="8"/>
      <c r="K20" s="11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10"/>
      <c r="AB20" s="3"/>
    </row>
    <row r="21" spans="1:28" ht="21.75" customHeight="1" thickBot="1" x14ac:dyDescent="0.3">
      <c r="A21" s="2"/>
      <c r="B21" s="7"/>
      <c r="C21" s="261" t="s">
        <v>110</v>
      </c>
      <c r="D21" s="261" t="s">
        <v>111</v>
      </c>
      <c r="E21" s="261" t="s">
        <v>112</v>
      </c>
      <c r="F21" s="261" t="s">
        <v>113</v>
      </c>
      <c r="G21" s="261" t="s">
        <v>109</v>
      </c>
      <c r="H21" s="261" t="s">
        <v>114</v>
      </c>
      <c r="I21" s="261" t="s">
        <v>115</v>
      </c>
      <c r="J21" s="261" t="s">
        <v>116</v>
      </c>
      <c r="K21" s="261" t="s">
        <v>117</v>
      </c>
      <c r="L21" s="261" t="s">
        <v>118</v>
      </c>
      <c r="M21" s="261" t="s">
        <v>119</v>
      </c>
      <c r="N21" s="261" t="s">
        <v>120</v>
      </c>
      <c r="O21" s="261" t="s">
        <v>121</v>
      </c>
      <c r="P21" s="261" t="s">
        <v>122</v>
      </c>
      <c r="Q21" s="261" t="s">
        <v>123</v>
      </c>
      <c r="R21" s="261" t="s">
        <v>124</v>
      </c>
      <c r="S21" s="261" t="s">
        <v>125</v>
      </c>
      <c r="T21" s="261" t="s">
        <v>126</v>
      </c>
      <c r="U21" s="261" t="s">
        <v>127</v>
      </c>
      <c r="V21" s="261" t="s">
        <v>128</v>
      </c>
      <c r="W21" s="261" t="s">
        <v>129</v>
      </c>
      <c r="X21" s="261" t="s">
        <v>130</v>
      </c>
      <c r="Y21" s="261" t="s">
        <v>131</v>
      </c>
      <c r="Z21" s="261" t="s">
        <v>132</v>
      </c>
      <c r="AA21" s="10"/>
      <c r="AB21" s="3"/>
    </row>
    <row r="22" spans="1:28" ht="21.75" customHeight="1" thickBot="1" x14ac:dyDescent="0.3">
      <c r="A22" s="2"/>
      <c r="B22" s="7"/>
      <c r="C22" s="261" t="s">
        <v>133</v>
      </c>
      <c r="D22" s="261" t="s">
        <v>134</v>
      </c>
      <c r="E22" s="261" t="s">
        <v>135</v>
      </c>
      <c r="F22" s="261" t="s">
        <v>136</v>
      </c>
      <c r="G22" s="261" t="s">
        <v>137</v>
      </c>
      <c r="H22" s="261" t="s">
        <v>138</v>
      </c>
      <c r="I22" s="261" t="s">
        <v>139</v>
      </c>
      <c r="J22" s="261" t="s">
        <v>140</v>
      </c>
      <c r="K22" s="261" t="s">
        <v>141</v>
      </c>
      <c r="L22" s="261" t="s">
        <v>142</v>
      </c>
      <c r="M22" s="261" t="s">
        <v>143</v>
      </c>
      <c r="N22" s="260" t="s">
        <v>144</v>
      </c>
      <c r="O22" s="260" t="s">
        <v>145</v>
      </c>
      <c r="P22" s="260" t="s">
        <v>146</v>
      </c>
      <c r="Q22" s="260" t="s">
        <v>147</v>
      </c>
      <c r="R22" s="261" t="s">
        <v>148</v>
      </c>
      <c r="S22" s="260" t="s">
        <v>149</v>
      </c>
      <c r="T22" s="260" t="s">
        <v>150</v>
      </c>
      <c r="U22" s="261" t="s">
        <v>151</v>
      </c>
      <c r="V22" s="261" t="s">
        <v>152</v>
      </c>
      <c r="W22" s="260" t="s">
        <v>153</v>
      </c>
      <c r="X22" s="260" t="s">
        <v>154</v>
      </c>
      <c r="Y22" s="260" t="s">
        <v>156</v>
      </c>
      <c r="Z22" s="24"/>
      <c r="AA22" s="10"/>
      <c r="AB22" s="3"/>
    </row>
    <row r="23" spans="1:28" ht="8.25" customHeight="1" x14ac:dyDescent="0.25">
      <c r="A23" s="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4"/>
      <c r="AB23" s="3"/>
    </row>
    <row r="24" spans="1:28" ht="6.75" customHeight="1" x14ac:dyDescent="0.25">
      <c r="A24" s="2"/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1:28" ht="7.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</row>
    <row r="26" spans="1:28" ht="6.75" customHeight="1" x14ac:dyDescent="0.25">
      <c r="A26" s="2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6"/>
      <c r="AB26" s="2"/>
    </row>
    <row r="27" spans="1:28" ht="17.25" x14ac:dyDescent="0.25">
      <c r="A27" s="2"/>
      <c r="B27" s="7"/>
      <c r="C27" s="9" t="s">
        <v>216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10"/>
      <c r="AB27" s="3"/>
    </row>
    <row r="28" spans="1:28" ht="5.25" customHeight="1" thickBot="1" x14ac:dyDescent="0.3">
      <c r="A28" s="2"/>
      <c r="B28" s="7"/>
      <c r="C28" s="8"/>
      <c r="D28" s="8"/>
      <c r="E28" s="8"/>
      <c r="F28" s="8"/>
      <c r="G28" s="8"/>
      <c r="H28" s="8"/>
      <c r="I28" s="8"/>
      <c r="J28" s="8"/>
      <c r="K28" s="11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10"/>
      <c r="AB28" s="3"/>
    </row>
    <row r="29" spans="1:28" ht="21.75" customHeight="1" thickBot="1" x14ac:dyDescent="0.3">
      <c r="A29" s="2"/>
      <c r="B29" s="7"/>
      <c r="C29" s="261" t="s">
        <v>110</v>
      </c>
      <c r="D29" s="261" t="s">
        <v>111</v>
      </c>
      <c r="E29" s="261" t="s">
        <v>112</v>
      </c>
      <c r="F29" s="261" t="s">
        <v>113</v>
      </c>
      <c r="G29" s="261" t="s">
        <v>109</v>
      </c>
      <c r="H29" s="261" t="s">
        <v>114</v>
      </c>
      <c r="I29" s="261" t="s">
        <v>115</v>
      </c>
      <c r="J29" s="261" t="s">
        <v>116</v>
      </c>
      <c r="K29" s="261" t="s">
        <v>117</v>
      </c>
      <c r="L29" s="261" t="s">
        <v>118</v>
      </c>
      <c r="M29" s="261" t="s">
        <v>119</v>
      </c>
      <c r="N29" s="261" t="s">
        <v>120</v>
      </c>
      <c r="O29" s="261" t="s">
        <v>121</v>
      </c>
      <c r="P29" s="261" t="s">
        <v>122</v>
      </c>
      <c r="Q29" s="261" t="s">
        <v>123</v>
      </c>
      <c r="R29" s="261" t="s">
        <v>124</v>
      </c>
      <c r="S29" s="261" t="s">
        <v>125</v>
      </c>
      <c r="T29" s="261" t="s">
        <v>126</v>
      </c>
      <c r="U29" s="261" t="s">
        <v>127</v>
      </c>
      <c r="V29" s="261" t="s">
        <v>128</v>
      </c>
      <c r="W29" s="261" t="s">
        <v>129</v>
      </c>
      <c r="X29" s="261" t="s">
        <v>130</v>
      </c>
      <c r="Y29" s="261" t="s">
        <v>131</v>
      </c>
      <c r="Z29" s="261" t="s">
        <v>132</v>
      </c>
      <c r="AA29" s="10"/>
      <c r="AB29" s="3"/>
    </row>
    <row r="30" spans="1:28" ht="21.75" customHeight="1" thickBot="1" x14ac:dyDescent="0.3">
      <c r="A30" s="2"/>
      <c r="B30" s="7"/>
      <c r="C30" s="261" t="s">
        <v>133</v>
      </c>
      <c r="D30" s="261" t="s">
        <v>134</v>
      </c>
      <c r="E30" s="261" t="s">
        <v>135</v>
      </c>
      <c r="F30" s="261" t="s">
        <v>136</v>
      </c>
      <c r="G30" s="261" t="s">
        <v>137</v>
      </c>
      <c r="H30" s="261" t="s">
        <v>138</v>
      </c>
      <c r="I30" s="261" t="s">
        <v>139</v>
      </c>
      <c r="J30" s="261" t="s">
        <v>140</v>
      </c>
      <c r="K30" s="261" t="s">
        <v>141</v>
      </c>
      <c r="L30" s="261" t="s">
        <v>142</v>
      </c>
      <c r="M30" s="261" t="s">
        <v>143</v>
      </c>
      <c r="N30" s="260" t="s">
        <v>144</v>
      </c>
      <c r="O30" s="260" t="s">
        <v>145</v>
      </c>
      <c r="P30" s="260" t="s">
        <v>146</v>
      </c>
      <c r="Q30" s="260" t="s">
        <v>147</v>
      </c>
      <c r="R30" s="261" t="s">
        <v>148</v>
      </c>
      <c r="S30" s="260" t="s">
        <v>149</v>
      </c>
      <c r="T30" s="260" t="s">
        <v>150</v>
      </c>
      <c r="U30" s="261" t="s">
        <v>151</v>
      </c>
      <c r="V30" s="261" t="s">
        <v>152</v>
      </c>
      <c r="W30" s="260" t="s">
        <v>153</v>
      </c>
      <c r="X30" s="260" t="s">
        <v>154</v>
      </c>
      <c r="Y30" s="260" t="s">
        <v>156</v>
      </c>
      <c r="Z30" s="24"/>
      <c r="AA30" s="10"/>
      <c r="AB30" s="3"/>
    </row>
    <row r="31" spans="1:28" ht="8.25" customHeight="1" x14ac:dyDescent="0.25">
      <c r="A31" s="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4"/>
      <c r="AB31" s="3"/>
    </row>
    <row r="32" spans="1:28" ht="6.75" customHeight="1" x14ac:dyDescent="0.25">
      <c r="A32" s="2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ht="7.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ht="6.75" customHeight="1" x14ac:dyDescent="0.25">
      <c r="A34" s="2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6"/>
      <c r="AB34" s="2"/>
    </row>
    <row r="35" spans="1:28" ht="17.25" x14ac:dyDescent="0.25">
      <c r="A35" s="2"/>
      <c r="B35" s="7"/>
      <c r="C35" s="9" t="s">
        <v>217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10"/>
      <c r="AB35" s="3"/>
    </row>
    <row r="36" spans="1:28" ht="5.25" customHeight="1" thickBot="1" x14ac:dyDescent="0.3">
      <c r="A36" s="2"/>
      <c r="B36" s="7"/>
      <c r="C36" s="8"/>
      <c r="D36" s="8"/>
      <c r="E36" s="8"/>
      <c r="F36" s="8"/>
      <c r="G36" s="8"/>
      <c r="H36" s="8"/>
      <c r="I36" s="8"/>
      <c r="J36" s="8"/>
      <c r="K36" s="11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10"/>
      <c r="AB36" s="3"/>
    </row>
    <row r="37" spans="1:28" ht="21.75" customHeight="1" thickBot="1" x14ac:dyDescent="0.3">
      <c r="A37" s="2"/>
      <c r="B37" s="7"/>
      <c r="C37" s="261" t="s">
        <v>110</v>
      </c>
      <c r="D37" s="261" t="s">
        <v>111</v>
      </c>
      <c r="E37" s="261" t="s">
        <v>112</v>
      </c>
      <c r="F37" s="261" t="s">
        <v>113</v>
      </c>
      <c r="G37" s="261" t="s">
        <v>109</v>
      </c>
      <c r="H37" s="261" t="s">
        <v>114</v>
      </c>
      <c r="I37" s="261" t="s">
        <v>115</v>
      </c>
      <c r="J37" s="261" t="s">
        <v>116</v>
      </c>
      <c r="K37" s="261" t="s">
        <v>117</v>
      </c>
      <c r="L37" s="261" t="s">
        <v>118</v>
      </c>
      <c r="M37" s="261" t="s">
        <v>119</v>
      </c>
      <c r="N37" s="261" t="s">
        <v>120</v>
      </c>
      <c r="O37" s="261" t="s">
        <v>121</v>
      </c>
      <c r="P37" s="261" t="s">
        <v>122</v>
      </c>
      <c r="Q37" s="261" t="s">
        <v>123</v>
      </c>
      <c r="R37" s="261" t="s">
        <v>124</v>
      </c>
      <c r="S37" s="261" t="s">
        <v>125</v>
      </c>
      <c r="T37" s="261" t="s">
        <v>126</v>
      </c>
      <c r="U37" s="261" t="s">
        <v>127</v>
      </c>
      <c r="V37" s="261" t="s">
        <v>128</v>
      </c>
      <c r="W37" s="261" t="s">
        <v>129</v>
      </c>
      <c r="X37" s="261" t="s">
        <v>130</v>
      </c>
      <c r="Y37" s="261" t="s">
        <v>131</v>
      </c>
      <c r="Z37" s="261" t="s">
        <v>132</v>
      </c>
      <c r="AA37" s="10"/>
      <c r="AB37" s="3"/>
    </row>
    <row r="38" spans="1:28" ht="21.75" customHeight="1" thickBot="1" x14ac:dyDescent="0.3">
      <c r="A38" s="2"/>
      <c r="B38" s="7"/>
      <c r="C38" s="261" t="s">
        <v>133</v>
      </c>
      <c r="D38" s="261" t="s">
        <v>134</v>
      </c>
      <c r="E38" s="261" t="s">
        <v>135</v>
      </c>
      <c r="F38" s="261" t="s">
        <v>136</v>
      </c>
      <c r="G38" s="261" t="s">
        <v>137</v>
      </c>
      <c r="H38" s="261" t="s">
        <v>138</v>
      </c>
      <c r="I38" s="261" t="s">
        <v>139</v>
      </c>
      <c r="J38" s="261" t="s">
        <v>140</v>
      </c>
      <c r="K38" s="261" t="s">
        <v>141</v>
      </c>
      <c r="L38" s="261" t="s">
        <v>142</v>
      </c>
      <c r="M38" s="261" t="s">
        <v>143</v>
      </c>
      <c r="N38" s="260" t="s">
        <v>144</v>
      </c>
      <c r="O38" s="260" t="s">
        <v>145</v>
      </c>
      <c r="P38" s="260" t="s">
        <v>146</v>
      </c>
      <c r="Q38" s="260" t="s">
        <v>147</v>
      </c>
      <c r="R38" s="261" t="s">
        <v>148</v>
      </c>
      <c r="S38" s="260" t="s">
        <v>149</v>
      </c>
      <c r="T38" s="260" t="s">
        <v>150</v>
      </c>
      <c r="U38" s="261" t="s">
        <v>151</v>
      </c>
      <c r="V38" s="261" t="s">
        <v>152</v>
      </c>
      <c r="W38" s="260" t="s">
        <v>153</v>
      </c>
      <c r="X38" s="260" t="s">
        <v>154</v>
      </c>
      <c r="Y38" s="260" t="s">
        <v>156</v>
      </c>
      <c r="Z38" s="24"/>
      <c r="AA38" s="10"/>
      <c r="AB38" s="3"/>
    </row>
    <row r="39" spans="1:28" ht="8.25" customHeight="1" x14ac:dyDescent="0.25">
      <c r="A39" s="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4"/>
      <c r="AB39" s="3"/>
    </row>
    <row r="40" spans="1:28" ht="6.75" customHeight="1" x14ac:dyDescent="0.25">
      <c r="A40" s="2"/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1:28" ht="7.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1:28" ht="6.75" customHeight="1" x14ac:dyDescent="0.25">
      <c r="A42" s="2"/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6"/>
      <c r="AB42" s="2"/>
    </row>
    <row r="43" spans="1:28" ht="17.25" x14ac:dyDescent="0.25">
      <c r="A43" s="2"/>
      <c r="B43" s="7"/>
      <c r="C43" s="9" t="s">
        <v>218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10"/>
      <c r="AB43" s="3"/>
    </row>
    <row r="44" spans="1:28" ht="5.25" customHeight="1" thickBot="1" x14ac:dyDescent="0.3">
      <c r="A44" s="2"/>
      <c r="B44" s="7"/>
      <c r="C44" s="8"/>
      <c r="D44" s="8"/>
      <c r="E44" s="8"/>
      <c r="F44" s="8"/>
      <c r="G44" s="8"/>
      <c r="H44" s="8"/>
      <c r="I44" s="8"/>
      <c r="J44" s="8"/>
      <c r="K44" s="11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10"/>
      <c r="AB44" s="3"/>
    </row>
    <row r="45" spans="1:28" ht="21.75" customHeight="1" thickBot="1" x14ac:dyDescent="0.3">
      <c r="A45" s="2"/>
      <c r="B45" s="7"/>
      <c r="C45" s="261" t="s">
        <v>110</v>
      </c>
      <c r="D45" s="261" t="s">
        <v>111</v>
      </c>
      <c r="E45" s="261" t="s">
        <v>112</v>
      </c>
      <c r="F45" s="261" t="s">
        <v>113</v>
      </c>
      <c r="G45" s="261" t="s">
        <v>109</v>
      </c>
      <c r="H45" s="261" t="s">
        <v>114</v>
      </c>
      <c r="I45" s="261" t="s">
        <v>115</v>
      </c>
      <c r="J45" s="261" t="s">
        <v>116</v>
      </c>
      <c r="K45" s="261" t="s">
        <v>117</v>
      </c>
      <c r="L45" s="261" t="s">
        <v>118</v>
      </c>
      <c r="M45" s="261" t="s">
        <v>119</v>
      </c>
      <c r="N45" s="261" t="s">
        <v>120</v>
      </c>
      <c r="O45" s="261" t="s">
        <v>121</v>
      </c>
      <c r="P45" s="261" t="s">
        <v>122</v>
      </c>
      <c r="Q45" s="261" t="s">
        <v>123</v>
      </c>
      <c r="R45" s="261" t="s">
        <v>124</v>
      </c>
      <c r="S45" s="261" t="s">
        <v>125</v>
      </c>
      <c r="T45" s="261" t="s">
        <v>126</v>
      </c>
      <c r="U45" s="261" t="s">
        <v>127</v>
      </c>
      <c r="V45" s="261" t="s">
        <v>128</v>
      </c>
      <c r="W45" s="261" t="s">
        <v>129</v>
      </c>
      <c r="X45" s="261" t="s">
        <v>130</v>
      </c>
      <c r="Y45" s="261" t="s">
        <v>131</v>
      </c>
      <c r="Z45" s="261" t="s">
        <v>132</v>
      </c>
      <c r="AA45" s="10"/>
      <c r="AB45" s="3"/>
    </row>
    <row r="46" spans="1:28" ht="21.75" customHeight="1" thickBot="1" x14ac:dyDescent="0.3">
      <c r="A46" s="2"/>
      <c r="B46" s="7"/>
      <c r="C46" s="261" t="s">
        <v>133</v>
      </c>
      <c r="D46" s="261" t="s">
        <v>134</v>
      </c>
      <c r="E46" s="261" t="s">
        <v>135</v>
      </c>
      <c r="F46" s="261" t="s">
        <v>136</v>
      </c>
      <c r="G46" s="261" t="s">
        <v>137</v>
      </c>
      <c r="H46" s="261" t="s">
        <v>138</v>
      </c>
      <c r="I46" s="261" t="s">
        <v>139</v>
      </c>
      <c r="J46" s="261" t="s">
        <v>140</v>
      </c>
      <c r="K46" s="261" t="s">
        <v>141</v>
      </c>
      <c r="L46" s="261" t="s">
        <v>142</v>
      </c>
      <c r="M46" s="261" t="s">
        <v>143</v>
      </c>
      <c r="N46" s="260" t="s">
        <v>144</v>
      </c>
      <c r="O46" s="260" t="s">
        <v>145</v>
      </c>
      <c r="P46" s="260" t="s">
        <v>146</v>
      </c>
      <c r="Q46" s="260" t="s">
        <v>147</v>
      </c>
      <c r="R46" s="261" t="s">
        <v>148</v>
      </c>
      <c r="S46" s="260" t="s">
        <v>149</v>
      </c>
      <c r="T46" s="260" t="s">
        <v>150</v>
      </c>
      <c r="U46" s="261" t="s">
        <v>151</v>
      </c>
      <c r="V46" s="261" t="s">
        <v>152</v>
      </c>
      <c r="W46" s="260" t="s">
        <v>153</v>
      </c>
      <c r="X46" s="260" t="s">
        <v>154</v>
      </c>
      <c r="Y46" s="260" t="s">
        <v>156</v>
      </c>
      <c r="Z46" s="24"/>
      <c r="AA46" s="10"/>
      <c r="AB46" s="3"/>
    </row>
    <row r="47" spans="1:28" ht="8.25" customHeight="1" x14ac:dyDescent="0.25">
      <c r="A47" s="2"/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4"/>
      <c r="AB47" s="3"/>
    </row>
    <row r="48" spans="1:28" ht="6.75" customHeight="1" x14ac:dyDescent="0.25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7.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8" ht="6.75" customHeight="1" x14ac:dyDescent="0.25">
      <c r="A50" s="2"/>
      <c r="B50" s="4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6"/>
      <c r="AB50" s="2"/>
    </row>
    <row r="51" spans="1:28" ht="17.25" x14ac:dyDescent="0.25">
      <c r="A51" s="2"/>
      <c r="B51" s="7"/>
      <c r="C51" s="9" t="s">
        <v>219</v>
      </c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10"/>
      <c r="AB51" s="3"/>
    </row>
    <row r="52" spans="1:28" ht="5.25" customHeight="1" thickBot="1" x14ac:dyDescent="0.3">
      <c r="A52" s="2"/>
      <c r="B52" s="7"/>
      <c r="C52" s="8"/>
      <c r="D52" s="8"/>
      <c r="E52" s="8"/>
      <c r="F52" s="8"/>
      <c r="G52" s="8"/>
      <c r="H52" s="8"/>
      <c r="I52" s="8"/>
      <c r="J52" s="8"/>
      <c r="K52" s="11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10"/>
      <c r="AB52" s="3"/>
    </row>
    <row r="53" spans="1:28" ht="21.75" customHeight="1" thickBot="1" x14ac:dyDescent="0.3">
      <c r="A53" s="2"/>
      <c r="B53" s="7"/>
      <c r="C53" s="261" t="s">
        <v>110</v>
      </c>
      <c r="D53" s="261" t="s">
        <v>111</v>
      </c>
      <c r="E53" s="261" t="s">
        <v>112</v>
      </c>
      <c r="F53" s="261" t="s">
        <v>113</v>
      </c>
      <c r="G53" s="261" t="s">
        <v>109</v>
      </c>
      <c r="H53" s="261" t="s">
        <v>114</v>
      </c>
      <c r="I53" s="261" t="s">
        <v>115</v>
      </c>
      <c r="J53" s="261" t="s">
        <v>116</v>
      </c>
      <c r="K53" s="261" t="s">
        <v>117</v>
      </c>
      <c r="L53" s="261" t="s">
        <v>118</v>
      </c>
      <c r="M53" s="261" t="s">
        <v>119</v>
      </c>
      <c r="N53" s="261" t="s">
        <v>120</v>
      </c>
      <c r="O53" s="261" t="s">
        <v>121</v>
      </c>
      <c r="P53" s="261" t="s">
        <v>122</v>
      </c>
      <c r="Q53" s="261" t="s">
        <v>123</v>
      </c>
      <c r="R53" s="261" t="s">
        <v>124</v>
      </c>
      <c r="S53" s="261" t="s">
        <v>125</v>
      </c>
      <c r="T53" s="261" t="s">
        <v>126</v>
      </c>
      <c r="U53" s="261" t="s">
        <v>127</v>
      </c>
      <c r="V53" s="261" t="s">
        <v>128</v>
      </c>
      <c r="W53" s="261" t="s">
        <v>129</v>
      </c>
      <c r="X53" s="261" t="s">
        <v>130</v>
      </c>
      <c r="Y53" s="261" t="s">
        <v>131</v>
      </c>
      <c r="Z53" s="261" t="s">
        <v>132</v>
      </c>
      <c r="AA53" s="10"/>
      <c r="AB53" s="3"/>
    </row>
    <row r="54" spans="1:28" ht="21.75" customHeight="1" thickBot="1" x14ac:dyDescent="0.3">
      <c r="A54" s="2"/>
      <c r="B54" s="7"/>
      <c r="C54" s="261" t="s">
        <v>133</v>
      </c>
      <c r="D54" s="261" t="s">
        <v>134</v>
      </c>
      <c r="E54" s="261" t="s">
        <v>135</v>
      </c>
      <c r="F54" s="261" t="s">
        <v>136</v>
      </c>
      <c r="G54" s="261" t="s">
        <v>137</v>
      </c>
      <c r="H54" s="261" t="s">
        <v>138</v>
      </c>
      <c r="I54" s="261" t="s">
        <v>139</v>
      </c>
      <c r="J54" s="261" t="s">
        <v>140</v>
      </c>
      <c r="K54" s="261" t="s">
        <v>141</v>
      </c>
      <c r="L54" s="261" t="s">
        <v>142</v>
      </c>
      <c r="M54" s="261" t="s">
        <v>143</v>
      </c>
      <c r="N54" s="260" t="s">
        <v>144</v>
      </c>
      <c r="O54" s="260" t="s">
        <v>145</v>
      </c>
      <c r="P54" s="260" t="s">
        <v>146</v>
      </c>
      <c r="Q54" s="260" t="s">
        <v>147</v>
      </c>
      <c r="R54" s="261" t="s">
        <v>148</v>
      </c>
      <c r="S54" s="260" t="s">
        <v>149</v>
      </c>
      <c r="T54" s="260" t="s">
        <v>150</v>
      </c>
      <c r="U54" s="261" t="s">
        <v>151</v>
      </c>
      <c r="V54" s="261" t="s">
        <v>152</v>
      </c>
      <c r="W54" s="260" t="s">
        <v>153</v>
      </c>
      <c r="X54" s="260" t="s">
        <v>154</v>
      </c>
      <c r="Y54" s="260" t="s">
        <v>156</v>
      </c>
      <c r="Z54" s="24"/>
      <c r="AA54" s="10"/>
      <c r="AB54" s="3"/>
    </row>
    <row r="55" spans="1:28" ht="8.25" customHeight="1" x14ac:dyDescent="0.25">
      <c r="A55" s="2"/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4"/>
      <c r="AB55" s="3"/>
    </row>
    <row r="56" spans="1:28" ht="6.75" customHeight="1" x14ac:dyDescent="0.25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7.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1:28" ht="6.75" customHeight="1" x14ac:dyDescent="0.25">
      <c r="A58" s="2"/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6"/>
      <c r="AB58" s="2"/>
    </row>
    <row r="59" spans="1:28" ht="17.25" x14ac:dyDescent="0.25">
      <c r="A59" s="2"/>
      <c r="B59" s="7"/>
      <c r="C59" s="9" t="s">
        <v>220</v>
      </c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10"/>
      <c r="AB59" s="3"/>
    </row>
    <row r="60" spans="1:28" ht="5.25" customHeight="1" thickBot="1" x14ac:dyDescent="0.3">
      <c r="A60" s="2"/>
      <c r="B60" s="7"/>
      <c r="C60" s="8"/>
      <c r="D60" s="8"/>
      <c r="E60" s="8"/>
      <c r="F60" s="8"/>
      <c r="G60" s="8"/>
      <c r="H60" s="8"/>
      <c r="I60" s="8"/>
      <c r="J60" s="8"/>
      <c r="K60" s="11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10"/>
      <c r="AB60" s="3"/>
    </row>
    <row r="61" spans="1:28" ht="21.75" customHeight="1" thickBot="1" x14ac:dyDescent="0.3">
      <c r="A61" s="2"/>
      <c r="B61" s="7"/>
      <c r="C61" s="261" t="s">
        <v>110</v>
      </c>
      <c r="D61" s="261" t="s">
        <v>111</v>
      </c>
      <c r="E61" s="261" t="s">
        <v>112</v>
      </c>
      <c r="F61" s="261" t="s">
        <v>113</v>
      </c>
      <c r="G61" s="261" t="s">
        <v>109</v>
      </c>
      <c r="H61" s="261" t="s">
        <v>114</v>
      </c>
      <c r="I61" s="261" t="s">
        <v>115</v>
      </c>
      <c r="J61" s="261" t="s">
        <v>116</v>
      </c>
      <c r="K61" s="261" t="s">
        <v>117</v>
      </c>
      <c r="L61" s="261" t="s">
        <v>118</v>
      </c>
      <c r="M61" s="261" t="s">
        <v>119</v>
      </c>
      <c r="N61" s="261" t="s">
        <v>120</v>
      </c>
      <c r="O61" s="261" t="s">
        <v>121</v>
      </c>
      <c r="P61" s="261" t="s">
        <v>122</v>
      </c>
      <c r="Q61" s="261" t="s">
        <v>123</v>
      </c>
      <c r="R61" s="261" t="s">
        <v>124</v>
      </c>
      <c r="S61" s="261" t="s">
        <v>125</v>
      </c>
      <c r="T61" s="261" t="s">
        <v>126</v>
      </c>
      <c r="U61" s="261" t="s">
        <v>127</v>
      </c>
      <c r="V61" s="261" t="s">
        <v>128</v>
      </c>
      <c r="W61" s="261" t="s">
        <v>129</v>
      </c>
      <c r="X61" s="261" t="s">
        <v>130</v>
      </c>
      <c r="Y61" s="261" t="s">
        <v>131</v>
      </c>
      <c r="Z61" s="261" t="s">
        <v>132</v>
      </c>
      <c r="AA61" s="10"/>
      <c r="AB61" s="3"/>
    </row>
    <row r="62" spans="1:28" ht="21.75" customHeight="1" thickBot="1" x14ac:dyDescent="0.3">
      <c r="A62" s="2"/>
      <c r="B62" s="7"/>
      <c r="C62" s="261" t="s">
        <v>133</v>
      </c>
      <c r="D62" s="261" t="s">
        <v>134</v>
      </c>
      <c r="E62" s="261" t="s">
        <v>135</v>
      </c>
      <c r="F62" s="261" t="s">
        <v>136</v>
      </c>
      <c r="G62" s="261" t="s">
        <v>137</v>
      </c>
      <c r="H62" s="261" t="s">
        <v>138</v>
      </c>
      <c r="I62" s="261" t="s">
        <v>139</v>
      </c>
      <c r="J62" s="261" t="s">
        <v>140</v>
      </c>
      <c r="K62" s="261" t="s">
        <v>141</v>
      </c>
      <c r="L62" s="261" t="s">
        <v>142</v>
      </c>
      <c r="M62" s="261" t="s">
        <v>143</v>
      </c>
      <c r="N62" s="260" t="s">
        <v>144</v>
      </c>
      <c r="O62" s="260" t="s">
        <v>145</v>
      </c>
      <c r="P62" s="260" t="s">
        <v>146</v>
      </c>
      <c r="Q62" s="260" t="s">
        <v>147</v>
      </c>
      <c r="R62" s="261" t="s">
        <v>148</v>
      </c>
      <c r="S62" s="260" t="s">
        <v>149</v>
      </c>
      <c r="T62" s="260" t="s">
        <v>150</v>
      </c>
      <c r="U62" s="261" t="s">
        <v>151</v>
      </c>
      <c r="V62" s="261" t="s">
        <v>152</v>
      </c>
      <c r="W62" s="260" t="s">
        <v>153</v>
      </c>
      <c r="X62" s="260" t="s">
        <v>154</v>
      </c>
      <c r="Y62" s="260" t="s">
        <v>156</v>
      </c>
      <c r="Z62" s="24"/>
      <c r="AA62" s="10"/>
      <c r="AB62" s="3"/>
    </row>
    <row r="63" spans="1:28" ht="8.25" customHeight="1" x14ac:dyDescent="0.25">
      <c r="A63" s="2"/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4"/>
      <c r="AB63" s="3"/>
    </row>
    <row r="64" spans="1:28" ht="6.75" customHeight="1" x14ac:dyDescent="0.25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4:5" ht="51" customHeight="1" x14ac:dyDescent="0.25"/>
    <row r="66" spans="4:5" ht="15.75" thickBot="1" x14ac:dyDescent="0.3">
      <c r="D66" s="262" t="s">
        <v>221</v>
      </c>
    </row>
    <row r="67" spans="4:5" ht="18" thickBot="1" x14ac:dyDescent="0.35">
      <c r="D67" s="260" t="s">
        <v>144</v>
      </c>
      <c r="E67" s="264" t="s">
        <v>222</v>
      </c>
    </row>
    <row r="68" spans="4:5" ht="18" thickBot="1" x14ac:dyDescent="0.3">
      <c r="D68" s="263" t="s">
        <v>144</v>
      </c>
    </row>
    <row r="69" spans="4:5" ht="9.75" customHeight="1" thickBot="1" x14ac:dyDescent="0.3"/>
    <row r="70" spans="4:5" ht="18" thickBot="1" x14ac:dyDescent="0.35">
      <c r="D70" s="261" t="s">
        <v>143</v>
      </c>
      <c r="E70" s="264" t="s">
        <v>54</v>
      </c>
    </row>
    <row r="71" spans="4:5" ht="18" thickBot="1" x14ac:dyDescent="0.35">
      <c r="D71" s="265" t="s">
        <v>143</v>
      </c>
      <c r="E71" s="264" t="s">
        <v>223</v>
      </c>
    </row>
  </sheetData>
  <sheetProtection sheet="1" objects="1" scenarios="1" selectLockedCells="1"/>
  <mergeCells count="1">
    <mergeCell ref="B1:AA1"/>
  </mergeCells>
  <pageMargins left="0" right="0" top="0" bottom="0" header="0" footer="0"/>
  <pageSetup paperSize="9" scale="6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0" id="{00000000-0000-0000-0000-000000000000}">
            <xm:f xml:space="preserve"> Spravka!$O$13&lt;&gt;""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379" id="{00000000-0000-0000-0000-000000000000}">
            <xm:f xml:space="preserve"> Spravka!$O$20&lt;&gt;""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378" id="{00000000-0000-0000-0000-000000000000}">
            <xm:f xml:space="preserve"> Spravka!$O$27&lt;&gt;""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377" id="{00000000-0000-0000-0000-000000000000}">
            <xm:f xml:space="preserve"> Spravka!$O$34&lt;&gt;""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376" id="{00000000-0000-0000-0000-000000000000}">
            <xm:f xml:space="preserve"> Spravka!$O$41&lt;&gt;""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375" id="{00000000-0000-0000-0000-000000000000}">
            <xm:f xml:space="preserve"> Spravka!$O$48&lt;&gt;""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374" id="{00000000-0000-0000-0000-000000000000}">
            <xm:f xml:space="preserve"> Spravka!$O$55&lt;&gt;""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73" id="{00000000-0000-0000-0000-000000000000}">
            <xm:f xml:space="preserve"> Spravka!$O$62&lt;&gt;""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372" id="{00000000-0000-0000-0000-000000000000}">
            <xm:f xml:space="preserve"> Spravka!$O$69&lt;&gt;""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371" id="{00000000-0000-0000-0000-000000000000}">
            <xm:f xml:space="preserve"> Spravka!$O$76&lt;&gt;""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L5</xm:sqref>
        </x14:conditionalFormatting>
        <x14:conditionalFormatting xmlns:xm="http://schemas.microsoft.com/office/excel/2006/main">
          <x14:cfRule type="expression" priority="370" id="{00000000-0000-0000-0000-000000000000}">
            <xm:f xml:space="preserve"> Spravka!$O$83&lt;&gt;""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expression" priority="369" id="{00000000-0000-0000-0000-000000000000}">
            <xm:f xml:space="preserve"> Spravka!$O$90&lt;&gt;""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expression" priority="368" id="{00000000-0000-0000-0000-000000000000}">
            <xm:f xml:space="preserve"> Spravka!$O$97&lt;&gt;""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expression" priority="367" id="{00000000-0000-0000-0000-000000000000}">
            <xm:f xml:space="preserve"> Spravka!$O$104&lt;&gt;""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expression" priority="366" id="{00000000-0000-0000-0000-000000000000}">
            <xm:f xml:space="preserve"> Spravka!$O$111&lt;&gt;""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expression" priority="365" id="{00000000-0000-0000-0000-000000000000}">
            <xm:f xml:space="preserve"> Spravka!$O$118&lt;&gt;""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expression" priority="364" id="{00000000-0000-0000-0000-000000000000}">
            <xm:f xml:space="preserve"> Spravka!$O$125&lt;&gt;""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expression" priority="363" id="{00000000-0000-0000-0000-000000000000}">
            <xm:f xml:space="preserve"> Spravka!$O$132&lt;&gt;""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T5</xm:sqref>
        </x14:conditionalFormatting>
        <x14:conditionalFormatting xmlns:xm="http://schemas.microsoft.com/office/excel/2006/main">
          <x14:cfRule type="expression" priority="362" id="{00000000-0000-0000-0000-000000000000}">
            <xm:f xml:space="preserve"> Spravka!$O$139&lt;&gt;""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U5</xm:sqref>
        </x14:conditionalFormatting>
        <x14:conditionalFormatting xmlns:xm="http://schemas.microsoft.com/office/excel/2006/main">
          <x14:cfRule type="expression" priority="361" id="{00000000-0000-0000-0000-000000000000}">
            <xm:f xml:space="preserve"> Spravka!$O$146&lt;&gt;""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V5</xm:sqref>
        </x14:conditionalFormatting>
        <x14:conditionalFormatting xmlns:xm="http://schemas.microsoft.com/office/excel/2006/main">
          <x14:cfRule type="expression" priority="360" id="{00000000-0000-0000-0000-000000000000}">
            <xm:f xml:space="preserve"> Spravka!$O$153&lt;&gt;""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359" id="{00000000-0000-0000-0000-000000000000}">
            <xm:f xml:space="preserve"> Spravka!$O$160&lt;&gt;""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expression" priority="358" id="{00000000-0000-0000-0000-000000000000}">
            <xm:f xml:space="preserve"> Spravka!$O$167&lt;&gt;""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357" id="{00000000-0000-0000-0000-000000000000}">
            <xm:f xml:space="preserve"> Spravka!$O$174&lt;&gt;""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expression" priority="356" id="{00000000-0000-0000-0000-000000000000}">
            <xm:f xml:space="preserve"> Spravka!$O$181&lt;&gt;""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355" id="{00000000-0000-0000-0000-000000000000}">
            <xm:f xml:space="preserve"> Spravka!$O$188&lt;&gt;""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354" id="{00000000-0000-0000-0000-000000000000}">
            <xm:f xml:space="preserve"> Spravka!$O$195&lt;&gt;""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353" id="{00000000-0000-0000-0000-000000000000}">
            <xm:f xml:space="preserve"> Spravka!$O$202&lt;&gt;""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352" id="{00000000-0000-0000-0000-000000000000}">
            <xm:f xml:space="preserve"> Spravka!$O$209&lt;&gt;""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351" id="{00000000-0000-0000-0000-000000000000}">
            <xm:f xml:space="preserve"> Spravka!$O$216&lt;&gt;""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350" id="{00000000-0000-0000-0000-000000000000}">
            <xm:f xml:space="preserve"> Spravka!$O$223&lt;&gt;""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expression" priority="349" id="{00000000-0000-0000-0000-000000000000}">
            <xm:f xml:space="preserve"> Spravka!$O$230&lt;&gt;""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expression" priority="348" id="{00000000-0000-0000-0000-000000000000}">
            <xm:f xml:space="preserve"> Spravka!$O$237&lt;&gt;""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expression" priority="347" id="{00000000-0000-0000-0000-000000000000}">
            <xm:f xml:space="preserve"> Spravka!$O$244&lt;&gt;""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L6</xm:sqref>
        </x14:conditionalFormatting>
        <x14:conditionalFormatting xmlns:xm="http://schemas.microsoft.com/office/excel/2006/main">
          <x14:cfRule type="expression" priority="346" id="{00000000-0000-0000-0000-000000000000}">
            <xm:f xml:space="preserve"> Spravka!$O$251&lt;&gt;""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345" id="{00000000-0000-0000-0000-000000000000}">
            <xm:f xml:space="preserve"> Spravka!$O$258&lt;&gt;""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N6</xm:sqref>
        </x14:conditionalFormatting>
        <x14:conditionalFormatting xmlns:xm="http://schemas.microsoft.com/office/excel/2006/main">
          <x14:cfRule type="expression" priority="344" id="{00000000-0000-0000-0000-000000000000}">
            <xm:f xml:space="preserve"> Spravka!$O$265&lt;&gt;""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O6</xm:sqref>
        </x14:conditionalFormatting>
        <x14:conditionalFormatting xmlns:xm="http://schemas.microsoft.com/office/excel/2006/main">
          <x14:cfRule type="expression" priority="343" id="{00000000-0000-0000-0000-000000000000}">
            <xm:f xml:space="preserve"> Spravka!$O$272&lt;&gt;""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P6</xm:sqref>
        </x14:conditionalFormatting>
        <x14:conditionalFormatting xmlns:xm="http://schemas.microsoft.com/office/excel/2006/main">
          <x14:cfRule type="expression" priority="342" id="{00000000-0000-0000-0000-000000000000}">
            <xm:f xml:space="preserve"> Spravka!$O$279&lt;&gt;""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341" id="{00000000-0000-0000-0000-000000000000}">
            <xm:f xml:space="preserve"> Spravka!$O$286&lt;&gt;""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expression" priority="340" id="{00000000-0000-0000-0000-000000000000}">
            <xm:f xml:space="preserve"> Spravka!$O$293&lt;&gt;""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expression" priority="339" id="{00000000-0000-0000-0000-000000000000}">
            <xm:f xml:space="preserve"> Spravka!$O$300&lt;&gt;""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T6</xm:sqref>
        </x14:conditionalFormatting>
        <x14:conditionalFormatting xmlns:xm="http://schemas.microsoft.com/office/excel/2006/main">
          <x14:cfRule type="expression" priority="338" id="{00000000-0000-0000-0000-000000000000}">
            <xm:f xml:space="preserve"> Spravka!$O$307&lt;&gt;""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expression" priority="337" id="{00000000-0000-0000-0000-000000000000}">
            <xm:f xml:space="preserve"> Spravka!$O$314&lt;&gt;""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V6</xm:sqref>
        </x14:conditionalFormatting>
        <x14:conditionalFormatting xmlns:xm="http://schemas.microsoft.com/office/excel/2006/main">
          <x14:cfRule type="expression" priority="336" id="{00000000-0000-0000-0000-000000000000}">
            <xm:f xml:space="preserve"> Spravka!$O$321&lt;&gt;""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335" id="{00000000-0000-0000-0000-000000000000}">
            <xm:f xml:space="preserve"> Spravka!$O$328&lt;&gt;""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expression" priority="334" id="{00000000-0000-0000-0000-000000000000}">
            <xm:f xml:space="preserve"> Spravka!$O$335&lt;&gt;""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333" id="{00000000-0000-0000-0000-000000000000}">
            <xm:f xml:space="preserve"> Spravka!$O$342&lt;&gt;""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expression" priority="332" id="{00000000-0000-0000-0000-000000000000}">
            <xm:f xml:space="preserve"> Spravka!$O$349&lt;&gt;""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331" id="{00000000-0000-0000-0000-000000000000}">
            <xm:f xml:space="preserve"> Spravka!$O$356&lt;&gt;""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30" id="{00000000-0000-0000-0000-000000000000}">
            <xm:f xml:space="preserve"> Spravka!$O$363&lt;&gt;""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329" id="{00000000-0000-0000-0000-000000000000}">
            <xm:f xml:space="preserve"> Spravka!$O$370&lt;&gt;""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328" id="{00000000-0000-0000-0000-000000000000}">
            <xm:f xml:space="preserve"> Spravka!$O$377&lt;&gt;""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327" id="{00000000-0000-0000-0000-000000000000}">
            <xm:f xml:space="preserve"> Spravka!$O$384&lt;&gt;""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326" id="{00000000-0000-0000-0000-000000000000}">
            <xm:f xml:space="preserve"> Spravka!$O$391&lt;&gt;""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325" id="{00000000-0000-0000-0000-000000000000}">
            <xm:f xml:space="preserve"> Spravka!$O$398&lt;&gt;""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324" id="{00000000-0000-0000-0000-000000000000}">
            <xm:f xml:space="preserve"> Spravka!$O$405&lt;&gt;""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L13</xm:sqref>
        </x14:conditionalFormatting>
        <x14:conditionalFormatting xmlns:xm="http://schemas.microsoft.com/office/excel/2006/main">
          <x14:cfRule type="expression" priority="323" id="{00000000-0000-0000-0000-000000000000}">
            <xm:f xml:space="preserve"> Spravka!$O$412&lt;&gt;""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322" id="{00000000-0000-0000-0000-000000000000}">
            <xm:f xml:space="preserve"> Spravka!$O$419&lt;&gt;""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321" id="{00000000-0000-0000-0000-000000000000}">
            <xm:f xml:space="preserve"> Spravka!$O$426&lt;&gt;""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O13</xm:sqref>
        </x14:conditionalFormatting>
        <x14:conditionalFormatting xmlns:xm="http://schemas.microsoft.com/office/excel/2006/main">
          <x14:cfRule type="expression" priority="320" id="{00000000-0000-0000-0000-000000000000}">
            <xm:f xml:space="preserve"> Spravka!$O$433&lt;&gt;""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319" id="{00000000-0000-0000-0000-000000000000}">
            <xm:f xml:space="preserve"> Spravka!$O$440&lt;&gt;""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318" id="{00000000-0000-0000-0000-000000000000}">
            <xm:f xml:space="preserve"> Spravka!$O$447&lt;&gt;""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317" id="{00000000-0000-0000-0000-000000000000}">
            <xm:f xml:space="preserve"> Spravka!$O$454&lt;&gt;""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316" id="{00000000-0000-0000-0000-000000000000}">
            <xm:f xml:space="preserve"> Spravka!$O$461&lt;&gt;""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T13</xm:sqref>
        </x14:conditionalFormatting>
        <x14:conditionalFormatting xmlns:xm="http://schemas.microsoft.com/office/excel/2006/main">
          <x14:cfRule type="expression" priority="315" id="{00000000-0000-0000-0000-000000000000}">
            <xm:f xml:space="preserve"> Spravka!$O$468&lt;&gt;""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U13</xm:sqref>
        </x14:conditionalFormatting>
        <x14:conditionalFormatting xmlns:xm="http://schemas.microsoft.com/office/excel/2006/main">
          <x14:cfRule type="expression" priority="314" id="{00000000-0000-0000-0000-000000000000}">
            <xm:f xml:space="preserve"> Spravka!$O$475&lt;&gt;""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V13</xm:sqref>
        </x14:conditionalFormatting>
        <x14:conditionalFormatting xmlns:xm="http://schemas.microsoft.com/office/excel/2006/main">
          <x14:cfRule type="expression" priority="313" id="{00000000-0000-0000-0000-000000000000}">
            <xm:f xml:space="preserve"> Spravka!$O$482&lt;&gt;""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312" id="{00000000-0000-0000-0000-000000000000}">
            <xm:f xml:space="preserve"> Spravka!$O$489&lt;&gt;""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expression" priority="311" id="{00000000-0000-0000-0000-000000000000}">
            <xm:f xml:space="preserve"> Spravka!$O$496&lt;&gt;""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310" id="{00000000-0000-0000-0000-000000000000}">
            <xm:f xml:space="preserve"> Spravka!$O$503&lt;&gt;""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Z13</xm:sqref>
        </x14:conditionalFormatting>
        <x14:conditionalFormatting xmlns:xm="http://schemas.microsoft.com/office/excel/2006/main">
          <x14:cfRule type="expression" priority="309" id="{00000000-0000-0000-0000-000000000000}">
            <xm:f xml:space="preserve"> Spravka!$O$510&lt;&gt;""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expression" priority="308" id="{00000000-0000-0000-0000-000000000000}">
            <xm:f xml:space="preserve"> Spravka!$O$517&lt;&gt;""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307" id="{00000000-0000-0000-0000-000000000000}">
            <xm:f xml:space="preserve"> Spravka!$O$524&lt;&gt;""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06" id="{00000000-0000-0000-0000-000000000000}">
            <xm:f xml:space="preserve"> Spravka!$O$531&lt;&gt;""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305" id="{00000000-0000-0000-0000-000000000000}">
            <xm:f xml:space="preserve"> Spravka!$O$538&lt;&gt;""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304" id="{00000000-0000-0000-0000-000000000000}">
            <xm:f xml:space="preserve"> Spravka!$O$545&lt;&gt;""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03" id="{00000000-0000-0000-0000-000000000000}">
            <xm:f xml:space="preserve"> Spravka!$O$552&lt;&gt;""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302" id="{00000000-0000-0000-0000-000000000000}">
            <xm:f xml:space="preserve"> Spravka!$O$559&lt;&gt;""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301" id="{00000000-0000-0000-0000-000000000000}">
            <xm:f xml:space="preserve"> Spravka!$O$566&lt;&gt;""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expression" priority="300" id="{00000000-0000-0000-0000-000000000000}">
            <xm:f xml:space="preserve"> Spravka!$O$573&lt;&gt;""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L14</xm:sqref>
        </x14:conditionalFormatting>
        <x14:conditionalFormatting xmlns:xm="http://schemas.microsoft.com/office/excel/2006/main">
          <x14:cfRule type="expression" priority="299" id="{00000000-0000-0000-0000-000000000000}">
            <xm:f xml:space="preserve"> Spravka!$O$580&lt;&gt;""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298" id="{00000000-0000-0000-0000-000000000000}">
            <xm:f xml:space="preserve"> Spravka!$O$587&lt;&gt;""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297" id="{00000000-0000-0000-0000-000000000000}">
            <xm:f xml:space="preserve"> Spravka!$O$594&lt;&gt;""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O14</xm:sqref>
        </x14:conditionalFormatting>
        <x14:conditionalFormatting xmlns:xm="http://schemas.microsoft.com/office/excel/2006/main">
          <x14:cfRule type="expression" priority="296" id="{00000000-0000-0000-0000-000000000000}">
            <xm:f xml:space="preserve"> Spravka!$O$601&lt;&gt;""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P14</xm:sqref>
        </x14:conditionalFormatting>
        <x14:conditionalFormatting xmlns:xm="http://schemas.microsoft.com/office/excel/2006/main">
          <x14:cfRule type="expression" priority="295" id="{00000000-0000-0000-0000-000000000000}">
            <xm:f xml:space="preserve"> Spravka!$O$608&lt;&gt;""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Q14</xm:sqref>
        </x14:conditionalFormatting>
        <x14:conditionalFormatting xmlns:xm="http://schemas.microsoft.com/office/excel/2006/main">
          <x14:cfRule type="expression" priority="294" id="{00000000-0000-0000-0000-000000000000}">
            <xm:f xml:space="preserve"> Spravka!$O$615&lt;&gt;""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293" id="{00000000-0000-0000-0000-000000000000}">
            <xm:f xml:space="preserve"> Spravka!$O$622&lt;&gt;""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292" id="{00000000-0000-0000-0000-000000000000}">
            <xm:f xml:space="preserve"> Spravka!$O$629&lt;&gt;""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T14</xm:sqref>
        </x14:conditionalFormatting>
        <x14:conditionalFormatting xmlns:xm="http://schemas.microsoft.com/office/excel/2006/main">
          <x14:cfRule type="expression" priority="291" id="{00000000-0000-0000-0000-000000000000}">
            <xm:f xml:space="preserve"> Spravka!$O$636&lt;&gt;""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U14</xm:sqref>
        </x14:conditionalFormatting>
        <x14:conditionalFormatting xmlns:xm="http://schemas.microsoft.com/office/excel/2006/main">
          <x14:cfRule type="expression" priority="290" id="{00000000-0000-0000-0000-000000000000}">
            <xm:f xml:space="preserve"> Spravka!$O$643&lt;&gt;""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V14</xm:sqref>
        </x14:conditionalFormatting>
        <x14:conditionalFormatting xmlns:xm="http://schemas.microsoft.com/office/excel/2006/main">
          <x14:cfRule type="expression" priority="289" id="{00000000-0000-0000-0000-000000000000}">
            <xm:f xml:space="preserve"> Spravka!$O$650&lt;&gt;""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288" id="{00000000-0000-0000-0000-000000000000}">
            <xm:f xml:space="preserve"> Spravka!$O$657&lt;&gt;""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X14</xm:sqref>
        </x14:conditionalFormatting>
        <x14:conditionalFormatting xmlns:xm="http://schemas.microsoft.com/office/excel/2006/main">
          <x14:cfRule type="expression" priority="287" id="{00000000-0000-0000-0000-000000000000}">
            <xm:f xml:space="preserve"> Spravka!$O$664&lt;&gt;""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286" id="{00000000-0000-0000-0000-000000000000}">
            <xm:f xml:space="preserve"> Spravka!$O$671&lt;&gt;""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C21</xm:sqref>
        </x14:conditionalFormatting>
        <x14:conditionalFormatting xmlns:xm="http://schemas.microsoft.com/office/excel/2006/main">
          <x14:cfRule type="expression" priority="285" id="{00000000-0000-0000-0000-000000000000}">
            <xm:f xml:space="preserve"> Spravka!$O$678&lt;&gt;""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expression" priority="284" id="{00000000-0000-0000-0000-000000000000}">
            <xm:f xml:space="preserve"> Spravka!$O$685&lt;&gt;""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E21</xm:sqref>
        </x14:conditionalFormatting>
        <x14:conditionalFormatting xmlns:xm="http://schemas.microsoft.com/office/excel/2006/main">
          <x14:cfRule type="expression" priority="283" id="{00000000-0000-0000-0000-000000000000}">
            <xm:f xml:space="preserve"> Spravka!$O$692&lt;&gt;""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282" id="{00000000-0000-0000-0000-000000000000}">
            <xm:f xml:space="preserve"> Spravka!$O$699&lt;&gt;""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G21</xm:sqref>
        </x14:conditionalFormatting>
        <x14:conditionalFormatting xmlns:xm="http://schemas.microsoft.com/office/excel/2006/main">
          <x14:cfRule type="expression" priority="281" id="{00000000-0000-0000-0000-000000000000}">
            <xm:f xml:space="preserve"> Spravka!$O$706&lt;&gt;""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expression" priority="280" id="{00000000-0000-0000-0000-000000000000}">
            <xm:f xml:space="preserve"> Spravka!$O$713&lt;&gt;""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expression" priority="279" id="{00000000-0000-0000-0000-000000000000}">
            <xm:f xml:space="preserve"> Spravka!$O$720&lt;&gt;""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278" id="{00000000-0000-0000-0000-000000000000}">
            <xm:f xml:space="preserve"> Spravka!$O$727&lt;&gt;""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expression" priority="277" id="{00000000-0000-0000-0000-000000000000}">
            <xm:f xml:space="preserve"> Spravka!$O$734&lt;&gt;""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L21</xm:sqref>
        </x14:conditionalFormatting>
        <x14:conditionalFormatting xmlns:xm="http://schemas.microsoft.com/office/excel/2006/main">
          <x14:cfRule type="expression" priority="276" id="{00000000-0000-0000-0000-000000000000}">
            <xm:f xml:space="preserve"> Spravka!$O$741&lt;&gt;""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M21</xm:sqref>
        </x14:conditionalFormatting>
        <x14:conditionalFormatting xmlns:xm="http://schemas.microsoft.com/office/excel/2006/main">
          <x14:cfRule type="expression" priority="275" id="{00000000-0000-0000-0000-000000000000}">
            <xm:f xml:space="preserve"> Spravka!$O$748&lt;&gt;""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274" id="{00000000-0000-0000-0000-000000000000}">
            <xm:f xml:space="preserve"> Spravka!$O$755&lt;&gt;""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O21</xm:sqref>
        </x14:conditionalFormatting>
        <x14:conditionalFormatting xmlns:xm="http://schemas.microsoft.com/office/excel/2006/main">
          <x14:cfRule type="expression" priority="273" id="{00000000-0000-0000-0000-000000000000}">
            <xm:f xml:space="preserve"> Spravka!$O$762&lt;&gt;""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272" id="{00000000-0000-0000-0000-000000000000}">
            <xm:f xml:space="preserve"> Spravka!$O$769&lt;&gt;""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Q21</xm:sqref>
        </x14:conditionalFormatting>
        <x14:conditionalFormatting xmlns:xm="http://schemas.microsoft.com/office/excel/2006/main">
          <x14:cfRule type="expression" priority="271" id="{00000000-0000-0000-0000-000000000000}">
            <xm:f xml:space="preserve"> Spravka!$O$776&lt;&gt;""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270" id="{00000000-0000-0000-0000-000000000000}">
            <xm:f xml:space="preserve"> Spravka!$O$783&lt;&gt;""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269" id="{00000000-0000-0000-0000-000000000000}">
            <xm:f xml:space="preserve"> Spravka!$O$790&lt;&gt;""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T21</xm:sqref>
        </x14:conditionalFormatting>
        <x14:conditionalFormatting xmlns:xm="http://schemas.microsoft.com/office/excel/2006/main">
          <x14:cfRule type="expression" priority="268" id="{00000000-0000-0000-0000-000000000000}">
            <xm:f xml:space="preserve"> Spravka!$O$797&lt;&gt;""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U21</xm:sqref>
        </x14:conditionalFormatting>
        <x14:conditionalFormatting xmlns:xm="http://schemas.microsoft.com/office/excel/2006/main">
          <x14:cfRule type="expression" priority="267" id="{00000000-0000-0000-0000-000000000000}">
            <xm:f xml:space="preserve"> Spravka!$O$804&lt;&gt;""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V21</xm:sqref>
        </x14:conditionalFormatting>
        <x14:conditionalFormatting xmlns:xm="http://schemas.microsoft.com/office/excel/2006/main">
          <x14:cfRule type="expression" priority="266" id="{00000000-0000-0000-0000-000000000000}">
            <xm:f xml:space="preserve"> Spravka!$O$811&lt;&gt;""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expression" priority="265" id="{00000000-0000-0000-0000-000000000000}">
            <xm:f xml:space="preserve"> Spravka!$O$818&lt;&gt;""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expression" priority="264" id="{00000000-0000-0000-0000-000000000000}">
            <xm:f xml:space="preserve"> Spravka!$O$825&lt;&gt;""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Y21</xm:sqref>
        </x14:conditionalFormatting>
        <x14:conditionalFormatting xmlns:xm="http://schemas.microsoft.com/office/excel/2006/main">
          <x14:cfRule type="expression" priority="263" id="{00000000-0000-0000-0000-000000000000}">
            <xm:f xml:space="preserve"> Spravka!$O$832&lt;&gt;""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Z21</xm:sqref>
        </x14:conditionalFormatting>
        <x14:conditionalFormatting xmlns:xm="http://schemas.microsoft.com/office/excel/2006/main">
          <x14:cfRule type="expression" priority="262" id="{00000000-0000-0000-0000-000000000000}">
            <xm:f xml:space="preserve"> Spravka!$O$839&lt;&gt;""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C22</xm:sqref>
        </x14:conditionalFormatting>
        <x14:conditionalFormatting xmlns:xm="http://schemas.microsoft.com/office/excel/2006/main">
          <x14:cfRule type="expression" priority="261" id="{00000000-0000-0000-0000-000000000000}">
            <xm:f xml:space="preserve"> Spravka!$O$846&lt;&gt;""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expression" priority="260" id="{00000000-0000-0000-0000-000000000000}">
            <xm:f xml:space="preserve"> Spravka!$O$853&lt;&gt;""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E22</xm:sqref>
        </x14:conditionalFormatting>
        <x14:conditionalFormatting xmlns:xm="http://schemas.microsoft.com/office/excel/2006/main">
          <x14:cfRule type="expression" priority="259" id="{00000000-0000-0000-0000-000000000000}">
            <xm:f xml:space="preserve"> Spravka!$O$860&lt;&gt;""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258" id="{00000000-0000-0000-0000-000000000000}">
            <xm:f xml:space="preserve"> Spravka!$O$867&lt;&gt;""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G22</xm:sqref>
        </x14:conditionalFormatting>
        <x14:conditionalFormatting xmlns:xm="http://schemas.microsoft.com/office/excel/2006/main">
          <x14:cfRule type="expression" priority="257" id="{00000000-0000-0000-0000-000000000000}">
            <xm:f xml:space="preserve"> Spravka!$O$874&lt;&gt;""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256" id="{00000000-0000-0000-0000-000000000000}">
            <xm:f xml:space="preserve"> Spravka!$O$881&lt;&gt;""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55" id="{00000000-0000-0000-0000-000000000000}">
            <xm:f xml:space="preserve"> Spravka!$O$888&lt;&gt;""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254" id="{00000000-0000-0000-0000-000000000000}">
            <xm:f xml:space="preserve"> Spravka!$O$895&lt;&gt;""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expression" priority="253" id="{00000000-0000-0000-0000-000000000000}">
            <xm:f xml:space="preserve"> Spravka!$O$902&lt;&gt;""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L22</xm:sqref>
        </x14:conditionalFormatting>
        <x14:conditionalFormatting xmlns:xm="http://schemas.microsoft.com/office/excel/2006/main">
          <x14:cfRule type="expression" priority="252" id="{00000000-0000-0000-0000-000000000000}">
            <xm:f xml:space="preserve"> Spravka!$O$909&lt;&gt;""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M22</xm:sqref>
        </x14:conditionalFormatting>
        <x14:conditionalFormatting xmlns:xm="http://schemas.microsoft.com/office/excel/2006/main">
          <x14:cfRule type="expression" priority="251" id="{00000000-0000-0000-0000-000000000000}">
            <xm:f xml:space="preserve"> Spravka!$O$916&lt;&gt;""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250" id="{00000000-0000-0000-0000-000000000000}">
            <xm:f xml:space="preserve"> Spravka!$O$923&lt;&gt;""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expression" priority="249" id="{00000000-0000-0000-0000-000000000000}">
            <xm:f xml:space="preserve"> Spravka!$O$930&lt;&gt;""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248" id="{00000000-0000-0000-0000-000000000000}">
            <xm:f xml:space="preserve"> Spravka!$O$937&lt;&gt;""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Q22</xm:sqref>
        </x14:conditionalFormatting>
        <x14:conditionalFormatting xmlns:xm="http://schemas.microsoft.com/office/excel/2006/main">
          <x14:cfRule type="expression" priority="247" id="{00000000-0000-0000-0000-000000000000}">
            <xm:f xml:space="preserve"> Spravka!$O$944&lt;&gt;""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246" id="{00000000-0000-0000-0000-000000000000}">
            <xm:f xml:space="preserve"> Spravka!$O$951&lt;&gt;""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245" id="{00000000-0000-0000-0000-000000000000}">
            <xm:f xml:space="preserve"> Spravka!$O$958&lt;&gt;""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T22</xm:sqref>
        </x14:conditionalFormatting>
        <x14:conditionalFormatting xmlns:xm="http://schemas.microsoft.com/office/excel/2006/main">
          <x14:cfRule type="expression" priority="244" id="{00000000-0000-0000-0000-000000000000}">
            <xm:f xml:space="preserve"> Spravka!$O$965&lt;&gt;""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U22</xm:sqref>
        </x14:conditionalFormatting>
        <x14:conditionalFormatting xmlns:xm="http://schemas.microsoft.com/office/excel/2006/main">
          <x14:cfRule type="expression" priority="243" id="{00000000-0000-0000-0000-000000000000}">
            <xm:f xml:space="preserve"> Spravka!$O$972&lt;&gt;""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V22</xm:sqref>
        </x14:conditionalFormatting>
        <x14:conditionalFormatting xmlns:xm="http://schemas.microsoft.com/office/excel/2006/main">
          <x14:cfRule type="expression" priority="242" id="{00000000-0000-0000-0000-000000000000}">
            <xm:f xml:space="preserve"> Spravka!$O$979&lt;&gt;""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241" id="{00000000-0000-0000-0000-000000000000}">
            <xm:f xml:space="preserve"> Spravka!$O$986&lt;&gt;""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X22</xm:sqref>
        </x14:conditionalFormatting>
        <x14:conditionalFormatting xmlns:xm="http://schemas.microsoft.com/office/excel/2006/main">
          <x14:cfRule type="expression" priority="240" id="{00000000-0000-0000-0000-000000000000}">
            <xm:f xml:space="preserve"> Spravka!$O$993&lt;&gt;""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Y22</xm:sqref>
        </x14:conditionalFormatting>
        <x14:conditionalFormatting xmlns:xm="http://schemas.microsoft.com/office/excel/2006/main">
          <x14:cfRule type="expression" priority="239" id="{00000000-0000-0000-0000-000000000000}">
            <xm:f xml:space="preserve"> Spravka!$O$1000&lt;&gt;""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expression" priority="238" id="{00000000-0000-0000-0000-000000000000}">
            <xm:f xml:space="preserve"> Spravka!$O$1007&lt;&gt;""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D29</xm:sqref>
        </x14:conditionalFormatting>
        <x14:conditionalFormatting xmlns:xm="http://schemas.microsoft.com/office/excel/2006/main">
          <x14:cfRule type="expression" priority="237" id="{00000000-0000-0000-0000-000000000000}">
            <xm:f xml:space="preserve"> Spravka!$O$1014&lt;&gt;""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236" id="{00000000-0000-0000-0000-000000000000}">
            <xm:f xml:space="preserve"> Spravka!$O$1021&lt;&gt;""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235" id="{00000000-0000-0000-0000-000000000000}">
            <xm:f xml:space="preserve"> Spravka!$O$1028&lt;&gt;""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G29</xm:sqref>
        </x14:conditionalFormatting>
        <x14:conditionalFormatting xmlns:xm="http://schemas.microsoft.com/office/excel/2006/main">
          <x14:cfRule type="expression" priority="234" id="{00000000-0000-0000-0000-000000000000}">
            <xm:f xml:space="preserve"> Spravka!$O$1035&lt;&gt;""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expression" priority="233" id="{00000000-0000-0000-0000-000000000000}">
            <xm:f xml:space="preserve"> Spravka!$O$1042&lt;&gt;""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expression" priority="232" id="{00000000-0000-0000-0000-000000000000}">
            <xm:f xml:space="preserve"> Spravka!$O$1049&lt;&gt;""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231" id="{00000000-0000-0000-0000-000000000000}">
            <xm:f xml:space="preserve"> Spravka!$O$1056&lt;&gt;""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expression" priority="230" id="{00000000-0000-0000-0000-000000000000}">
            <xm:f xml:space="preserve"> Spravka!$O$1063&lt;&gt;""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expression" priority="229" id="{00000000-0000-0000-0000-000000000000}">
            <xm:f xml:space="preserve"> Spravka!$O$1070&lt;&gt;""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expression" priority="228" id="{00000000-0000-0000-0000-000000000000}">
            <xm:f xml:space="preserve"> Spravka!$O$1077&lt;&gt;""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227" id="{00000000-0000-0000-0000-000000000000}">
            <xm:f xml:space="preserve"> Spravka!$O$1084&lt;&gt;""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O29</xm:sqref>
        </x14:conditionalFormatting>
        <x14:conditionalFormatting xmlns:xm="http://schemas.microsoft.com/office/excel/2006/main">
          <x14:cfRule type="expression" priority="226" id="{00000000-0000-0000-0000-000000000000}">
            <xm:f xml:space="preserve"> Spravka!$O$1091&lt;&gt;""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P29</xm:sqref>
        </x14:conditionalFormatting>
        <x14:conditionalFormatting xmlns:xm="http://schemas.microsoft.com/office/excel/2006/main">
          <x14:cfRule type="expression" priority="225" id="{00000000-0000-0000-0000-000000000000}">
            <xm:f xml:space="preserve"> Spravka!$O$1098&lt;&gt;""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Q29</xm:sqref>
        </x14:conditionalFormatting>
        <x14:conditionalFormatting xmlns:xm="http://schemas.microsoft.com/office/excel/2006/main">
          <x14:cfRule type="expression" priority="224" id="{00000000-0000-0000-0000-000000000000}">
            <xm:f xml:space="preserve"> Spravka!$O$1105&lt;&gt;""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223" id="{00000000-0000-0000-0000-000000000000}">
            <xm:f xml:space="preserve"> Spravka!$O$1112&lt;&gt;""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222" id="{00000000-0000-0000-0000-000000000000}">
            <xm:f xml:space="preserve"> Spravka!$O$1119&lt;&gt;""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T29</xm:sqref>
        </x14:conditionalFormatting>
        <x14:conditionalFormatting xmlns:xm="http://schemas.microsoft.com/office/excel/2006/main">
          <x14:cfRule type="expression" priority="221" id="{00000000-0000-0000-0000-000000000000}">
            <xm:f xml:space="preserve"> Spravka!$O$1126&lt;&gt;""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U29</xm:sqref>
        </x14:conditionalFormatting>
        <x14:conditionalFormatting xmlns:xm="http://schemas.microsoft.com/office/excel/2006/main">
          <x14:cfRule type="expression" priority="220" id="{00000000-0000-0000-0000-000000000000}">
            <xm:f xml:space="preserve"> Spravka!$O$1133&lt;&gt;""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V29</xm:sqref>
        </x14:conditionalFormatting>
        <x14:conditionalFormatting xmlns:xm="http://schemas.microsoft.com/office/excel/2006/main">
          <x14:cfRule type="expression" priority="219" id="{00000000-0000-0000-0000-000000000000}">
            <xm:f xml:space="preserve"> Spravka!$O$1140&lt;&gt;""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W29</xm:sqref>
        </x14:conditionalFormatting>
        <x14:conditionalFormatting xmlns:xm="http://schemas.microsoft.com/office/excel/2006/main">
          <x14:cfRule type="expression" priority="218" id="{00000000-0000-0000-0000-000000000000}">
            <xm:f xml:space="preserve"> Spravka!$O$1147&lt;&gt;""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X29</xm:sqref>
        </x14:conditionalFormatting>
        <x14:conditionalFormatting xmlns:xm="http://schemas.microsoft.com/office/excel/2006/main">
          <x14:cfRule type="expression" priority="217" id="{00000000-0000-0000-0000-000000000000}">
            <xm:f xml:space="preserve"> Spravka!$O$1154&lt;&gt;""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Y29</xm:sqref>
        </x14:conditionalFormatting>
        <x14:conditionalFormatting xmlns:xm="http://schemas.microsoft.com/office/excel/2006/main">
          <x14:cfRule type="expression" priority="216" id="{00000000-0000-0000-0000-000000000000}">
            <xm:f xml:space="preserve"> Spravka!$O$1161&lt;&gt;""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Z29</xm:sqref>
        </x14:conditionalFormatting>
        <x14:conditionalFormatting xmlns:xm="http://schemas.microsoft.com/office/excel/2006/main">
          <x14:cfRule type="expression" priority="215" id="{00000000-0000-0000-0000-000000000000}">
            <xm:f xml:space="preserve"> Spravka!$O$1168&lt;&gt;""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214" id="{00000000-0000-0000-0000-000000000000}">
            <xm:f xml:space="preserve"> Spravka!$O$1175&lt;&gt;""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D30</xm:sqref>
        </x14:conditionalFormatting>
        <x14:conditionalFormatting xmlns:xm="http://schemas.microsoft.com/office/excel/2006/main">
          <x14:cfRule type="expression" priority="213" id="{00000000-0000-0000-0000-000000000000}">
            <xm:f xml:space="preserve"> Spravka!$O$1182&lt;&gt;""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E30</xm:sqref>
        </x14:conditionalFormatting>
        <x14:conditionalFormatting xmlns:xm="http://schemas.microsoft.com/office/excel/2006/main">
          <x14:cfRule type="expression" priority="212" id="{00000000-0000-0000-0000-000000000000}">
            <xm:f xml:space="preserve"> Spravka!$O$1189&lt;&gt;""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211" id="{00000000-0000-0000-0000-000000000000}">
            <xm:f xml:space="preserve"> Spravka!$O$1196&lt;&gt;""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G30</xm:sqref>
        </x14:conditionalFormatting>
        <x14:conditionalFormatting xmlns:xm="http://schemas.microsoft.com/office/excel/2006/main">
          <x14:cfRule type="expression" priority="210" id="{00000000-0000-0000-0000-000000000000}">
            <xm:f xml:space="preserve"> Spravka!$O$1203&lt;&gt;""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209" id="{00000000-0000-0000-0000-000000000000}">
            <xm:f xml:space="preserve"> Spravka!$O$1210&lt;&gt;""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expression" priority="208" id="{00000000-0000-0000-0000-000000000000}">
            <xm:f xml:space="preserve"> Spravka!$O$1217&lt;&gt;""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207" id="{00000000-0000-0000-0000-000000000000}">
            <xm:f xml:space="preserve"> Spravka!$O$1224&lt;&gt;""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expression" priority="206" id="{00000000-0000-0000-0000-000000000000}">
            <xm:f xml:space="preserve"> Spravka!$O$1231&lt;&gt;""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L30</xm:sqref>
        </x14:conditionalFormatting>
        <x14:conditionalFormatting xmlns:xm="http://schemas.microsoft.com/office/excel/2006/main">
          <x14:cfRule type="expression" priority="205" id="{00000000-0000-0000-0000-000000000000}">
            <xm:f xml:space="preserve"> Spravka!$O$1238&lt;&gt;""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M30</xm:sqref>
        </x14:conditionalFormatting>
        <x14:conditionalFormatting xmlns:xm="http://schemas.microsoft.com/office/excel/2006/main">
          <x14:cfRule type="expression" priority="204" id="{00000000-0000-0000-0000-000000000000}">
            <xm:f xml:space="preserve"> Spravka!$O$1245&lt;&gt;""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203" id="{00000000-0000-0000-0000-000000000000}">
            <xm:f xml:space="preserve"> Spravka!$O$1252&lt;&gt;""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O30</xm:sqref>
        </x14:conditionalFormatting>
        <x14:conditionalFormatting xmlns:xm="http://schemas.microsoft.com/office/excel/2006/main">
          <x14:cfRule type="expression" priority="202" id="{00000000-0000-0000-0000-000000000000}">
            <xm:f xml:space="preserve"> Spravka!$O$1259&lt;&gt;""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expression" priority="201" id="{00000000-0000-0000-0000-000000000000}">
            <xm:f xml:space="preserve"> Spravka!$O$1266&lt;&gt;""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Q30</xm:sqref>
        </x14:conditionalFormatting>
        <x14:conditionalFormatting xmlns:xm="http://schemas.microsoft.com/office/excel/2006/main">
          <x14:cfRule type="expression" priority="200" id="{00000000-0000-0000-0000-000000000000}">
            <xm:f xml:space="preserve"> Spravka!$O$1273&lt;&gt;""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99" id="{00000000-0000-0000-0000-000000000000}">
            <xm:f xml:space="preserve"> Spravka!$O$1280&lt;&gt;""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198" id="{00000000-0000-0000-0000-000000000000}">
            <xm:f xml:space="preserve"> Spravka!$O$1287&lt;&gt;""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T30</xm:sqref>
        </x14:conditionalFormatting>
        <x14:conditionalFormatting xmlns:xm="http://schemas.microsoft.com/office/excel/2006/main">
          <x14:cfRule type="expression" priority="197" id="{00000000-0000-0000-0000-000000000000}">
            <xm:f xml:space="preserve"> Spravka!$O$1294&lt;&gt;""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U30</xm:sqref>
        </x14:conditionalFormatting>
        <x14:conditionalFormatting xmlns:xm="http://schemas.microsoft.com/office/excel/2006/main">
          <x14:cfRule type="expression" priority="196" id="{00000000-0000-0000-0000-000000000000}">
            <xm:f xml:space="preserve"> Spravka!$O$1301&lt;&gt;""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V30</xm:sqref>
        </x14:conditionalFormatting>
        <x14:conditionalFormatting xmlns:xm="http://schemas.microsoft.com/office/excel/2006/main">
          <x14:cfRule type="expression" priority="195" id="{00000000-0000-0000-0000-000000000000}">
            <xm:f xml:space="preserve"> Spravka!$O$1308&lt;&gt;""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194" id="{00000000-0000-0000-0000-000000000000}">
            <xm:f xml:space="preserve"> Spravka!$O$1315&lt;&gt;""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X30</xm:sqref>
        </x14:conditionalFormatting>
        <x14:conditionalFormatting xmlns:xm="http://schemas.microsoft.com/office/excel/2006/main">
          <x14:cfRule type="expression" priority="193" id="{00000000-0000-0000-0000-000000000000}">
            <xm:f xml:space="preserve"> Spravka!$O$1322&lt;&gt;""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Y30</xm:sqref>
        </x14:conditionalFormatting>
        <x14:conditionalFormatting xmlns:xm="http://schemas.microsoft.com/office/excel/2006/main">
          <x14:cfRule type="expression" priority="192" id="{00000000-0000-0000-0000-000000000000}">
            <xm:f xml:space="preserve"> Spravka!$O$1329&lt;&gt;""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expression" priority="191" id="{00000000-0000-0000-0000-000000000000}">
            <xm:f xml:space="preserve"> Spravka!$O$1336&lt;&gt;""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D37</xm:sqref>
        </x14:conditionalFormatting>
        <x14:conditionalFormatting xmlns:xm="http://schemas.microsoft.com/office/excel/2006/main">
          <x14:cfRule type="expression" priority="190" id="{00000000-0000-0000-0000-000000000000}">
            <xm:f xml:space="preserve"> Spravka!$O$1343&lt;&gt;""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189" id="{00000000-0000-0000-0000-000000000000}">
            <xm:f xml:space="preserve"> Spravka!$O$1350&lt;&gt;""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188" id="{00000000-0000-0000-0000-000000000000}">
            <xm:f xml:space="preserve"> Spravka!$O$1357&lt;&gt;""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expression" priority="187" id="{00000000-0000-0000-0000-000000000000}">
            <xm:f xml:space="preserve"> Spravka!$O$1364&lt;&gt;""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186" id="{00000000-0000-0000-0000-000000000000}">
            <xm:f xml:space="preserve"> Spravka!$O$1371&lt;&gt;""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85" id="{00000000-0000-0000-0000-000000000000}">
            <xm:f xml:space="preserve"> Spravka!$O$1378&lt;&gt;""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184" id="{00000000-0000-0000-0000-000000000000}">
            <xm:f xml:space="preserve"> Spravka!$O$1385&lt;&gt;""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expression" priority="183" id="{00000000-0000-0000-0000-000000000000}">
            <xm:f xml:space="preserve"> Spravka!$O$1392&lt;&gt;""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L37</xm:sqref>
        </x14:conditionalFormatting>
        <x14:conditionalFormatting xmlns:xm="http://schemas.microsoft.com/office/excel/2006/main">
          <x14:cfRule type="expression" priority="182" id="{00000000-0000-0000-0000-000000000000}">
            <xm:f xml:space="preserve"> Spravka!$O$1399&lt;&gt;""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expression" priority="181" id="{00000000-0000-0000-0000-000000000000}">
            <xm:f xml:space="preserve"> Spravka!$O$1406&lt;&gt;""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180" id="{00000000-0000-0000-0000-000000000000}">
            <xm:f xml:space="preserve"> Spravka!$O$1413&lt;&gt;""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O37</xm:sqref>
        </x14:conditionalFormatting>
        <x14:conditionalFormatting xmlns:xm="http://schemas.microsoft.com/office/excel/2006/main">
          <x14:cfRule type="expression" priority="179" id="{00000000-0000-0000-0000-000000000000}">
            <xm:f xml:space="preserve"> Spravka!$O$1420&lt;&gt;""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expression" priority="178" id="{00000000-0000-0000-0000-000000000000}">
            <xm:f xml:space="preserve"> Spravka!$O$1427&lt;&gt;""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expression" priority="177" id="{00000000-0000-0000-0000-000000000000}">
            <xm:f xml:space="preserve"> Spravka!$O$1434&lt;&gt;""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176" id="{00000000-0000-0000-0000-000000000000}">
            <xm:f xml:space="preserve"> Spravka!$O$1441&lt;&gt;""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175" id="{00000000-0000-0000-0000-000000000000}">
            <xm:f xml:space="preserve"> Spravka!$O$1448&lt;&gt;""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T37</xm:sqref>
        </x14:conditionalFormatting>
        <x14:conditionalFormatting xmlns:xm="http://schemas.microsoft.com/office/excel/2006/main">
          <x14:cfRule type="expression" priority="174" id="{00000000-0000-0000-0000-000000000000}">
            <xm:f xml:space="preserve"> Spravka!$O$1455&lt;&gt;""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U37</xm:sqref>
        </x14:conditionalFormatting>
        <x14:conditionalFormatting xmlns:xm="http://schemas.microsoft.com/office/excel/2006/main">
          <x14:cfRule type="expression" priority="173" id="{00000000-0000-0000-0000-000000000000}">
            <xm:f xml:space="preserve"> Spravka!$O$1462&lt;&gt;""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V37</xm:sqref>
        </x14:conditionalFormatting>
        <x14:conditionalFormatting xmlns:xm="http://schemas.microsoft.com/office/excel/2006/main">
          <x14:cfRule type="expression" priority="172" id="{00000000-0000-0000-0000-000000000000}">
            <xm:f xml:space="preserve"> Spravka!$O$1469&lt;&gt;""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W37</xm:sqref>
        </x14:conditionalFormatting>
        <x14:conditionalFormatting xmlns:xm="http://schemas.microsoft.com/office/excel/2006/main">
          <x14:cfRule type="expression" priority="171" id="{00000000-0000-0000-0000-000000000000}">
            <xm:f xml:space="preserve"> Spravka!$O$1476&lt;&gt;""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X37</xm:sqref>
        </x14:conditionalFormatting>
        <x14:conditionalFormatting xmlns:xm="http://schemas.microsoft.com/office/excel/2006/main">
          <x14:cfRule type="expression" priority="170" id="{00000000-0000-0000-0000-000000000000}">
            <xm:f xml:space="preserve"> Spravka!$O$1483&lt;&gt;""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Y37</xm:sqref>
        </x14:conditionalFormatting>
        <x14:conditionalFormatting xmlns:xm="http://schemas.microsoft.com/office/excel/2006/main">
          <x14:cfRule type="expression" priority="169" id="{00000000-0000-0000-0000-000000000000}">
            <xm:f xml:space="preserve"> Spravka!$O$1490&lt;&gt;""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Z37</xm:sqref>
        </x14:conditionalFormatting>
        <x14:conditionalFormatting xmlns:xm="http://schemas.microsoft.com/office/excel/2006/main">
          <x14:cfRule type="expression" priority="168" id="{00000000-0000-0000-0000-000000000000}">
            <xm:f xml:space="preserve"> Spravka!$O$1497&lt;&gt;""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expression" priority="167" id="{00000000-0000-0000-0000-000000000000}">
            <xm:f xml:space="preserve"> Spravka!$O$1504&lt;&gt;""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D38</xm:sqref>
        </x14:conditionalFormatting>
        <x14:conditionalFormatting xmlns:xm="http://schemas.microsoft.com/office/excel/2006/main">
          <x14:cfRule type="expression" priority="166" id="{00000000-0000-0000-0000-000000000000}">
            <xm:f xml:space="preserve"> Spravka!$O$1511&lt;&gt;""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E38</xm:sqref>
        </x14:conditionalFormatting>
        <x14:conditionalFormatting xmlns:xm="http://schemas.microsoft.com/office/excel/2006/main">
          <x14:cfRule type="expression" priority="165" id="{00000000-0000-0000-0000-000000000000}">
            <xm:f xml:space="preserve"> Spravka!$O$1518&lt;&gt;""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F38</xm:sqref>
        </x14:conditionalFormatting>
        <x14:conditionalFormatting xmlns:xm="http://schemas.microsoft.com/office/excel/2006/main">
          <x14:cfRule type="expression" priority="164" id="{00000000-0000-0000-0000-000000000000}">
            <xm:f xml:space="preserve"> Spravka!$O$1525&lt;&gt;""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G38</xm:sqref>
        </x14:conditionalFormatting>
        <x14:conditionalFormatting xmlns:xm="http://schemas.microsoft.com/office/excel/2006/main">
          <x14:cfRule type="expression" priority="163" id="{00000000-0000-0000-0000-000000000000}">
            <xm:f xml:space="preserve"> Spravka!$O$1532&lt;&gt;""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H38</xm:sqref>
        </x14:conditionalFormatting>
        <x14:conditionalFormatting xmlns:xm="http://schemas.microsoft.com/office/excel/2006/main">
          <x14:cfRule type="expression" priority="162" id="{00000000-0000-0000-0000-000000000000}">
            <xm:f xml:space="preserve"> Spravka!$O$1539&lt;&gt;""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161" id="{00000000-0000-0000-0000-000000000000}">
            <xm:f xml:space="preserve"> Spravka!$O$1546&lt;&gt;""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160" id="{00000000-0000-0000-0000-000000000000}">
            <xm:f xml:space="preserve"> Spravka!$O$1553&lt;&gt;""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expression" priority="159" id="{00000000-0000-0000-0000-000000000000}">
            <xm:f xml:space="preserve"> Spravka!$O$1560&lt;&gt;""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L38</xm:sqref>
        </x14:conditionalFormatting>
        <x14:conditionalFormatting xmlns:xm="http://schemas.microsoft.com/office/excel/2006/main">
          <x14:cfRule type="expression" priority="158" id="{00000000-0000-0000-0000-000000000000}">
            <xm:f xml:space="preserve"> Spravka!$O$1567&lt;&gt;""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expression" priority="157" id="{00000000-0000-0000-0000-000000000000}">
            <xm:f xml:space="preserve"> Spravka!$O$1574&lt;&gt;""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156" id="{00000000-0000-0000-0000-000000000000}">
            <xm:f xml:space="preserve"> Spravka!$O$1581&lt;&gt;""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O38</xm:sqref>
        </x14:conditionalFormatting>
        <x14:conditionalFormatting xmlns:xm="http://schemas.microsoft.com/office/excel/2006/main">
          <x14:cfRule type="expression" priority="155" id="{00000000-0000-0000-0000-000000000000}">
            <xm:f xml:space="preserve"> Spravka!$O$1588&lt;&gt;""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P38</xm:sqref>
        </x14:conditionalFormatting>
        <x14:conditionalFormatting xmlns:xm="http://schemas.microsoft.com/office/excel/2006/main">
          <x14:cfRule type="expression" priority="154" id="{00000000-0000-0000-0000-000000000000}">
            <xm:f xml:space="preserve"> Spravka!$O$1595&lt;&gt;""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Q38</xm:sqref>
        </x14:conditionalFormatting>
        <x14:conditionalFormatting xmlns:xm="http://schemas.microsoft.com/office/excel/2006/main">
          <x14:cfRule type="expression" priority="153" id="{00000000-0000-0000-0000-000000000000}">
            <xm:f xml:space="preserve"> Spravka!$O$1602&lt;&gt;""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152" id="{00000000-0000-0000-0000-000000000000}">
            <xm:f xml:space="preserve"> Spravka!$O$1609&lt;&gt;""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151" id="{00000000-0000-0000-0000-000000000000}">
            <xm:f xml:space="preserve"> Spravka!$O$1616&lt;&gt;""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T38</xm:sqref>
        </x14:conditionalFormatting>
        <x14:conditionalFormatting xmlns:xm="http://schemas.microsoft.com/office/excel/2006/main">
          <x14:cfRule type="expression" priority="150" id="{00000000-0000-0000-0000-000000000000}">
            <xm:f xml:space="preserve"> Spravka!$O$1623&lt;&gt;""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U38</xm:sqref>
        </x14:conditionalFormatting>
        <x14:conditionalFormatting xmlns:xm="http://schemas.microsoft.com/office/excel/2006/main">
          <x14:cfRule type="expression" priority="149" id="{00000000-0000-0000-0000-000000000000}">
            <xm:f xml:space="preserve"> Spravka!$O$1630&lt;&gt;""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V38</xm:sqref>
        </x14:conditionalFormatting>
        <x14:conditionalFormatting xmlns:xm="http://schemas.microsoft.com/office/excel/2006/main">
          <x14:cfRule type="expression" priority="148" id="{00000000-0000-0000-0000-000000000000}">
            <xm:f xml:space="preserve"> Spravka!$O$1637&lt;&gt;""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W38</xm:sqref>
        </x14:conditionalFormatting>
        <x14:conditionalFormatting xmlns:xm="http://schemas.microsoft.com/office/excel/2006/main">
          <x14:cfRule type="expression" priority="147" id="{00000000-0000-0000-0000-000000000000}">
            <xm:f xml:space="preserve"> Spravka!$O$1644&lt;&gt;""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X38</xm:sqref>
        </x14:conditionalFormatting>
        <x14:conditionalFormatting xmlns:xm="http://schemas.microsoft.com/office/excel/2006/main">
          <x14:cfRule type="expression" priority="146" id="{00000000-0000-0000-0000-000000000000}">
            <xm:f xml:space="preserve"> Spravka!$O$1651&lt;&gt;""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Y38</xm:sqref>
        </x14:conditionalFormatting>
        <x14:conditionalFormatting xmlns:xm="http://schemas.microsoft.com/office/excel/2006/main">
          <x14:cfRule type="expression" priority="145" id="{00000000-0000-0000-0000-000000000000}">
            <xm:f xml:space="preserve"> Spravka!$O$1658&lt;&gt;""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144" id="{00000000-0000-0000-0000-000000000000}">
            <xm:f xml:space="preserve"> Spravka!$O$1665&lt;&gt;""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D45</xm:sqref>
        </x14:conditionalFormatting>
        <x14:conditionalFormatting xmlns:xm="http://schemas.microsoft.com/office/excel/2006/main">
          <x14:cfRule type="expression" priority="143" id="{00000000-0000-0000-0000-000000000000}">
            <xm:f xml:space="preserve"> Spravka!$O$1672&lt;&gt;""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expression" priority="142" id="{00000000-0000-0000-0000-000000000000}">
            <xm:f xml:space="preserve"> Spravka!$O$1679&lt;&gt;""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F45</xm:sqref>
        </x14:conditionalFormatting>
        <x14:conditionalFormatting xmlns:xm="http://schemas.microsoft.com/office/excel/2006/main">
          <x14:cfRule type="expression" priority="141" id="{00000000-0000-0000-0000-000000000000}">
            <xm:f xml:space="preserve"> Spravka!$O$1686&lt;&gt;""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G45</xm:sqref>
        </x14:conditionalFormatting>
        <x14:conditionalFormatting xmlns:xm="http://schemas.microsoft.com/office/excel/2006/main">
          <x14:cfRule type="expression" priority="140" id="{00000000-0000-0000-0000-000000000000}">
            <xm:f xml:space="preserve"> Spravka!$O$1693&lt;&gt;""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H45</xm:sqref>
        </x14:conditionalFormatting>
        <x14:conditionalFormatting xmlns:xm="http://schemas.microsoft.com/office/excel/2006/main">
          <x14:cfRule type="expression" priority="139" id="{00000000-0000-0000-0000-000000000000}">
            <xm:f xml:space="preserve"> Spravka!$O$1700&lt;&gt;""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I45</xm:sqref>
        </x14:conditionalFormatting>
        <x14:conditionalFormatting xmlns:xm="http://schemas.microsoft.com/office/excel/2006/main">
          <x14:cfRule type="expression" priority="138" id="{00000000-0000-0000-0000-000000000000}">
            <xm:f xml:space="preserve"> Spravka!$O$1707&lt;&gt;""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expression" priority="137" id="{00000000-0000-0000-0000-000000000000}">
            <xm:f xml:space="preserve"> Spravka!$O$1714&lt;&gt;""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K45</xm:sqref>
        </x14:conditionalFormatting>
        <x14:conditionalFormatting xmlns:xm="http://schemas.microsoft.com/office/excel/2006/main">
          <x14:cfRule type="expression" priority="136" id="{00000000-0000-0000-0000-000000000000}">
            <xm:f xml:space="preserve"> Spravka!$O$1721&lt;&gt;""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L45</xm:sqref>
        </x14:conditionalFormatting>
        <x14:conditionalFormatting xmlns:xm="http://schemas.microsoft.com/office/excel/2006/main">
          <x14:cfRule type="expression" priority="135" id="{00000000-0000-0000-0000-000000000000}">
            <xm:f xml:space="preserve"> Spravka!$O$1728&lt;&gt;""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M45</xm:sqref>
        </x14:conditionalFormatting>
        <x14:conditionalFormatting xmlns:xm="http://schemas.microsoft.com/office/excel/2006/main">
          <x14:cfRule type="expression" priority="134" id="{00000000-0000-0000-0000-000000000000}">
            <xm:f xml:space="preserve"> Spravka!$O$1735&lt;&gt;""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N45</xm:sqref>
        </x14:conditionalFormatting>
        <x14:conditionalFormatting xmlns:xm="http://schemas.microsoft.com/office/excel/2006/main">
          <x14:cfRule type="expression" priority="133" id="{00000000-0000-0000-0000-000000000000}">
            <xm:f xml:space="preserve"> Spravka!$O$1742&lt;&gt;""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O45</xm:sqref>
        </x14:conditionalFormatting>
        <x14:conditionalFormatting xmlns:xm="http://schemas.microsoft.com/office/excel/2006/main">
          <x14:cfRule type="expression" priority="132" id="{00000000-0000-0000-0000-000000000000}">
            <xm:f xml:space="preserve"> Spravka!$O$1749&lt;&gt;""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P45</xm:sqref>
        </x14:conditionalFormatting>
        <x14:conditionalFormatting xmlns:xm="http://schemas.microsoft.com/office/excel/2006/main">
          <x14:cfRule type="expression" priority="131" id="{00000000-0000-0000-0000-000000000000}">
            <xm:f xml:space="preserve"> Spravka!$O$1756&lt;&gt;""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Q45</xm:sqref>
        </x14:conditionalFormatting>
        <x14:conditionalFormatting xmlns:xm="http://schemas.microsoft.com/office/excel/2006/main">
          <x14:cfRule type="expression" priority="130" id="{00000000-0000-0000-0000-000000000000}">
            <xm:f xml:space="preserve"> Spravka!$O$1763&lt;&gt;""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R45</xm:sqref>
        </x14:conditionalFormatting>
        <x14:conditionalFormatting xmlns:xm="http://schemas.microsoft.com/office/excel/2006/main">
          <x14:cfRule type="expression" priority="129" id="{00000000-0000-0000-0000-000000000000}">
            <xm:f xml:space="preserve"> Spravka!$O$1770&lt;&gt;""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S45</xm:sqref>
        </x14:conditionalFormatting>
        <x14:conditionalFormatting xmlns:xm="http://schemas.microsoft.com/office/excel/2006/main">
          <x14:cfRule type="expression" priority="128" id="{00000000-0000-0000-0000-000000000000}">
            <xm:f xml:space="preserve"> Spravka!$O$1777&lt;&gt;""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T45</xm:sqref>
        </x14:conditionalFormatting>
        <x14:conditionalFormatting xmlns:xm="http://schemas.microsoft.com/office/excel/2006/main">
          <x14:cfRule type="expression" priority="127" id="{00000000-0000-0000-0000-000000000000}">
            <xm:f xml:space="preserve"> Spravka!$O$1784&lt;&gt;""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U45</xm:sqref>
        </x14:conditionalFormatting>
        <x14:conditionalFormatting xmlns:xm="http://schemas.microsoft.com/office/excel/2006/main">
          <x14:cfRule type="expression" priority="126" id="{00000000-0000-0000-0000-000000000000}">
            <xm:f xml:space="preserve"> Spravka!$O$1791&lt;&gt;""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V45</xm:sqref>
        </x14:conditionalFormatting>
        <x14:conditionalFormatting xmlns:xm="http://schemas.microsoft.com/office/excel/2006/main">
          <x14:cfRule type="expression" priority="125" id="{00000000-0000-0000-0000-000000000000}">
            <xm:f xml:space="preserve"> Spravka!$O$1798&lt;&gt;""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W45</xm:sqref>
        </x14:conditionalFormatting>
        <x14:conditionalFormatting xmlns:xm="http://schemas.microsoft.com/office/excel/2006/main">
          <x14:cfRule type="expression" priority="124" id="{00000000-0000-0000-0000-000000000000}">
            <xm:f xml:space="preserve"> Spravka!$O$1805&lt;&gt;""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X45</xm:sqref>
        </x14:conditionalFormatting>
        <x14:conditionalFormatting xmlns:xm="http://schemas.microsoft.com/office/excel/2006/main">
          <x14:cfRule type="expression" priority="123" id="{00000000-0000-0000-0000-000000000000}">
            <xm:f xml:space="preserve"> Spravka!$O$1812&lt;&gt;""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Y45</xm:sqref>
        </x14:conditionalFormatting>
        <x14:conditionalFormatting xmlns:xm="http://schemas.microsoft.com/office/excel/2006/main">
          <x14:cfRule type="expression" priority="122" id="{00000000-0000-0000-0000-000000000000}">
            <xm:f xml:space="preserve"> Spravka!$O$1819&lt;&gt;""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Z45</xm:sqref>
        </x14:conditionalFormatting>
        <x14:conditionalFormatting xmlns:xm="http://schemas.microsoft.com/office/excel/2006/main">
          <x14:cfRule type="expression" priority="121" id="{00000000-0000-0000-0000-000000000000}">
            <xm:f xml:space="preserve"> Spravka!$O$1826&lt;&gt;""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expression" priority="120" id="{00000000-0000-0000-0000-000000000000}">
            <xm:f xml:space="preserve"> Spravka!$O$1833&lt;&gt;""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D46</xm:sqref>
        </x14:conditionalFormatting>
        <x14:conditionalFormatting xmlns:xm="http://schemas.microsoft.com/office/excel/2006/main">
          <x14:cfRule type="expression" priority="119" id="{00000000-0000-0000-0000-000000000000}">
            <xm:f xml:space="preserve"> Spravka!$O$1840&lt;&gt;""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expression" priority="118" id="{00000000-0000-0000-0000-000000000000}">
            <xm:f xml:space="preserve"> Spravka!$O$1847&lt;&gt;""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F46</xm:sqref>
        </x14:conditionalFormatting>
        <x14:conditionalFormatting xmlns:xm="http://schemas.microsoft.com/office/excel/2006/main">
          <x14:cfRule type="expression" priority="117" id="{00000000-0000-0000-0000-000000000000}">
            <xm:f xml:space="preserve"> Spravka!$O$1854&lt;&gt;""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116" id="{00000000-0000-0000-0000-000000000000}">
            <xm:f xml:space="preserve"> Spravka!$O$1861&lt;&gt;""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H46</xm:sqref>
        </x14:conditionalFormatting>
        <x14:conditionalFormatting xmlns:xm="http://schemas.microsoft.com/office/excel/2006/main">
          <x14:cfRule type="expression" priority="115" id="{00000000-0000-0000-0000-000000000000}">
            <xm:f xml:space="preserve"> Spravka!$O$1868&lt;&gt;""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114" id="{00000000-0000-0000-0000-000000000000}">
            <xm:f xml:space="preserve"> Spravka!$O$1875&lt;&gt;""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J46</xm:sqref>
        </x14:conditionalFormatting>
        <x14:conditionalFormatting xmlns:xm="http://schemas.microsoft.com/office/excel/2006/main">
          <x14:cfRule type="expression" priority="113" id="{00000000-0000-0000-0000-000000000000}">
            <xm:f xml:space="preserve"> Spravka!$O$1882&lt;&gt;""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K46</xm:sqref>
        </x14:conditionalFormatting>
        <x14:conditionalFormatting xmlns:xm="http://schemas.microsoft.com/office/excel/2006/main">
          <x14:cfRule type="expression" priority="112" id="{00000000-0000-0000-0000-000000000000}">
            <xm:f xml:space="preserve"> Spravka!$O$1889&lt;&gt;""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L46</xm:sqref>
        </x14:conditionalFormatting>
        <x14:conditionalFormatting xmlns:xm="http://schemas.microsoft.com/office/excel/2006/main">
          <x14:cfRule type="expression" priority="111" id="{00000000-0000-0000-0000-000000000000}">
            <xm:f xml:space="preserve"> Spravka!$O$1896&lt;&gt;""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M46</xm:sqref>
        </x14:conditionalFormatting>
        <x14:conditionalFormatting xmlns:xm="http://schemas.microsoft.com/office/excel/2006/main">
          <x14:cfRule type="expression" priority="110" id="{00000000-0000-0000-0000-000000000000}">
            <xm:f xml:space="preserve"> Spravka!$O$1903&lt;&gt;""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N46</xm:sqref>
        </x14:conditionalFormatting>
        <x14:conditionalFormatting xmlns:xm="http://schemas.microsoft.com/office/excel/2006/main">
          <x14:cfRule type="expression" priority="109" id="{00000000-0000-0000-0000-000000000000}">
            <xm:f xml:space="preserve"> Spravka!$O$1910&lt;&gt;""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O46</xm:sqref>
        </x14:conditionalFormatting>
        <x14:conditionalFormatting xmlns:xm="http://schemas.microsoft.com/office/excel/2006/main">
          <x14:cfRule type="expression" priority="108" id="{00000000-0000-0000-0000-000000000000}">
            <xm:f xml:space="preserve"> Spravka!$O$1917&lt;&gt;""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P46</xm:sqref>
        </x14:conditionalFormatting>
        <x14:conditionalFormatting xmlns:xm="http://schemas.microsoft.com/office/excel/2006/main">
          <x14:cfRule type="expression" priority="107" id="{00000000-0000-0000-0000-000000000000}">
            <xm:f xml:space="preserve"> Spravka!$O$1924&lt;&gt;""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Q46</xm:sqref>
        </x14:conditionalFormatting>
        <x14:conditionalFormatting xmlns:xm="http://schemas.microsoft.com/office/excel/2006/main">
          <x14:cfRule type="expression" priority="106" id="{00000000-0000-0000-0000-000000000000}">
            <xm:f xml:space="preserve"> Spravka!$O$1931&lt;&gt;""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R46</xm:sqref>
        </x14:conditionalFormatting>
        <x14:conditionalFormatting xmlns:xm="http://schemas.microsoft.com/office/excel/2006/main">
          <x14:cfRule type="expression" priority="105" id="{00000000-0000-0000-0000-000000000000}">
            <xm:f xml:space="preserve"> Spravka!$O$1938&lt;&gt;""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S46</xm:sqref>
        </x14:conditionalFormatting>
        <x14:conditionalFormatting xmlns:xm="http://schemas.microsoft.com/office/excel/2006/main">
          <x14:cfRule type="expression" priority="104" id="{00000000-0000-0000-0000-000000000000}">
            <xm:f xml:space="preserve"> Spravka!$O$1945&lt;&gt;""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T46</xm:sqref>
        </x14:conditionalFormatting>
        <x14:conditionalFormatting xmlns:xm="http://schemas.microsoft.com/office/excel/2006/main">
          <x14:cfRule type="expression" priority="103" id="{00000000-0000-0000-0000-000000000000}">
            <xm:f xml:space="preserve"> Spravka!$O$1952&lt;&gt;""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U46</xm:sqref>
        </x14:conditionalFormatting>
        <x14:conditionalFormatting xmlns:xm="http://schemas.microsoft.com/office/excel/2006/main">
          <x14:cfRule type="expression" priority="102" id="{00000000-0000-0000-0000-000000000000}">
            <xm:f xml:space="preserve"> Spravka!$O$1959&lt;&gt;""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V46</xm:sqref>
        </x14:conditionalFormatting>
        <x14:conditionalFormatting xmlns:xm="http://schemas.microsoft.com/office/excel/2006/main">
          <x14:cfRule type="expression" priority="101" id="{00000000-0000-0000-0000-000000000000}">
            <xm:f xml:space="preserve"> Spravka!$O$1966&lt;&gt;""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W46</xm:sqref>
        </x14:conditionalFormatting>
        <x14:conditionalFormatting xmlns:xm="http://schemas.microsoft.com/office/excel/2006/main">
          <x14:cfRule type="expression" priority="100" id="{00000000-0000-0000-0000-000000000000}">
            <xm:f xml:space="preserve"> Spravka!$O$1973&lt;&gt;""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X46</xm:sqref>
        </x14:conditionalFormatting>
        <x14:conditionalFormatting xmlns:xm="http://schemas.microsoft.com/office/excel/2006/main">
          <x14:cfRule type="expression" priority="99" id="{00000000-0000-0000-0000-000000000000}">
            <xm:f xml:space="preserve"> Spravka!$O$1980&lt;&gt;""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Y46</xm:sqref>
        </x14:conditionalFormatting>
        <x14:conditionalFormatting xmlns:xm="http://schemas.microsoft.com/office/excel/2006/main">
          <x14:cfRule type="expression" priority="98" id="{00000000-0000-0000-0000-000000000000}">
            <xm:f xml:space="preserve"> Spravka!$O$1987&lt;&gt;""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C53</xm:sqref>
        </x14:conditionalFormatting>
        <x14:conditionalFormatting xmlns:xm="http://schemas.microsoft.com/office/excel/2006/main">
          <x14:cfRule type="expression" priority="97" id="{00000000-0000-0000-0000-000000000000}">
            <xm:f xml:space="preserve"> Spravka!$O$1994&lt;&gt;""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D53</xm:sqref>
        </x14:conditionalFormatting>
        <x14:conditionalFormatting xmlns:xm="http://schemas.microsoft.com/office/excel/2006/main">
          <x14:cfRule type="expression" priority="96" id="{00000000-0000-0000-0000-000000000000}">
            <xm:f xml:space="preserve"> Spravka!$O$2001&lt;&gt;""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E53</xm:sqref>
        </x14:conditionalFormatting>
        <x14:conditionalFormatting xmlns:xm="http://schemas.microsoft.com/office/excel/2006/main">
          <x14:cfRule type="expression" priority="95" id="{00000000-0000-0000-0000-000000000000}">
            <xm:f xml:space="preserve"> Spravka!$O$2008&lt;&gt;""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F53</xm:sqref>
        </x14:conditionalFormatting>
        <x14:conditionalFormatting xmlns:xm="http://schemas.microsoft.com/office/excel/2006/main">
          <x14:cfRule type="expression" priority="94" id="{00000000-0000-0000-0000-000000000000}">
            <xm:f xml:space="preserve"> Spravka!$O$2015&lt;&gt;""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G53</xm:sqref>
        </x14:conditionalFormatting>
        <x14:conditionalFormatting xmlns:xm="http://schemas.microsoft.com/office/excel/2006/main">
          <x14:cfRule type="expression" priority="93" id="{00000000-0000-0000-0000-000000000000}">
            <xm:f xml:space="preserve"> Spravka!$O$2022&lt;&gt;""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H53</xm:sqref>
        </x14:conditionalFormatting>
        <x14:conditionalFormatting xmlns:xm="http://schemas.microsoft.com/office/excel/2006/main">
          <x14:cfRule type="expression" priority="92" id="{00000000-0000-0000-0000-000000000000}">
            <xm:f xml:space="preserve"> Spravka!$O$2029&lt;&gt;""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I53</xm:sqref>
        </x14:conditionalFormatting>
        <x14:conditionalFormatting xmlns:xm="http://schemas.microsoft.com/office/excel/2006/main">
          <x14:cfRule type="expression" priority="91" id="{00000000-0000-0000-0000-000000000000}">
            <xm:f xml:space="preserve"> Spravka!$O$2036&lt;&gt;""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J53</xm:sqref>
        </x14:conditionalFormatting>
        <x14:conditionalFormatting xmlns:xm="http://schemas.microsoft.com/office/excel/2006/main">
          <x14:cfRule type="expression" priority="90" id="{00000000-0000-0000-0000-000000000000}">
            <xm:f xml:space="preserve"> Spravka!$O$2043&lt;&gt;""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K53</xm:sqref>
        </x14:conditionalFormatting>
        <x14:conditionalFormatting xmlns:xm="http://schemas.microsoft.com/office/excel/2006/main">
          <x14:cfRule type="expression" priority="89" id="{00000000-0000-0000-0000-000000000000}">
            <xm:f xml:space="preserve"> Spravka!$O$2050&lt;&gt;""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L53</xm:sqref>
        </x14:conditionalFormatting>
        <x14:conditionalFormatting xmlns:xm="http://schemas.microsoft.com/office/excel/2006/main">
          <x14:cfRule type="expression" priority="88" id="{00000000-0000-0000-0000-000000000000}">
            <xm:f xml:space="preserve"> Spravka!$O$2057&lt;&gt;""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M53</xm:sqref>
        </x14:conditionalFormatting>
        <x14:conditionalFormatting xmlns:xm="http://schemas.microsoft.com/office/excel/2006/main">
          <x14:cfRule type="expression" priority="87" id="{00000000-0000-0000-0000-000000000000}">
            <xm:f xml:space="preserve"> Spravka!$O$2064&lt;&gt;""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N53</xm:sqref>
        </x14:conditionalFormatting>
        <x14:conditionalFormatting xmlns:xm="http://schemas.microsoft.com/office/excel/2006/main">
          <x14:cfRule type="expression" priority="86" id="{00000000-0000-0000-0000-000000000000}">
            <xm:f xml:space="preserve"> Spravka!$O$2071&lt;&gt;""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O53</xm:sqref>
        </x14:conditionalFormatting>
        <x14:conditionalFormatting xmlns:xm="http://schemas.microsoft.com/office/excel/2006/main">
          <x14:cfRule type="expression" priority="85" id="{00000000-0000-0000-0000-000000000000}">
            <xm:f xml:space="preserve"> Spravka!$O$2078&lt;&gt;""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P53</xm:sqref>
        </x14:conditionalFormatting>
        <x14:conditionalFormatting xmlns:xm="http://schemas.microsoft.com/office/excel/2006/main">
          <x14:cfRule type="expression" priority="84" id="{00000000-0000-0000-0000-000000000000}">
            <xm:f xml:space="preserve"> Spravka!$O$2085&lt;&gt;""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Q53</xm:sqref>
        </x14:conditionalFormatting>
        <x14:conditionalFormatting xmlns:xm="http://schemas.microsoft.com/office/excel/2006/main">
          <x14:cfRule type="expression" priority="83" id="{00000000-0000-0000-0000-000000000000}">
            <xm:f xml:space="preserve"> Spravka!$O$2092&lt;&gt;""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R53</xm:sqref>
        </x14:conditionalFormatting>
        <x14:conditionalFormatting xmlns:xm="http://schemas.microsoft.com/office/excel/2006/main">
          <x14:cfRule type="expression" priority="82" id="{00000000-0000-0000-0000-000000000000}">
            <xm:f xml:space="preserve"> Spravka!$O$2099&lt;&gt;""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S53</xm:sqref>
        </x14:conditionalFormatting>
        <x14:conditionalFormatting xmlns:xm="http://schemas.microsoft.com/office/excel/2006/main">
          <x14:cfRule type="expression" priority="81" id="{00000000-0000-0000-0000-000000000000}">
            <xm:f xml:space="preserve"> Spravka!$O$2106&lt;&gt;""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T53</xm:sqref>
        </x14:conditionalFormatting>
        <x14:conditionalFormatting xmlns:xm="http://schemas.microsoft.com/office/excel/2006/main">
          <x14:cfRule type="expression" priority="80" id="{00000000-0000-0000-0000-000000000000}">
            <xm:f xml:space="preserve"> Spravka!$O$2113&lt;&gt;""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U53</xm:sqref>
        </x14:conditionalFormatting>
        <x14:conditionalFormatting xmlns:xm="http://schemas.microsoft.com/office/excel/2006/main">
          <x14:cfRule type="expression" priority="79" id="{00000000-0000-0000-0000-000000000000}">
            <xm:f xml:space="preserve"> Spravka!$O$2120&lt;&gt;""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V53</xm:sqref>
        </x14:conditionalFormatting>
        <x14:conditionalFormatting xmlns:xm="http://schemas.microsoft.com/office/excel/2006/main">
          <x14:cfRule type="expression" priority="78" id="{00000000-0000-0000-0000-000000000000}">
            <xm:f xml:space="preserve"> Spravka!$O$2127&lt;&gt;""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W53</xm:sqref>
        </x14:conditionalFormatting>
        <x14:conditionalFormatting xmlns:xm="http://schemas.microsoft.com/office/excel/2006/main">
          <x14:cfRule type="expression" priority="77" id="{00000000-0000-0000-0000-000000000000}">
            <xm:f xml:space="preserve"> Spravka!$O$2134&lt;&gt;""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X53</xm:sqref>
        </x14:conditionalFormatting>
        <x14:conditionalFormatting xmlns:xm="http://schemas.microsoft.com/office/excel/2006/main">
          <x14:cfRule type="expression" priority="76" id="{00000000-0000-0000-0000-000000000000}">
            <xm:f xml:space="preserve"> Spravka!$O$2141&lt;&gt;""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Y53</xm:sqref>
        </x14:conditionalFormatting>
        <x14:conditionalFormatting xmlns:xm="http://schemas.microsoft.com/office/excel/2006/main">
          <x14:cfRule type="expression" priority="75" id="{00000000-0000-0000-0000-000000000000}">
            <xm:f xml:space="preserve"> Spravka!$O$2148&lt;&gt;""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Z53</xm:sqref>
        </x14:conditionalFormatting>
        <x14:conditionalFormatting xmlns:xm="http://schemas.microsoft.com/office/excel/2006/main">
          <x14:cfRule type="expression" priority="74" id="{00000000-0000-0000-0000-000000000000}">
            <xm:f xml:space="preserve"> Spravka!$O$2155&lt;&gt;""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expression" priority="73" id="{00000000-0000-0000-0000-000000000000}">
            <xm:f xml:space="preserve"> Spravka!$O$2162&lt;&gt;""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D54</xm:sqref>
        </x14:conditionalFormatting>
        <x14:conditionalFormatting xmlns:xm="http://schemas.microsoft.com/office/excel/2006/main">
          <x14:cfRule type="expression" priority="72" id="{00000000-0000-0000-0000-000000000000}">
            <xm:f xml:space="preserve"> Spravka!$O$2169&lt;&gt;""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E54</xm:sqref>
        </x14:conditionalFormatting>
        <x14:conditionalFormatting xmlns:xm="http://schemas.microsoft.com/office/excel/2006/main">
          <x14:cfRule type="expression" priority="71" id="{00000000-0000-0000-0000-000000000000}">
            <xm:f xml:space="preserve"> Spravka!$O$2176&lt;&gt;""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F54</xm:sqref>
        </x14:conditionalFormatting>
        <x14:conditionalFormatting xmlns:xm="http://schemas.microsoft.com/office/excel/2006/main">
          <x14:cfRule type="expression" priority="70" id="{00000000-0000-0000-0000-000000000000}">
            <xm:f xml:space="preserve"> Spravka!$O$2183&lt;&gt;""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69" id="{00000000-0000-0000-0000-000000000000}">
            <xm:f xml:space="preserve"> Spravka!$O$2190&lt;&gt;""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H54</xm:sqref>
        </x14:conditionalFormatting>
        <x14:conditionalFormatting xmlns:xm="http://schemas.microsoft.com/office/excel/2006/main">
          <x14:cfRule type="expression" priority="68" id="{00000000-0000-0000-0000-000000000000}">
            <xm:f xml:space="preserve"> Spravka!$O$2197&lt;&gt;""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67" id="{00000000-0000-0000-0000-000000000000}">
            <xm:f xml:space="preserve"> Spravka!$O$2204&lt;&gt;""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J54</xm:sqref>
        </x14:conditionalFormatting>
        <x14:conditionalFormatting xmlns:xm="http://schemas.microsoft.com/office/excel/2006/main">
          <x14:cfRule type="expression" priority="66" id="{00000000-0000-0000-0000-000000000000}">
            <xm:f xml:space="preserve"> Spravka!$O$2211&lt;&gt;""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expression" priority="65" id="{00000000-0000-0000-0000-000000000000}">
            <xm:f xml:space="preserve"> Spravka!$O$2218&lt;&gt;""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L54</xm:sqref>
        </x14:conditionalFormatting>
        <x14:conditionalFormatting xmlns:xm="http://schemas.microsoft.com/office/excel/2006/main">
          <x14:cfRule type="expression" priority="64" id="{00000000-0000-0000-0000-000000000000}">
            <xm:f xml:space="preserve"> Spravka!$O$2225&lt;&gt;""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M54</xm:sqref>
        </x14:conditionalFormatting>
        <x14:conditionalFormatting xmlns:xm="http://schemas.microsoft.com/office/excel/2006/main">
          <x14:cfRule type="expression" priority="63" id="{00000000-0000-0000-0000-000000000000}">
            <xm:f xml:space="preserve"> Spravka!$O$2232&lt;&gt;""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N54</xm:sqref>
        </x14:conditionalFormatting>
        <x14:conditionalFormatting xmlns:xm="http://schemas.microsoft.com/office/excel/2006/main">
          <x14:cfRule type="expression" priority="62" id="{00000000-0000-0000-0000-000000000000}">
            <xm:f xml:space="preserve"> Spravka!$O$2239&lt;&gt;""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O54</xm:sqref>
        </x14:conditionalFormatting>
        <x14:conditionalFormatting xmlns:xm="http://schemas.microsoft.com/office/excel/2006/main">
          <x14:cfRule type="expression" priority="61" id="{00000000-0000-0000-0000-000000000000}">
            <xm:f xml:space="preserve"> Spravka!$O$2246&lt;&gt;""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P54</xm:sqref>
        </x14:conditionalFormatting>
        <x14:conditionalFormatting xmlns:xm="http://schemas.microsoft.com/office/excel/2006/main">
          <x14:cfRule type="expression" priority="60" id="{00000000-0000-0000-0000-000000000000}">
            <xm:f xml:space="preserve"> Spravka!$O$2253&lt;&gt;""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Q54</xm:sqref>
        </x14:conditionalFormatting>
        <x14:conditionalFormatting xmlns:xm="http://schemas.microsoft.com/office/excel/2006/main">
          <x14:cfRule type="expression" priority="59" id="{00000000-0000-0000-0000-000000000000}">
            <xm:f xml:space="preserve"> Spravka!$O$2260&lt;&gt;""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R54</xm:sqref>
        </x14:conditionalFormatting>
        <x14:conditionalFormatting xmlns:xm="http://schemas.microsoft.com/office/excel/2006/main">
          <x14:cfRule type="expression" priority="58" id="{00000000-0000-0000-0000-000000000000}">
            <xm:f xml:space="preserve"> Spravka!$O$2267&lt;&gt;""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S54</xm:sqref>
        </x14:conditionalFormatting>
        <x14:conditionalFormatting xmlns:xm="http://schemas.microsoft.com/office/excel/2006/main">
          <x14:cfRule type="expression" priority="57" id="{00000000-0000-0000-0000-000000000000}">
            <xm:f xml:space="preserve"> Spravka!$O$2274&lt;&gt;""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T54</xm:sqref>
        </x14:conditionalFormatting>
        <x14:conditionalFormatting xmlns:xm="http://schemas.microsoft.com/office/excel/2006/main">
          <x14:cfRule type="expression" priority="56" id="{00000000-0000-0000-0000-000000000000}">
            <xm:f xml:space="preserve"> Spravka!$O$2281&lt;&gt;""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U54</xm:sqref>
        </x14:conditionalFormatting>
        <x14:conditionalFormatting xmlns:xm="http://schemas.microsoft.com/office/excel/2006/main">
          <x14:cfRule type="expression" priority="55" id="{00000000-0000-0000-0000-000000000000}">
            <xm:f xml:space="preserve"> Spravka!$O$2288&lt;&gt;""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V54</xm:sqref>
        </x14:conditionalFormatting>
        <x14:conditionalFormatting xmlns:xm="http://schemas.microsoft.com/office/excel/2006/main">
          <x14:cfRule type="expression" priority="54" id="{00000000-0000-0000-0000-000000000000}">
            <xm:f xml:space="preserve"> Spravka!$O$2295&lt;&gt;""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W54</xm:sqref>
        </x14:conditionalFormatting>
        <x14:conditionalFormatting xmlns:xm="http://schemas.microsoft.com/office/excel/2006/main">
          <x14:cfRule type="expression" priority="53" id="{00000000-0000-0000-0000-000000000000}">
            <xm:f xml:space="preserve"> Spravka!$O$2302&lt;&gt;""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X54</xm:sqref>
        </x14:conditionalFormatting>
        <x14:conditionalFormatting xmlns:xm="http://schemas.microsoft.com/office/excel/2006/main">
          <x14:cfRule type="expression" priority="52" id="{00000000-0000-0000-0000-000000000000}">
            <xm:f xml:space="preserve"> Spravka!$O$2309&lt;&gt;""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Y54</xm:sqref>
        </x14:conditionalFormatting>
        <x14:conditionalFormatting xmlns:xm="http://schemas.microsoft.com/office/excel/2006/main">
          <x14:cfRule type="expression" priority="51" id="{00000000-0000-0000-0000-000000000000}">
            <xm:f xml:space="preserve"> Spravka!$O$2316&lt;&gt;""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C61</xm:sqref>
        </x14:conditionalFormatting>
        <x14:conditionalFormatting xmlns:xm="http://schemas.microsoft.com/office/excel/2006/main">
          <x14:cfRule type="expression" priority="50" id="{00000000-0000-0000-0000-000000000000}">
            <xm:f xml:space="preserve"> Spravka!$O$2323&lt;&gt;""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D61</xm:sqref>
        </x14:conditionalFormatting>
        <x14:conditionalFormatting xmlns:xm="http://schemas.microsoft.com/office/excel/2006/main">
          <x14:cfRule type="expression" priority="49" id="{00000000-0000-0000-0000-000000000000}">
            <xm:f xml:space="preserve"> Spravka!$O$2330&lt;&gt;""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48" id="{00000000-0000-0000-0000-000000000000}">
            <xm:f xml:space="preserve"> Spravka!$O$2337&lt;&gt;""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F61</xm:sqref>
        </x14:conditionalFormatting>
        <x14:conditionalFormatting xmlns:xm="http://schemas.microsoft.com/office/excel/2006/main">
          <x14:cfRule type="expression" priority="47" id="{00000000-0000-0000-0000-000000000000}">
            <xm:f xml:space="preserve"> Spravka!$O$2344&lt;&gt;""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46" id="{00000000-0000-0000-0000-000000000000}">
            <xm:f xml:space="preserve"> Spravka!$O$2351&lt;&gt;""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H61</xm:sqref>
        </x14:conditionalFormatting>
        <x14:conditionalFormatting xmlns:xm="http://schemas.microsoft.com/office/excel/2006/main">
          <x14:cfRule type="expression" priority="45" id="{00000000-0000-0000-0000-000000000000}">
            <xm:f xml:space="preserve"> Spravka!$O$2358&lt;&gt;""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I61</xm:sqref>
        </x14:conditionalFormatting>
        <x14:conditionalFormatting xmlns:xm="http://schemas.microsoft.com/office/excel/2006/main">
          <x14:cfRule type="expression" priority="44" id="{00000000-0000-0000-0000-000000000000}">
            <xm:f xml:space="preserve"> Spravka!$O$2365&lt;&gt;""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J61</xm:sqref>
        </x14:conditionalFormatting>
        <x14:conditionalFormatting xmlns:xm="http://schemas.microsoft.com/office/excel/2006/main">
          <x14:cfRule type="expression" priority="43" id="{00000000-0000-0000-0000-000000000000}">
            <xm:f xml:space="preserve"> Spravka!$O$2372&lt;&gt;""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expression" priority="42" id="{00000000-0000-0000-0000-000000000000}">
            <xm:f xml:space="preserve"> Spravka!$O$2379&lt;&gt;""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L61</xm:sqref>
        </x14:conditionalFormatting>
        <x14:conditionalFormatting xmlns:xm="http://schemas.microsoft.com/office/excel/2006/main">
          <x14:cfRule type="expression" priority="41" id="{00000000-0000-0000-0000-000000000000}">
            <xm:f xml:space="preserve"> Spravka!$O$2386&lt;&gt;""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M61</xm:sqref>
        </x14:conditionalFormatting>
        <x14:conditionalFormatting xmlns:xm="http://schemas.microsoft.com/office/excel/2006/main">
          <x14:cfRule type="expression" priority="40" id="{00000000-0000-0000-0000-000000000000}">
            <xm:f xml:space="preserve"> Spravka!$O$2393&lt;&gt;""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N61</xm:sqref>
        </x14:conditionalFormatting>
        <x14:conditionalFormatting xmlns:xm="http://schemas.microsoft.com/office/excel/2006/main">
          <x14:cfRule type="expression" priority="39" id="{00000000-0000-0000-0000-000000000000}">
            <xm:f xml:space="preserve"> Spravka!$O$2400&lt;&gt;""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O61</xm:sqref>
        </x14:conditionalFormatting>
        <x14:conditionalFormatting xmlns:xm="http://schemas.microsoft.com/office/excel/2006/main">
          <x14:cfRule type="expression" priority="38" id="{00000000-0000-0000-0000-000000000000}">
            <xm:f xml:space="preserve"> Spravka!$O$2407&lt;&gt;""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P61</xm:sqref>
        </x14:conditionalFormatting>
        <x14:conditionalFormatting xmlns:xm="http://schemas.microsoft.com/office/excel/2006/main">
          <x14:cfRule type="expression" priority="37" id="{00000000-0000-0000-0000-000000000000}">
            <xm:f xml:space="preserve"> Spravka!$O$2414&lt;&gt;""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Q61</xm:sqref>
        </x14:conditionalFormatting>
        <x14:conditionalFormatting xmlns:xm="http://schemas.microsoft.com/office/excel/2006/main">
          <x14:cfRule type="expression" priority="36" id="{00000000-0000-0000-0000-000000000000}">
            <xm:f xml:space="preserve"> Spravka!$O$2421&lt;&gt;""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R61</xm:sqref>
        </x14:conditionalFormatting>
        <x14:conditionalFormatting xmlns:xm="http://schemas.microsoft.com/office/excel/2006/main">
          <x14:cfRule type="expression" priority="35" id="{00000000-0000-0000-0000-000000000000}">
            <xm:f xml:space="preserve"> Spravka!$O$2428&lt;&gt;""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S61</xm:sqref>
        </x14:conditionalFormatting>
        <x14:conditionalFormatting xmlns:xm="http://schemas.microsoft.com/office/excel/2006/main">
          <x14:cfRule type="expression" priority="34" id="{00000000-0000-0000-0000-000000000000}">
            <xm:f xml:space="preserve"> Spravka!$O$2435&lt;&gt;""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T61</xm:sqref>
        </x14:conditionalFormatting>
        <x14:conditionalFormatting xmlns:xm="http://schemas.microsoft.com/office/excel/2006/main">
          <x14:cfRule type="expression" priority="33" id="{00000000-0000-0000-0000-000000000000}">
            <xm:f xml:space="preserve"> Spravka!$O$2442&lt;&gt;""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U61</xm:sqref>
        </x14:conditionalFormatting>
        <x14:conditionalFormatting xmlns:xm="http://schemas.microsoft.com/office/excel/2006/main">
          <x14:cfRule type="expression" priority="32" id="{00000000-0000-0000-0000-000000000000}">
            <xm:f xml:space="preserve"> Spravka!$O$2449&lt;&gt;""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V61</xm:sqref>
        </x14:conditionalFormatting>
        <x14:conditionalFormatting xmlns:xm="http://schemas.microsoft.com/office/excel/2006/main">
          <x14:cfRule type="expression" priority="31" id="{00000000-0000-0000-0000-000000000000}">
            <xm:f xml:space="preserve"> Spravka!$O$2456&lt;&gt;""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W61</xm:sqref>
        </x14:conditionalFormatting>
        <x14:conditionalFormatting xmlns:xm="http://schemas.microsoft.com/office/excel/2006/main">
          <x14:cfRule type="expression" priority="30" id="{00000000-0000-0000-0000-000000000000}">
            <xm:f xml:space="preserve"> Spravka!$O$2463&lt;&gt;""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X61</xm:sqref>
        </x14:conditionalFormatting>
        <x14:conditionalFormatting xmlns:xm="http://schemas.microsoft.com/office/excel/2006/main">
          <x14:cfRule type="expression" priority="29" id="{00000000-0000-0000-0000-000000000000}">
            <xm:f xml:space="preserve"> Spravka!$O$2470&lt;&gt;""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Y61</xm:sqref>
        </x14:conditionalFormatting>
        <x14:conditionalFormatting xmlns:xm="http://schemas.microsoft.com/office/excel/2006/main">
          <x14:cfRule type="expression" priority="28" id="{00000000-0000-0000-0000-000000000000}">
            <xm:f xml:space="preserve"> Spravka!$O$2477&lt;&gt;""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Z61</xm:sqref>
        </x14:conditionalFormatting>
        <x14:conditionalFormatting xmlns:xm="http://schemas.microsoft.com/office/excel/2006/main">
          <x14:cfRule type="expression" priority="27" id="{00000000-0000-0000-0000-000000000000}">
            <xm:f xml:space="preserve"> Spravka!$O$2484&lt;&gt;""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C62</xm:sqref>
        </x14:conditionalFormatting>
        <x14:conditionalFormatting xmlns:xm="http://schemas.microsoft.com/office/excel/2006/main">
          <x14:cfRule type="expression" priority="26" id="{00000000-0000-0000-0000-000000000000}">
            <xm:f xml:space="preserve"> Spravka!$O$2491&lt;&gt;""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D62</xm:sqref>
        </x14:conditionalFormatting>
        <x14:conditionalFormatting xmlns:xm="http://schemas.microsoft.com/office/excel/2006/main">
          <x14:cfRule type="expression" priority="25" id="{00000000-0000-0000-0000-000000000000}">
            <xm:f xml:space="preserve"> Spravka!$O$2498&lt;&gt;""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expression" priority="24" id="{00000000-0000-0000-0000-000000000000}">
            <xm:f xml:space="preserve"> Spravka!$O$2505&lt;&gt;""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F62</xm:sqref>
        </x14:conditionalFormatting>
        <x14:conditionalFormatting xmlns:xm="http://schemas.microsoft.com/office/excel/2006/main">
          <x14:cfRule type="expression" priority="23" id="{00000000-0000-0000-0000-000000000000}">
            <xm:f xml:space="preserve"> Spravka!$O$2512&lt;&gt;""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G62</xm:sqref>
        </x14:conditionalFormatting>
        <x14:conditionalFormatting xmlns:xm="http://schemas.microsoft.com/office/excel/2006/main">
          <x14:cfRule type="expression" priority="22" id="{00000000-0000-0000-0000-000000000000}">
            <xm:f xml:space="preserve"> Spravka!$O$2519&lt;&gt;""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H62</xm:sqref>
        </x14:conditionalFormatting>
        <x14:conditionalFormatting xmlns:xm="http://schemas.microsoft.com/office/excel/2006/main">
          <x14:cfRule type="expression" priority="21" id="{00000000-0000-0000-0000-000000000000}">
            <xm:f xml:space="preserve"> Spravka!$O$2526&lt;&gt;""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I62</xm:sqref>
        </x14:conditionalFormatting>
        <x14:conditionalFormatting xmlns:xm="http://schemas.microsoft.com/office/excel/2006/main">
          <x14:cfRule type="expression" priority="20" id="{00000000-0000-0000-0000-000000000000}">
            <xm:f xml:space="preserve"> Spravka!$O$2533&lt;&gt;""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J62</xm:sqref>
        </x14:conditionalFormatting>
        <x14:conditionalFormatting xmlns:xm="http://schemas.microsoft.com/office/excel/2006/main">
          <x14:cfRule type="expression" priority="19" id="{00000000-0000-0000-0000-000000000000}">
            <xm:f xml:space="preserve"> Spravka!$O$2540&lt;&gt;""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expression" priority="18" id="{00000000-0000-0000-0000-000000000000}">
            <xm:f xml:space="preserve"> Spravka!$O$2547&lt;&gt;""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L62</xm:sqref>
        </x14:conditionalFormatting>
        <x14:conditionalFormatting xmlns:xm="http://schemas.microsoft.com/office/excel/2006/main">
          <x14:cfRule type="expression" priority="17" id="{00000000-0000-0000-0000-000000000000}">
            <xm:f xml:space="preserve"> Spravka!$O$2554&lt;&gt;""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M62</xm:sqref>
        </x14:conditionalFormatting>
        <x14:conditionalFormatting xmlns:xm="http://schemas.microsoft.com/office/excel/2006/main">
          <x14:cfRule type="expression" priority="16" id="{00000000-0000-0000-0000-000000000000}">
            <xm:f xml:space="preserve"> Spravka!$O$2561&lt;&gt;""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N62</xm:sqref>
        </x14:conditionalFormatting>
        <x14:conditionalFormatting xmlns:xm="http://schemas.microsoft.com/office/excel/2006/main">
          <x14:cfRule type="expression" priority="15" id="{00000000-0000-0000-0000-000000000000}">
            <xm:f xml:space="preserve"> Spravka!$O$2568&lt;&gt;""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O62</xm:sqref>
        </x14:conditionalFormatting>
        <x14:conditionalFormatting xmlns:xm="http://schemas.microsoft.com/office/excel/2006/main">
          <x14:cfRule type="expression" priority="14" id="{00000000-0000-0000-0000-000000000000}">
            <xm:f xml:space="preserve"> Spravka!$O$2575&lt;&gt;""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P62</xm:sqref>
        </x14:conditionalFormatting>
        <x14:conditionalFormatting xmlns:xm="http://schemas.microsoft.com/office/excel/2006/main">
          <x14:cfRule type="expression" priority="13" id="{00000000-0000-0000-0000-000000000000}">
            <xm:f xml:space="preserve"> Spravka!$O$2582&lt;&gt;""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Q62</xm:sqref>
        </x14:conditionalFormatting>
        <x14:conditionalFormatting xmlns:xm="http://schemas.microsoft.com/office/excel/2006/main">
          <x14:cfRule type="expression" priority="12" id="{00000000-0000-0000-0000-000000000000}">
            <xm:f xml:space="preserve"> Spravka!$O$2589&lt;&gt;""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R62</xm:sqref>
        </x14:conditionalFormatting>
        <x14:conditionalFormatting xmlns:xm="http://schemas.microsoft.com/office/excel/2006/main">
          <x14:cfRule type="expression" priority="11" id="{00000000-0000-0000-0000-000000000000}">
            <xm:f xml:space="preserve"> Spravka!$O$2596&lt;&gt;""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S62</xm:sqref>
        </x14:conditionalFormatting>
        <x14:conditionalFormatting xmlns:xm="http://schemas.microsoft.com/office/excel/2006/main">
          <x14:cfRule type="expression" priority="10" id="{00000000-0000-0000-0000-000000000000}">
            <xm:f xml:space="preserve"> Spravka!$O$2603&lt;&gt;""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T62</xm:sqref>
        </x14:conditionalFormatting>
        <x14:conditionalFormatting xmlns:xm="http://schemas.microsoft.com/office/excel/2006/main">
          <x14:cfRule type="expression" priority="9" id="{00000000-0000-0000-0000-000000000000}">
            <xm:f xml:space="preserve"> Spravka!$O$2610&lt;&gt;""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U62</xm:sqref>
        </x14:conditionalFormatting>
        <x14:conditionalFormatting xmlns:xm="http://schemas.microsoft.com/office/excel/2006/main">
          <x14:cfRule type="expression" priority="8" id="{00000000-0000-0000-0000-000000000000}">
            <xm:f xml:space="preserve"> Spravka!$O$2617&lt;&gt;""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V62</xm:sqref>
        </x14:conditionalFormatting>
        <x14:conditionalFormatting xmlns:xm="http://schemas.microsoft.com/office/excel/2006/main">
          <x14:cfRule type="expression" priority="7" id="{00000000-0000-0000-0000-000000000000}">
            <xm:f xml:space="preserve"> Spravka!$O$2624&lt;&gt;""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W62</xm:sqref>
        </x14:conditionalFormatting>
        <x14:conditionalFormatting xmlns:xm="http://schemas.microsoft.com/office/excel/2006/main">
          <x14:cfRule type="expression" priority="6" id="{00000000-0000-0000-0000-000000000000}">
            <xm:f xml:space="preserve"> Spravka!$O$2631&lt;&gt;""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X62</xm:sqref>
        </x14:conditionalFormatting>
        <x14:conditionalFormatting xmlns:xm="http://schemas.microsoft.com/office/excel/2006/main">
          <x14:cfRule type="expression" priority="5" id="{00000000-0000-0000-0000-000000000000}">
            <xm:f xml:space="preserve"> Spravka!$O$2638&lt;&gt;""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Y62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>
    <pageSetUpPr fitToPage="1"/>
  </sheetPr>
  <dimension ref="B1:S334"/>
  <sheetViews>
    <sheetView tabSelected="1" workbookViewId="0">
      <pane xSplit="2" ySplit="4" topLeftCell="G39" activePane="bottomRight" state="frozen"/>
      <selection activeCell="D7" activeCellId="2" sqref="C3:Q3 D5 D7"/>
      <selection pane="topRight" activeCell="D7" activeCellId="2" sqref="C3:Q3 D5 D7"/>
      <selection pane="bottomLeft" activeCell="D7" activeCellId="2" sqref="C3:Q3 D5 D7"/>
      <selection pane="bottomRight" activeCell="D7" activeCellId="2" sqref="C3:Q3 D5 D7"/>
    </sheetView>
  </sheetViews>
  <sheetFormatPr defaultRowHeight="15" x14ac:dyDescent="0.25"/>
  <cols>
    <col min="1" max="1" width="1.7109375" customWidth="1"/>
    <col min="2" max="2" width="5.85546875" customWidth="1"/>
    <col min="3" max="3" width="5" customWidth="1"/>
    <col min="4" max="4" width="6.7109375" bestFit="1" customWidth="1"/>
    <col min="5" max="5" width="6" customWidth="1"/>
    <col min="6" max="6" width="11.5703125" bestFit="1" customWidth="1"/>
    <col min="7" max="7" width="10.140625" bestFit="1" customWidth="1"/>
    <col min="8" max="8" width="39.85546875" customWidth="1"/>
    <col min="9" max="9" width="4.7109375" customWidth="1"/>
    <col min="10" max="10" width="32" customWidth="1"/>
    <col min="11" max="11" width="14.5703125" customWidth="1"/>
    <col min="12" max="12" width="7.7109375" bestFit="1" customWidth="1"/>
    <col min="13" max="13" width="10" customWidth="1"/>
    <col min="14" max="14" width="15.5703125" customWidth="1"/>
    <col min="15" max="15" width="11.140625" customWidth="1"/>
    <col min="16" max="16" width="10.140625" customWidth="1"/>
    <col min="17" max="17" width="9.42578125" customWidth="1"/>
    <col min="18" max="18" width="6" customWidth="1"/>
    <col min="19" max="19" width="10.140625" bestFit="1" customWidth="1"/>
  </cols>
  <sheetData>
    <row r="1" spans="2:19" ht="15.75" thickBot="1" x14ac:dyDescent="0.3"/>
    <row r="2" spans="2:19" x14ac:dyDescent="0.25">
      <c r="B2" s="447" t="s">
        <v>190</v>
      </c>
      <c r="C2" s="428" t="s">
        <v>182</v>
      </c>
      <c r="D2" s="430" t="s">
        <v>19</v>
      </c>
      <c r="E2" s="432" t="s">
        <v>106</v>
      </c>
      <c r="F2" s="432" t="s">
        <v>191</v>
      </c>
      <c r="G2" s="432" t="s">
        <v>192</v>
      </c>
      <c r="H2" s="430" t="s">
        <v>33</v>
      </c>
      <c r="I2" s="434" t="s">
        <v>34</v>
      </c>
      <c r="J2" s="435"/>
      <c r="K2" s="439" t="s">
        <v>107</v>
      </c>
      <c r="L2" s="440"/>
      <c r="M2" s="430" t="s">
        <v>62</v>
      </c>
      <c r="N2" s="432" t="s">
        <v>65</v>
      </c>
      <c r="O2" s="441" t="s">
        <v>64</v>
      </c>
      <c r="P2" s="430" t="s">
        <v>162</v>
      </c>
      <c r="Q2" s="443" t="s">
        <v>163</v>
      </c>
      <c r="R2" s="428" t="s">
        <v>193</v>
      </c>
      <c r="S2" s="428" t="s">
        <v>169</v>
      </c>
    </row>
    <row r="3" spans="2:19" ht="30.75" thickBot="1" x14ac:dyDescent="0.3">
      <c r="B3" s="448"/>
      <c r="C3" s="429"/>
      <c r="D3" s="431"/>
      <c r="E3" s="433"/>
      <c r="F3" s="433"/>
      <c r="G3" s="433"/>
      <c r="H3" s="431"/>
      <c r="I3" s="57" t="s">
        <v>58</v>
      </c>
      <c r="J3" s="58" t="s">
        <v>59</v>
      </c>
      <c r="K3" s="59" t="s">
        <v>59</v>
      </c>
      <c r="L3" s="57" t="s">
        <v>69</v>
      </c>
      <c r="M3" s="431"/>
      <c r="N3" s="433"/>
      <c r="O3" s="442"/>
      <c r="P3" s="431"/>
      <c r="Q3" s="444"/>
      <c r="R3" s="429"/>
      <c r="S3" s="429"/>
    </row>
    <row r="4" spans="2:19" ht="13.5" customHeight="1" thickBot="1" x14ac:dyDescent="0.3">
      <c r="B4" s="123">
        <v>1</v>
      </c>
      <c r="C4" s="124">
        <v>2</v>
      </c>
      <c r="D4" s="125">
        <v>3</v>
      </c>
      <c r="E4" s="126">
        <v>4</v>
      </c>
      <c r="F4" s="127">
        <v>5</v>
      </c>
      <c r="G4" s="127">
        <v>6</v>
      </c>
      <c r="H4" s="125">
        <v>7</v>
      </c>
      <c r="I4" s="125">
        <v>8</v>
      </c>
      <c r="J4" s="126">
        <v>9</v>
      </c>
      <c r="K4" s="123">
        <v>10</v>
      </c>
      <c r="L4" s="125">
        <v>11</v>
      </c>
      <c r="M4" s="125">
        <v>12</v>
      </c>
      <c r="N4" s="126">
        <v>13</v>
      </c>
      <c r="O4" s="128">
        <v>14</v>
      </c>
      <c r="P4" s="125">
        <v>15</v>
      </c>
      <c r="Q4" s="127">
        <v>16</v>
      </c>
      <c r="R4" s="124">
        <v>17</v>
      </c>
      <c r="S4" s="124">
        <v>18</v>
      </c>
    </row>
    <row r="5" spans="2:19" ht="30.95" hidden="1" customHeight="1" thickTop="1" x14ac:dyDescent="0.3">
      <c r="B5" s="129">
        <v>1</v>
      </c>
      <c r="C5" s="130">
        <v>1</v>
      </c>
      <c r="D5" s="191" t="s">
        <v>38</v>
      </c>
      <c r="E5" s="152"/>
      <c r="F5" s="153"/>
      <c r="G5" s="153"/>
      <c r="H5" s="154"/>
      <c r="I5" s="154"/>
      <c r="J5" s="152"/>
      <c r="K5" s="155"/>
      <c r="L5" s="154"/>
      <c r="M5" s="154"/>
      <c r="N5" s="156"/>
      <c r="O5" s="157"/>
      <c r="P5" s="158"/>
      <c r="Q5" s="159"/>
      <c r="R5" s="160"/>
      <c r="S5" s="161"/>
    </row>
    <row r="6" spans="2:19" ht="30.95" hidden="1" customHeight="1" x14ac:dyDescent="0.3">
      <c r="B6" s="60">
        <f>B5</f>
        <v>1</v>
      </c>
      <c r="C6" s="102">
        <v>2</v>
      </c>
      <c r="D6" s="616" t="str">
        <f>D5</f>
        <v>IV</v>
      </c>
      <c r="E6" s="162"/>
      <c r="F6" s="163"/>
      <c r="G6" s="163"/>
      <c r="H6" s="164"/>
      <c r="I6" s="164"/>
      <c r="J6" s="162"/>
      <c r="K6" s="165"/>
      <c r="L6" s="164"/>
      <c r="M6" s="164"/>
      <c r="N6" s="166"/>
      <c r="O6" s="167"/>
      <c r="P6" s="168"/>
      <c r="Q6" s="169"/>
      <c r="R6" s="170"/>
      <c r="S6" s="171"/>
    </row>
    <row r="7" spans="2:19" ht="30.95" hidden="1" customHeight="1" x14ac:dyDescent="0.3">
      <c r="B7" s="60">
        <f>B5</f>
        <v>1</v>
      </c>
      <c r="C7" s="102">
        <v>3</v>
      </c>
      <c r="D7" s="616" t="str">
        <f t="shared" ref="D7:D70" si="0">D6</f>
        <v>IV</v>
      </c>
      <c r="E7" s="162"/>
      <c r="F7" s="163"/>
      <c r="G7" s="163"/>
      <c r="H7" s="164"/>
      <c r="I7" s="164"/>
      <c r="J7" s="162"/>
      <c r="K7" s="165"/>
      <c r="L7" s="164"/>
      <c r="M7" s="164"/>
      <c r="N7" s="166"/>
      <c r="O7" s="167"/>
      <c r="P7" s="168"/>
      <c r="Q7" s="169"/>
      <c r="R7" s="170"/>
      <c r="S7" s="171"/>
    </row>
    <row r="8" spans="2:19" ht="30.95" hidden="1" customHeight="1" x14ac:dyDescent="0.3">
      <c r="B8" s="60">
        <f>B5</f>
        <v>1</v>
      </c>
      <c r="C8" s="102">
        <v>4</v>
      </c>
      <c r="D8" s="616" t="str">
        <f t="shared" si="0"/>
        <v>IV</v>
      </c>
      <c r="E8" s="162"/>
      <c r="F8" s="163"/>
      <c r="G8" s="163"/>
      <c r="H8" s="164"/>
      <c r="I8" s="164"/>
      <c r="J8" s="162"/>
      <c r="K8" s="165"/>
      <c r="L8" s="164"/>
      <c r="M8" s="164"/>
      <c r="N8" s="166"/>
      <c r="O8" s="167"/>
      <c r="P8" s="168"/>
      <c r="Q8" s="169"/>
      <c r="R8" s="170"/>
      <c r="S8" s="171"/>
    </row>
    <row r="9" spans="2:19" ht="30.95" hidden="1" customHeight="1" x14ac:dyDescent="0.3">
      <c r="B9" s="60">
        <f>B5</f>
        <v>1</v>
      </c>
      <c r="C9" s="102">
        <v>5</v>
      </c>
      <c r="D9" s="616" t="str">
        <f t="shared" si="0"/>
        <v>IV</v>
      </c>
      <c r="E9" s="162"/>
      <c r="F9" s="163"/>
      <c r="G9" s="163"/>
      <c r="H9" s="164"/>
      <c r="I9" s="164"/>
      <c r="J9" s="162"/>
      <c r="K9" s="165"/>
      <c r="L9" s="164"/>
      <c r="M9" s="164"/>
      <c r="N9" s="166"/>
      <c r="O9" s="167"/>
      <c r="P9" s="168"/>
      <c r="Q9" s="169"/>
      <c r="R9" s="170"/>
      <c r="S9" s="171"/>
    </row>
    <row r="10" spans="2:19" ht="30.95" hidden="1" customHeight="1" x14ac:dyDescent="0.3">
      <c r="B10" s="86">
        <f>B9</f>
        <v>1</v>
      </c>
      <c r="C10" s="103">
        <v>6</v>
      </c>
      <c r="D10" s="617" t="str">
        <f t="shared" si="0"/>
        <v>IV</v>
      </c>
      <c r="E10" s="172"/>
      <c r="F10" s="173"/>
      <c r="G10" s="173"/>
      <c r="H10" s="174"/>
      <c r="I10" s="174"/>
      <c r="J10" s="172"/>
      <c r="K10" s="175"/>
      <c r="L10" s="174"/>
      <c r="M10" s="174"/>
      <c r="N10" s="176"/>
      <c r="O10" s="177"/>
      <c r="P10" s="178"/>
      <c r="Q10" s="179"/>
      <c r="R10" s="180"/>
      <c r="S10" s="181"/>
    </row>
    <row r="11" spans="2:19" ht="30.95" hidden="1" customHeight="1" thickBot="1" x14ac:dyDescent="0.3">
      <c r="B11" s="141">
        <f>B5</f>
        <v>1</v>
      </c>
      <c r="C11" s="142">
        <v>7</v>
      </c>
      <c r="D11" s="618" t="str">
        <f t="shared" si="0"/>
        <v>IV</v>
      </c>
      <c r="E11" s="189"/>
      <c r="F11" s="190"/>
      <c r="G11" s="190"/>
      <c r="H11" s="182"/>
      <c r="I11" s="182"/>
      <c r="J11" s="619" t="s">
        <v>181</v>
      </c>
      <c r="K11" s="620"/>
      <c r="L11" s="621"/>
      <c r="M11" s="182"/>
      <c r="N11" s="183"/>
      <c r="O11" s="184"/>
      <c r="P11" s="185"/>
      <c r="Q11" s="186"/>
      <c r="R11" s="187"/>
      <c r="S11" s="188"/>
    </row>
    <row r="12" spans="2:19" ht="30.95" hidden="1" customHeight="1" thickTop="1" x14ac:dyDescent="0.3">
      <c r="B12" s="91">
        <f>B11+1</f>
        <v>2</v>
      </c>
      <c r="C12" s="104">
        <v>8</v>
      </c>
      <c r="D12" s="195" t="str">
        <f t="shared" si="0"/>
        <v>IV</v>
      </c>
      <c r="E12" s="622"/>
      <c r="F12" s="623"/>
      <c r="G12" s="623"/>
      <c r="H12" s="624"/>
      <c r="I12" s="624"/>
      <c r="J12" s="622"/>
      <c r="K12" s="625"/>
      <c r="L12" s="624"/>
      <c r="M12" s="624"/>
      <c r="N12" s="626"/>
      <c r="O12" s="627"/>
      <c r="P12" s="628"/>
      <c r="Q12" s="629"/>
      <c r="R12" s="630"/>
      <c r="S12" s="631"/>
    </row>
    <row r="13" spans="2:19" ht="30.95" hidden="1" customHeight="1" x14ac:dyDescent="0.3">
      <c r="B13" s="60">
        <f>B12</f>
        <v>2</v>
      </c>
      <c r="C13" s="102">
        <v>9</v>
      </c>
      <c r="D13" s="616" t="str">
        <f t="shared" si="0"/>
        <v>IV</v>
      </c>
      <c r="E13" s="632"/>
      <c r="F13" s="633"/>
      <c r="G13" s="633"/>
      <c r="H13" s="634"/>
      <c r="I13" s="634"/>
      <c r="J13" s="632"/>
      <c r="K13" s="635"/>
      <c r="L13" s="634"/>
      <c r="M13" s="634"/>
      <c r="N13" s="636"/>
      <c r="O13" s="637"/>
      <c r="P13" s="638"/>
      <c r="Q13" s="639"/>
      <c r="R13" s="640"/>
      <c r="S13" s="641"/>
    </row>
    <row r="14" spans="2:19" ht="30.95" hidden="1" customHeight="1" x14ac:dyDescent="0.3">
      <c r="B14" s="60">
        <f>B12</f>
        <v>2</v>
      </c>
      <c r="C14" s="102">
        <v>10</v>
      </c>
      <c r="D14" s="616" t="str">
        <f t="shared" si="0"/>
        <v>IV</v>
      </c>
      <c r="E14" s="632"/>
      <c r="F14" s="633"/>
      <c r="G14" s="633"/>
      <c r="H14" s="634"/>
      <c r="I14" s="634"/>
      <c r="J14" s="632"/>
      <c r="K14" s="635"/>
      <c r="L14" s="634"/>
      <c r="M14" s="634"/>
      <c r="N14" s="636"/>
      <c r="O14" s="637"/>
      <c r="P14" s="638"/>
      <c r="Q14" s="639"/>
      <c r="R14" s="640"/>
      <c r="S14" s="641"/>
    </row>
    <row r="15" spans="2:19" ht="30.95" hidden="1" customHeight="1" x14ac:dyDescent="0.3">
      <c r="B15" s="60">
        <f>B12</f>
        <v>2</v>
      </c>
      <c r="C15" s="102">
        <v>11</v>
      </c>
      <c r="D15" s="616" t="str">
        <f t="shared" si="0"/>
        <v>IV</v>
      </c>
      <c r="E15" s="632"/>
      <c r="F15" s="633"/>
      <c r="G15" s="633"/>
      <c r="H15" s="634"/>
      <c r="I15" s="634"/>
      <c r="J15" s="632"/>
      <c r="K15" s="635"/>
      <c r="L15" s="634"/>
      <c r="M15" s="634"/>
      <c r="N15" s="636"/>
      <c r="O15" s="637"/>
      <c r="P15" s="638"/>
      <c r="Q15" s="639"/>
      <c r="R15" s="640"/>
      <c r="S15" s="641"/>
    </row>
    <row r="16" spans="2:19" ht="30.95" hidden="1" customHeight="1" x14ac:dyDescent="0.3">
      <c r="B16" s="60">
        <f>B12</f>
        <v>2</v>
      </c>
      <c r="C16" s="102">
        <v>12</v>
      </c>
      <c r="D16" s="616" t="str">
        <f t="shared" si="0"/>
        <v>IV</v>
      </c>
      <c r="E16" s="632"/>
      <c r="F16" s="633"/>
      <c r="G16" s="633"/>
      <c r="H16" s="634"/>
      <c r="I16" s="634"/>
      <c r="J16" s="632"/>
      <c r="K16" s="635"/>
      <c r="L16" s="634"/>
      <c r="M16" s="634"/>
      <c r="N16" s="636"/>
      <c r="O16" s="637"/>
      <c r="P16" s="638"/>
      <c r="Q16" s="639"/>
      <c r="R16" s="640"/>
      <c r="S16" s="641"/>
    </row>
    <row r="17" spans="2:19" ht="30.95" hidden="1" customHeight="1" x14ac:dyDescent="0.3">
      <c r="B17" s="86">
        <f>B12</f>
        <v>2</v>
      </c>
      <c r="C17" s="103">
        <v>13</v>
      </c>
      <c r="D17" s="617" t="str">
        <f t="shared" si="0"/>
        <v>IV</v>
      </c>
      <c r="E17" s="642"/>
      <c r="F17" s="643"/>
      <c r="G17" s="643"/>
      <c r="H17" s="644"/>
      <c r="I17" s="644"/>
      <c r="J17" s="642"/>
      <c r="K17" s="645"/>
      <c r="L17" s="644"/>
      <c r="M17" s="644"/>
      <c r="N17" s="646"/>
      <c r="O17" s="647"/>
      <c r="P17" s="648"/>
      <c r="Q17" s="649"/>
      <c r="R17" s="650"/>
      <c r="S17" s="651"/>
    </row>
    <row r="18" spans="2:19" ht="30.95" hidden="1" customHeight="1" thickBot="1" x14ac:dyDescent="0.3">
      <c r="B18" s="141">
        <f>B12</f>
        <v>2</v>
      </c>
      <c r="C18" s="142">
        <v>14</v>
      </c>
      <c r="D18" s="618" t="str">
        <f t="shared" si="0"/>
        <v>IV</v>
      </c>
      <c r="E18" s="652"/>
      <c r="F18" s="653"/>
      <c r="G18" s="653"/>
      <c r="H18" s="654"/>
      <c r="I18" s="654"/>
      <c r="J18" s="619" t="s">
        <v>181</v>
      </c>
      <c r="K18" s="620"/>
      <c r="L18" s="621"/>
      <c r="M18" s="654"/>
      <c r="N18" s="655"/>
      <c r="O18" s="656"/>
      <c r="P18" s="657"/>
      <c r="Q18" s="658"/>
      <c r="R18" s="659"/>
      <c r="S18" s="660"/>
    </row>
    <row r="19" spans="2:19" ht="30.95" hidden="1" customHeight="1" thickTop="1" x14ac:dyDescent="0.3">
      <c r="B19" s="129">
        <f>B17+1</f>
        <v>3</v>
      </c>
      <c r="C19" s="130">
        <v>15</v>
      </c>
      <c r="D19" s="196" t="str">
        <f t="shared" si="0"/>
        <v>IV</v>
      </c>
      <c r="E19" s="152"/>
      <c r="F19" s="153"/>
      <c r="G19" s="153"/>
      <c r="H19" s="154"/>
      <c r="I19" s="154"/>
      <c r="J19" s="152"/>
      <c r="K19" s="155"/>
      <c r="L19" s="154"/>
      <c r="M19" s="154"/>
      <c r="N19" s="156"/>
      <c r="O19" s="157"/>
      <c r="P19" s="158"/>
      <c r="Q19" s="159"/>
      <c r="R19" s="160"/>
      <c r="S19" s="161"/>
    </row>
    <row r="20" spans="2:19" ht="30.95" hidden="1" customHeight="1" x14ac:dyDescent="0.3">
      <c r="B20" s="60">
        <f>B19</f>
        <v>3</v>
      </c>
      <c r="C20" s="102">
        <v>16</v>
      </c>
      <c r="D20" s="616" t="str">
        <f t="shared" si="0"/>
        <v>IV</v>
      </c>
      <c r="E20" s="162"/>
      <c r="F20" s="163"/>
      <c r="G20" s="163"/>
      <c r="H20" s="164"/>
      <c r="I20" s="164"/>
      <c r="J20" s="162"/>
      <c r="K20" s="165"/>
      <c r="L20" s="164"/>
      <c r="M20" s="164"/>
      <c r="N20" s="166"/>
      <c r="O20" s="167"/>
      <c r="P20" s="168"/>
      <c r="Q20" s="169"/>
      <c r="R20" s="170"/>
      <c r="S20" s="171"/>
    </row>
    <row r="21" spans="2:19" ht="30.95" hidden="1" customHeight="1" x14ac:dyDescent="0.3">
      <c r="B21" s="60">
        <f>B19</f>
        <v>3</v>
      </c>
      <c r="C21" s="102">
        <v>17</v>
      </c>
      <c r="D21" s="616" t="str">
        <f t="shared" si="0"/>
        <v>IV</v>
      </c>
      <c r="E21" s="162"/>
      <c r="F21" s="163"/>
      <c r="G21" s="163"/>
      <c r="H21" s="164"/>
      <c r="I21" s="164"/>
      <c r="J21" s="162"/>
      <c r="K21" s="165"/>
      <c r="L21" s="164"/>
      <c r="M21" s="164"/>
      <c r="N21" s="166"/>
      <c r="O21" s="167"/>
      <c r="P21" s="168"/>
      <c r="Q21" s="169"/>
      <c r="R21" s="170"/>
      <c r="S21" s="171"/>
    </row>
    <row r="22" spans="2:19" ht="30.95" hidden="1" customHeight="1" x14ac:dyDescent="0.3">
      <c r="B22" s="60">
        <f>B19</f>
        <v>3</v>
      </c>
      <c r="C22" s="102">
        <v>18</v>
      </c>
      <c r="D22" s="616" t="str">
        <f t="shared" si="0"/>
        <v>IV</v>
      </c>
      <c r="E22" s="162"/>
      <c r="F22" s="163"/>
      <c r="G22" s="163"/>
      <c r="H22" s="164"/>
      <c r="I22" s="164"/>
      <c r="J22" s="162"/>
      <c r="K22" s="165"/>
      <c r="L22" s="164"/>
      <c r="M22" s="164"/>
      <c r="N22" s="166"/>
      <c r="O22" s="167"/>
      <c r="P22" s="168"/>
      <c r="Q22" s="169"/>
      <c r="R22" s="170"/>
      <c r="S22" s="171"/>
    </row>
    <row r="23" spans="2:19" ht="30.95" hidden="1" customHeight="1" x14ac:dyDescent="0.3">
      <c r="B23" s="60">
        <f>B19</f>
        <v>3</v>
      </c>
      <c r="C23" s="102">
        <v>19</v>
      </c>
      <c r="D23" s="616" t="str">
        <f t="shared" si="0"/>
        <v>IV</v>
      </c>
      <c r="E23" s="162"/>
      <c r="F23" s="163"/>
      <c r="G23" s="163"/>
      <c r="H23" s="164"/>
      <c r="I23" s="164"/>
      <c r="J23" s="162"/>
      <c r="K23" s="165"/>
      <c r="L23" s="164"/>
      <c r="M23" s="164"/>
      <c r="N23" s="166"/>
      <c r="O23" s="167"/>
      <c r="P23" s="168"/>
      <c r="Q23" s="169"/>
      <c r="R23" s="170"/>
      <c r="S23" s="171"/>
    </row>
    <row r="24" spans="2:19" ht="30.95" hidden="1" customHeight="1" x14ac:dyDescent="0.3">
      <c r="B24" s="60">
        <f>B19</f>
        <v>3</v>
      </c>
      <c r="C24" s="102">
        <v>20</v>
      </c>
      <c r="D24" s="616" t="str">
        <f t="shared" si="0"/>
        <v>IV</v>
      </c>
      <c r="E24" s="172"/>
      <c r="F24" s="173"/>
      <c r="G24" s="173"/>
      <c r="H24" s="174"/>
      <c r="I24" s="174"/>
      <c r="J24" s="172"/>
      <c r="K24" s="175"/>
      <c r="L24" s="174"/>
      <c r="M24" s="174"/>
      <c r="N24" s="176"/>
      <c r="O24" s="177"/>
      <c r="P24" s="178"/>
      <c r="Q24" s="179"/>
      <c r="R24" s="180"/>
      <c r="S24" s="181"/>
    </row>
    <row r="25" spans="2:19" ht="30.95" hidden="1" customHeight="1" thickBot="1" x14ac:dyDescent="0.3">
      <c r="B25" s="141">
        <f>B19</f>
        <v>3</v>
      </c>
      <c r="C25" s="142">
        <v>21</v>
      </c>
      <c r="D25" s="618" t="str">
        <f t="shared" si="0"/>
        <v>IV</v>
      </c>
      <c r="E25" s="189"/>
      <c r="F25" s="190"/>
      <c r="G25" s="190"/>
      <c r="H25" s="182"/>
      <c r="I25" s="182"/>
      <c r="J25" s="619" t="s">
        <v>181</v>
      </c>
      <c r="K25" s="620"/>
      <c r="L25" s="621"/>
      <c r="M25" s="182"/>
      <c r="N25" s="183"/>
      <c r="O25" s="184"/>
      <c r="P25" s="185"/>
      <c r="Q25" s="186"/>
      <c r="R25" s="187"/>
      <c r="S25" s="188"/>
    </row>
    <row r="26" spans="2:19" ht="30.95" customHeight="1" thickTop="1" x14ac:dyDescent="0.25">
      <c r="B26" s="129">
        <f>B24+1</f>
        <v>4</v>
      </c>
      <c r="C26" s="130">
        <v>22</v>
      </c>
      <c r="D26" s="196" t="str">
        <f t="shared" si="0"/>
        <v>IV</v>
      </c>
      <c r="E26" s="661">
        <v>10</v>
      </c>
      <c r="F26" s="662">
        <v>43664</v>
      </c>
      <c r="G26" s="662">
        <v>43673</v>
      </c>
      <c r="H26" s="663" t="s">
        <v>246</v>
      </c>
      <c r="I26" s="663">
        <v>1</v>
      </c>
      <c r="J26" s="661" t="s">
        <v>168</v>
      </c>
      <c r="K26" s="664" t="s">
        <v>16</v>
      </c>
      <c r="L26" s="663">
        <v>1</v>
      </c>
      <c r="M26" s="663">
        <v>7</v>
      </c>
      <c r="N26" s="665">
        <v>44</v>
      </c>
      <c r="O26" s="666">
        <v>44</v>
      </c>
      <c r="P26" s="667">
        <v>44</v>
      </c>
      <c r="Q26" s="668"/>
      <c r="R26" s="669" t="s">
        <v>4</v>
      </c>
      <c r="S26" s="670">
        <v>43620</v>
      </c>
    </row>
    <row r="27" spans="2:19" ht="30.95" hidden="1" customHeight="1" x14ac:dyDescent="0.25">
      <c r="B27" s="60">
        <f>B26</f>
        <v>4</v>
      </c>
      <c r="C27" s="102">
        <v>23</v>
      </c>
      <c r="D27" s="616" t="str">
        <f t="shared" si="0"/>
        <v>IV</v>
      </c>
      <c r="E27" s="632"/>
      <c r="F27" s="633"/>
      <c r="G27" s="633"/>
      <c r="H27" s="634"/>
      <c r="I27" s="634"/>
      <c r="J27" s="632"/>
      <c r="K27" s="635"/>
      <c r="L27" s="634"/>
      <c r="M27" s="634"/>
      <c r="N27" s="636"/>
      <c r="O27" s="637"/>
      <c r="P27" s="638"/>
      <c r="Q27" s="639"/>
      <c r="R27" s="640"/>
      <c r="S27" s="641"/>
    </row>
    <row r="28" spans="2:19" ht="30.95" hidden="1" customHeight="1" x14ac:dyDescent="0.25">
      <c r="B28" s="60">
        <f>B26</f>
        <v>4</v>
      </c>
      <c r="C28" s="102">
        <v>24</v>
      </c>
      <c r="D28" s="616" t="str">
        <f t="shared" si="0"/>
        <v>IV</v>
      </c>
      <c r="E28" s="632"/>
      <c r="F28" s="633"/>
      <c r="G28" s="633"/>
      <c r="H28" s="634"/>
      <c r="I28" s="634"/>
      <c r="J28" s="632"/>
      <c r="K28" s="635"/>
      <c r="L28" s="634"/>
      <c r="M28" s="634"/>
      <c r="N28" s="636"/>
      <c r="O28" s="637"/>
      <c r="P28" s="638"/>
      <c r="Q28" s="639"/>
      <c r="R28" s="640"/>
      <c r="S28" s="641"/>
    </row>
    <row r="29" spans="2:19" ht="30.95" hidden="1" customHeight="1" x14ac:dyDescent="0.25">
      <c r="B29" s="60">
        <f>B26</f>
        <v>4</v>
      </c>
      <c r="C29" s="102">
        <v>25</v>
      </c>
      <c r="D29" s="616" t="str">
        <f t="shared" si="0"/>
        <v>IV</v>
      </c>
      <c r="E29" s="632"/>
      <c r="F29" s="633"/>
      <c r="G29" s="633"/>
      <c r="H29" s="634"/>
      <c r="I29" s="634"/>
      <c r="J29" s="632"/>
      <c r="K29" s="635"/>
      <c r="L29" s="634"/>
      <c r="M29" s="634"/>
      <c r="N29" s="636"/>
      <c r="O29" s="637"/>
      <c r="P29" s="638"/>
      <c r="Q29" s="639"/>
      <c r="R29" s="640"/>
      <c r="S29" s="641"/>
    </row>
    <row r="30" spans="2:19" ht="30.95" hidden="1" customHeight="1" x14ac:dyDescent="0.25">
      <c r="B30" s="60">
        <f>B26</f>
        <v>4</v>
      </c>
      <c r="C30" s="102">
        <v>26</v>
      </c>
      <c r="D30" s="616" t="str">
        <f t="shared" si="0"/>
        <v>IV</v>
      </c>
      <c r="E30" s="632"/>
      <c r="F30" s="633"/>
      <c r="G30" s="633"/>
      <c r="H30" s="634"/>
      <c r="I30" s="634"/>
      <c r="J30" s="632"/>
      <c r="K30" s="635"/>
      <c r="L30" s="634"/>
      <c r="M30" s="634"/>
      <c r="N30" s="636"/>
      <c r="O30" s="637"/>
      <c r="P30" s="638"/>
      <c r="Q30" s="639"/>
      <c r="R30" s="640"/>
      <c r="S30" s="641"/>
    </row>
    <row r="31" spans="2:19" ht="30.95" hidden="1" customHeight="1" x14ac:dyDescent="0.25">
      <c r="B31" s="60">
        <f>B26</f>
        <v>4</v>
      </c>
      <c r="C31" s="102">
        <v>27</v>
      </c>
      <c r="D31" s="616" t="str">
        <f t="shared" si="0"/>
        <v>IV</v>
      </c>
      <c r="E31" s="632"/>
      <c r="F31" s="633"/>
      <c r="G31" s="633"/>
      <c r="H31" s="634"/>
      <c r="I31" s="634"/>
      <c r="J31" s="632"/>
      <c r="K31" s="635"/>
      <c r="L31" s="634"/>
      <c r="M31" s="634"/>
      <c r="N31" s="636"/>
      <c r="O31" s="637"/>
      <c r="P31" s="638"/>
      <c r="Q31" s="639"/>
      <c r="R31" s="640"/>
      <c r="S31" s="641"/>
    </row>
    <row r="32" spans="2:19" ht="30.95" customHeight="1" thickBot="1" x14ac:dyDescent="0.3">
      <c r="B32" s="141">
        <f>B26</f>
        <v>4</v>
      </c>
      <c r="C32" s="142">
        <v>28</v>
      </c>
      <c r="D32" s="618" t="str">
        <f t="shared" si="0"/>
        <v>IV</v>
      </c>
      <c r="E32" s="652"/>
      <c r="F32" s="653"/>
      <c r="G32" s="653"/>
      <c r="H32" s="654"/>
      <c r="I32" s="654"/>
      <c r="J32" s="619" t="s">
        <v>181</v>
      </c>
      <c r="K32" s="620"/>
      <c r="L32" s="621"/>
      <c r="M32" s="654"/>
      <c r="N32" s="655">
        <v>10</v>
      </c>
      <c r="O32" s="656">
        <v>10</v>
      </c>
      <c r="P32" s="657"/>
      <c r="Q32" s="658">
        <v>10</v>
      </c>
      <c r="R32" s="659" t="s">
        <v>4</v>
      </c>
      <c r="S32" s="660">
        <v>43620</v>
      </c>
    </row>
    <row r="33" spans="2:19" ht="30.95" customHeight="1" thickTop="1" x14ac:dyDescent="0.25">
      <c r="B33" s="129">
        <f>B31+1</f>
        <v>5</v>
      </c>
      <c r="C33" s="130">
        <v>29</v>
      </c>
      <c r="D33" s="196" t="str">
        <f t="shared" si="0"/>
        <v>IV</v>
      </c>
      <c r="E33" s="152">
        <v>10</v>
      </c>
      <c r="F33" s="153">
        <v>43664</v>
      </c>
      <c r="G33" s="153">
        <v>43673</v>
      </c>
      <c r="H33" s="154" t="s">
        <v>240</v>
      </c>
      <c r="I33" s="154">
        <v>1</v>
      </c>
      <c r="J33" s="152" t="s">
        <v>168</v>
      </c>
      <c r="K33" s="155" t="s">
        <v>16</v>
      </c>
      <c r="L33" s="154">
        <v>1</v>
      </c>
      <c r="M33" s="154">
        <v>7</v>
      </c>
      <c r="N33" s="156">
        <v>44</v>
      </c>
      <c r="O33" s="157">
        <v>44</v>
      </c>
      <c r="P33" s="158">
        <v>44</v>
      </c>
      <c r="Q33" s="159"/>
      <c r="R33" s="160" t="s">
        <v>4</v>
      </c>
      <c r="S33" s="161">
        <v>43620</v>
      </c>
    </row>
    <row r="34" spans="2:19" ht="30.95" hidden="1" customHeight="1" x14ac:dyDescent="0.25">
      <c r="B34" s="60">
        <f>B33</f>
        <v>5</v>
      </c>
      <c r="C34" s="102">
        <v>30</v>
      </c>
      <c r="D34" s="616" t="str">
        <f t="shared" si="0"/>
        <v>IV</v>
      </c>
      <c r="E34" s="162"/>
      <c r="F34" s="163"/>
      <c r="G34" s="163"/>
      <c r="H34" s="164"/>
      <c r="I34" s="164"/>
      <c r="J34" s="162"/>
      <c r="K34" s="165"/>
      <c r="L34" s="164"/>
      <c r="M34" s="164"/>
      <c r="N34" s="166"/>
      <c r="O34" s="167"/>
      <c r="P34" s="168"/>
      <c r="Q34" s="169"/>
      <c r="R34" s="170"/>
      <c r="S34" s="171"/>
    </row>
    <row r="35" spans="2:19" ht="30.95" hidden="1" customHeight="1" x14ac:dyDescent="0.25">
      <c r="B35" s="60">
        <f>B33</f>
        <v>5</v>
      </c>
      <c r="C35" s="102">
        <v>31</v>
      </c>
      <c r="D35" s="616" t="str">
        <f t="shared" si="0"/>
        <v>IV</v>
      </c>
      <c r="E35" s="162"/>
      <c r="F35" s="163"/>
      <c r="G35" s="163"/>
      <c r="H35" s="164"/>
      <c r="I35" s="164"/>
      <c r="J35" s="162"/>
      <c r="K35" s="165"/>
      <c r="L35" s="164"/>
      <c r="M35" s="164"/>
      <c r="N35" s="166"/>
      <c r="O35" s="167"/>
      <c r="P35" s="168"/>
      <c r="Q35" s="169"/>
      <c r="R35" s="170"/>
      <c r="S35" s="171"/>
    </row>
    <row r="36" spans="2:19" ht="30.95" hidden="1" customHeight="1" x14ac:dyDescent="0.25">
      <c r="B36" s="60">
        <f>B33</f>
        <v>5</v>
      </c>
      <c r="C36" s="102">
        <v>32</v>
      </c>
      <c r="D36" s="616" t="str">
        <f t="shared" si="0"/>
        <v>IV</v>
      </c>
      <c r="E36" s="162"/>
      <c r="F36" s="163"/>
      <c r="G36" s="163"/>
      <c r="H36" s="164"/>
      <c r="I36" s="164"/>
      <c r="J36" s="162"/>
      <c r="K36" s="165"/>
      <c r="L36" s="164"/>
      <c r="M36" s="164"/>
      <c r="N36" s="166"/>
      <c r="O36" s="167"/>
      <c r="P36" s="168"/>
      <c r="Q36" s="169"/>
      <c r="R36" s="170"/>
      <c r="S36" s="171"/>
    </row>
    <row r="37" spans="2:19" ht="30.95" hidden="1" customHeight="1" x14ac:dyDescent="0.25">
      <c r="B37" s="60">
        <f>B33</f>
        <v>5</v>
      </c>
      <c r="C37" s="102">
        <v>33</v>
      </c>
      <c r="D37" s="616" t="str">
        <f t="shared" si="0"/>
        <v>IV</v>
      </c>
      <c r="E37" s="162"/>
      <c r="F37" s="163"/>
      <c r="G37" s="163"/>
      <c r="H37" s="164"/>
      <c r="I37" s="164"/>
      <c r="J37" s="162"/>
      <c r="K37" s="165"/>
      <c r="L37" s="164"/>
      <c r="M37" s="164"/>
      <c r="N37" s="166"/>
      <c r="O37" s="167"/>
      <c r="P37" s="168"/>
      <c r="Q37" s="169"/>
      <c r="R37" s="170"/>
      <c r="S37" s="171"/>
    </row>
    <row r="38" spans="2:19" ht="30.95" hidden="1" customHeight="1" x14ac:dyDescent="0.25">
      <c r="B38" s="60">
        <f>B33</f>
        <v>5</v>
      </c>
      <c r="C38" s="102">
        <v>34</v>
      </c>
      <c r="D38" s="616" t="str">
        <f t="shared" si="0"/>
        <v>IV</v>
      </c>
      <c r="E38" s="172"/>
      <c r="F38" s="173"/>
      <c r="G38" s="173"/>
      <c r="H38" s="174"/>
      <c r="I38" s="174"/>
      <c r="J38" s="172"/>
      <c r="K38" s="175"/>
      <c r="L38" s="174"/>
      <c r="M38" s="174"/>
      <c r="N38" s="176"/>
      <c r="O38" s="177"/>
      <c r="P38" s="178"/>
      <c r="Q38" s="179"/>
      <c r="R38" s="180"/>
      <c r="S38" s="181"/>
    </row>
    <row r="39" spans="2:19" ht="30.95" customHeight="1" thickBot="1" x14ac:dyDescent="0.3">
      <c r="B39" s="141">
        <f>B33</f>
        <v>5</v>
      </c>
      <c r="C39" s="142">
        <v>35</v>
      </c>
      <c r="D39" s="618" t="str">
        <f t="shared" si="0"/>
        <v>IV</v>
      </c>
      <c r="E39" s="189"/>
      <c r="F39" s="190"/>
      <c r="G39" s="190"/>
      <c r="H39" s="182"/>
      <c r="I39" s="182"/>
      <c r="J39" s="619" t="s">
        <v>181</v>
      </c>
      <c r="K39" s="620"/>
      <c r="L39" s="621"/>
      <c r="M39" s="182"/>
      <c r="N39" s="183">
        <v>10</v>
      </c>
      <c r="O39" s="184">
        <v>10</v>
      </c>
      <c r="P39" s="185"/>
      <c r="Q39" s="186">
        <v>10</v>
      </c>
      <c r="R39" s="187" t="s">
        <v>4</v>
      </c>
      <c r="S39" s="188">
        <v>43620</v>
      </c>
    </row>
    <row r="40" spans="2:19" ht="30.95" customHeight="1" thickTop="1" x14ac:dyDescent="0.25">
      <c r="B40" s="129">
        <f>B38+1</f>
        <v>6</v>
      </c>
      <c r="C40" s="130">
        <v>36</v>
      </c>
      <c r="D40" s="196" t="str">
        <f t="shared" si="0"/>
        <v>IV</v>
      </c>
      <c r="E40" s="661">
        <v>10</v>
      </c>
      <c r="F40" s="662">
        <v>43664</v>
      </c>
      <c r="G40" s="662">
        <v>43673</v>
      </c>
      <c r="H40" s="663" t="s">
        <v>239</v>
      </c>
      <c r="I40" s="663">
        <v>1</v>
      </c>
      <c r="J40" s="661" t="s">
        <v>168</v>
      </c>
      <c r="K40" s="664" t="s">
        <v>16</v>
      </c>
      <c r="L40" s="663">
        <v>1</v>
      </c>
      <c r="M40" s="663">
        <v>7</v>
      </c>
      <c r="N40" s="665">
        <v>44</v>
      </c>
      <c r="O40" s="666">
        <v>44</v>
      </c>
      <c r="P40" s="667">
        <v>44</v>
      </c>
      <c r="Q40" s="668"/>
      <c r="R40" s="669" t="s">
        <v>4</v>
      </c>
      <c r="S40" s="670">
        <v>43620</v>
      </c>
    </row>
    <row r="41" spans="2:19" ht="30.95" hidden="1" customHeight="1" x14ac:dyDescent="0.25">
      <c r="B41" s="60">
        <f>B40</f>
        <v>6</v>
      </c>
      <c r="C41" s="102">
        <v>37</v>
      </c>
      <c r="D41" s="616" t="str">
        <f t="shared" si="0"/>
        <v>IV</v>
      </c>
      <c r="E41" s="632"/>
      <c r="F41" s="633"/>
      <c r="G41" s="633"/>
      <c r="H41" s="634"/>
      <c r="I41" s="634"/>
      <c r="J41" s="632"/>
      <c r="K41" s="635"/>
      <c r="L41" s="634"/>
      <c r="M41" s="634"/>
      <c r="N41" s="636"/>
      <c r="O41" s="637"/>
      <c r="P41" s="638"/>
      <c r="Q41" s="639"/>
      <c r="R41" s="640"/>
      <c r="S41" s="641"/>
    </row>
    <row r="42" spans="2:19" ht="30.95" hidden="1" customHeight="1" x14ac:dyDescent="0.25">
      <c r="B42" s="60">
        <f>B40</f>
        <v>6</v>
      </c>
      <c r="C42" s="102">
        <v>38</v>
      </c>
      <c r="D42" s="616" t="str">
        <f t="shared" si="0"/>
        <v>IV</v>
      </c>
      <c r="E42" s="632"/>
      <c r="F42" s="633"/>
      <c r="G42" s="633"/>
      <c r="H42" s="634"/>
      <c r="I42" s="634"/>
      <c r="J42" s="632"/>
      <c r="K42" s="635"/>
      <c r="L42" s="634"/>
      <c r="M42" s="634"/>
      <c r="N42" s="636"/>
      <c r="O42" s="637"/>
      <c r="P42" s="638"/>
      <c r="Q42" s="639"/>
      <c r="R42" s="640"/>
      <c r="S42" s="641"/>
    </row>
    <row r="43" spans="2:19" ht="30.95" hidden="1" customHeight="1" x14ac:dyDescent="0.25">
      <c r="B43" s="60">
        <f>B40</f>
        <v>6</v>
      </c>
      <c r="C43" s="102">
        <v>39</v>
      </c>
      <c r="D43" s="616" t="str">
        <f t="shared" si="0"/>
        <v>IV</v>
      </c>
      <c r="E43" s="632"/>
      <c r="F43" s="633"/>
      <c r="G43" s="633"/>
      <c r="H43" s="634"/>
      <c r="I43" s="634"/>
      <c r="J43" s="632"/>
      <c r="K43" s="635"/>
      <c r="L43" s="634"/>
      <c r="M43" s="634"/>
      <c r="N43" s="636"/>
      <c r="O43" s="637"/>
      <c r="P43" s="638"/>
      <c r="Q43" s="639"/>
      <c r="R43" s="640"/>
      <c r="S43" s="641"/>
    </row>
    <row r="44" spans="2:19" ht="30.95" hidden="1" customHeight="1" x14ac:dyDescent="0.25">
      <c r="B44" s="60">
        <f>B40</f>
        <v>6</v>
      </c>
      <c r="C44" s="102">
        <v>40</v>
      </c>
      <c r="D44" s="616" t="str">
        <f t="shared" si="0"/>
        <v>IV</v>
      </c>
      <c r="E44" s="632"/>
      <c r="F44" s="633"/>
      <c r="G44" s="633"/>
      <c r="H44" s="634"/>
      <c r="I44" s="634"/>
      <c r="J44" s="632"/>
      <c r="K44" s="635"/>
      <c r="L44" s="634"/>
      <c r="M44" s="634"/>
      <c r="N44" s="636"/>
      <c r="O44" s="637"/>
      <c r="P44" s="638"/>
      <c r="Q44" s="639"/>
      <c r="R44" s="640"/>
      <c r="S44" s="641"/>
    </row>
    <row r="45" spans="2:19" ht="30.95" hidden="1" customHeight="1" x14ac:dyDescent="0.25">
      <c r="B45" s="60">
        <f>B40</f>
        <v>6</v>
      </c>
      <c r="C45" s="102">
        <v>41</v>
      </c>
      <c r="D45" s="616" t="str">
        <f t="shared" si="0"/>
        <v>IV</v>
      </c>
      <c r="E45" s="632"/>
      <c r="F45" s="633"/>
      <c r="G45" s="633"/>
      <c r="H45" s="634"/>
      <c r="I45" s="634"/>
      <c r="J45" s="632"/>
      <c r="K45" s="635"/>
      <c r="L45" s="634"/>
      <c r="M45" s="634"/>
      <c r="N45" s="636"/>
      <c r="O45" s="637"/>
      <c r="P45" s="638"/>
      <c r="Q45" s="639"/>
      <c r="R45" s="640"/>
      <c r="S45" s="641"/>
    </row>
    <row r="46" spans="2:19" ht="30.95" customHeight="1" thickBot="1" x14ac:dyDescent="0.3">
      <c r="B46" s="141">
        <f>B40</f>
        <v>6</v>
      </c>
      <c r="C46" s="142">
        <v>42</v>
      </c>
      <c r="D46" s="618" t="str">
        <f t="shared" si="0"/>
        <v>IV</v>
      </c>
      <c r="E46" s="652"/>
      <c r="F46" s="653"/>
      <c r="G46" s="653"/>
      <c r="H46" s="654"/>
      <c r="I46" s="654"/>
      <c r="J46" s="619" t="s">
        <v>181</v>
      </c>
      <c r="K46" s="620"/>
      <c r="L46" s="621"/>
      <c r="M46" s="654"/>
      <c r="N46" s="655">
        <v>10</v>
      </c>
      <c r="O46" s="656">
        <v>10</v>
      </c>
      <c r="P46" s="657"/>
      <c r="Q46" s="658">
        <v>10</v>
      </c>
      <c r="R46" s="659" t="s">
        <v>4</v>
      </c>
      <c r="S46" s="660">
        <v>43620</v>
      </c>
    </row>
    <row r="47" spans="2:19" ht="30.95" hidden="1" customHeight="1" thickTop="1" x14ac:dyDescent="0.3">
      <c r="B47" s="129">
        <f>B45+1</f>
        <v>7</v>
      </c>
      <c r="C47" s="130">
        <v>43</v>
      </c>
      <c r="D47" s="196" t="str">
        <f t="shared" si="0"/>
        <v>IV</v>
      </c>
      <c r="E47" s="152"/>
      <c r="F47" s="153"/>
      <c r="G47" s="153"/>
      <c r="H47" s="154"/>
      <c r="I47" s="154"/>
      <c r="J47" s="152"/>
      <c r="K47" s="155"/>
      <c r="L47" s="154"/>
      <c r="M47" s="154"/>
      <c r="N47" s="156"/>
      <c r="O47" s="157"/>
      <c r="P47" s="158"/>
      <c r="Q47" s="159"/>
      <c r="R47" s="160"/>
      <c r="S47" s="161"/>
    </row>
    <row r="48" spans="2:19" ht="30.95" hidden="1" customHeight="1" x14ac:dyDescent="0.3">
      <c r="B48" s="60">
        <f>B47</f>
        <v>7</v>
      </c>
      <c r="C48" s="102">
        <v>44</v>
      </c>
      <c r="D48" s="616" t="str">
        <f t="shared" si="0"/>
        <v>IV</v>
      </c>
      <c r="E48" s="162"/>
      <c r="F48" s="163"/>
      <c r="G48" s="163"/>
      <c r="H48" s="164"/>
      <c r="I48" s="164"/>
      <c r="J48" s="162"/>
      <c r="K48" s="165"/>
      <c r="L48" s="164"/>
      <c r="M48" s="164"/>
      <c r="N48" s="166"/>
      <c r="O48" s="167"/>
      <c r="P48" s="168"/>
      <c r="Q48" s="169"/>
      <c r="R48" s="170"/>
      <c r="S48" s="171"/>
    </row>
    <row r="49" spans="2:19" ht="30.95" hidden="1" customHeight="1" x14ac:dyDescent="0.3">
      <c r="B49" s="60">
        <f>B47</f>
        <v>7</v>
      </c>
      <c r="C49" s="102">
        <v>45</v>
      </c>
      <c r="D49" s="616" t="str">
        <f t="shared" si="0"/>
        <v>IV</v>
      </c>
      <c r="E49" s="162"/>
      <c r="F49" s="163"/>
      <c r="G49" s="163"/>
      <c r="H49" s="164"/>
      <c r="I49" s="164"/>
      <c r="J49" s="162"/>
      <c r="K49" s="165"/>
      <c r="L49" s="164"/>
      <c r="M49" s="164"/>
      <c r="N49" s="166"/>
      <c r="O49" s="167"/>
      <c r="P49" s="168"/>
      <c r="Q49" s="169"/>
      <c r="R49" s="170"/>
      <c r="S49" s="171"/>
    </row>
    <row r="50" spans="2:19" ht="30.95" hidden="1" customHeight="1" x14ac:dyDescent="0.3">
      <c r="B50" s="60">
        <f>B47</f>
        <v>7</v>
      </c>
      <c r="C50" s="102">
        <v>46</v>
      </c>
      <c r="D50" s="616" t="str">
        <f t="shared" si="0"/>
        <v>IV</v>
      </c>
      <c r="E50" s="162"/>
      <c r="F50" s="163"/>
      <c r="G50" s="163"/>
      <c r="H50" s="164"/>
      <c r="I50" s="164"/>
      <c r="J50" s="162"/>
      <c r="K50" s="165"/>
      <c r="L50" s="164"/>
      <c r="M50" s="164"/>
      <c r="N50" s="166"/>
      <c r="O50" s="167"/>
      <c r="P50" s="168"/>
      <c r="Q50" s="169"/>
      <c r="R50" s="170"/>
      <c r="S50" s="171"/>
    </row>
    <row r="51" spans="2:19" ht="30.95" hidden="1" customHeight="1" x14ac:dyDescent="0.3">
      <c r="B51" s="60">
        <f>B47</f>
        <v>7</v>
      </c>
      <c r="C51" s="102">
        <v>47</v>
      </c>
      <c r="D51" s="616" t="str">
        <f t="shared" si="0"/>
        <v>IV</v>
      </c>
      <c r="E51" s="162"/>
      <c r="F51" s="163"/>
      <c r="G51" s="163"/>
      <c r="H51" s="164"/>
      <c r="I51" s="164"/>
      <c r="J51" s="162"/>
      <c r="K51" s="165"/>
      <c r="L51" s="164"/>
      <c r="M51" s="164"/>
      <c r="N51" s="166"/>
      <c r="O51" s="167"/>
      <c r="P51" s="168"/>
      <c r="Q51" s="169"/>
      <c r="R51" s="170"/>
      <c r="S51" s="171"/>
    </row>
    <row r="52" spans="2:19" ht="30.95" hidden="1" customHeight="1" x14ac:dyDescent="0.3">
      <c r="B52" s="60">
        <f>B47</f>
        <v>7</v>
      </c>
      <c r="C52" s="102">
        <v>48</v>
      </c>
      <c r="D52" s="616" t="str">
        <f t="shared" si="0"/>
        <v>IV</v>
      </c>
      <c r="E52" s="172"/>
      <c r="F52" s="173"/>
      <c r="G52" s="173"/>
      <c r="H52" s="174"/>
      <c r="I52" s="174"/>
      <c r="J52" s="172"/>
      <c r="K52" s="175"/>
      <c r="L52" s="174"/>
      <c r="M52" s="174"/>
      <c r="N52" s="176"/>
      <c r="O52" s="177"/>
      <c r="P52" s="178"/>
      <c r="Q52" s="179"/>
      <c r="R52" s="180"/>
      <c r="S52" s="181"/>
    </row>
    <row r="53" spans="2:19" ht="30.95" hidden="1" customHeight="1" thickBot="1" x14ac:dyDescent="0.3">
      <c r="B53" s="141">
        <f>B47</f>
        <v>7</v>
      </c>
      <c r="C53" s="142">
        <v>49</v>
      </c>
      <c r="D53" s="618" t="str">
        <f t="shared" si="0"/>
        <v>IV</v>
      </c>
      <c r="E53" s="189"/>
      <c r="F53" s="190"/>
      <c r="G53" s="190"/>
      <c r="H53" s="182"/>
      <c r="I53" s="182"/>
      <c r="J53" s="619" t="s">
        <v>181</v>
      </c>
      <c r="K53" s="620"/>
      <c r="L53" s="621"/>
      <c r="M53" s="182"/>
      <c r="N53" s="183"/>
      <c r="O53" s="184"/>
      <c r="P53" s="185"/>
      <c r="Q53" s="186"/>
      <c r="R53" s="187"/>
      <c r="S53" s="188"/>
    </row>
    <row r="54" spans="2:19" ht="30.95" customHeight="1" thickTop="1" x14ac:dyDescent="0.25">
      <c r="B54" s="129">
        <f>B52+1</f>
        <v>8</v>
      </c>
      <c r="C54" s="130">
        <v>50</v>
      </c>
      <c r="D54" s="196" t="str">
        <f t="shared" si="0"/>
        <v>IV</v>
      </c>
      <c r="E54" s="661">
        <v>10</v>
      </c>
      <c r="F54" s="662">
        <v>43664</v>
      </c>
      <c r="G54" s="662">
        <v>43673</v>
      </c>
      <c r="H54" s="663" t="s">
        <v>247</v>
      </c>
      <c r="I54" s="663">
        <v>1</v>
      </c>
      <c r="J54" s="661" t="s">
        <v>168</v>
      </c>
      <c r="K54" s="664" t="s">
        <v>16</v>
      </c>
      <c r="L54" s="663">
        <v>1</v>
      </c>
      <c r="M54" s="663">
        <v>7</v>
      </c>
      <c r="N54" s="665">
        <v>44</v>
      </c>
      <c r="O54" s="666">
        <v>44</v>
      </c>
      <c r="P54" s="667">
        <v>44</v>
      </c>
      <c r="Q54" s="668"/>
      <c r="R54" s="669" t="s">
        <v>4</v>
      </c>
      <c r="S54" s="670">
        <v>43626</v>
      </c>
    </row>
    <row r="55" spans="2:19" ht="30.95" customHeight="1" x14ac:dyDescent="0.25">
      <c r="B55" s="60">
        <f>B54</f>
        <v>8</v>
      </c>
      <c r="C55" s="102">
        <v>51</v>
      </c>
      <c r="D55" s="616" t="str">
        <f t="shared" si="0"/>
        <v>IV</v>
      </c>
      <c r="E55" s="632">
        <v>10</v>
      </c>
      <c r="F55" s="633">
        <v>43664</v>
      </c>
      <c r="G55" s="633">
        <v>43673</v>
      </c>
      <c r="H55" s="634" t="s">
        <v>248</v>
      </c>
      <c r="I55" s="634">
        <v>2</v>
      </c>
      <c r="J55" s="632" t="s">
        <v>167</v>
      </c>
      <c r="K55" s="635" t="s">
        <v>16</v>
      </c>
      <c r="L55" s="634">
        <v>1</v>
      </c>
      <c r="M55" s="634">
        <v>7</v>
      </c>
      <c r="N55" s="636">
        <v>53</v>
      </c>
      <c r="O55" s="637">
        <v>53</v>
      </c>
      <c r="P55" s="638"/>
      <c r="Q55" s="639">
        <v>53</v>
      </c>
      <c r="R55" s="640" t="s">
        <v>4</v>
      </c>
      <c r="S55" s="641">
        <v>43626</v>
      </c>
    </row>
    <row r="56" spans="2:19" ht="30.95" customHeight="1" x14ac:dyDescent="0.25">
      <c r="B56" s="60">
        <f>B54</f>
        <v>8</v>
      </c>
      <c r="C56" s="102">
        <v>52</v>
      </c>
      <c r="D56" s="616" t="str">
        <f t="shared" si="0"/>
        <v>IV</v>
      </c>
      <c r="E56" s="632">
        <v>10</v>
      </c>
      <c r="F56" s="633">
        <v>43664</v>
      </c>
      <c r="G56" s="633">
        <v>43673</v>
      </c>
      <c r="H56" s="634" t="s">
        <v>249</v>
      </c>
      <c r="I56" s="634">
        <v>2</v>
      </c>
      <c r="J56" s="632" t="s">
        <v>167</v>
      </c>
      <c r="K56" s="635" t="s">
        <v>61</v>
      </c>
      <c r="L56" s="634">
        <v>1.5</v>
      </c>
      <c r="M56" s="634">
        <v>7</v>
      </c>
      <c r="N56" s="636">
        <v>79.5</v>
      </c>
      <c r="O56" s="637">
        <v>79.5</v>
      </c>
      <c r="P56" s="638"/>
      <c r="Q56" s="639">
        <v>79.5</v>
      </c>
      <c r="R56" s="640" t="s">
        <v>4</v>
      </c>
      <c r="S56" s="641">
        <v>43626</v>
      </c>
    </row>
    <row r="57" spans="2:19" ht="30.95" hidden="1" customHeight="1" x14ac:dyDescent="0.25">
      <c r="B57" s="60">
        <f>B54</f>
        <v>8</v>
      </c>
      <c r="C57" s="102">
        <v>53</v>
      </c>
      <c r="D57" s="616" t="str">
        <f t="shared" si="0"/>
        <v>IV</v>
      </c>
      <c r="E57" s="632"/>
      <c r="F57" s="633"/>
      <c r="G57" s="633"/>
      <c r="H57" s="634"/>
      <c r="I57" s="634"/>
      <c r="J57" s="632"/>
      <c r="K57" s="635"/>
      <c r="L57" s="634"/>
      <c r="M57" s="634"/>
      <c r="N57" s="636"/>
      <c r="O57" s="637"/>
      <c r="P57" s="638"/>
      <c r="Q57" s="639"/>
      <c r="R57" s="640"/>
      <c r="S57" s="641"/>
    </row>
    <row r="58" spans="2:19" ht="30.95" hidden="1" customHeight="1" x14ac:dyDescent="0.25">
      <c r="B58" s="60">
        <f>B54</f>
        <v>8</v>
      </c>
      <c r="C58" s="102">
        <v>54</v>
      </c>
      <c r="D58" s="616" t="str">
        <f t="shared" si="0"/>
        <v>IV</v>
      </c>
      <c r="E58" s="632"/>
      <c r="F58" s="633"/>
      <c r="G58" s="633"/>
      <c r="H58" s="634"/>
      <c r="I58" s="634"/>
      <c r="J58" s="632"/>
      <c r="K58" s="635"/>
      <c r="L58" s="634"/>
      <c r="M58" s="634"/>
      <c r="N58" s="636"/>
      <c r="O58" s="637"/>
      <c r="P58" s="638"/>
      <c r="Q58" s="639"/>
      <c r="R58" s="640"/>
      <c r="S58" s="641"/>
    </row>
    <row r="59" spans="2:19" ht="30.95" hidden="1" customHeight="1" x14ac:dyDescent="0.25">
      <c r="B59" s="60">
        <f>B54</f>
        <v>8</v>
      </c>
      <c r="C59" s="102">
        <v>55</v>
      </c>
      <c r="D59" s="616" t="str">
        <f t="shared" si="0"/>
        <v>IV</v>
      </c>
      <c r="E59" s="632"/>
      <c r="F59" s="633"/>
      <c r="G59" s="633"/>
      <c r="H59" s="634"/>
      <c r="I59" s="634"/>
      <c r="J59" s="632"/>
      <c r="K59" s="635"/>
      <c r="L59" s="634"/>
      <c r="M59" s="634"/>
      <c r="N59" s="636"/>
      <c r="O59" s="637"/>
      <c r="P59" s="638"/>
      <c r="Q59" s="639"/>
      <c r="R59" s="640"/>
      <c r="S59" s="641"/>
    </row>
    <row r="60" spans="2:19" ht="30.95" customHeight="1" thickBot="1" x14ac:dyDescent="0.3">
      <c r="B60" s="141">
        <f>B54</f>
        <v>8</v>
      </c>
      <c r="C60" s="142">
        <v>56</v>
      </c>
      <c r="D60" s="618" t="str">
        <f t="shared" si="0"/>
        <v>IV</v>
      </c>
      <c r="E60" s="652"/>
      <c r="F60" s="653"/>
      <c r="G60" s="653"/>
      <c r="H60" s="654"/>
      <c r="I60" s="654"/>
      <c r="J60" s="619" t="s">
        <v>181</v>
      </c>
      <c r="K60" s="620"/>
      <c r="L60" s="621"/>
      <c r="M60" s="654"/>
      <c r="N60" s="655">
        <v>10</v>
      </c>
      <c r="O60" s="656">
        <v>10</v>
      </c>
      <c r="P60" s="657"/>
      <c r="Q60" s="658">
        <v>10</v>
      </c>
      <c r="R60" s="659" t="s">
        <v>4</v>
      </c>
      <c r="S60" s="660">
        <v>43626</v>
      </c>
    </row>
    <row r="61" spans="2:19" ht="30.95" customHeight="1" thickTop="1" x14ac:dyDescent="0.25">
      <c r="B61" s="129">
        <f>B59+1</f>
        <v>9</v>
      </c>
      <c r="C61" s="130">
        <v>57</v>
      </c>
      <c r="D61" s="196" t="str">
        <f t="shared" si="0"/>
        <v>IV</v>
      </c>
      <c r="E61" s="152">
        <v>10</v>
      </c>
      <c r="F61" s="153">
        <v>43664</v>
      </c>
      <c r="G61" s="153">
        <v>43673</v>
      </c>
      <c r="H61" s="154" t="s">
        <v>250</v>
      </c>
      <c r="I61" s="154">
        <v>2</v>
      </c>
      <c r="J61" s="152" t="s">
        <v>167</v>
      </c>
      <c r="K61" s="155" t="s">
        <v>16</v>
      </c>
      <c r="L61" s="154">
        <v>1</v>
      </c>
      <c r="M61" s="154">
        <v>7</v>
      </c>
      <c r="N61" s="156">
        <v>53</v>
      </c>
      <c r="O61" s="157">
        <v>53</v>
      </c>
      <c r="P61" s="158"/>
      <c r="Q61" s="159">
        <v>53</v>
      </c>
      <c r="R61" s="160" t="s">
        <v>4</v>
      </c>
      <c r="S61" s="161">
        <v>43626</v>
      </c>
    </row>
    <row r="62" spans="2:19" ht="30.95" customHeight="1" x14ac:dyDescent="0.25">
      <c r="B62" s="60">
        <f>B61</f>
        <v>9</v>
      </c>
      <c r="C62" s="102">
        <v>58</v>
      </c>
      <c r="D62" s="616" t="str">
        <f t="shared" si="0"/>
        <v>IV</v>
      </c>
      <c r="E62" s="162">
        <v>10</v>
      </c>
      <c r="F62" s="163">
        <v>43664</v>
      </c>
      <c r="G62" s="163">
        <v>43673</v>
      </c>
      <c r="H62" s="164" t="s">
        <v>251</v>
      </c>
      <c r="I62" s="164">
        <v>2</v>
      </c>
      <c r="J62" s="162" t="s">
        <v>167</v>
      </c>
      <c r="K62" s="165" t="s">
        <v>16</v>
      </c>
      <c r="L62" s="164">
        <v>1</v>
      </c>
      <c r="M62" s="164">
        <v>7</v>
      </c>
      <c r="N62" s="166">
        <v>53</v>
      </c>
      <c r="O62" s="167">
        <v>53</v>
      </c>
      <c r="P62" s="168"/>
      <c r="Q62" s="169">
        <v>53</v>
      </c>
      <c r="R62" s="170" t="s">
        <v>4</v>
      </c>
      <c r="S62" s="171">
        <v>43626</v>
      </c>
    </row>
    <row r="63" spans="2:19" ht="30.95" hidden="1" customHeight="1" x14ac:dyDescent="0.25">
      <c r="B63" s="60">
        <f>B61</f>
        <v>9</v>
      </c>
      <c r="C63" s="102">
        <v>59</v>
      </c>
      <c r="D63" s="616" t="str">
        <f t="shared" si="0"/>
        <v>IV</v>
      </c>
      <c r="E63" s="162"/>
      <c r="F63" s="163"/>
      <c r="G63" s="163"/>
      <c r="H63" s="164"/>
      <c r="I63" s="164"/>
      <c r="J63" s="162"/>
      <c r="K63" s="165"/>
      <c r="L63" s="164"/>
      <c r="M63" s="164"/>
      <c r="N63" s="166"/>
      <c r="O63" s="167"/>
      <c r="P63" s="168"/>
      <c r="Q63" s="169"/>
      <c r="R63" s="170"/>
      <c r="S63" s="171"/>
    </row>
    <row r="64" spans="2:19" ht="30.95" hidden="1" customHeight="1" x14ac:dyDescent="0.25">
      <c r="B64" s="60">
        <f>B61</f>
        <v>9</v>
      </c>
      <c r="C64" s="102">
        <v>60</v>
      </c>
      <c r="D64" s="616" t="str">
        <f t="shared" si="0"/>
        <v>IV</v>
      </c>
      <c r="E64" s="162"/>
      <c r="F64" s="163"/>
      <c r="G64" s="163"/>
      <c r="H64" s="164"/>
      <c r="I64" s="164"/>
      <c r="J64" s="162"/>
      <c r="K64" s="165"/>
      <c r="L64" s="164"/>
      <c r="M64" s="164"/>
      <c r="N64" s="166"/>
      <c r="O64" s="167"/>
      <c r="P64" s="168"/>
      <c r="Q64" s="169"/>
      <c r="R64" s="170"/>
      <c r="S64" s="171"/>
    </row>
    <row r="65" spans="2:19" ht="30.95" hidden="1" customHeight="1" x14ac:dyDescent="0.25">
      <c r="B65" s="60">
        <f>B61</f>
        <v>9</v>
      </c>
      <c r="C65" s="102">
        <v>61</v>
      </c>
      <c r="D65" s="616" t="str">
        <f t="shared" si="0"/>
        <v>IV</v>
      </c>
      <c r="E65" s="162"/>
      <c r="F65" s="163"/>
      <c r="G65" s="163"/>
      <c r="H65" s="164"/>
      <c r="I65" s="164"/>
      <c r="J65" s="162"/>
      <c r="K65" s="165"/>
      <c r="L65" s="164"/>
      <c r="M65" s="164"/>
      <c r="N65" s="166"/>
      <c r="O65" s="167"/>
      <c r="P65" s="168"/>
      <c r="Q65" s="169"/>
      <c r="R65" s="170"/>
      <c r="S65" s="171"/>
    </row>
    <row r="66" spans="2:19" ht="30.95" hidden="1" customHeight="1" x14ac:dyDescent="0.25">
      <c r="B66" s="60">
        <f>B61</f>
        <v>9</v>
      </c>
      <c r="C66" s="102">
        <v>62</v>
      </c>
      <c r="D66" s="616" t="str">
        <f t="shared" si="0"/>
        <v>IV</v>
      </c>
      <c r="E66" s="172"/>
      <c r="F66" s="173"/>
      <c r="G66" s="173"/>
      <c r="H66" s="174"/>
      <c r="I66" s="174"/>
      <c r="J66" s="172"/>
      <c r="K66" s="175"/>
      <c r="L66" s="174"/>
      <c r="M66" s="174"/>
      <c r="N66" s="176"/>
      <c r="O66" s="177"/>
      <c r="P66" s="178"/>
      <c r="Q66" s="179"/>
      <c r="R66" s="180"/>
      <c r="S66" s="181"/>
    </row>
    <row r="67" spans="2:19" ht="30.95" customHeight="1" thickBot="1" x14ac:dyDescent="0.3">
      <c r="B67" s="141">
        <f>B61</f>
        <v>9</v>
      </c>
      <c r="C67" s="142">
        <v>63</v>
      </c>
      <c r="D67" s="618" t="str">
        <f t="shared" si="0"/>
        <v>IV</v>
      </c>
      <c r="E67" s="189"/>
      <c r="F67" s="190"/>
      <c r="G67" s="190"/>
      <c r="H67" s="182"/>
      <c r="I67" s="182"/>
      <c r="J67" s="619" t="s">
        <v>181</v>
      </c>
      <c r="K67" s="620"/>
      <c r="L67" s="621"/>
      <c r="M67" s="182"/>
      <c r="N67" s="183">
        <v>10</v>
      </c>
      <c r="O67" s="184">
        <v>10</v>
      </c>
      <c r="P67" s="185"/>
      <c r="Q67" s="186">
        <v>10</v>
      </c>
      <c r="R67" s="187" t="s">
        <v>4</v>
      </c>
      <c r="S67" s="188">
        <v>43626</v>
      </c>
    </row>
    <row r="68" spans="2:19" ht="30.95" customHeight="1" thickTop="1" x14ac:dyDescent="0.25">
      <c r="B68" s="129">
        <f>B66+1</f>
        <v>10</v>
      </c>
      <c r="C68" s="130">
        <v>64</v>
      </c>
      <c r="D68" s="196" t="str">
        <f t="shared" si="0"/>
        <v>IV</v>
      </c>
      <c r="E68" s="661">
        <v>10</v>
      </c>
      <c r="F68" s="662">
        <v>43664</v>
      </c>
      <c r="G68" s="662">
        <v>43673</v>
      </c>
      <c r="H68" s="663" t="s">
        <v>252</v>
      </c>
      <c r="I68" s="663">
        <v>6</v>
      </c>
      <c r="J68" s="661" t="s">
        <v>166</v>
      </c>
      <c r="K68" s="664" t="s">
        <v>16</v>
      </c>
      <c r="L68" s="663">
        <v>1</v>
      </c>
      <c r="M68" s="663">
        <v>7</v>
      </c>
      <c r="N68" s="665">
        <v>120</v>
      </c>
      <c r="O68" s="666">
        <v>120</v>
      </c>
      <c r="P68" s="667"/>
      <c r="Q68" s="668">
        <v>120</v>
      </c>
      <c r="R68" s="669" t="s">
        <v>4</v>
      </c>
      <c r="S68" s="670">
        <v>43620</v>
      </c>
    </row>
    <row r="69" spans="2:19" ht="30.95" customHeight="1" x14ac:dyDescent="0.25">
      <c r="B69" s="60">
        <f>B68</f>
        <v>10</v>
      </c>
      <c r="C69" s="102">
        <v>65</v>
      </c>
      <c r="D69" s="616" t="str">
        <f t="shared" si="0"/>
        <v>IV</v>
      </c>
      <c r="E69" s="632">
        <v>10</v>
      </c>
      <c r="F69" s="633">
        <v>43664</v>
      </c>
      <c r="G69" s="633">
        <v>43673</v>
      </c>
      <c r="H69" s="634" t="s">
        <v>253</v>
      </c>
      <c r="I69" s="634">
        <v>6</v>
      </c>
      <c r="J69" s="632" t="s">
        <v>166</v>
      </c>
      <c r="K69" s="635" t="s">
        <v>16</v>
      </c>
      <c r="L69" s="634">
        <v>1</v>
      </c>
      <c r="M69" s="634">
        <v>7</v>
      </c>
      <c r="N69" s="636">
        <v>120</v>
      </c>
      <c r="O69" s="637">
        <v>120</v>
      </c>
      <c r="P69" s="638"/>
      <c r="Q69" s="639">
        <v>120</v>
      </c>
      <c r="R69" s="640" t="s">
        <v>4</v>
      </c>
      <c r="S69" s="641">
        <v>43620</v>
      </c>
    </row>
    <row r="70" spans="2:19" ht="30.95" customHeight="1" x14ac:dyDescent="0.25">
      <c r="B70" s="60">
        <f>B68</f>
        <v>10</v>
      </c>
      <c r="C70" s="102">
        <v>66</v>
      </c>
      <c r="D70" s="616" t="str">
        <f t="shared" si="0"/>
        <v>IV</v>
      </c>
      <c r="E70" s="632">
        <v>10</v>
      </c>
      <c r="F70" s="633">
        <v>43664</v>
      </c>
      <c r="G70" s="633">
        <v>43673</v>
      </c>
      <c r="H70" s="634" t="s">
        <v>254</v>
      </c>
      <c r="I70" s="634">
        <v>5</v>
      </c>
      <c r="J70" s="632" t="s">
        <v>172</v>
      </c>
      <c r="K70" s="635" t="s">
        <v>61</v>
      </c>
      <c r="L70" s="634">
        <v>1.5</v>
      </c>
      <c r="M70" s="634">
        <v>7</v>
      </c>
      <c r="N70" s="636">
        <v>79.5</v>
      </c>
      <c r="O70" s="637">
        <v>79.5</v>
      </c>
      <c r="P70" s="638"/>
      <c r="Q70" s="639">
        <v>79.5</v>
      </c>
      <c r="R70" s="640" t="s">
        <v>4</v>
      </c>
      <c r="S70" s="641">
        <v>43620</v>
      </c>
    </row>
    <row r="71" spans="2:19" ht="30.95" hidden="1" customHeight="1" x14ac:dyDescent="0.25">
      <c r="B71" s="60">
        <f>B68</f>
        <v>10</v>
      </c>
      <c r="C71" s="102">
        <v>67</v>
      </c>
      <c r="D71" s="616" t="str">
        <f t="shared" ref="D71:D134" si="1">D70</f>
        <v>IV</v>
      </c>
      <c r="E71" s="632"/>
      <c r="F71" s="633"/>
      <c r="G71" s="633"/>
      <c r="H71" s="634"/>
      <c r="I71" s="634"/>
      <c r="J71" s="632"/>
      <c r="K71" s="635"/>
      <c r="L71" s="634"/>
      <c r="M71" s="634"/>
      <c r="N71" s="636"/>
      <c r="O71" s="637"/>
      <c r="P71" s="638"/>
      <c r="Q71" s="639"/>
      <c r="R71" s="640"/>
      <c r="S71" s="641"/>
    </row>
    <row r="72" spans="2:19" ht="30.95" hidden="1" customHeight="1" x14ac:dyDescent="0.25">
      <c r="B72" s="60">
        <f>B68</f>
        <v>10</v>
      </c>
      <c r="C72" s="102">
        <v>68</v>
      </c>
      <c r="D72" s="616" t="str">
        <f t="shared" si="1"/>
        <v>IV</v>
      </c>
      <c r="E72" s="632"/>
      <c r="F72" s="633"/>
      <c r="G72" s="633"/>
      <c r="H72" s="634"/>
      <c r="I72" s="634"/>
      <c r="J72" s="632"/>
      <c r="K72" s="635"/>
      <c r="L72" s="634"/>
      <c r="M72" s="634"/>
      <c r="N72" s="636"/>
      <c r="O72" s="637"/>
      <c r="P72" s="638"/>
      <c r="Q72" s="639"/>
      <c r="R72" s="640"/>
      <c r="S72" s="641"/>
    </row>
    <row r="73" spans="2:19" ht="30.95" hidden="1" customHeight="1" x14ac:dyDescent="0.25">
      <c r="B73" s="60">
        <f>B68</f>
        <v>10</v>
      </c>
      <c r="C73" s="102">
        <v>69</v>
      </c>
      <c r="D73" s="616" t="str">
        <f t="shared" si="1"/>
        <v>IV</v>
      </c>
      <c r="E73" s="632"/>
      <c r="F73" s="633"/>
      <c r="G73" s="633"/>
      <c r="H73" s="634"/>
      <c r="I73" s="634"/>
      <c r="J73" s="632"/>
      <c r="K73" s="635"/>
      <c r="L73" s="634"/>
      <c r="M73" s="634"/>
      <c r="N73" s="636"/>
      <c r="O73" s="637"/>
      <c r="P73" s="638"/>
      <c r="Q73" s="639"/>
      <c r="R73" s="640"/>
      <c r="S73" s="641"/>
    </row>
    <row r="74" spans="2:19" ht="30.95" customHeight="1" thickBot="1" x14ac:dyDescent="0.3">
      <c r="B74" s="141">
        <f>B68</f>
        <v>10</v>
      </c>
      <c r="C74" s="142">
        <v>70</v>
      </c>
      <c r="D74" s="618" t="str">
        <f t="shared" si="1"/>
        <v>IV</v>
      </c>
      <c r="E74" s="652"/>
      <c r="F74" s="653"/>
      <c r="G74" s="653"/>
      <c r="H74" s="654"/>
      <c r="I74" s="654"/>
      <c r="J74" s="619" t="s">
        <v>181</v>
      </c>
      <c r="K74" s="620"/>
      <c r="L74" s="621"/>
      <c r="M74" s="654"/>
      <c r="N74" s="655">
        <v>10</v>
      </c>
      <c r="O74" s="656">
        <v>10</v>
      </c>
      <c r="P74" s="657"/>
      <c r="Q74" s="658">
        <v>10</v>
      </c>
      <c r="R74" s="659" t="s">
        <v>4</v>
      </c>
      <c r="S74" s="660">
        <v>43620</v>
      </c>
    </row>
    <row r="75" spans="2:19" ht="30.95" hidden="1" customHeight="1" thickTop="1" x14ac:dyDescent="0.3">
      <c r="B75" s="129">
        <f>B73+1</f>
        <v>11</v>
      </c>
      <c r="C75" s="130">
        <v>71</v>
      </c>
      <c r="D75" s="196" t="str">
        <f t="shared" si="1"/>
        <v>IV</v>
      </c>
      <c r="E75" s="152"/>
      <c r="F75" s="153"/>
      <c r="G75" s="153"/>
      <c r="H75" s="154"/>
      <c r="I75" s="154"/>
      <c r="J75" s="152"/>
      <c r="K75" s="155"/>
      <c r="L75" s="154"/>
      <c r="M75" s="154"/>
      <c r="N75" s="156"/>
      <c r="O75" s="157"/>
      <c r="P75" s="158"/>
      <c r="Q75" s="159"/>
      <c r="R75" s="160"/>
      <c r="S75" s="161"/>
    </row>
    <row r="76" spans="2:19" ht="30.95" hidden="1" customHeight="1" x14ac:dyDescent="0.3">
      <c r="B76" s="60">
        <f>B75</f>
        <v>11</v>
      </c>
      <c r="C76" s="102">
        <v>72</v>
      </c>
      <c r="D76" s="616" t="str">
        <f t="shared" si="1"/>
        <v>IV</v>
      </c>
      <c r="E76" s="162"/>
      <c r="F76" s="163"/>
      <c r="G76" s="163"/>
      <c r="H76" s="164"/>
      <c r="I76" s="164"/>
      <c r="J76" s="162"/>
      <c r="K76" s="165"/>
      <c r="L76" s="164"/>
      <c r="M76" s="164"/>
      <c r="N76" s="166"/>
      <c r="O76" s="167"/>
      <c r="P76" s="168"/>
      <c r="Q76" s="169"/>
      <c r="R76" s="170"/>
      <c r="S76" s="171"/>
    </row>
    <row r="77" spans="2:19" ht="30.95" hidden="1" customHeight="1" x14ac:dyDescent="0.3">
      <c r="B77" s="60">
        <f>B75</f>
        <v>11</v>
      </c>
      <c r="C77" s="102">
        <v>73</v>
      </c>
      <c r="D77" s="616" t="str">
        <f t="shared" si="1"/>
        <v>IV</v>
      </c>
      <c r="E77" s="162"/>
      <c r="F77" s="163"/>
      <c r="G77" s="163"/>
      <c r="H77" s="164"/>
      <c r="I77" s="164"/>
      <c r="J77" s="162"/>
      <c r="K77" s="165"/>
      <c r="L77" s="164"/>
      <c r="M77" s="164"/>
      <c r="N77" s="166"/>
      <c r="O77" s="167"/>
      <c r="P77" s="168"/>
      <c r="Q77" s="169"/>
      <c r="R77" s="170"/>
      <c r="S77" s="171"/>
    </row>
    <row r="78" spans="2:19" ht="30.95" hidden="1" customHeight="1" x14ac:dyDescent="0.3">
      <c r="B78" s="60">
        <f>B75</f>
        <v>11</v>
      </c>
      <c r="C78" s="102">
        <v>74</v>
      </c>
      <c r="D78" s="616" t="str">
        <f t="shared" si="1"/>
        <v>IV</v>
      </c>
      <c r="E78" s="162"/>
      <c r="F78" s="163"/>
      <c r="G78" s="163"/>
      <c r="H78" s="164"/>
      <c r="I78" s="164"/>
      <c r="J78" s="162"/>
      <c r="K78" s="165"/>
      <c r="L78" s="164"/>
      <c r="M78" s="164"/>
      <c r="N78" s="166"/>
      <c r="O78" s="167"/>
      <c r="P78" s="168"/>
      <c r="Q78" s="169"/>
      <c r="R78" s="170"/>
      <c r="S78" s="171"/>
    </row>
    <row r="79" spans="2:19" ht="30.95" hidden="1" customHeight="1" x14ac:dyDescent="0.3">
      <c r="B79" s="60">
        <f>B75</f>
        <v>11</v>
      </c>
      <c r="C79" s="102">
        <v>75</v>
      </c>
      <c r="D79" s="616" t="str">
        <f t="shared" si="1"/>
        <v>IV</v>
      </c>
      <c r="E79" s="162"/>
      <c r="F79" s="163"/>
      <c r="G79" s="163"/>
      <c r="H79" s="164"/>
      <c r="I79" s="164"/>
      <c r="J79" s="162"/>
      <c r="K79" s="165"/>
      <c r="L79" s="164"/>
      <c r="M79" s="164"/>
      <c r="N79" s="166"/>
      <c r="O79" s="167"/>
      <c r="P79" s="168"/>
      <c r="Q79" s="169"/>
      <c r="R79" s="170"/>
      <c r="S79" s="171"/>
    </row>
    <row r="80" spans="2:19" ht="30.95" hidden="1" customHeight="1" x14ac:dyDescent="0.3">
      <c r="B80" s="60">
        <f>B75</f>
        <v>11</v>
      </c>
      <c r="C80" s="102">
        <v>76</v>
      </c>
      <c r="D80" s="616" t="str">
        <f t="shared" si="1"/>
        <v>IV</v>
      </c>
      <c r="E80" s="172"/>
      <c r="F80" s="173"/>
      <c r="G80" s="173"/>
      <c r="H80" s="174"/>
      <c r="I80" s="174"/>
      <c r="J80" s="172"/>
      <c r="K80" s="175"/>
      <c r="L80" s="174"/>
      <c r="M80" s="174"/>
      <c r="N80" s="176"/>
      <c r="O80" s="177"/>
      <c r="P80" s="178"/>
      <c r="Q80" s="179"/>
      <c r="R80" s="180"/>
      <c r="S80" s="181"/>
    </row>
    <row r="81" spans="2:19" ht="30.95" hidden="1" customHeight="1" thickBot="1" x14ac:dyDescent="0.3">
      <c r="B81" s="141">
        <f>B75</f>
        <v>11</v>
      </c>
      <c r="C81" s="142">
        <v>77</v>
      </c>
      <c r="D81" s="618" t="str">
        <f t="shared" si="1"/>
        <v>IV</v>
      </c>
      <c r="E81" s="189"/>
      <c r="F81" s="190"/>
      <c r="G81" s="190"/>
      <c r="H81" s="182"/>
      <c r="I81" s="182"/>
      <c r="J81" s="619" t="s">
        <v>181</v>
      </c>
      <c r="K81" s="620"/>
      <c r="L81" s="621"/>
      <c r="M81" s="182"/>
      <c r="N81" s="183"/>
      <c r="O81" s="184"/>
      <c r="P81" s="185"/>
      <c r="Q81" s="186"/>
      <c r="R81" s="187"/>
      <c r="S81" s="188"/>
    </row>
    <row r="82" spans="2:19" ht="30.95" customHeight="1" thickTop="1" x14ac:dyDescent="0.25">
      <c r="B82" s="129">
        <f>B80+1</f>
        <v>12</v>
      </c>
      <c r="C82" s="130">
        <v>78</v>
      </c>
      <c r="D82" s="196" t="str">
        <f t="shared" si="1"/>
        <v>IV</v>
      </c>
      <c r="E82" s="661">
        <v>10</v>
      </c>
      <c r="F82" s="662">
        <v>43664</v>
      </c>
      <c r="G82" s="662">
        <v>43673</v>
      </c>
      <c r="H82" s="663" t="s">
        <v>238</v>
      </c>
      <c r="I82" s="663">
        <v>1</v>
      </c>
      <c r="J82" s="661" t="s">
        <v>168</v>
      </c>
      <c r="K82" s="664" t="s">
        <v>16</v>
      </c>
      <c r="L82" s="663">
        <v>1</v>
      </c>
      <c r="M82" s="663">
        <v>7</v>
      </c>
      <c r="N82" s="665">
        <v>44</v>
      </c>
      <c r="O82" s="666">
        <v>44</v>
      </c>
      <c r="P82" s="667">
        <v>44</v>
      </c>
      <c r="Q82" s="668"/>
      <c r="R82" s="669" t="s">
        <v>4</v>
      </c>
      <c r="S82" s="670">
        <v>43620</v>
      </c>
    </row>
    <row r="83" spans="2:19" ht="30.95" hidden="1" customHeight="1" x14ac:dyDescent="0.25">
      <c r="B83" s="60">
        <f>B82</f>
        <v>12</v>
      </c>
      <c r="C83" s="102">
        <v>79</v>
      </c>
      <c r="D83" s="616" t="str">
        <f t="shared" si="1"/>
        <v>IV</v>
      </c>
      <c r="E83" s="632"/>
      <c r="F83" s="633"/>
      <c r="G83" s="633"/>
      <c r="H83" s="634"/>
      <c r="I83" s="634"/>
      <c r="J83" s="632"/>
      <c r="K83" s="635"/>
      <c r="L83" s="634"/>
      <c r="M83" s="634"/>
      <c r="N83" s="636"/>
      <c r="O83" s="637"/>
      <c r="P83" s="638"/>
      <c r="Q83" s="639"/>
      <c r="R83" s="640"/>
      <c r="S83" s="641"/>
    </row>
    <row r="84" spans="2:19" ht="30.95" hidden="1" customHeight="1" x14ac:dyDescent="0.25">
      <c r="B84" s="60">
        <f>B82</f>
        <v>12</v>
      </c>
      <c r="C84" s="102">
        <v>80</v>
      </c>
      <c r="D84" s="616" t="str">
        <f t="shared" si="1"/>
        <v>IV</v>
      </c>
      <c r="E84" s="632"/>
      <c r="F84" s="633"/>
      <c r="G84" s="633"/>
      <c r="H84" s="634"/>
      <c r="I84" s="634"/>
      <c r="J84" s="632"/>
      <c r="K84" s="635"/>
      <c r="L84" s="634"/>
      <c r="M84" s="634"/>
      <c r="N84" s="636"/>
      <c r="O84" s="637"/>
      <c r="P84" s="638"/>
      <c r="Q84" s="639"/>
      <c r="R84" s="640"/>
      <c r="S84" s="641"/>
    </row>
    <row r="85" spans="2:19" ht="30.95" hidden="1" customHeight="1" x14ac:dyDescent="0.25">
      <c r="B85" s="60">
        <f>B82</f>
        <v>12</v>
      </c>
      <c r="C85" s="102">
        <v>81</v>
      </c>
      <c r="D85" s="616" t="str">
        <f t="shared" si="1"/>
        <v>IV</v>
      </c>
      <c r="E85" s="632"/>
      <c r="F85" s="633"/>
      <c r="G85" s="633"/>
      <c r="H85" s="634"/>
      <c r="I85" s="634"/>
      <c r="J85" s="632"/>
      <c r="K85" s="635"/>
      <c r="L85" s="634"/>
      <c r="M85" s="634"/>
      <c r="N85" s="636"/>
      <c r="O85" s="637"/>
      <c r="P85" s="638"/>
      <c r="Q85" s="639"/>
      <c r="R85" s="640"/>
      <c r="S85" s="641"/>
    </row>
    <row r="86" spans="2:19" ht="30.95" hidden="1" customHeight="1" x14ac:dyDescent="0.25">
      <c r="B86" s="60">
        <f>B82</f>
        <v>12</v>
      </c>
      <c r="C86" s="102">
        <v>82</v>
      </c>
      <c r="D86" s="616" t="str">
        <f t="shared" si="1"/>
        <v>IV</v>
      </c>
      <c r="E86" s="632"/>
      <c r="F86" s="633"/>
      <c r="G86" s="633"/>
      <c r="H86" s="634"/>
      <c r="I86" s="634"/>
      <c r="J86" s="632"/>
      <c r="K86" s="635"/>
      <c r="L86" s="634"/>
      <c r="M86" s="634"/>
      <c r="N86" s="636"/>
      <c r="O86" s="637"/>
      <c r="P86" s="638"/>
      <c r="Q86" s="639"/>
      <c r="R86" s="640"/>
      <c r="S86" s="641"/>
    </row>
    <row r="87" spans="2:19" ht="30.95" hidden="1" customHeight="1" x14ac:dyDescent="0.25">
      <c r="B87" s="60">
        <f>B82</f>
        <v>12</v>
      </c>
      <c r="C87" s="102">
        <v>83</v>
      </c>
      <c r="D87" s="616" t="str">
        <f t="shared" si="1"/>
        <v>IV</v>
      </c>
      <c r="E87" s="632"/>
      <c r="F87" s="633"/>
      <c r="G87" s="633"/>
      <c r="H87" s="634"/>
      <c r="I87" s="634"/>
      <c r="J87" s="632"/>
      <c r="K87" s="635"/>
      <c r="L87" s="634"/>
      <c r="M87" s="634"/>
      <c r="N87" s="636"/>
      <c r="O87" s="637"/>
      <c r="P87" s="638"/>
      <c r="Q87" s="639"/>
      <c r="R87" s="640"/>
      <c r="S87" s="641"/>
    </row>
    <row r="88" spans="2:19" ht="30.95" customHeight="1" thickBot="1" x14ac:dyDescent="0.3">
      <c r="B88" s="141">
        <f>B82</f>
        <v>12</v>
      </c>
      <c r="C88" s="142">
        <v>84</v>
      </c>
      <c r="D88" s="618" t="str">
        <f t="shared" si="1"/>
        <v>IV</v>
      </c>
      <c r="E88" s="652"/>
      <c r="F88" s="653"/>
      <c r="G88" s="653"/>
      <c r="H88" s="654"/>
      <c r="I88" s="654"/>
      <c r="J88" s="619" t="s">
        <v>181</v>
      </c>
      <c r="K88" s="620"/>
      <c r="L88" s="621"/>
      <c r="M88" s="654"/>
      <c r="N88" s="655">
        <v>10</v>
      </c>
      <c r="O88" s="656">
        <v>10</v>
      </c>
      <c r="P88" s="657"/>
      <c r="Q88" s="658">
        <v>10</v>
      </c>
      <c r="R88" s="659" t="s">
        <v>4</v>
      </c>
      <c r="S88" s="660">
        <v>43620</v>
      </c>
    </row>
    <row r="89" spans="2:19" ht="30.95" customHeight="1" thickTop="1" x14ac:dyDescent="0.25">
      <c r="B89" s="129">
        <f>B87+1</f>
        <v>13</v>
      </c>
      <c r="C89" s="130">
        <v>85</v>
      </c>
      <c r="D89" s="196" t="str">
        <f t="shared" si="1"/>
        <v>IV</v>
      </c>
      <c r="E89" s="152">
        <v>10</v>
      </c>
      <c r="F89" s="153">
        <v>43664</v>
      </c>
      <c r="G89" s="153">
        <v>43673</v>
      </c>
      <c r="H89" s="154" t="s">
        <v>255</v>
      </c>
      <c r="I89" s="154">
        <v>2</v>
      </c>
      <c r="J89" s="152" t="s">
        <v>167</v>
      </c>
      <c r="K89" s="155" t="s">
        <v>16</v>
      </c>
      <c r="L89" s="154">
        <v>1</v>
      </c>
      <c r="M89" s="154">
        <v>7</v>
      </c>
      <c r="N89" s="156">
        <v>53</v>
      </c>
      <c r="O89" s="157">
        <v>53</v>
      </c>
      <c r="P89" s="158"/>
      <c r="Q89" s="159">
        <v>53</v>
      </c>
      <c r="R89" s="160" t="s">
        <v>4</v>
      </c>
      <c r="S89" s="161">
        <v>43626</v>
      </c>
    </row>
    <row r="90" spans="2:19" ht="30.95" customHeight="1" x14ac:dyDescent="0.25">
      <c r="B90" s="60">
        <f>B89</f>
        <v>13</v>
      </c>
      <c r="C90" s="102">
        <v>86</v>
      </c>
      <c r="D90" s="616" t="str">
        <f t="shared" si="1"/>
        <v>IV</v>
      </c>
      <c r="E90" s="162">
        <v>10</v>
      </c>
      <c r="F90" s="163">
        <v>43664</v>
      </c>
      <c r="G90" s="163">
        <v>43673</v>
      </c>
      <c r="H90" s="164" t="s">
        <v>256</v>
      </c>
      <c r="I90" s="164">
        <v>2</v>
      </c>
      <c r="J90" s="162" t="s">
        <v>167</v>
      </c>
      <c r="K90" s="165" t="s">
        <v>16</v>
      </c>
      <c r="L90" s="164">
        <v>1</v>
      </c>
      <c r="M90" s="164">
        <v>7</v>
      </c>
      <c r="N90" s="166">
        <v>53</v>
      </c>
      <c r="O90" s="167">
        <v>53</v>
      </c>
      <c r="P90" s="168"/>
      <c r="Q90" s="169">
        <v>53</v>
      </c>
      <c r="R90" s="170" t="s">
        <v>4</v>
      </c>
      <c r="S90" s="171">
        <v>43626</v>
      </c>
    </row>
    <row r="91" spans="2:19" ht="30.95" hidden="1" customHeight="1" x14ac:dyDescent="0.25">
      <c r="B91" s="60">
        <f>B89</f>
        <v>13</v>
      </c>
      <c r="C91" s="102">
        <v>87</v>
      </c>
      <c r="D91" s="616" t="str">
        <f t="shared" si="1"/>
        <v>IV</v>
      </c>
      <c r="E91" s="162"/>
      <c r="F91" s="163"/>
      <c r="G91" s="163"/>
      <c r="H91" s="164"/>
      <c r="I91" s="164"/>
      <c r="J91" s="162"/>
      <c r="K91" s="165"/>
      <c r="L91" s="164"/>
      <c r="M91" s="164"/>
      <c r="N91" s="166"/>
      <c r="O91" s="167"/>
      <c r="P91" s="168"/>
      <c r="Q91" s="169"/>
      <c r="R91" s="170"/>
      <c r="S91" s="171"/>
    </row>
    <row r="92" spans="2:19" ht="30.95" hidden="1" customHeight="1" x14ac:dyDescent="0.25">
      <c r="B92" s="60">
        <f>B89</f>
        <v>13</v>
      </c>
      <c r="C92" s="102">
        <v>88</v>
      </c>
      <c r="D92" s="616" t="str">
        <f t="shared" si="1"/>
        <v>IV</v>
      </c>
      <c r="E92" s="162"/>
      <c r="F92" s="163"/>
      <c r="G92" s="163"/>
      <c r="H92" s="164"/>
      <c r="I92" s="164"/>
      <c r="J92" s="162"/>
      <c r="K92" s="165"/>
      <c r="L92" s="164"/>
      <c r="M92" s="164"/>
      <c r="N92" s="166"/>
      <c r="O92" s="167"/>
      <c r="P92" s="168"/>
      <c r="Q92" s="169"/>
      <c r="R92" s="170"/>
      <c r="S92" s="171"/>
    </row>
    <row r="93" spans="2:19" ht="30.95" hidden="1" customHeight="1" x14ac:dyDescent="0.25">
      <c r="B93" s="60">
        <f>B89</f>
        <v>13</v>
      </c>
      <c r="C93" s="102">
        <v>89</v>
      </c>
      <c r="D93" s="616" t="str">
        <f t="shared" si="1"/>
        <v>IV</v>
      </c>
      <c r="E93" s="162"/>
      <c r="F93" s="163"/>
      <c r="G93" s="163"/>
      <c r="H93" s="164"/>
      <c r="I93" s="164"/>
      <c r="J93" s="162"/>
      <c r="K93" s="165"/>
      <c r="L93" s="164"/>
      <c r="M93" s="164"/>
      <c r="N93" s="166"/>
      <c r="O93" s="167"/>
      <c r="P93" s="168"/>
      <c r="Q93" s="169"/>
      <c r="R93" s="170"/>
      <c r="S93" s="171"/>
    </row>
    <row r="94" spans="2:19" ht="30.95" hidden="1" customHeight="1" x14ac:dyDescent="0.25">
      <c r="B94" s="60">
        <f>B89</f>
        <v>13</v>
      </c>
      <c r="C94" s="102">
        <v>90</v>
      </c>
      <c r="D94" s="616" t="str">
        <f t="shared" si="1"/>
        <v>IV</v>
      </c>
      <c r="E94" s="172"/>
      <c r="F94" s="173"/>
      <c r="G94" s="173"/>
      <c r="H94" s="174"/>
      <c r="I94" s="174"/>
      <c r="J94" s="172"/>
      <c r="K94" s="175"/>
      <c r="L94" s="174"/>
      <c r="M94" s="174"/>
      <c r="N94" s="176"/>
      <c r="O94" s="177"/>
      <c r="P94" s="178"/>
      <c r="Q94" s="179"/>
      <c r="R94" s="180"/>
      <c r="S94" s="181"/>
    </row>
    <row r="95" spans="2:19" ht="30.95" customHeight="1" thickBot="1" x14ac:dyDescent="0.3">
      <c r="B95" s="141">
        <f>B89</f>
        <v>13</v>
      </c>
      <c r="C95" s="142">
        <v>91</v>
      </c>
      <c r="D95" s="618" t="str">
        <f t="shared" si="1"/>
        <v>IV</v>
      </c>
      <c r="E95" s="189"/>
      <c r="F95" s="190"/>
      <c r="G95" s="190"/>
      <c r="H95" s="182"/>
      <c r="I95" s="182"/>
      <c r="J95" s="619" t="s">
        <v>181</v>
      </c>
      <c r="K95" s="620"/>
      <c r="L95" s="621"/>
      <c r="M95" s="182"/>
      <c r="N95" s="183">
        <v>10</v>
      </c>
      <c r="O95" s="184">
        <v>10</v>
      </c>
      <c r="P95" s="185"/>
      <c r="Q95" s="186">
        <v>10</v>
      </c>
      <c r="R95" s="187" t="s">
        <v>4</v>
      </c>
      <c r="S95" s="188">
        <v>43626</v>
      </c>
    </row>
    <row r="96" spans="2:19" ht="30.95" hidden="1" customHeight="1" thickTop="1" x14ac:dyDescent="0.3">
      <c r="B96" s="129">
        <f>B94+1</f>
        <v>14</v>
      </c>
      <c r="C96" s="130">
        <v>92</v>
      </c>
      <c r="D96" s="196" t="str">
        <f t="shared" si="1"/>
        <v>IV</v>
      </c>
      <c r="E96" s="661"/>
      <c r="F96" s="662"/>
      <c r="G96" s="662"/>
      <c r="H96" s="663"/>
      <c r="I96" s="663"/>
      <c r="J96" s="661"/>
      <c r="K96" s="664"/>
      <c r="L96" s="663"/>
      <c r="M96" s="663"/>
      <c r="N96" s="665"/>
      <c r="O96" s="666"/>
      <c r="P96" s="667"/>
      <c r="Q96" s="668"/>
      <c r="R96" s="669"/>
      <c r="S96" s="670"/>
    </row>
    <row r="97" spans="2:19" ht="30.95" hidden="1" customHeight="1" x14ac:dyDescent="0.3">
      <c r="B97" s="60">
        <f>B96</f>
        <v>14</v>
      </c>
      <c r="C97" s="102">
        <v>93</v>
      </c>
      <c r="D97" s="616" t="str">
        <f t="shared" si="1"/>
        <v>IV</v>
      </c>
      <c r="E97" s="632"/>
      <c r="F97" s="633"/>
      <c r="G97" s="633"/>
      <c r="H97" s="634"/>
      <c r="I97" s="634"/>
      <c r="J97" s="632"/>
      <c r="K97" s="635"/>
      <c r="L97" s="634"/>
      <c r="M97" s="634"/>
      <c r="N97" s="636"/>
      <c r="O97" s="637"/>
      <c r="P97" s="638"/>
      <c r="Q97" s="639"/>
      <c r="R97" s="640"/>
      <c r="S97" s="641"/>
    </row>
    <row r="98" spans="2:19" ht="30.95" hidden="1" customHeight="1" x14ac:dyDescent="0.3">
      <c r="B98" s="60">
        <f>B96</f>
        <v>14</v>
      </c>
      <c r="C98" s="102">
        <v>94</v>
      </c>
      <c r="D98" s="616" t="str">
        <f t="shared" si="1"/>
        <v>IV</v>
      </c>
      <c r="E98" s="632"/>
      <c r="F98" s="633"/>
      <c r="G98" s="633"/>
      <c r="H98" s="634"/>
      <c r="I98" s="634"/>
      <c r="J98" s="632"/>
      <c r="K98" s="635"/>
      <c r="L98" s="634"/>
      <c r="M98" s="634"/>
      <c r="N98" s="636"/>
      <c r="O98" s="637"/>
      <c r="P98" s="638"/>
      <c r="Q98" s="639"/>
      <c r="R98" s="640"/>
      <c r="S98" s="641"/>
    </row>
    <row r="99" spans="2:19" ht="30.95" hidden="1" customHeight="1" x14ac:dyDescent="0.3">
      <c r="B99" s="60">
        <f>B96</f>
        <v>14</v>
      </c>
      <c r="C99" s="102">
        <v>95</v>
      </c>
      <c r="D99" s="616" t="str">
        <f t="shared" si="1"/>
        <v>IV</v>
      </c>
      <c r="E99" s="632"/>
      <c r="F99" s="633"/>
      <c r="G99" s="633"/>
      <c r="H99" s="634"/>
      <c r="I99" s="634"/>
      <c r="J99" s="632"/>
      <c r="K99" s="635"/>
      <c r="L99" s="634"/>
      <c r="M99" s="634"/>
      <c r="N99" s="636"/>
      <c r="O99" s="637"/>
      <c r="P99" s="638"/>
      <c r="Q99" s="639"/>
      <c r="R99" s="640"/>
      <c r="S99" s="641"/>
    </row>
    <row r="100" spans="2:19" ht="30.95" hidden="1" customHeight="1" x14ac:dyDescent="0.3">
      <c r="B100" s="60">
        <f>B96</f>
        <v>14</v>
      </c>
      <c r="C100" s="102">
        <v>96</v>
      </c>
      <c r="D100" s="616" t="str">
        <f t="shared" si="1"/>
        <v>IV</v>
      </c>
      <c r="E100" s="632"/>
      <c r="F100" s="633"/>
      <c r="G100" s="633"/>
      <c r="H100" s="634"/>
      <c r="I100" s="634"/>
      <c r="J100" s="632"/>
      <c r="K100" s="635"/>
      <c r="L100" s="634"/>
      <c r="M100" s="634"/>
      <c r="N100" s="636"/>
      <c r="O100" s="637"/>
      <c r="P100" s="638"/>
      <c r="Q100" s="639"/>
      <c r="R100" s="640"/>
      <c r="S100" s="641"/>
    </row>
    <row r="101" spans="2:19" ht="30.95" hidden="1" customHeight="1" x14ac:dyDescent="0.3">
      <c r="B101" s="60">
        <f>B96</f>
        <v>14</v>
      </c>
      <c r="C101" s="102">
        <v>97</v>
      </c>
      <c r="D101" s="616" t="str">
        <f t="shared" si="1"/>
        <v>IV</v>
      </c>
      <c r="E101" s="632"/>
      <c r="F101" s="633"/>
      <c r="G101" s="633"/>
      <c r="H101" s="634"/>
      <c r="I101" s="634"/>
      <c r="J101" s="632"/>
      <c r="K101" s="635"/>
      <c r="L101" s="634"/>
      <c r="M101" s="634"/>
      <c r="N101" s="636"/>
      <c r="O101" s="637"/>
      <c r="P101" s="638"/>
      <c r="Q101" s="639"/>
      <c r="R101" s="640"/>
      <c r="S101" s="641"/>
    </row>
    <row r="102" spans="2:19" ht="30.95" hidden="1" customHeight="1" thickBot="1" x14ac:dyDescent="0.3">
      <c r="B102" s="141">
        <f>B96</f>
        <v>14</v>
      </c>
      <c r="C102" s="142">
        <v>98</v>
      </c>
      <c r="D102" s="618" t="str">
        <f t="shared" si="1"/>
        <v>IV</v>
      </c>
      <c r="E102" s="652"/>
      <c r="F102" s="653"/>
      <c r="G102" s="653"/>
      <c r="H102" s="654"/>
      <c r="I102" s="654"/>
      <c r="J102" s="619" t="s">
        <v>181</v>
      </c>
      <c r="K102" s="620"/>
      <c r="L102" s="621"/>
      <c r="M102" s="654"/>
      <c r="N102" s="655"/>
      <c r="O102" s="656"/>
      <c r="P102" s="657"/>
      <c r="Q102" s="658"/>
      <c r="R102" s="659"/>
      <c r="S102" s="660"/>
    </row>
    <row r="103" spans="2:19" ht="30.95" hidden="1" customHeight="1" thickTop="1" x14ac:dyDescent="0.3">
      <c r="B103" s="129">
        <f>B101+1</f>
        <v>15</v>
      </c>
      <c r="C103" s="130">
        <v>99</v>
      </c>
      <c r="D103" s="196" t="str">
        <f t="shared" si="1"/>
        <v>IV</v>
      </c>
      <c r="E103" s="152"/>
      <c r="F103" s="153"/>
      <c r="G103" s="153"/>
      <c r="H103" s="154"/>
      <c r="I103" s="154"/>
      <c r="J103" s="152"/>
      <c r="K103" s="155"/>
      <c r="L103" s="154"/>
      <c r="M103" s="154"/>
      <c r="N103" s="156"/>
      <c r="O103" s="157"/>
      <c r="P103" s="158"/>
      <c r="Q103" s="159"/>
      <c r="R103" s="160"/>
      <c r="S103" s="161"/>
    </row>
    <row r="104" spans="2:19" ht="30.95" hidden="1" customHeight="1" x14ac:dyDescent="0.3">
      <c r="B104" s="60">
        <f>B103</f>
        <v>15</v>
      </c>
      <c r="C104" s="102">
        <v>100</v>
      </c>
      <c r="D104" s="616" t="str">
        <f t="shared" si="1"/>
        <v>IV</v>
      </c>
      <c r="E104" s="162"/>
      <c r="F104" s="163"/>
      <c r="G104" s="163"/>
      <c r="H104" s="164"/>
      <c r="I104" s="164"/>
      <c r="J104" s="162"/>
      <c r="K104" s="165"/>
      <c r="L104" s="164"/>
      <c r="M104" s="164"/>
      <c r="N104" s="166"/>
      <c r="O104" s="167"/>
      <c r="P104" s="168"/>
      <c r="Q104" s="169"/>
      <c r="R104" s="170"/>
      <c r="S104" s="171"/>
    </row>
    <row r="105" spans="2:19" ht="30.95" hidden="1" customHeight="1" x14ac:dyDescent="0.3">
      <c r="B105" s="60">
        <f>B103</f>
        <v>15</v>
      </c>
      <c r="C105" s="102">
        <v>101</v>
      </c>
      <c r="D105" s="616" t="str">
        <f t="shared" si="1"/>
        <v>IV</v>
      </c>
      <c r="E105" s="162"/>
      <c r="F105" s="163"/>
      <c r="G105" s="163"/>
      <c r="H105" s="164"/>
      <c r="I105" s="164"/>
      <c r="J105" s="162"/>
      <c r="K105" s="165"/>
      <c r="L105" s="164"/>
      <c r="M105" s="164"/>
      <c r="N105" s="166"/>
      <c r="O105" s="167"/>
      <c r="P105" s="168"/>
      <c r="Q105" s="169"/>
      <c r="R105" s="170"/>
      <c r="S105" s="171"/>
    </row>
    <row r="106" spans="2:19" ht="30.95" hidden="1" customHeight="1" x14ac:dyDescent="0.3">
      <c r="B106" s="60">
        <f>B103</f>
        <v>15</v>
      </c>
      <c r="C106" s="102">
        <v>102</v>
      </c>
      <c r="D106" s="616" t="str">
        <f t="shared" si="1"/>
        <v>IV</v>
      </c>
      <c r="E106" s="162"/>
      <c r="F106" s="163"/>
      <c r="G106" s="163"/>
      <c r="H106" s="164"/>
      <c r="I106" s="164"/>
      <c r="J106" s="162"/>
      <c r="K106" s="165"/>
      <c r="L106" s="164"/>
      <c r="M106" s="164"/>
      <c r="N106" s="166"/>
      <c r="O106" s="167"/>
      <c r="P106" s="168"/>
      <c r="Q106" s="169"/>
      <c r="R106" s="170"/>
      <c r="S106" s="171"/>
    </row>
    <row r="107" spans="2:19" ht="30.95" hidden="1" customHeight="1" x14ac:dyDescent="0.3">
      <c r="B107" s="60">
        <f>B103</f>
        <v>15</v>
      </c>
      <c r="C107" s="102">
        <v>103</v>
      </c>
      <c r="D107" s="616" t="str">
        <f t="shared" si="1"/>
        <v>IV</v>
      </c>
      <c r="E107" s="162"/>
      <c r="F107" s="163"/>
      <c r="G107" s="163"/>
      <c r="H107" s="164"/>
      <c r="I107" s="164"/>
      <c r="J107" s="162"/>
      <c r="K107" s="165"/>
      <c r="L107" s="164"/>
      <c r="M107" s="164"/>
      <c r="N107" s="166"/>
      <c r="O107" s="167"/>
      <c r="P107" s="168"/>
      <c r="Q107" s="169"/>
      <c r="R107" s="170"/>
      <c r="S107" s="171"/>
    </row>
    <row r="108" spans="2:19" ht="30.95" hidden="1" customHeight="1" x14ac:dyDescent="0.3">
      <c r="B108" s="60">
        <f>B103</f>
        <v>15</v>
      </c>
      <c r="C108" s="102">
        <v>104</v>
      </c>
      <c r="D108" s="616" t="str">
        <f t="shared" si="1"/>
        <v>IV</v>
      </c>
      <c r="E108" s="172"/>
      <c r="F108" s="173"/>
      <c r="G108" s="173"/>
      <c r="H108" s="174"/>
      <c r="I108" s="174"/>
      <c r="J108" s="172"/>
      <c r="K108" s="175"/>
      <c r="L108" s="174"/>
      <c r="M108" s="174"/>
      <c r="N108" s="176"/>
      <c r="O108" s="177"/>
      <c r="P108" s="178"/>
      <c r="Q108" s="179"/>
      <c r="R108" s="180"/>
      <c r="S108" s="181"/>
    </row>
    <row r="109" spans="2:19" ht="30.95" hidden="1" customHeight="1" thickBot="1" x14ac:dyDescent="0.3">
      <c r="B109" s="141">
        <f>B103</f>
        <v>15</v>
      </c>
      <c r="C109" s="142">
        <v>105</v>
      </c>
      <c r="D109" s="618" t="str">
        <f t="shared" si="1"/>
        <v>IV</v>
      </c>
      <c r="E109" s="189"/>
      <c r="F109" s="190"/>
      <c r="G109" s="190"/>
      <c r="H109" s="182"/>
      <c r="I109" s="182"/>
      <c r="J109" s="619" t="s">
        <v>181</v>
      </c>
      <c r="K109" s="620"/>
      <c r="L109" s="621"/>
      <c r="M109" s="182"/>
      <c r="N109" s="183"/>
      <c r="O109" s="184"/>
      <c r="P109" s="185"/>
      <c r="Q109" s="186"/>
      <c r="R109" s="187"/>
      <c r="S109" s="188"/>
    </row>
    <row r="110" spans="2:19" ht="30.95" hidden="1" customHeight="1" thickTop="1" x14ac:dyDescent="0.3">
      <c r="B110" s="129">
        <f>B108+1</f>
        <v>16</v>
      </c>
      <c r="C110" s="130">
        <v>106</v>
      </c>
      <c r="D110" s="196" t="str">
        <f t="shared" si="1"/>
        <v>IV</v>
      </c>
      <c r="E110" s="661"/>
      <c r="F110" s="662"/>
      <c r="G110" s="662"/>
      <c r="H110" s="663"/>
      <c r="I110" s="663"/>
      <c r="J110" s="661"/>
      <c r="K110" s="664"/>
      <c r="L110" s="663"/>
      <c r="M110" s="663"/>
      <c r="N110" s="665"/>
      <c r="O110" s="666"/>
      <c r="P110" s="667"/>
      <c r="Q110" s="668"/>
      <c r="R110" s="669"/>
      <c r="S110" s="670"/>
    </row>
    <row r="111" spans="2:19" ht="30.95" hidden="1" customHeight="1" x14ac:dyDescent="0.3">
      <c r="B111" s="60">
        <f>B110</f>
        <v>16</v>
      </c>
      <c r="C111" s="102">
        <v>107</v>
      </c>
      <c r="D111" s="616" t="str">
        <f t="shared" si="1"/>
        <v>IV</v>
      </c>
      <c r="E111" s="632"/>
      <c r="F111" s="633"/>
      <c r="G111" s="633"/>
      <c r="H111" s="634"/>
      <c r="I111" s="634"/>
      <c r="J111" s="632"/>
      <c r="K111" s="635"/>
      <c r="L111" s="634"/>
      <c r="M111" s="634"/>
      <c r="N111" s="636"/>
      <c r="O111" s="637"/>
      <c r="P111" s="638"/>
      <c r="Q111" s="639"/>
      <c r="R111" s="640"/>
      <c r="S111" s="641"/>
    </row>
    <row r="112" spans="2:19" ht="30.95" hidden="1" customHeight="1" x14ac:dyDescent="0.3">
      <c r="B112" s="60">
        <f>B110</f>
        <v>16</v>
      </c>
      <c r="C112" s="102">
        <v>108</v>
      </c>
      <c r="D112" s="616" t="str">
        <f t="shared" si="1"/>
        <v>IV</v>
      </c>
      <c r="E112" s="632"/>
      <c r="F112" s="633"/>
      <c r="G112" s="633"/>
      <c r="H112" s="634"/>
      <c r="I112" s="634"/>
      <c r="J112" s="632"/>
      <c r="K112" s="635"/>
      <c r="L112" s="634"/>
      <c r="M112" s="634"/>
      <c r="N112" s="636"/>
      <c r="O112" s="637"/>
      <c r="P112" s="638"/>
      <c r="Q112" s="639"/>
      <c r="R112" s="640"/>
      <c r="S112" s="641"/>
    </row>
    <row r="113" spans="2:19" ht="30.95" hidden="1" customHeight="1" x14ac:dyDescent="0.3">
      <c r="B113" s="60">
        <f>B110</f>
        <v>16</v>
      </c>
      <c r="C113" s="102">
        <v>109</v>
      </c>
      <c r="D113" s="616" t="str">
        <f t="shared" si="1"/>
        <v>IV</v>
      </c>
      <c r="E113" s="632"/>
      <c r="F113" s="633"/>
      <c r="G113" s="633"/>
      <c r="H113" s="634"/>
      <c r="I113" s="634"/>
      <c r="J113" s="632"/>
      <c r="K113" s="635"/>
      <c r="L113" s="634"/>
      <c r="M113" s="634"/>
      <c r="N113" s="636"/>
      <c r="O113" s="637"/>
      <c r="P113" s="638"/>
      <c r="Q113" s="639"/>
      <c r="R113" s="640"/>
      <c r="S113" s="641"/>
    </row>
    <row r="114" spans="2:19" ht="30.95" hidden="1" customHeight="1" x14ac:dyDescent="0.3">
      <c r="B114" s="60">
        <f>B110</f>
        <v>16</v>
      </c>
      <c r="C114" s="102">
        <v>110</v>
      </c>
      <c r="D114" s="616" t="str">
        <f t="shared" si="1"/>
        <v>IV</v>
      </c>
      <c r="E114" s="632"/>
      <c r="F114" s="633"/>
      <c r="G114" s="633"/>
      <c r="H114" s="634"/>
      <c r="I114" s="634"/>
      <c r="J114" s="632"/>
      <c r="K114" s="635"/>
      <c r="L114" s="634"/>
      <c r="M114" s="634"/>
      <c r="N114" s="636"/>
      <c r="O114" s="637"/>
      <c r="P114" s="638"/>
      <c r="Q114" s="639"/>
      <c r="R114" s="640"/>
      <c r="S114" s="641"/>
    </row>
    <row r="115" spans="2:19" ht="30.95" hidden="1" customHeight="1" x14ac:dyDescent="0.3">
      <c r="B115" s="60">
        <f>B110</f>
        <v>16</v>
      </c>
      <c r="C115" s="102">
        <v>111</v>
      </c>
      <c r="D115" s="616" t="str">
        <f t="shared" si="1"/>
        <v>IV</v>
      </c>
      <c r="E115" s="632"/>
      <c r="F115" s="633"/>
      <c r="G115" s="633"/>
      <c r="H115" s="634"/>
      <c r="I115" s="634"/>
      <c r="J115" s="632"/>
      <c r="K115" s="635"/>
      <c r="L115" s="634"/>
      <c r="M115" s="634"/>
      <c r="N115" s="636"/>
      <c r="O115" s="637"/>
      <c r="P115" s="638"/>
      <c r="Q115" s="639"/>
      <c r="R115" s="640"/>
      <c r="S115" s="641"/>
    </row>
    <row r="116" spans="2:19" ht="30.95" hidden="1" customHeight="1" thickBot="1" x14ac:dyDescent="0.3">
      <c r="B116" s="141">
        <f>B110</f>
        <v>16</v>
      </c>
      <c r="C116" s="142">
        <v>112</v>
      </c>
      <c r="D116" s="618" t="str">
        <f t="shared" si="1"/>
        <v>IV</v>
      </c>
      <c r="E116" s="652"/>
      <c r="F116" s="653"/>
      <c r="G116" s="653"/>
      <c r="H116" s="654"/>
      <c r="I116" s="654"/>
      <c r="J116" s="619" t="s">
        <v>181</v>
      </c>
      <c r="K116" s="620"/>
      <c r="L116" s="621"/>
      <c r="M116" s="654"/>
      <c r="N116" s="655"/>
      <c r="O116" s="656"/>
      <c r="P116" s="657"/>
      <c r="Q116" s="658"/>
      <c r="R116" s="659"/>
      <c r="S116" s="660"/>
    </row>
    <row r="117" spans="2:19" ht="30.95" hidden="1" customHeight="1" thickTop="1" x14ac:dyDescent="0.3">
      <c r="B117" s="129">
        <f>B115+1</f>
        <v>17</v>
      </c>
      <c r="C117" s="130">
        <v>113</v>
      </c>
      <c r="D117" s="196" t="str">
        <f t="shared" si="1"/>
        <v>IV</v>
      </c>
      <c r="E117" s="152"/>
      <c r="F117" s="153"/>
      <c r="G117" s="153"/>
      <c r="H117" s="154"/>
      <c r="I117" s="154"/>
      <c r="J117" s="152"/>
      <c r="K117" s="155"/>
      <c r="L117" s="154"/>
      <c r="M117" s="154"/>
      <c r="N117" s="156"/>
      <c r="O117" s="157"/>
      <c r="P117" s="158"/>
      <c r="Q117" s="159"/>
      <c r="R117" s="160"/>
      <c r="S117" s="161"/>
    </row>
    <row r="118" spans="2:19" ht="30.95" hidden="1" customHeight="1" x14ac:dyDescent="0.3">
      <c r="B118" s="60">
        <f>B117</f>
        <v>17</v>
      </c>
      <c r="C118" s="102">
        <v>114</v>
      </c>
      <c r="D118" s="616" t="str">
        <f t="shared" si="1"/>
        <v>IV</v>
      </c>
      <c r="E118" s="162"/>
      <c r="F118" s="163"/>
      <c r="G118" s="163"/>
      <c r="H118" s="164"/>
      <c r="I118" s="164"/>
      <c r="J118" s="162"/>
      <c r="K118" s="165"/>
      <c r="L118" s="164"/>
      <c r="M118" s="164"/>
      <c r="N118" s="166"/>
      <c r="O118" s="167"/>
      <c r="P118" s="168"/>
      <c r="Q118" s="169"/>
      <c r="R118" s="170"/>
      <c r="S118" s="171"/>
    </row>
    <row r="119" spans="2:19" ht="30.95" hidden="1" customHeight="1" x14ac:dyDescent="0.3">
      <c r="B119" s="60">
        <f>B117</f>
        <v>17</v>
      </c>
      <c r="C119" s="102">
        <v>115</v>
      </c>
      <c r="D119" s="616" t="str">
        <f t="shared" si="1"/>
        <v>IV</v>
      </c>
      <c r="E119" s="162"/>
      <c r="F119" s="163"/>
      <c r="G119" s="163"/>
      <c r="H119" s="164"/>
      <c r="I119" s="164"/>
      <c r="J119" s="162"/>
      <c r="K119" s="165"/>
      <c r="L119" s="164"/>
      <c r="M119" s="164"/>
      <c r="N119" s="166"/>
      <c r="O119" s="167"/>
      <c r="P119" s="168"/>
      <c r="Q119" s="169"/>
      <c r="R119" s="170"/>
      <c r="S119" s="171"/>
    </row>
    <row r="120" spans="2:19" ht="30.95" hidden="1" customHeight="1" x14ac:dyDescent="0.3">
      <c r="B120" s="60">
        <f>B117</f>
        <v>17</v>
      </c>
      <c r="C120" s="102">
        <v>116</v>
      </c>
      <c r="D120" s="616" t="str">
        <f t="shared" si="1"/>
        <v>IV</v>
      </c>
      <c r="E120" s="162"/>
      <c r="F120" s="163"/>
      <c r="G120" s="163"/>
      <c r="H120" s="164"/>
      <c r="I120" s="164"/>
      <c r="J120" s="162"/>
      <c r="K120" s="165"/>
      <c r="L120" s="164"/>
      <c r="M120" s="164"/>
      <c r="N120" s="166"/>
      <c r="O120" s="167"/>
      <c r="P120" s="168"/>
      <c r="Q120" s="169"/>
      <c r="R120" s="170"/>
      <c r="S120" s="171"/>
    </row>
    <row r="121" spans="2:19" ht="30.95" hidden="1" customHeight="1" x14ac:dyDescent="0.3">
      <c r="B121" s="60">
        <f>B117</f>
        <v>17</v>
      </c>
      <c r="C121" s="102">
        <v>117</v>
      </c>
      <c r="D121" s="616" t="str">
        <f t="shared" si="1"/>
        <v>IV</v>
      </c>
      <c r="E121" s="162"/>
      <c r="F121" s="163"/>
      <c r="G121" s="163"/>
      <c r="H121" s="164"/>
      <c r="I121" s="164"/>
      <c r="J121" s="162"/>
      <c r="K121" s="165"/>
      <c r="L121" s="164"/>
      <c r="M121" s="164"/>
      <c r="N121" s="166"/>
      <c r="O121" s="167"/>
      <c r="P121" s="168"/>
      <c r="Q121" s="169"/>
      <c r="R121" s="170"/>
      <c r="S121" s="171"/>
    </row>
    <row r="122" spans="2:19" ht="30.95" hidden="1" customHeight="1" x14ac:dyDescent="0.3">
      <c r="B122" s="60">
        <f>B117</f>
        <v>17</v>
      </c>
      <c r="C122" s="102">
        <v>118</v>
      </c>
      <c r="D122" s="616" t="str">
        <f t="shared" si="1"/>
        <v>IV</v>
      </c>
      <c r="E122" s="172"/>
      <c r="F122" s="173"/>
      <c r="G122" s="173"/>
      <c r="H122" s="174"/>
      <c r="I122" s="174"/>
      <c r="J122" s="172"/>
      <c r="K122" s="175"/>
      <c r="L122" s="174"/>
      <c r="M122" s="174"/>
      <c r="N122" s="176"/>
      <c r="O122" s="177"/>
      <c r="P122" s="178"/>
      <c r="Q122" s="179"/>
      <c r="R122" s="180"/>
      <c r="S122" s="181"/>
    </row>
    <row r="123" spans="2:19" ht="30.95" hidden="1" customHeight="1" thickBot="1" x14ac:dyDescent="0.3">
      <c r="B123" s="141">
        <f>B117</f>
        <v>17</v>
      </c>
      <c r="C123" s="142">
        <v>119</v>
      </c>
      <c r="D123" s="618" t="str">
        <f t="shared" si="1"/>
        <v>IV</v>
      </c>
      <c r="E123" s="189"/>
      <c r="F123" s="190"/>
      <c r="G123" s="190"/>
      <c r="H123" s="182"/>
      <c r="I123" s="182"/>
      <c r="J123" s="619" t="s">
        <v>181</v>
      </c>
      <c r="K123" s="620"/>
      <c r="L123" s="621"/>
      <c r="M123" s="182"/>
      <c r="N123" s="183"/>
      <c r="O123" s="184"/>
      <c r="P123" s="185"/>
      <c r="Q123" s="186"/>
      <c r="R123" s="187"/>
      <c r="S123" s="188"/>
    </row>
    <row r="124" spans="2:19" ht="30.95" hidden="1" customHeight="1" thickTop="1" x14ac:dyDescent="0.3">
      <c r="B124" s="129">
        <f>B122+1</f>
        <v>18</v>
      </c>
      <c r="C124" s="130">
        <v>120</v>
      </c>
      <c r="D124" s="196" t="str">
        <f t="shared" si="1"/>
        <v>IV</v>
      </c>
      <c r="E124" s="661"/>
      <c r="F124" s="662"/>
      <c r="G124" s="662"/>
      <c r="H124" s="663"/>
      <c r="I124" s="663"/>
      <c r="J124" s="661"/>
      <c r="K124" s="664"/>
      <c r="L124" s="663"/>
      <c r="M124" s="663"/>
      <c r="N124" s="665"/>
      <c r="O124" s="666"/>
      <c r="P124" s="667"/>
      <c r="Q124" s="668"/>
      <c r="R124" s="669"/>
      <c r="S124" s="670"/>
    </row>
    <row r="125" spans="2:19" ht="30.95" hidden="1" customHeight="1" x14ac:dyDescent="0.3">
      <c r="B125" s="60">
        <f>B124</f>
        <v>18</v>
      </c>
      <c r="C125" s="102">
        <v>121</v>
      </c>
      <c r="D125" s="616" t="str">
        <f t="shared" si="1"/>
        <v>IV</v>
      </c>
      <c r="E125" s="632"/>
      <c r="F125" s="633"/>
      <c r="G125" s="633"/>
      <c r="H125" s="634"/>
      <c r="I125" s="634"/>
      <c r="J125" s="632"/>
      <c r="K125" s="635"/>
      <c r="L125" s="634"/>
      <c r="M125" s="634"/>
      <c r="N125" s="636"/>
      <c r="O125" s="637"/>
      <c r="P125" s="638"/>
      <c r="Q125" s="639"/>
      <c r="R125" s="640"/>
      <c r="S125" s="641"/>
    </row>
    <row r="126" spans="2:19" ht="30.95" hidden="1" customHeight="1" x14ac:dyDescent="0.3">
      <c r="B126" s="60">
        <f>B124</f>
        <v>18</v>
      </c>
      <c r="C126" s="102">
        <v>122</v>
      </c>
      <c r="D126" s="616" t="str">
        <f t="shared" si="1"/>
        <v>IV</v>
      </c>
      <c r="E126" s="632"/>
      <c r="F126" s="633"/>
      <c r="G126" s="633"/>
      <c r="H126" s="634"/>
      <c r="I126" s="634"/>
      <c r="J126" s="632"/>
      <c r="K126" s="635"/>
      <c r="L126" s="634"/>
      <c r="M126" s="634"/>
      <c r="N126" s="636"/>
      <c r="O126" s="637"/>
      <c r="P126" s="638"/>
      <c r="Q126" s="639"/>
      <c r="R126" s="640"/>
      <c r="S126" s="641"/>
    </row>
    <row r="127" spans="2:19" ht="30.95" hidden="1" customHeight="1" x14ac:dyDescent="0.3">
      <c r="B127" s="60">
        <f>B124</f>
        <v>18</v>
      </c>
      <c r="C127" s="102">
        <v>123</v>
      </c>
      <c r="D127" s="616" t="str">
        <f t="shared" si="1"/>
        <v>IV</v>
      </c>
      <c r="E127" s="632"/>
      <c r="F127" s="633"/>
      <c r="G127" s="633"/>
      <c r="H127" s="634"/>
      <c r="I127" s="634"/>
      <c r="J127" s="632"/>
      <c r="K127" s="635"/>
      <c r="L127" s="634"/>
      <c r="M127" s="634"/>
      <c r="N127" s="636"/>
      <c r="O127" s="637"/>
      <c r="P127" s="638"/>
      <c r="Q127" s="639"/>
      <c r="R127" s="640"/>
      <c r="S127" s="641"/>
    </row>
    <row r="128" spans="2:19" ht="30.95" hidden="1" customHeight="1" x14ac:dyDescent="0.3">
      <c r="B128" s="60">
        <f>B124</f>
        <v>18</v>
      </c>
      <c r="C128" s="102">
        <v>124</v>
      </c>
      <c r="D128" s="616" t="str">
        <f t="shared" si="1"/>
        <v>IV</v>
      </c>
      <c r="E128" s="632"/>
      <c r="F128" s="633"/>
      <c r="G128" s="633"/>
      <c r="H128" s="634"/>
      <c r="I128" s="634"/>
      <c r="J128" s="632"/>
      <c r="K128" s="635"/>
      <c r="L128" s="634"/>
      <c r="M128" s="634"/>
      <c r="N128" s="636"/>
      <c r="O128" s="637"/>
      <c r="P128" s="638"/>
      <c r="Q128" s="639"/>
      <c r="R128" s="640"/>
      <c r="S128" s="641"/>
    </row>
    <row r="129" spans="2:19" ht="30.95" hidden="1" customHeight="1" x14ac:dyDescent="0.3">
      <c r="B129" s="60">
        <f>B124</f>
        <v>18</v>
      </c>
      <c r="C129" s="102">
        <v>125</v>
      </c>
      <c r="D129" s="616" t="str">
        <f t="shared" si="1"/>
        <v>IV</v>
      </c>
      <c r="E129" s="632"/>
      <c r="F129" s="633"/>
      <c r="G129" s="633"/>
      <c r="H129" s="634"/>
      <c r="I129" s="634"/>
      <c r="J129" s="632"/>
      <c r="K129" s="635"/>
      <c r="L129" s="634"/>
      <c r="M129" s="634"/>
      <c r="N129" s="636"/>
      <c r="O129" s="637"/>
      <c r="P129" s="638"/>
      <c r="Q129" s="639"/>
      <c r="R129" s="640"/>
      <c r="S129" s="641"/>
    </row>
    <row r="130" spans="2:19" ht="30.95" hidden="1" customHeight="1" thickBot="1" x14ac:dyDescent="0.3">
      <c r="B130" s="141">
        <f>B124</f>
        <v>18</v>
      </c>
      <c r="C130" s="142">
        <v>126</v>
      </c>
      <c r="D130" s="618" t="str">
        <f t="shared" si="1"/>
        <v>IV</v>
      </c>
      <c r="E130" s="652"/>
      <c r="F130" s="653"/>
      <c r="G130" s="653"/>
      <c r="H130" s="654"/>
      <c r="I130" s="654"/>
      <c r="J130" s="619" t="s">
        <v>181</v>
      </c>
      <c r="K130" s="620"/>
      <c r="L130" s="621"/>
      <c r="M130" s="654"/>
      <c r="N130" s="655"/>
      <c r="O130" s="656"/>
      <c r="P130" s="657"/>
      <c r="Q130" s="658"/>
      <c r="R130" s="659"/>
      <c r="S130" s="660"/>
    </row>
    <row r="131" spans="2:19" ht="30.95" hidden="1" customHeight="1" thickTop="1" x14ac:dyDescent="0.3">
      <c r="B131" s="129">
        <f>B129+1</f>
        <v>19</v>
      </c>
      <c r="C131" s="130">
        <v>127</v>
      </c>
      <c r="D131" s="196" t="str">
        <f t="shared" si="1"/>
        <v>IV</v>
      </c>
      <c r="E131" s="152"/>
      <c r="F131" s="153"/>
      <c r="G131" s="153"/>
      <c r="H131" s="154"/>
      <c r="I131" s="154"/>
      <c r="J131" s="152"/>
      <c r="K131" s="155"/>
      <c r="L131" s="154"/>
      <c r="M131" s="154"/>
      <c r="N131" s="156"/>
      <c r="O131" s="157"/>
      <c r="P131" s="158"/>
      <c r="Q131" s="159"/>
      <c r="R131" s="160"/>
      <c r="S131" s="161"/>
    </row>
    <row r="132" spans="2:19" ht="30.95" hidden="1" customHeight="1" x14ac:dyDescent="0.3">
      <c r="B132" s="60">
        <f>B131</f>
        <v>19</v>
      </c>
      <c r="C132" s="102">
        <v>128</v>
      </c>
      <c r="D132" s="616" t="str">
        <f t="shared" si="1"/>
        <v>IV</v>
      </c>
      <c r="E132" s="162"/>
      <c r="F132" s="163"/>
      <c r="G132" s="163"/>
      <c r="H132" s="164"/>
      <c r="I132" s="164"/>
      <c r="J132" s="162"/>
      <c r="K132" s="165"/>
      <c r="L132" s="164"/>
      <c r="M132" s="164"/>
      <c r="N132" s="166"/>
      <c r="O132" s="167"/>
      <c r="P132" s="168"/>
      <c r="Q132" s="169"/>
      <c r="R132" s="170"/>
      <c r="S132" s="171"/>
    </row>
    <row r="133" spans="2:19" ht="30.95" hidden="1" customHeight="1" x14ac:dyDescent="0.3">
      <c r="B133" s="60">
        <f>B131</f>
        <v>19</v>
      </c>
      <c r="C133" s="102">
        <v>129</v>
      </c>
      <c r="D133" s="616" t="str">
        <f t="shared" si="1"/>
        <v>IV</v>
      </c>
      <c r="E133" s="162"/>
      <c r="F133" s="163"/>
      <c r="G133" s="163"/>
      <c r="H133" s="164"/>
      <c r="I133" s="164"/>
      <c r="J133" s="162"/>
      <c r="K133" s="165"/>
      <c r="L133" s="164"/>
      <c r="M133" s="164"/>
      <c r="N133" s="166"/>
      <c r="O133" s="167"/>
      <c r="P133" s="168"/>
      <c r="Q133" s="169"/>
      <c r="R133" s="170"/>
      <c r="S133" s="171"/>
    </row>
    <row r="134" spans="2:19" ht="30.95" hidden="1" customHeight="1" x14ac:dyDescent="0.3">
      <c r="B134" s="60">
        <f>B131</f>
        <v>19</v>
      </c>
      <c r="C134" s="102">
        <v>130</v>
      </c>
      <c r="D134" s="616" t="str">
        <f t="shared" si="1"/>
        <v>IV</v>
      </c>
      <c r="E134" s="162"/>
      <c r="F134" s="163"/>
      <c r="G134" s="163"/>
      <c r="H134" s="164"/>
      <c r="I134" s="164"/>
      <c r="J134" s="162"/>
      <c r="K134" s="165"/>
      <c r="L134" s="164"/>
      <c r="M134" s="164"/>
      <c r="N134" s="166"/>
      <c r="O134" s="167"/>
      <c r="P134" s="168"/>
      <c r="Q134" s="169"/>
      <c r="R134" s="170"/>
      <c r="S134" s="171"/>
    </row>
    <row r="135" spans="2:19" ht="30.95" hidden="1" customHeight="1" x14ac:dyDescent="0.3">
      <c r="B135" s="60">
        <f>B131</f>
        <v>19</v>
      </c>
      <c r="C135" s="102">
        <v>131</v>
      </c>
      <c r="D135" s="616" t="str">
        <f t="shared" ref="D135:D198" si="2">D134</f>
        <v>IV</v>
      </c>
      <c r="E135" s="162"/>
      <c r="F135" s="163"/>
      <c r="G135" s="163"/>
      <c r="H135" s="164"/>
      <c r="I135" s="164"/>
      <c r="J135" s="162"/>
      <c r="K135" s="165"/>
      <c r="L135" s="164"/>
      <c r="M135" s="164"/>
      <c r="N135" s="166"/>
      <c r="O135" s="167"/>
      <c r="P135" s="168"/>
      <c r="Q135" s="169"/>
      <c r="R135" s="170"/>
      <c r="S135" s="171"/>
    </row>
    <row r="136" spans="2:19" ht="30.95" hidden="1" customHeight="1" x14ac:dyDescent="0.3">
      <c r="B136" s="60">
        <f>B131</f>
        <v>19</v>
      </c>
      <c r="C136" s="102">
        <v>132</v>
      </c>
      <c r="D136" s="616" t="str">
        <f t="shared" si="2"/>
        <v>IV</v>
      </c>
      <c r="E136" s="172"/>
      <c r="F136" s="173"/>
      <c r="G136" s="173"/>
      <c r="H136" s="174"/>
      <c r="I136" s="174"/>
      <c r="J136" s="172"/>
      <c r="K136" s="175"/>
      <c r="L136" s="174"/>
      <c r="M136" s="174"/>
      <c r="N136" s="176"/>
      <c r="O136" s="177"/>
      <c r="P136" s="178"/>
      <c r="Q136" s="179"/>
      <c r="R136" s="180"/>
      <c r="S136" s="181"/>
    </row>
    <row r="137" spans="2:19" ht="30.95" hidden="1" customHeight="1" thickBot="1" x14ac:dyDescent="0.3">
      <c r="B137" s="141">
        <f>B131</f>
        <v>19</v>
      </c>
      <c r="C137" s="142">
        <v>133</v>
      </c>
      <c r="D137" s="618" t="str">
        <f t="shared" si="2"/>
        <v>IV</v>
      </c>
      <c r="E137" s="189"/>
      <c r="F137" s="190"/>
      <c r="G137" s="190"/>
      <c r="H137" s="182"/>
      <c r="I137" s="182"/>
      <c r="J137" s="619" t="s">
        <v>181</v>
      </c>
      <c r="K137" s="620"/>
      <c r="L137" s="621"/>
      <c r="M137" s="182"/>
      <c r="N137" s="183"/>
      <c r="O137" s="184"/>
      <c r="P137" s="185"/>
      <c r="Q137" s="186"/>
      <c r="R137" s="187"/>
      <c r="S137" s="188"/>
    </row>
    <row r="138" spans="2:19" ht="30.95" hidden="1" customHeight="1" thickTop="1" x14ac:dyDescent="0.3">
      <c r="B138" s="129">
        <f>B136+1</f>
        <v>20</v>
      </c>
      <c r="C138" s="130">
        <v>134</v>
      </c>
      <c r="D138" s="196" t="str">
        <f t="shared" si="2"/>
        <v>IV</v>
      </c>
      <c r="E138" s="661"/>
      <c r="F138" s="662"/>
      <c r="G138" s="662"/>
      <c r="H138" s="663"/>
      <c r="I138" s="663"/>
      <c r="J138" s="661"/>
      <c r="K138" s="664"/>
      <c r="L138" s="663"/>
      <c r="M138" s="663"/>
      <c r="N138" s="665"/>
      <c r="O138" s="666"/>
      <c r="P138" s="667"/>
      <c r="Q138" s="668"/>
      <c r="R138" s="669"/>
      <c r="S138" s="670"/>
    </row>
    <row r="139" spans="2:19" ht="30.95" hidden="1" customHeight="1" x14ac:dyDescent="0.3">
      <c r="B139" s="60">
        <f>B138</f>
        <v>20</v>
      </c>
      <c r="C139" s="102">
        <v>135</v>
      </c>
      <c r="D139" s="616" t="str">
        <f t="shared" si="2"/>
        <v>IV</v>
      </c>
      <c r="E139" s="632"/>
      <c r="F139" s="633"/>
      <c r="G139" s="633"/>
      <c r="H139" s="634"/>
      <c r="I139" s="634"/>
      <c r="J139" s="632"/>
      <c r="K139" s="635"/>
      <c r="L139" s="634"/>
      <c r="M139" s="634"/>
      <c r="N139" s="636"/>
      <c r="O139" s="637"/>
      <c r="P139" s="638"/>
      <c r="Q139" s="639"/>
      <c r="R139" s="640"/>
      <c r="S139" s="641"/>
    </row>
    <row r="140" spans="2:19" ht="30.95" hidden="1" customHeight="1" x14ac:dyDescent="0.3">
      <c r="B140" s="60">
        <f>B138</f>
        <v>20</v>
      </c>
      <c r="C140" s="102">
        <v>136</v>
      </c>
      <c r="D140" s="616" t="str">
        <f t="shared" si="2"/>
        <v>IV</v>
      </c>
      <c r="E140" s="632"/>
      <c r="F140" s="633"/>
      <c r="G140" s="633"/>
      <c r="H140" s="634"/>
      <c r="I140" s="634"/>
      <c r="J140" s="632"/>
      <c r="K140" s="635"/>
      <c r="L140" s="634"/>
      <c r="M140" s="634"/>
      <c r="N140" s="636"/>
      <c r="O140" s="637"/>
      <c r="P140" s="638"/>
      <c r="Q140" s="639"/>
      <c r="R140" s="640"/>
      <c r="S140" s="641"/>
    </row>
    <row r="141" spans="2:19" ht="30.95" hidden="1" customHeight="1" x14ac:dyDescent="0.3">
      <c r="B141" s="60">
        <f>B138</f>
        <v>20</v>
      </c>
      <c r="C141" s="102">
        <v>137</v>
      </c>
      <c r="D141" s="616" t="str">
        <f t="shared" si="2"/>
        <v>IV</v>
      </c>
      <c r="E141" s="632"/>
      <c r="F141" s="633"/>
      <c r="G141" s="633"/>
      <c r="H141" s="634"/>
      <c r="I141" s="634"/>
      <c r="J141" s="632"/>
      <c r="K141" s="635"/>
      <c r="L141" s="634"/>
      <c r="M141" s="634"/>
      <c r="N141" s="636"/>
      <c r="O141" s="637"/>
      <c r="P141" s="638"/>
      <c r="Q141" s="639"/>
      <c r="R141" s="640"/>
      <c r="S141" s="641"/>
    </row>
    <row r="142" spans="2:19" ht="30.95" hidden="1" customHeight="1" x14ac:dyDescent="0.3">
      <c r="B142" s="60">
        <f>B138</f>
        <v>20</v>
      </c>
      <c r="C142" s="102">
        <v>138</v>
      </c>
      <c r="D142" s="616" t="str">
        <f t="shared" si="2"/>
        <v>IV</v>
      </c>
      <c r="E142" s="632"/>
      <c r="F142" s="633"/>
      <c r="G142" s="633"/>
      <c r="H142" s="634"/>
      <c r="I142" s="634"/>
      <c r="J142" s="632"/>
      <c r="K142" s="635"/>
      <c r="L142" s="634"/>
      <c r="M142" s="634"/>
      <c r="N142" s="636"/>
      <c r="O142" s="637"/>
      <c r="P142" s="638"/>
      <c r="Q142" s="639"/>
      <c r="R142" s="640"/>
      <c r="S142" s="641"/>
    </row>
    <row r="143" spans="2:19" ht="30.95" hidden="1" customHeight="1" x14ac:dyDescent="0.3">
      <c r="B143" s="60">
        <f>B138</f>
        <v>20</v>
      </c>
      <c r="C143" s="102">
        <v>139</v>
      </c>
      <c r="D143" s="616" t="str">
        <f t="shared" si="2"/>
        <v>IV</v>
      </c>
      <c r="E143" s="632"/>
      <c r="F143" s="633"/>
      <c r="G143" s="633"/>
      <c r="H143" s="634"/>
      <c r="I143" s="634"/>
      <c r="J143" s="632"/>
      <c r="K143" s="635"/>
      <c r="L143" s="634"/>
      <c r="M143" s="634"/>
      <c r="N143" s="636"/>
      <c r="O143" s="637"/>
      <c r="P143" s="638"/>
      <c r="Q143" s="639"/>
      <c r="R143" s="640"/>
      <c r="S143" s="641"/>
    </row>
    <row r="144" spans="2:19" ht="30.95" hidden="1" customHeight="1" thickBot="1" x14ac:dyDescent="0.3">
      <c r="B144" s="141">
        <f>B138</f>
        <v>20</v>
      </c>
      <c r="C144" s="142">
        <v>140</v>
      </c>
      <c r="D144" s="618" t="str">
        <f t="shared" si="2"/>
        <v>IV</v>
      </c>
      <c r="E144" s="652"/>
      <c r="F144" s="653"/>
      <c r="G144" s="653"/>
      <c r="H144" s="654"/>
      <c r="I144" s="654"/>
      <c r="J144" s="619" t="s">
        <v>181</v>
      </c>
      <c r="K144" s="620"/>
      <c r="L144" s="621"/>
      <c r="M144" s="654"/>
      <c r="N144" s="655"/>
      <c r="O144" s="656"/>
      <c r="P144" s="657"/>
      <c r="Q144" s="658"/>
      <c r="R144" s="659"/>
      <c r="S144" s="660"/>
    </row>
    <row r="145" spans="2:19" ht="30.95" hidden="1" customHeight="1" thickTop="1" x14ac:dyDescent="0.3">
      <c r="B145" s="129">
        <f>B143+1</f>
        <v>21</v>
      </c>
      <c r="C145" s="130">
        <v>141</v>
      </c>
      <c r="D145" s="196" t="str">
        <f t="shared" si="2"/>
        <v>IV</v>
      </c>
      <c r="E145" s="152"/>
      <c r="F145" s="153"/>
      <c r="G145" s="153"/>
      <c r="H145" s="154"/>
      <c r="I145" s="154"/>
      <c r="J145" s="152"/>
      <c r="K145" s="155"/>
      <c r="L145" s="154"/>
      <c r="M145" s="154"/>
      <c r="N145" s="156"/>
      <c r="O145" s="157"/>
      <c r="P145" s="158"/>
      <c r="Q145" s="159"/>
      <c r="R145" s="160"/>
      <c r="S145" s="161"/>
    </row>
    <row r="146" spans="2:19" ht="30.95" hidden="1" customHeight="1" x14ac:dyDescent="0.3">
      <c r="B146" s="60">
        <f>B145</f>
        <v>21</v>
      </c>
      <c r="C146" s="102">
        <v>142</v>
      </c>
      <c r="D146" s="616" t="str">
        <f t="shared" si="2"/>
        <v>IV</v>
      </c>
      <c r="E146" s="162"/>
      <c r="F146" s="163"/>
      <c r="G146" s="163"/>
      <c r="H146" s="164"/>
      <c r="I146" s="164"/>
      <c r="J146" s="162"/>
      <c r="K146" s="165"/>
      <c r="L146" s="164"/>
      <c r="M146" s="164"/>
      <c r="N146" s="166"/>
      <c r="O146" s="167"/>
      <c r="P146" s="168"/>
      <c r="Q146" s="169"/>
      <c r="R146" s="170"/>
      <c r="S146" s="171"/>
    </row>
    <row r="147" spans="2:19" ht="30.95" hidden="1" customHeight="1" x14ac:dyDescent="0.3">
      <c r="B147" s="60">
        <f>B145</f>
        <v>21</v>
      </c>
      <c r="C147" s="102">
        <v>143</v>
      </c>
      <c r="D147" s="616" t="str">
        <f t="shared" si="2"/>
        <v>IV</v>
      </c>
      <c r="E147" s="162"/>
      <c r="F147" s="163"/>
      <c r="G147" s="163"/>
      <c r="H147" s="164"/>
      <c r="I147" s="164"/>
      <c r="J147" s="162"/>
      <c r="K147" s="165"/>
      <c r="L147" s="164"/>
      <c r="M147" s="164"/>
      <c r="N147" s="166"/>
      <c r="O147" s="167"/>
      <c r="P147" s="168"/>
      <c r="Q147" s="169"/>
      <c r="R147" s="170"/>
      <c r="S147" s="171"/>
    </row>
    <row r="148" spans="2:19" ht="30.95" hidden="1" customHeight="1" x14ac:dyDescent="0.3">
      <c r="B148" s="60">
        <f>B145</f>
        <v>21</v>
      </c>
      <c r="C148" s="102">
        <v>144</v>
      </c>
      <c r="D148" s="616" t="str">
        <f t="shared" si="2"/>
        <v>IV</v>
      </c>
      <c r="E148" s="162"/>
      <c r="F148" s="163"/>
      <c r="G148" s="163"/>
      <c r="H148" s="164"/>
      <c r="I148" s="164"/>
      <c r="J148" s="162"/>
      <c r="K148" s="165"/>
      <c r="L148" s="164"/>
      <c r="M148" s="164"/>
      <c r="N148" s="166"/>
      <c r="O148" s="167"/>
      <c r="P148" s="168"/>
      <c r="Q148" s="169"/>
      <c r="R148" s="170"/>
      <c r="S148" s="171"/>
    </row>
    <row r="149" spans="2:19" ht="30.95" hidden="1" customHeight="1" x14ac:dyDescent="0.3">
      <c r="B149" s="60">
        <f>B145</f>
        <v>21</v>
      </c>
      <c r="C149" s="102">
        <v>145</v>
      </c>
      <c r="D149" s="616" t="str">
        <f t="shared" si="2"/>
        <v>IV</v>
      </c>
      <c r="E149" s="162"/>
      <c r="F149" s="163"/>
      <c r="G149" s="163"/>
      <c r="H149" s="164"/>
      <c r="I149" s="164"/>
      <c r="J149" s="162"/>
      <c r="K149" s="165"/>
      <c r="L149" s="164"/>
      <c r="M149" s="164"/>
      <c r="N149" s="166"/>
      <c r="O149" s="167"/>
      <c r="P149" s="168"/>
      <c r="Q149" s="169"/>
      <c r="R149" s="170"/>
      <c r="S149" s="171"/>
    </row>
    <row r="150" spans="2:19" ht="30.95" hidden="1" customHeight="1" x14ac:dyDescent="0.3">
      <c r="B150" s="60">
        <f>B145</f>
        <v>21</v>
      </c>
      <c r="C150" s="102">
        <v>146</v>
      </c>
      <c r="D150" s="616" t="str">
        <f t="shared" si="2"/>
        <v>IV</v>
      </c>
      <c r="E150" s="172"/>
      <c r="F150" s="173"/>
      <c r="G150" s="173"/>
      <c r="H150" s="174"/>
      <c r="I150" s="174"/>
      <c r="J150" s="172"/>
      <c r="K150" s="175"/>
      <c r="L150" s="174"/>
      <c r="M150" s="174"/>
      <c r="N150" s="176"/>
      <c r="O150" s="177"/>
      <c r="P150" s="178"/>
      <c r="Q150" s="179"/>
      <c r="R150" s="180"/>
      <c r="S150" s="181"/>
    </row>
    <row r="151" spans="2:19" ht="30.95" hidden="1" customHeight="1" thickBot="1" x14ac:dyDescent="0.3">
      <c r="B151" s="141">
        <f>B145</f>
        <v>21</v>
      </c>
      <c r="C151" s="142">
        <v>147</v>
      </c>
      <c r="D151" s="618" t="str">
        <f t="shared" si="2"/>
        <v>IV</v>
      </c>
      <c r="E151" s="189"/>
      <c r="F151" s="190"/>
      <c r="G151" s="190"/>
      <c r="H151" s="182"/>
      <c r="I151" s="182"/>
      <c r="J151" s="619" t="s">
        <v>181</v>
      </c>
      <c r="K151" s="620"/>
      <c r="L151" s="621"/>
      <c r="M151" s="182"/>
      <c r="N151" s="183"/>
      <c r="O151" s="184"/>
      <c r="P151" s="185"/>
      <c r="Q151" s="186"/>
      <c r="R151" s="187"/>
      <c r="S151" s="188"/>
    </row>
    <row r="152" spans="2:19" ht="30.95" hidden="1" customHeight="1" thickTop="1" x14ac:dyDescent="0.3">
      <c r="B152" s="129">
        <f>B150+1</f>
        <v>22</v>
      </c>
      <c r="C152" s="130">
        <v>148</v>
      </c>
      <c r="D152" s="196" t="str">
        <f t="shared" si="2"/>
        <v>IV</v>
      </c>
      <c r="E152" s="661"/>
      <c r="F152" s="662"/>
      <c r="G152" s="662"/>
      <c r="H152" s="663"/>
      <c r="I152" s="663"/>
      <c r="J152" s="661"/>
      <c r="K152" s="664"/>
      <c r="L152" s="663"/>
      <c r="M152" s="663"/>
      <c r="N152" s="665"/>
      <c r="O152" s="666"/>
      <c r="P152" s="667"/>
      <c r="Q152" s="668"/>
      <c r="R152" s="669"/>
      <c r="S152" s="670"/>
    </row>
    <row r="153" spans="2:19" ht="30.95" hidden="1" customHeight="1" x14ac:dyDescent="0.3">
      <c r="B153" s="60">
        <f>B152</f>
        <v>22</v>
      </c>
      <c r="C153" s="102">
        <v>149</v>
      </c>
      <c r="D153" s="616" t="str">
        <f t="shared" si="2"/>
        <v>IV</v>
      </c>
      <c r="E153" s="632"/>
      <c r="F153" s="633"/>
      <c r="G153" s="633"/>
      <c r="H153" s="634"/>
      <c r="I153" s="634"/>
      <c r="J153" s="632"/>
      <c r="K153" s="635"/>
      <c r="L153" s="634"/>
      <c r="M153" s="634"/>
      <c r="N153" s="636"/>
      <c r="O153" s="637"/>
      <c r="P153" s="638"/>
      <c r="Q153" s="639"/>
      <c r="R153" s="640"/>
      <c r="S153" s="641"/>
    </row>
    <row r="154" spans="2:19" ht="30.95" hidden="1" customHeight="1" x14ac:dyDescent="0.3">
      <c r="B154" s="60">
        <f>B152</f>
        <v>22</v>
      </c>
      <c r="C154" s="102">
        <v>150</v>
      </c>
      <c r="D154" s="616" t="str">
        <f t="shared" si="2"/>
        <v>IV</v>
      </c>
      <c r="E154" s="632"/>
      <c r="F154" s="633"/>
      <c r="G154" s="633"/>
      <c r="H154" s="634"/>
      <c r="I154" s="634"/>
      <c r="J154" s="632"/>
      <c r="K154" s="635"/>
      <c r="L154" s="634"/>
      <c r="M154" s="634"/>
      <c r="N154" s="636"/>
      <c r="O154" s="637"/>
      <c r="P154" s="638"/>
      <c r="Q154" s="639"/>
      <c r="R154" s="640"/>
      <c r="S154" s="641"/>
    </row>
    <row r="155" spans="2:19" ht="30.95" hidden="1" customHeight="1" x14ac:dyDescent="0.3">
      <c r="B155" s="60">
        <f>B152</f>
        <v>22</v>
      </c>
      <c r="C155" s="102">
        <v>151</v>
      </c>
      <c r="D155" s="616" t="str">
        <f t="shared" si="2"/>
        <v>IV</v>
      </c>
      <c r="E155" s="632"/>
      <c r="F155" s="633"/>
      <c r="G155" s="633"/>
      <c r="H155" s="634"/>
      <c r="I155" s="634"/>
      <c r="J155" s="632"/>
      <c r="K155" s="635"/>
      <c r="L155" s="634"/>
      <c r="M155" s="634"/>
      <c r="N155" s="636"/>
      <c r="O155" s="637"/>
      <c r="P155" s="638"/>
      <c r="Q155" s="639"/>
      <c r="R155" s="640"/>
      <c r="S155" s="641"/>
    </row>
    <row r="156" spans="2:19" ht="30.95" hidden="1" customHeight="1" x14ac:dyDescent="0.3">
      <c r="B156" s="60">
        <f>B152</f>
        <v>22</v>
      </c>
      <c r="C156" s="102">
        <v>152</v>
      </c>
      <c r="D156" s="616" t="str">
        <f t="shared" si="2"/>
        <v>IV</v>
      </c>
      <c r="E156" s="632"/>
      <c r="F156" s="633"/>
      <c r="G156" s="633"/>
      <c r="H156" s="634"/>
      <c r="I156" s="634"/>
      <c r="J156" s="632"/>
      <c r="K156" s="635"/>
      <c r="L156" s="634"/>
      <c r="M156" s="634"/>
      <c r="N156" s="636"/>
      <c r="O156" s="637"/>
      <c r="P156" s="638"/>
      <c r="Q156" s="639"/>
      <c r="R156" s="640"/>
      <c r="S156" s="641"/>
    </row>
    <row r="157" spans="2:19" ht="30.95" hidden="1" customHeight="1" x14ac:dyDescent="0.3">
      <c r="B157" s="60">
        <f>B152</f>
        <v>22</v>
      </c>
      <c r="C157" s="102">
        <v>153</v>
      </c>
      <c r="D157" s="616" t="str">
        <f t="shared" si="2"/>
        <v>IV</v>
      </c>
      <c r="E157" s="632"/>
      <c r="F157" s="633"/>
      <c r="G157" s="633"/>
      <c r="H157" s="634"/>
      <c r="I157" s="634"/>
      <c r="J157" s="632"/>
      <c r="K157" s="635"/>
      <c r="L157" s="634"/>
      <c r="M157" s="634"/>
      <c r="N157" s="636"/>
      <c r="O157" s="637"/>
      <c r="P157" s="638"/>
      <c r="Q157" s="639"/>
      <c r="R157" s="640"/>
      <c r="S157" s="641"/>
    </row>
    <row r="158" spans="2:19" ht="30.95" hidden="1" customHeight="1" thickBot="1" x14ac:dyDescent="0.3">
      <c r="B158" s="141">
        <f>B152</f>
        <v>22</v>
      </c>
      <c r="C158" s="142">
        <v>154</v>
      </c>
      <c r="D158" s="618" t="str">
        <f t="shared" si="2"/>
        <v>IV</v>
      </c>
      <c r="E158" s="652"/>
      <c r="F158" s="653"/>
      <c r="G158" s="653"/>
      <c r="H158" s="654"/>
      <c r="I158" s="654"/>
      <c r="J158" s="619" t="s">
        <v>181</v>
      </c>
      <c r="K158" s="620"/>
      <c r="L158" s="621"/>
      <c r="M158" s="654"/>
      <c r="N158" s="655"/>
      <c r="O158" s="656"/>
      <c r="P158" s="657"/>
      <c r="Q158" s="658"/>
      <c r="R158" s="659"/>
      <c r="S158" s="660"/>
    </row>
    <row r="159" spans="2:19" ht="30.95" hidden="1" customHeight="1" thickTop="1" x14ac:dyDescent="0.3">
      <c r="B159" s="129">
        <f>B157+1</f>
        <v>23</v>
      </c>
      <c r="C159" s="130">
        <v>155</v>
      </c>
      <c r="D159" s="196" t="str">
        <f t="shared" si="2"/>
        <v>IV</v>
      </c>
      <c r="E159" s="152"/>
      <c r="F159" s="153"/>
      <c r="G159" s="153"/>
      <c r="H159" s="154"/>
      <c r="I159" s="154"/>
      <c r="J159" s="152"/>
      <c r="K159" s="155"/>
      <c r="L159" s="154"/>
      <c r="M159" s="154"/>
      <c r="N159" s="156"/>
      <c r="O159" s="157"/>
      <c r="P159" s="158"/>
      <c r="Q159" s="159"/>
      <c r="R159" s="160"/>
      <c r="S159" s="161"/>
    </row>
    <row r="160" spans="2:19" ht="30.95" hidden="1" customHeight="1" x14ac:dyDescent="0.3">
      <c r="B160" s="60">
        <f>B159</f>
        <v>23</v>
      </c>
      <c r="C160" s="102">
        <v>156</v>
      </c>
      <c r="D160" s="616" t="str">
        <f t="shared" si="2"/>
        <v>IV</v>
      </c>
      <c r="E160" s="162"/>
      <c r="F160" s="163"/>
      <c r="G160" s="163"/>
      <c r="H160" s="164"/>
      <c r="I160" s="164"/>
      <c r="J160" s="162"/>
      <c r="K160" s="165"/>
      <c r="L160" s="164"/>
      <c r="M160" s="164"/>
      <c r="N160" s="166"/>
      <c r="O160" s="167"/>
      <c r="P160" s="168"/>
      <c r="Q160" s="169"/>
      <c r="R160" s="170"/>
      <c r="S160" s="171"/>
    </row>
    <row r="161" spans="2:19" ht="30.95" hidden="1" customHeight="1" x14ac:dyDescent="0.3">
      <c r="B161" s="60">
        <f>B159</f>
        <v>23</v>
      </c>
      <c r="C161" s="102">
        <v>157</v>
      </c>
      <c r="D161" s="616" t="str">
        <f t="shared" si="2"/>
        <v>IV</v>
      </c>
      <c r="E161" s="162"/>
      <c r="F161" s="163"/>
      <c r="G161" s="163"/>
      <c r="H161" s="164"/>
      <c r="I161" s="164"/>
      <c r="J161" s="162"/>
      <c r="K161" s="165"/>
      <c r="L161" s="164"/>
      <c r="M161" s="164"/>
      <c r="N161" s="166"/>
      <c r="O161" s="167"/>
      <c r="P161" s="168"/>
      <c r="Q161" s="169"/>
      <c r="R161" s="170"/>
      <c r="S161" s="171"/>
    </row>
    <row r="162" spans="2:19" ht="30.95" hidden="1" customHeight="1" x14ac:dyDescent="0.3">
      <c r="B162" s="60">
        <f>B159</f>
        <v>23</v>
      </c>
      <c r="C162" s="102">
        <v>158</v>
      </c>
      <c r="D162" s="616" t="str">
        <f t="shared" si="2"/>
        <v>IV</v>
      </c>
      <c r="E162" s="162"/>
      <c r="F162" s="163"/>
      <c r="G162" s="163"/>
      <c r="H162" s="164"/>
      <c r="I162" s="164"/>
      <c r="J162" s="162"/>
      <c r="K162" s="165"/>
      <c r="L162" s="164"/>
      <c r="M162" s="164"/>
      <c r="N162" s="166"/>
      <c r="O162" s="167"/>
      <c r="P162" s="168"/>
      <c r="Q162" s="169"/>
      <c r="R162" s="170"/>
      <c r="S162" s="171"/>
    </row>
    <row r="163" spans="2:19" ht="30.95" hidden="1" customHeight="1" x14ac:dyDescent="0.3">
      <c r="B163" s="60">
        <f>B159</f>
        <v>23</v>
      </c>
      <c r="C163" s="102">
        <v>159</v>
      </c>
      <c r="D163" s="616" t="str">
        <f t="shared" si="2"/>
        <v>IV</v>
      </c>
      <c r="E163" s="162"/>
      <c r="F163" s="163"/>
      <c r="G163" s="163"/>
      <c r="H163" s="164"/>
      <c r="I163" s="164"/>
      <c r="J163" s="162"/>
      <c r="K163" s="165"/>
      <c r="L163" s="164"/>
      <c r="M163" s="164"/>
      <c r="N163" s="166"/>
      <c r="O163" s="167"/>
      <c r="P163" s="168"/>
      <c r="Q163" s="169"/>
      <c r="R163" s="170"/>
      <c r="S163" s="171"/>
    </row>
    <row r="164" spans="2:19" ht="30.95" hidden="1" customHeight="1" x14ac:dyDescent="0.3">
      <c r="B164" s="60">
        <f>B159</f>
        <v>23</v>
      </c>
      <c r="C164" s="102">
        <v>160</v>
      </c>
      <c r="D164" s="616" t="str">
        <f t="shared" si="2"/>
        <v>IV</v>
      </c>
      <c r="E164" s="172"/>
      <c r="F164" s="173"/>
      <c r="G164" s="173"/>
      <c r="H164" s="174"/>
      <c r="I164" s="174"/>
      <c r="J164" s="172"/>
      <c r="K164" s="175"/>
      <c r="L164" s="174"/>
      <c r="M164" s="174"/>
      <c r="N164" s="176"/>
      <c r="O164" s="177"/>
      <c r="P164" s="178"/>
      <c r="Q164" s="179"/>
      <c r="R164" s="180"/>
      <c r="S164" s="181"/>
    </row>
    <row r="165" spans="2:19" ht="30.95" hidden="1" customHeight="1" thickBot="1" x14ac:dyDescent="0.3">
      <c r="B165" s="141">
        <f>B159</f>
        <v>23</v>
      </c>
      <c r="C165" s="142">
        <v>161</v>
      </c>
      <c r="D165" s="618" t="str">
        <f t="shared" si="2"/>
        <v>IV</v>
      </c>
      <c r="E165" s="189"/>
      <c r="F165" s="190"/>
      <c r="G165" s="190"/>
      <c r="H165" s="182"/>
      <c r="I165" s="182"/>
      <c r="J165" s="619" t="s">
        <v>181</v>
      </c>
      <c r="K165" s="620"/>
      <c r="L165" s="621"/>
      <c r="M165" s="182"/>
      <c r="N165" s="183"/>
      <c r="O165" s="184"/>
      <c r="P165" s="185"/>
      <c r="Q165" s="186"/>
      <c r="R165" s="187"/>
      <c r="S165" s="188"/>
    </row>
    <row r="166" spans="2:19" ht="30.95" hidden="1" customHeight="1" thickTop="1" x14ac:dyDescent="0.3">
      <c r="B166" s="129">
        <f>B164+1</f>
        <v>24</v>
      </c>
      <c r="C166" s="130">
        <v>162</v>
      </c>
      <c r="D166" s="196" t="str">
        <f t="shared" si="2"/>
        <v>IV</v>
      </c>
      <c r="E166" s="661"/>
      <c r="F166" s="662"/>
      <c r="G166" s="662"/>
      <c r="H166" s="663"/>
      <c r="I166" s="663"/>
      <c r="J166" s="661"/>
      <c r="K166" s="664"/>
      <c r="L166" s="663"/>
      <c r="M166" s="663"/>
      <c r="N166" s="665"/>
      <c r="O166" s="666"/>
      <c r="P166" s="667"/>
      <c r="Q166" s="668"/>
      <c r="R166" s="669"/>
      <c r="S166" s="670"/>
    </row>
    <row r="167" spans="2:19" ht="30.95" hidden="1" customHeight="1" x14ac:dyDescent="0.3">
      <c r="B167" s="60">
        <f>B166</f>
        <v>24</v>
      </c>
      <c r="C167" s="102">
        <v>163</v>
      </c>
      <c r="D167" s="616" t="str">
        <f t="shared" si="2"/>
        <v>IV</v>
      </c>
      <c r="E167" s="632"/>
      <c r="F167" s="633"/>
      <c r="G167" s="633"/>
      <c r="H167" s="634"/>
      <c r="I167" s="634"/>
      <c r="J167" s="632"/>
      <c r="K167" s="635"/>
      <c r="L167" s="634"/>
      <c r="M167" s="634"/>
      <c r="N167" s="636"/>
      <c r="O167" s="637"/>
      <c r="P167" s="638"/>
      <c r="Q167" s="639"/>
      <c r="R167" s="640"/>
      <c r="S167" s="641"/>
    </row>
    <row r="168" spans="2:19" ht="30.95" hidden="1" customHeight="1" x14ac:dyDescent="0.3">
      <c r="B168" s="60">
        <f>B166</f>
        <v>24</v>
      </c>
      <c r="C168" s="102">
        <v>164</v>
      </c>
      <c r="D168" s="616" t="str">
        <f t="shared" si="2"/>
        <v>IV</v>
      </c>
      <c r="E168" s="632"/>
      <c r="F168" s="633"/>
      <c r="G168" s="633"/>
      <c r="H168" s="634"/>
      <c r="I168" s="634"/>
      <c r="J168" s="632"/>
      <c r="K168" s="635"/>
      <c r="L168" s="634"/>
      <c r="M168" s="634"/>
      <c r="N168" s="636"/>
      <c r="O168" s="637"/>
      <c r="P168" s="638"/>
      <c r="Q168" s="639"/>
      <c r="R168" s="640"/>
      <c r="S168" s="641"/>
    </row>
    <row r="169" spans="2:19" ht="30.95" hidden="1" customHeight="1" x14ac:dyDescent="0.3">
      <c r="B169" s="60">
        <f>B166</f>
        <v>24</v>
      </c>
      <c r="C169" s="102">
        <v>165</v>
      </c>
      <c r="D169" s="616" t="str">
        <f t="shared" si="2"/>
        <v>IV</v>
      </c>
      <c r="E169" s="632"/>
      <c r="F169" s="633"/>
      <c r="G169" s="633"/>
      <c r="H169" s="634"/>
      <c r="I169" s="634"/>
      <c r="J169" s="632"/>
      <c r="K169" s="635"/>
      <c r="L169" s="634"/>
      <c r="M169" s="634"/>
      <c r="N169" s="636"/>
      <c r="O169" s="637"/>
      <c r="P169" s="638"/>
      <c r="Q169" s="639"/>
      <c r="R169" s="640"/>
      <c r="S169" s="641"/>
    </row>
    <row r="170" spans="2:19" ht="30.95" hidden="1" customHeight="1" x14ac:dyDescent="0.3">
      <c r="B170" s="60">
        <f>B166</f>
        <v>24</v>
      </c>
      <c r="C170" s="102">
        <v>166</v>
      </c>
      <c r="D170" s="616" t="str">
        <f t="shared" si="2"/>
        <v>IV</v>
      </c>
      <c r="E170" s="632"/>
      <c r="F170" s="633"/>
      <c r="G170" s="633"/>
      <c r="H170" s="634"/>
      <c r="I170" s="634"/>
      <c r="J170" s="632"/>
      <c r="K170" s="635"/>
      <c r="L170" s="634"/>
      <c r="M170" s="634"/>
      <c r="N170" s="636"/>
      <c r="O170" s="637"/>
      <c r="P170" s="638"/>
      <c r="Q170" s="639"/>
      <c r="R170" s="640"/>
      <c r="S170" s="641"/>
    </row>
    <row r="171" spans="2:19" ht="30.95" hidden="1" customHeight="1" x14ac:dyDescent="0.3">
      <c r="B171" s="60">
        <f>B166</f>
        <v>24</v>
      </c>
      <c r="C171" s="102">
        <v>167</v>
      </c>
      <c r="D171" s="616" t="str">
        <f t="shared" si="2"/>
        <v>IV</v>
      </c>
      <c r="E171" s="632"/>
      <c r="F171" s="633"/>
      <c r="G171" s="633"/>
      <c r="H171" s="634"/>
      <c r="I171" s="634"/>
      <c r="J171" s="632"/>
      <c r="K171" s="635"/>
      <c r="L171" s="634"/>
      <c r="M171" s="634"/>
      <c r="N171" s="636"/>
      <c r="O171" s="637"/>
      <c r="P171" s="638"/>
      <c r="Q171" s="639"/>
      <c r="R171" s="640"/>
      <c r="S171" s="641"/>
    </row>
    <row r="172" spans="2:19" ht="30.95" hidden="1" customHeight="1" thickBot="1" x14ac:dyDescent="0.3">
      <c r="B172" s="141">
        <f>B166</f>
        <v>24</v>
      </c>
      <c r="C172" s="142">
        <v>168</v>
      </c>
      <c r="D172" s="618" t="str">
        <f t="shared" si="2"/>
        <v>IV</v>
      </c>
      <c r="E172" s="652"/>
      <c r="F172" s="653"/>
      <c r="G172" s="653"/>
      <c r="H172" s="654"/>
      <c r="I172" s="654"/>
      <c r="J172" s="619" t="s">
        <v>181</v>
      </c>
      <c r="K172" s="620"/>
      <c r="L172" s="621"/>
      <c r="M172" s="654"/>
      <c r="N172" s="655"/>
      <c r="O172" s="656"/>
      <c r="P172" s="657"/>
      <c r="Q172" s="658"/>
      <c r="R172" s="659"/>
      <c r="S172" s="660"/>
    </row>
    <row r="173" spans="2:19" ht="30.95" hidden="1" customHeight="1" thickTop="1" x14ac:dyDescent="0.3">
      <c r="B173" s="129">
        <f>B171+1</f>
        <v>25</v>
      </c>
      <c r="C173" s="130">
        <v>169</v>
      </c>
      <c r="D173" s="196" t="str">
        <f t="shared" si="2"/>
        <v>IV</v>
      </c>
      <c r="E173" s="152"/>
      <c r="F173" s="153"/>
      <c r="G173" s="153"/>
      <c r="H173" s="154"/>
      <c r="I173" s="154"/>
      <c r="J173" s="152"/>
      <c r="K173" s="155"/>
      <c r="L173" s="154"/>
      <c r="M173" s="154"/>
      <c r="N173" s="156"/>
      <c r="O173" s="157"/>
      <c r="P173" s="158"/>
      <c r="Q173" s="159"/>
      <c r="R173" s="160"/>
      <c r="S173" s="161"/>
    </row>
    <row r="174" spans="2:19" ht="30.95" hidden="1" customHeight="1" x14ac:dyDescent="0.3">
      <c r="B174" s="60">
        <f>B173</f>
        <v>25</v>
      </c>
      <c r="C174" s="102">
        <v>170</v>
      </c>
      <c r="D174" s="616" t="str">
        <f t="shared" si="2"/>
        <v>IV</v>
      </c>
      <c r="E174" s="162"/>
      <c r="F174" s="163"/>
      <c r="G174" s="163"/>
      <c r="H174" s="164"/>
      <c r="I174" s="164"/>
      <c r="J174" s="162"/>
      <c r="K174" s="165"/>
      <c r="L174" s="164"/>
      <c r="M174" s="164"/>
      <c r="N174" s="166"/>
      <c r="O174" s="167"/>
      <c r="P174" s="168"/>
      <c r="Q174" s="169"/>
      <c r="R174" s="170"/>
      <c r="S174" s="171"/>
    </row>
    <row r="175" spans="2:19" ht="30.95" hidden="1" customHeight="1" x14ac:dyDescent="0.3">
      <c r="B175" s="60">
        <f>B173</f>
        <v>25</v>
      </c>
      <c r="C175" s="102">
        <v>171</v>
      </c>
      <c r="D175" s="616" t="str">
        <f t="shared" si="2"/>
        <v>IV</v>
      </c>
      <c r="E175" s="162"/>
      <c r="F175" s="163"/>
      <c r="G175" s="163"/>
      <c r="H175" s="164"/>
      <c r="I175" s="164"/>
      <c r="J175" s="162"/>
      <c r="K175" s="165"/>
      <c r="L175" s="164"/>
      <c r="M175" s="164"/>
      <c r="N175" s="166"/>
      <c r="O175" s="167"/>
      <c r="P175" s="168"/>
      <c r="Q175" s="169"/>
      <c r="R175" s="170"/>
      <c r="S175" s="171"/>
    </row>
    <row r="176" spans="2:19" ht="30.95" hidden="1" customHeight="1" x14ac:dyDescent="0.3">
      <c r="B176" s="60">
        <f>B173</f>
        <v>25</v>
      </c>
      <c r="C176" s="102">
        <v>172</v>
      </c>
      <c r="D176" s="616" t="str">
        <f t="shared" si="2"/>
        <v>IV</v>
      </c>
      <c r="E176" s="162"/>
      <c r="F176" s="163"/>
      <c r="G176" s="163"/>
      <c r="H176" s="164"/>
      <c r="I176" s="164"/>
      <c r="J176" s="162"/>
      <c r="K176" s="165"/>
      <c r="L176" s="164"/>
      <c r="M176" s="164"/>
      <c r="N176" s="166"/>
      <c r="O176" s="167"/>
      <c r="P176" s="168"/>
      <c r="Q176" s="169"/>
      <c r="R176" s="170"/>
      <c r="S176" s="171"/>
    </row>
    <row r="177" spans="2:19" ht="30.95" hidden="1" customHeight="1" x14ac:dyDescent="0.3">
      <c r="B177" s="60">
        <f>B173</f>
        <v>25</v>
      </c>
      <c r="C177" s="102">
        <v>173</v>
      </c>
      <c r="D177" s="616" t="str">
        <f t="shared" si="2"/>
        <v>IV</v>
      </c>
      <c r="E177" s="162"/>
      <c r="F177" s="163"/>
      <c r="G177" s="163"/>
      <c r="H177" s="164"/>
      <c r="I177" s="164"/>
      <c r="J177" s="162"/>
      <c r="K177" s="165"/>
      <c r="L177" s="164"/>
      <c r="M177" s="164"/>
      <c r="N177" s="166"/>
      <c r="O177" s="167"/>
      <c r="P177" s="168"/>
      <c r="Q177" s="169"/>
      <c r="R177" s="170"/>
      <c r="S177" s="171"/>
    </row>
    <row r="178" spans="2:19" ht="30.95" hidden="1" customHeight="1" x14ac:dyDescent="0.3">
      <c r="B178" s="60">
        <f>B173</f>
        <v>25</v>
      </c>
      <c r="C178" s="102">
        <v>174</v>
      </c>
      <c r="D178" s="616" t="str">
        <f t="shared" si="2"/>
        <v>IV</v>
      </c>
      <c r="E178" s="172"/>
      <c r="F178" s="173"/>
      <c r="G178" s="173"/>
      <c r="H178" s="174"/>
      <c r="I178" s="174"/>
      <c r="J178" s="172"/>
      <c r="K178" s="175"/>
      <c r="L178" s="174"/>
      <c r="M178" s="174"/>
      <c r="N178" s="176"/>
      <c r="O178" s="177"/>
      <c r="P178" s="178"/>
      <c r="Q178" s="179"/>
      <c r="R178" s="180"/>
      <c r="S178" s="181"/>
    </row>
    <row r="179" spans="2:19" ht="30.95" hidden="1" customHeight="1" thickBot="1" x14ac:dyDescent="0.3">
      <c r="B179" s="141">
        <f>B173</f>
        <v>25</v>
      </c>
      <c r="C179" s="142">
        <v>175</v>
      </c>
      <c r="D179" s="618" t="str">
        <f t="shared" si="2"/>
        <v>IV</v>
      </c>
      <c r="E179" s="189"/>
      <c r="F179" s="190"/>
      <c r="G179" s="190"/>
      <c r="H179" s="182"/>
      <c r="I179" s="182"/>
      <c r="J179" s="619" t="s">
        <v>181</v>
      </c>
      <c r="K179" s="620"/>
      <c r="L179" s="621"/>
      <c r="M179" s="182"/>
      <c r="N179" s="183"/>
      <c r="O179" s="184"/>
      <c r="P179" s="185"/>
      <c r="Q179" s="186"/>
      <c r="R179" s="187"/>
      <c r="S179" s="188"/>
    </row>
    <row r="180" spans="2:19" ht="30.95" hidden="1" customHeight="1" thickTop="1" x14ac:dyDescent="0.3">
      <c r="B180" s="129">
        <f>B178+1</f>
        <v>26</v>
      </c>
      <c r="C180" s="130">
        <v>176</v>
      </c>
      <c r="D180" s="196" t="str">
        <f t="shared" si="2"/>
        <v>IV</v>
      </c>
      <c r="E180" s="661"/>
      <c r="F180" s="662"/>
      <c r="G180" s="662"/>
      <c r="H180" s="663"/>
      <c r="I180" s="663"/>
      <c r="J180" s="661"/>
      <c r="K180" s="664"/>
      <c r="L180" s="663"/>
      <c r="M180" s="663"/>
      <c r="N180" s="665"/>
      <c r="O180" s="666"/>
      <c r="P180" s="667"/>
      <c r="Q180" s="668"/>
      <c r="R180" s="669"/>
      <c r="S180" s="670"/>
    </row>
    <row r="181" spans="2:19" ht="30.95" hidden="1" customHeight="1" x14ac:dyDescent="0.3">
      <c r="B181" s="60">
        <f>B180</f>
        <v>26</v>
      </c>
      <c r="C181" s="102">
        <v>177</v>
      </c>
      <c r="D181" s="616" t="str">
        <f t="shared" si="2"/>
        <v>IV</v>
      </c>
      <c r="E181" s="632"/>
      <c r="F181" s="633"/>
      <c r="G181" s="633"/>
      <c r="H181" s="634"/>
      <c r="I181" s="634"/>
      <c r="J181" s="632"/>
      <c r="K181" s="635"/>
      <c r="L181" s="634"/>
      <c r="M181" s="634"/>
      <c r="N181" s="636"/>
      <c r="O181" s="637"/>
      <c r="P181" s="638"/>
      <c r="Q181" s="639"/>
      <c r="R181" s="640"/>
      <c r="S181" s="641"/>
    </row>
    <row r="182" spans="2:19" ht="30.95" hidden="1" customHeight="1" x14ac:dyDescent="0.3">
      <c r="B182" s="60">
        <f>B180</f>
        <v>26</v>
      </c>
      <c r="C182" s="102">
        <v>178</v>
      </c>
      <c r="D182" s="616" t="str">
        <f t="shared" si="2"/>
        <v>IV</v>
      </c>
      <c r="E182" s="632"/>
      <c r="F182" s="633"/>
      <c r="G182" s="633"/>
      <c r="H182" s="634"/>
      <c r="I182" s="634"/>
      <c r="J182" s="632"/>
      <c r="K182" s="635"/>
      <c r="L182" s="634"/>
      <c r="M182" s="634"/>
      <c r="N182" s="636"/>
      <c r="O182" s="637"/>
      <c r="P182" s="638"/>
      <c r="Q182" s="639"/>
      <c r="R182" s="640"/>
      <c r="S182" s="641"/>
    </row>
    <row r="183" spans="2:19" ht="30.95" hidden="1" customHeight="1" x14ac:dyDescent="0.3">
      <c r="B183" s="60">
        <f>B180</f>
        <v>26</v>
      </c>
      <c r="C183" s="102">
        <v>179</v>
      </c>
      <c r="D183" s="616" t="str">
        <f t="shared" si="2"/>
        <v>IV</v>
      </c>
      <c r="E183" s="632"/>
      <c r="F183" s="633"/>
      <c r="G183" s="633"/>
      <c r="H183" s="634"/>
      <c r="I183" s="634"/>
      <c r="J183" s="632"/>
      <c r="K183" s="635"/>
      <c r="L183" s="634"/>
      <c r="M183" s="634"/>
      <c r="N183" s="636"/>
      <c r="O183" s="637"/>
      <c r="P183" s="638"/>
      <c r="Q183" s="639"/>
      <c r="R183" s="640"/>
      <c r="S183" s="641"/>
    </row>
    <row r="184" spans="2:19" ht="30.95" hidden="1" customHeight="1" x14ac:dyDescent="0.3">
      <c r="B184" s="60">
        <f>B180</f>
        <v>26</v>
      </c>
      <c r="C184" s="102">
        <v>180</v>
      </c>
      <c r="D184" s="616" t="str">
        <f t="shared" si="2"/>
        <v>IV</v>
      </c>
      <c r="E184" s="632"/>
      <c r="F184" s="633"/>
      <c r="G184" s="633"/>
      <c r="H184" s="634"/>
      <c r="I184" s="634"/>
      <c r="J184" s="632"/>
      <c r="K184" s="635"/>
      <c r="L184" s="634"/>
      <c r="M184" s="634"/>
      <c r="N184" s="636"/>
      <c r="O184" s="637"/>
      <c r="P184" s="638"/>
      <c r="Q184" s="639"/>
      <c r="R184" s="640"/>
      <c r="S184" s="641"/>
    </row>
    <row r="185" spans="2:19" ht="30.95" hidden="1" customHeight="1" x14ac:dyDescent="0.3">
      <c r="B185" s="60">
        <f>B180</f>
        <v>26</v>
      </c>
      <c r="C185" s="102">
        <v>181</v>
      </c>
      <c r="D185" s="616" t="str">
        <f t="shared" si="2"/>
        <v>IV</v>
      </c>
      <c r="E185" s="632"/>
      <c r="F185" s="633"/>
      <c r="G185" s="633"/>
      <c r="H185" s="634"/>
      <c r="I185" s="634"/>
      <c r="J185" s="632"/>
      <c r="K185" s="635"/>
      <c r="L185" s="634"/>
      <c r="M185" s="634"/>
      <c r="N185" s="636"/>
      <c r="O185" s="637"/>
      <c r="P185" s="638"/>
      <c r="Q185" s="639"/>
      <c r="R185" s="640"/>
      <c r="S185" s="641"/>
    </row>
    <row r="186" spans="2:19" ht="30.95" hidden="1" customHeight="1" thickBot="1" x14ac:dyDescent="0.3">
      <c r="B186" s="141">
        <f>B180</f>
        <v>26</v>
      </c>
      <c r="C186" s="142">
        <v>182</v>
      </c>
      <c r="D186" s="618" t="str">
        <f t="shared" si="2"/>
        <v>IV</v>
      </c>
      <c r="E186" s="652"/>
      <c r="F186" s="653"/>
      <c r="G186" s="653"/>
      <c r="H186" s="654"/>
      <c r="I186" s="654"/>
      <c r="J186" s="619" t="s">
        <v>181</v>
      </c>
      <c r="K186" s="620"/>
      <c r="L186" s="621"/>
      <c r="M186" s="654"/>
      <c r="N186" s="655"/>
      <c r="O186" s="656"/>
      <c r="P186" s="657"/>
      <c r="Q186" s="658"/>
      <c r="R186" s="659"/>
      <c r="S186" s="660"/>
    </row>
    <row r="187" spans="2:19" ht="30.95" customHeight="1" thickTop="1" x14ac:dyDescent="0.25">
      <c r="B187" s="129">
        <f>B185+1</f>
        <v>27</v>
      </c>
      <c r="C187" s="130">
        <v>183</v>
      </c>
      <c r="D187" s="196" t="str">
        <f t="shared" si="2"/>
        <v>IV</v>
      </c>
      <c r="E187" s="152">
        <v>10</v>
      </c>
      <c r="F187" s="153">
        <v>43664</v>
      </c>
      <c r="G187" s="153">
        <v>43673</v>
      </c>
      <c r="H187" s="154" t="s">
        <v>257</v>
      </c>
      <c r="I187" s="154">
        <v>1</v>
      </c>
      <c r="J187" s="152" t="s">
        <v>168</v>
      </c>
      <c r="K187" s="155" t="s">
        <v>16</v>
      </c>
      <c r="L187" s="154">
        <v>1</v>
      </c>
      <c r="M187" s="154">
        <v>8</v>
      </c>
      <c r="N187" s="156">
        <v>0</v>
      </c>
      <c r="O187" s="157">
        <v>0</v>
      </c>
      <c r="P187" s="158">
        <v>0</v>
      </c>
      <c r="Q187" s="159"/>
      <c r="R187" s="160"/>
      <c r="S187" s="161"/>
    </row>
    <row r="188" spans="2:19" ht="30.95" customHeight="1" x14ac:dyDescent="0.25">
      <c r="B188" s="60">
        <f>B187</f>
        <v>27</v>
      </c>
      <c r="C188" s="102">
        <v>184</v>
      </c>
      <c r="D188" s="616" t="str">
        <f t="shared" si="2"/>
        <v>IV</v>
      </c>
      <c r="E188" s="162">
        <v>10</v>
      </c>
      <c r="F188" s="163">
        <v>43664</v>
      </c>
      <c r="G188" s="163">
        <v>43673</v>
      </c>
      <c r="H188" s="164" t="s">
        <v>258</v>
      </c>
      <c r="I188" s="164">
        <v>1</v>
      </c>
      <c r="J188" s="162" t="s">
        <v>168</v>
      </c>
      <c r="K188" s="165" t="s">
        <v>16</v>
      </c>
      <c r="L188" s="164">
        <v>1</v>
      </c>
      <c r="M188" s="164">
        <v>8</v>
      </c>
      <c r="N188" s="166">
        <v>0</v>
      </c>
      <c r="O188" s="167">
        <v>0</v>
      </c>
      <c r="P188" s="168">
        <v>0</v>
      </c>
      <c r="Q188" s="169"/>
      <c r="R188" s="170"/>
      <c r="S188" s="171"/>
    </row>
    <row r="189" spans="2:19" ht="30.95" hidden="1" customHeight="1" x14ac:dyDescent="0.25">
      <c r="B189" s="60">
        <f>B187</f>
        <v>27</v>
      </c>
      <c r="C189" s="102">
        <v>185</v>
      </c>
      <c r="D189" s="616" t="str">
        <f t="shared" si="2"/>
        <v>IV</v>
      </c>
      <c r="E189" s="162"/>
      <c r="F189" s="163"/>
      <c r="G189" s="163"/>
      <c r="H189" s="164"/>
      <c r="I189" s="164"/>
      <c r="J189" s="162"/>
      <c r="K189" s="165"/>
      <c r="L189" s="164"/>
      <c r="M189" s="164"/>
      <c r="N189" s="166"/>
      <c r="O189" s="167"/>
      <c r="P189" s="168"/>
      <c r="Q189" s="169"/>
      <c r="R189" s="170"/>
      <c r="S189" s="171"/>
    </row>
    <row r="190" spans="2:19" ht="30.95" hidden="1" customHeight="1" x14ac:dyDescent="0.25">
      <c r="B190" s="60">
        <f>B187</f>
        <v>27</v>
      </c>
      <c r="C190" s="102">
        <v>186</v>
      </c>
      <c r="D190" s="616" t="str">
        <f t="shared" si="2"/>
        <v>IV</v>
      </c>
      <c r="E190" s="162"/>
      <c r="F190" s="163"/>
      <c r="G190" s="163"/>
      <c r="H190" s="164"/>
      <c r="I190" s="164"/>
      <c r="J190" s="162"/>
      <c r="K190" s="165"/>
      <c r="L190" s="164"/>
      <c r="M190" s="164"/>
      <c r="N190" s="166"/>
      <c r="O190" s="167"/>
      <c r="P190" s="168"/>
      <c r="Q190" s="169"/>
      <c r="R190" s="170"/>
      <c r="S190" s="171"/>
    </row>
    <row r="191" spans="2:19" ht="30.95" hidden="1" customHeight="1" x14ac:dyDescent="0.25">
      <c r="B191" s="60">
        <f>B187</f>
        <v>27</v>
      </c>
      <c r="C191" s="102">
        <v>187</v>
      </c>
      <c r="D191" s="616" t="str">
        <f t="shared" si="2"/>
        <v>IV</v>
      </c>
      <c r="E191" s="162"/>
      <c r="F191" s="163"/>
      <c r="G191" s="163"/>
      <c r="H191" s="164"/>
      <c r="I191" s="164"/>
      <c r="J191" s="162"/>
      <c r="K191" s="165"/>
      <c r="L191" s="164"/>
      <c r="M191" s="164"/>
      <c r="N191" s="166"/>
      <c r="O191" s="167"/>
      <c r="P191" s="168"/>
      <c r="Q191" s="169"/>
      <c r="R191" s="170"/>
      <c r="S191" s="171"/>
    </row>
    <row r="192" spans="2:19" ht="30.95" hidden="1" customHeight="1" x14ac:dyDescent="0.25">
      <c r="B192" s="60">
        <f>B187</f>
        <v>27</v>
      </c>
      <c r="C192" s="102">
        <v>188</v>
      </c>
      <c r="D192" s="616" t="str">
        <f t="shared" si="2"/>
        <v>IV</v>
      </c>
      <c r="E192" s="172"/>
      <c r="F192" s="173"/>
      <c r="G192" s="173"/>
      <c r="H192" s="174"/>
      <c r="I192" s="174"/>
      <c r="J192" s="172"/>
      <c r="K192" s="175"/>
      <c r="L192" s="174"/>
      <c r="M192" s="174"/>
      <c r="N192" s="176"/>
      <c r="O192" s="177"/>
      <c r="P192" s="178"/>
      <c r="Q192" s="179"/>
      <c r="R192" s="180"/>
      <c r="S192" s="181"/>
    </row>
    <row r="193" spans="2:19" ht="30.95" customHeight="1" thickBot="1" x14ac:dyDescent="0.3">
      <c r="B193" s="141">
        <f>B187</f>
        <v>27</v>
      </c>
      <c r="C193" s="142">
        <v>189</v>
      </c>
      <c r="D193" s="618" t="str">
        <f t="shared" si="2"/>
        <v>IV</v>
      </c>
      <c r="E193" s="189"/>
      <c r="F193" s="190"/>
      <c r="G193" s="190"/>
      <c r="H193" s="182"/>
      <c r="I193" s="182"/>
      <c r="J193" s="619" t="s">
        <v>181</v>
      </c>
      <c r="K193" s="620"/>
      <c r="L193" s="621"/>
      <c r="M193" s="182"/>
      <c r="N193" s="183">
        <v>0</v>
      </c>
      <c r="O193" s="184">
        <v>0</v>
      </c>
      <c r="P193" s="185"/>
      <c r="Q193" s="186">
        <v>0</v>
      </c>
      <c r="R193" s="187"/>
      <c r="S193" s="188"/>
    </row>
    <row r="194" spans="2:19" ht="30.95" customHeight="1" thickTop="1" x14ac:dyDescent="0.25">
      <c r="B194" s="129">
        <f>B192+1</f>
        <v>28</v>
      </c>
      <c r="C194" s="130">
        <v>190</v>
      </c>
      <c r="D194" s="196" t="str">
        <f t="shared" si="2"/>
        <v>IV</v>
      </c>
      <c r="E194" s="661">
        <v>10</v>
      </c>
      <c r="F194" s="662">
        <v>43664</v>
      </c>
      <c r="G194" s="662">
        <v>43673</v>
      </c>
      <c r="H194" s="663" t="s">
        <v>259</v>
      </c>
      <c r="I194" s="663">
        <v>6</v>
      </c>
      <c r="J194" s="661" t="s">
        <v>166</v>
      </c>
      <c r="K194" s="664" t="s">
        <v>61</v>
      </c>
      <c r="L194" s="663">
        <v>1.5</v>
      </c>
      <c r="M194" s="663">
        <v>8</v>
      </c>
      <c r="N194" s="665">
        <v>270</v>
      </c>
      <c r="O194" s="666">
        <v>270</v>
      </c>
      <c r="P194" s="667"/>
      <c r="Q194" s="668">
        <v>270</v>
      </c>
      <c r="R194" s="669" t="s">
        <v>4</v>
      </c>
      <c r="S194" s="670">
        <v>43630</v>
      </c>
    </row>
    <row r="195" spans="2:19" ht="30.95" customHeight="1" x14ac:dyDescent="0.25">
      <c r="B195" s="60">
        <f>B194</f>
        <v>28</v>
      </c>
      <c r="C195" s="102">
        <v>191</v>
      </c>
      <c r="D195" s="616" t="str">
        <f t="shared" si="2"/>
        <v>IV</v>
      </c>
      <c r="E195" s="632">
        <v>10</v>
      </c>
      <c r="F195" s="633">
        <v>43664</v>
      </c>
      <c r="G195" s="633">
        <v>43673</v>
      </c>
      <c r="H195" s="634" t="s">
        <v>260</v>
      </c>
      <c r="I195" s="634">
        <v>6</v>
      </c>
      <c r="J195" s="632" t="s">
        <v>166</v>
      </c>
      <c r="K195" s="635" t="s">
        <v>61</v>
      </c>
      <c r="L195" s="634">
        <v>1.5</v>
      </c>
      <c r="M195" s="634">
        <v>8</v>
      </c>
      <c r="N195" s="636">
        <v>270</v>
      </c>
      <c r="O195" s="637">
        <v>270</v>
      </c>
      <c r="P195" s="638"/>
      <c r="Q195" s="639">
        <v>270</v>
      </c>
      <c r="R195" s="640" t="s">
        <v>4</v>
      </c>
      <c r="S195" s="641">
        <v>43630</v>
      </c>
    </row>
    <row r="196" spans="2:19" ht="30.95" hidden="1" customHeight="1" x14ac:dyDescent="0.25">
      <c r="B196" s="60">
        <f>B194</f>
        <v>28</v>
      </c>
      <c r="C196" s="102">
        <v>192</v>
      </c>
      <c r="D196" s="616" t="str">
        <f t="shared" si="2"/>
        <v>IV</v>
      </c>
      <c r="E196" s="632"/>
      <c r="F196" s="633"/>
      <c r="G196" s="633"/>
      <c r="H196" s="634"/>
      <c r="I196" s="634"/>
      <c r="J196" s="632"/>
      <c r="K196" s="635"/>
      <c r="L196" s="634"/>
      <c r="M196" s="634"/>
      <c r="N196" s="636"/>
      <c r="O196" s="637"/>
      <c r="P196" s="638"/>
      <c r="Q196" s="639"/>
      <c r="R196" s="640"/>
      <c r="S196" s="641"/>
    </row>
    <row r="197" spans="2:19" ht="30.95" hidden="1" customHeight="1" x14ac:dyDescent="0.25">
      <c r="B197" s="60">
        <f>B194</f>
        <v>28</v>
      </c>
      <c r="C197" s="102">
        <v>193</v>
      </c>
      <c r="D197" s="616" t="str">
        <f t="shared" si="2"/>
        <v>IV</v>
      </c>
      <c r="E197" s="632"/>
      <c r="F197" s="633"/>
      <c r="G197" s="633"/>
      <c r="H197" s="634"/>
      <c r="I197" s="634"/>
      <c r="J197" s="632"/>
      <c r="K197" s="635"/>
      <c r="L197" s="634"/>
      <c r="M197" s="634"/>
      <c r="N197" s="636"/>
      <c r="O197" s="637"/>
      <c r="P197" s="638"/>
      <c r="Q197" s="639"/>
      <c r="R197" s="640"/>
      <c r="S197" s="641"/>
    </row>
    <row r="198" spans="2:19" ht="30.95" hidden="1" customHeight="1" x14ac:dyDescent="0.25">
      <c r="B198" s="60">
        <f>B194</f>
        <v>28</v>
      </c>
      <c r="C198" s="102">
        <v>194</v>
      </c>
      <c r="D198" s="616" t="str">
        <f t="shared" si="2"/>
        <v>IV</v>
      </c>
      <c r="E198" s="632"/>
      <c r="F198" s="633"/>
      <c r="G198" s="633"/>
      <c r="H198" s="634"/>
      <c r="I198" s="634"/>
      <c r="J198" s="632"/>
      <c r="K198" s="635"/>
      <c r="L198" s="634"/>
      <c r="M198" s="634"/>
      <c r="N198" s="636"/>
      <c r="O198" s="637"/>
      <c r="P198" s="638"/>
      <c r="Q198" s="639"/>
      <c r="R198" s="640"/>
      <c r="S198" s="641"/>
    </row>
    <row r="199" spans="2:19" ht="30.95" hidden="1" customHeight="1" x14ac:dyDescent="0.25">
      <c r="B199" s="60">
        <f>B194</f>
        <v>28</v>
      </c>
      <c r="C199" s="102">
        <v>195</v>
      </c>
      <c r="D199" s="616" t="str">
        <f t="shared" ref="D199:D262" si="3">D198</f>
        <v>IV</v>
      </c>
      <c r="E199" s="632"/>
      <c r="F199" s="633"/>
      <c r="G199" s="633"/>
      <c r="H199" s="634"/>
      <c r="I199" s="634"/>
      <c r="J199" s="632"/>
      <c r="K199" s="635"/>
      <c r="L199" s="634"/>
      <c r="M199" s="634"/>
      <c r="N199" s="636"/>
      <c r="O199" s="637"/>
      <c r="P199" s="638"/>
      <c r="Q199" s="639"/>
      <c r="R199" s="640"/>
      <c r="S199" s="641"/>
    </row>
    <row r="200" spans="2:19" ht="30.95" customHeight="1" thickBot="1" x14ac:dyDescent="0.3">
      <c r="B200" s="141">
        <f>B194</f>
        <v>28</v>
      </c>
      <c r="C200" s="142">
        <v>196</v>
      </c>
      <c r="D200" s="618" t="str">
        <f t="shared" si="3"/>
        <v>IV</v>
      </c>
      <c r="E200" s="652"/>
      <c r="F200" s="653"/>
      <c r="G200" s="653"/>
      <c r="H200" s="654"/>
      <c r="I200" s="654"/>
      <c r="J200" s="619" t="s">
        <v>181</v>
      </c>
      <c r="K200" s="620"/>
      <c r="L200" s="621"/>
      <c r="M200" s="654"/>
      <c r="N200" s="655">
        <v>10</v>
      </c>
      <c r="O200" s="656">
        <v>10</v>
      </c>
      <c r="P200" s="657"/>
      <c r="Q200" s="658">
        <v>10</v>
      </c>
      <c r="R200" s="659" t="s">
        <v>4</v>
      </c>
      <c r="S200" s="660">
        <v>43630</v>
      </c>
    </row>
    <row r="201" spans="2:19" ht="30.95" customHeight="1" thickTop="1" x14ac:dyDescent="0.25">
      <c r="B201" s="129">
        <f>B199+1</f>
        <v>29</v>
      </c>
      <c r="C201" s="130">
        <v>197</v>
      </c>
      <c r="D201" s="196" t="str">
        <f t="shared" si="3"/>
        <v>IV</v>
      </c>
      <c r="E201" s="152">
        <v>10</v>
      </c>
      <c r="F201" s="153">
        <v>43664</v>
      </c>
      <c r="G201" s="153">
        <v>43673</v>
      </c>
      <c r="H201" s="154" t="s">
        <v>261</v>
      </c>
      <c r="I201" s="154">
        <v>2</v>
      </c>
      <c r="J201" s="152" t="s">
        <v>167</v>
      </c>
      <c r="K201" s="155" t="s">
        <v>16</v>
      </c>
      <c r="L201" s="154">
        <v>1</v>
      </c>
      <c r="M201" s="154">
        <v>8</v>
      </c>
      <c r="N201" s="156">
        <v>90</v>
      </c>
      <c r="O201" s="157">
        <v>90</v>
      </c>
      <c r="P201" s="158"/>
      <c r="Q201" s="159">
        <v>90</v>
      </c>
      <c r="R201" s="160" t="s">
        <v>4</v>
      </c>
      <c r="S201" s="161">
        <v>43620</v>
      </c>
    </row>
    <row r="202" spans="2:19" ht="30.95" customHeight="1" x14ac:dyDescent="0.25">
      <c r="B202" s="60">
        <f>B201</f>
        <v>29</v>
      </c>
      <c r="C202" s="102">
        <v>198</v>
      </c>
      <c r="D202" s="616" t="str">
        <f t="shared" si="3"/>
        <v>IV</v>
      </c>
      <c r="E202" s="162">
        <v>10</v>
      </c>
      <c r="F202" s="163">
        <v>43664</v>
      </c>
      <c r="G202" s="163">
        <v>43673</v>
      </c>
      <c r="H202" s="164" t="s">
        <v>262</v>
      </c>
      <c r="I202" s="164">
        <v>2</v>
      </c>
      <c r="J202" s="162" t="s">
        <v>167</v>
      </c>
      <c r="K202" s="165" t="s">
        <v>16</v>
      </c>
      <c r="L202" s="164">
        <v>1</v>
      </c>
      <c r="M202" s="164">
        <v>8</v>
      </c>
      <c r="N202" s="166">
        <v>90</v>
      </c>
      <c r="O202" s="167">
        <v>90</v>
      </c>
      <c r="P202" s="168"/>
      <c r="Q202" s="169">
        <v>90</v>
      </c>
      <c r="R202" s="170" t="s">
        <v>4</v>
      </c>
      <c r="S202" s="171">
        <v>43620</v>
      </c>
    </row>
    <row r="203" spans="2:19" ht="30.95" customHeight="1" x14ac:dyDescent="0.25">
      <c r="B203" s="60">
        <f>B201</f>
        <v>29</v>
      </c>
      <c r="C203" s="102">
        <v>199</v>
      </c>
      <c r="D203" s="616" t="str">
        <f t="shared" si="3"/>
        <v>IV</v>
      </c>
      <c r="E203" s="162">
        <v>10</v>
      </c>
      <c r="F203" s="163">
        <v>43664</v>
      </c>
      <c r="G203" s="163">
        <v>43673</v>
      </c>
      <c r="H203" s="164" t="s">
        <v>263</v>
      </c>
      <c r="I203" s="164">
        <v>3</v>
      </c>
      <c r="J203" s="162" t="s">
        <v>170</v>
      </c>
      <c r="K203" s="165" t="s">
        <v>16</v>
      </c>
      <c r="L203" s="164">
        <v>1</v>
      </c>
      <c r="M203" s="164">
        <v>8</v>
      </c>
      <c r="N203" s="166">
        <v>0</v>
      </c>
      <c r="O203" s="167">
        <v>0</v>
      </c>
      <c r="P203" s="168"/>
      <c r="Q203" s="169">
        <v>0</v>
      </c>
      <c r="R203" s="170" t="s">
        <v>4</v>
      </c>
      <c r="S203" s="171">
        <v>43620</v>
      </c>
    </row>
    <row r="204" spans="2:19" ht="30.95" hidden="1" customHeight="1" x14ac:dyDescent="0.25">
      <c r="B204" s="60">
        <f>B201</f>
        <v>29</v>
      </c>
      <c r="C204" s="102">
        <v>200</v>
      </c>
      <c r="D204" s="616" t="str">
        <f t="shared" si="3"/>
        <v>IV</v>
      </c>
      <c r="E204" s="162"/>
      <c r="F204" s="163"/>
      <c r="G204" s="163"/>
      <c r="H204" s="164"/>
      <c r="I204" s="164"/>
      <c r="J204" s="162"/>
      <c r="K204" s="165"/>
      <c r="L204" s="164"/>
      <c r="M204" s="164"/>
      <c r="N204" s="166"/>
      <c r="O204" s="167"/>
      <c r="P204" s="168"/>
      <c r="Q204" s="169"/>
      <c r="R204" s="170"/>
      <c r="S204" s="171"/>
    </row>
    <row r="205" spans="2:19" ht="30.95" hidden="1" customHeight="1" x14ac:dyDescent="0.25">
      <c r="B205" s="60">
        <f>B201</f>
        <v>29</v>
      </c>
      <c r="C205" s="102">
        <v>201</v>
      </c>
      <c r="D205" s="616" t="str">
        <f t="shared" si="3"/>
        <v>IV</v>
      </c>
      <c r="E205" s="162"/>
      <c r="F205" s="163"/>
      <c r="G205" s="163"/>
      <c r="H205" s="164"/>
      <c r="I205" s="164"/>
      <c r="J205" s="162"/>
      <c r="K205" s="165"/>
      <c r="L205" s="164"/>
      <c r="M205" s="164"/>
      <c r="N205" s="166"/>
      <c r="O205" s="167"/>
      <c r="P205" s="168"/>
      <c r="Q205" s="169"/>
      <c r="R205" s="170"/>
      <c r="S205" s="171"/>
    </row>
    <row r="206" spans="2:19" ht="30.95" hidden="1" customHeight="1" x14ac:dyDescent="0.25">
      <c r="B206" s="60">
        <f>B201</f>
        <v>29</v>
      </c>
      <c r="C206" s="102">
        <v>202</v>
      </c>
      <c r="D206" s="616" t="str">
        <f t="shared" si="3"/>
        <v>IV</v>
      </c>
      <c r="E206" s="172"/>
      <c r="F206" s="173"/>
      <c r="G206" s="173"/>
      <c r="H206" s="174"/>
      <c r="I206" s="174"/>
      <c r="J206" s="172"/>
      <c r="K206" s="175"/>
      <c r="L206" s="174"/>
      <c r="M206" s="174"/>
      <c r="N206" s="176"/>
      <c r="O206" s="177"/>
      <c r="P206" s="178"/>
      <c r="Q206" s="179"/>
      <c r="R206" s="180"/>
      <c r="S206" s="181"/>
    </row>
    <row r="207" spans="2:19" ht="30.95" customHeight="1" thickBot="1" x14ac:dyDescent="0.3">
      <c r="B207" s="141">
        <f>B201</f>
        <v>29</v>
      </c>
      <c r="C207" s="142">
        <v>203</v>
      </c>
      <c r="D207" s="618" t="str">
        <f t="shared" si="3"/>
        <v>IV</v>
      </c>
      <c r="E207" s="189"/>
      <c r="F207" s="190"/>
      <c r="G207" s="190"/>
      <c r="H207" s="182"/>
      <c r="I207" s="182"/>
      <c r="J207" s="619" t="s">
        <v>181</v>
      </c>
      <c r="K207" s="620"/>
      <c r="L207" s="621"/>
      <c r="M207" s="182"/>
      <c r="N207" s="183">
        <v>10</v>
      </c>
      <c r="O207" s="184">
        <v>10</v>
      </c>
      <c r="P207" s="185"/>
      <c r="Q207" s="186">
        <v>10</v>
      </c>
      <c r="R207" s="187" t="s">
        <v>4</v>
      </c>
      <c r="S207" s="188">
        <v>43620</v>
      </c>
    </row>
    <row r="208" spans="2:19" ht="30.95" customHeight="1" thickTop="1" x14ac:dyDescent="0.25">
      <c r="B208" s="129">
        <f>B206+1</f>
        <v>30</v>
      </c>
      <c r="C208" s="130">
        <v>204</v>
      </c>
      <c r="D208" s="196" t="str">
        <f t="shared" si="3"/>
        <v>IV</v>
      </c>
      <c r="E208" s="661">
        <v>10</v>
      </c>
      <c r="F208" s="662">
        <v>43664</v>
      </c>
      <c r="G208" s="662">
        <v>43673</v>
      </c>
      <c r="H208" s="663" t="s">
        <v>264</v>
      </c>
      <c r="I208" s="663">
        <v>1</v>
      </c>
      <c r="J208" s="661" t="s">
        <v>168</v>
      </c>
      <c r="K208" s="664" t="s">
        <v>16</v>
      </c>
      <c r="L208" s="663">
        <v>1</v>
      </c>
      <c r="M208" s="663">
        <v>8</v>
      </c>
      <c r="N208" s="665">
        <v>75</v>
      </c>
      <c r="O208" s="666">
        <v>75</v>
      </c>
      <c r="P208" s="667">
        <v>75</v>
      </c>
      <c r="Q208" s="668"/>
      <c r="R208" s="669" t="s">
        <v>4</v>
      </c>
      <c r="S208" s="670">
        <v>43620</v>
      </c>
    </row>
    <row r="209" spans="2:19" ht="30.95" customHeight="1" x14ac:dyDescent="0.25">
      <c r="B209" s="60">
        <f>B208</f>
        <v>30</v>
      </c>
      <c r="C209" s="102">
        <v>205</v>
      </c>
      <c r="D209" s="616" t="str">
        <f t="shared" si="3"/>
        <v>IV</v>
      </c>
      <c r="E209" s="632">
        <v>10</v>
      </c>
      <c r="F209" s="633">
        <v>43664</v>
      </c>
      <c r="G209" s="633">
        <v>43673</v>
      </c>
      <c r="H209" s="634" t="s">
        <v>265</v>
      </c>
      <c r="I209" s="634">
        <v>2</v>
      </c>
      <c r="J209" s="632" t="s">
        <v>167</v>
      </c>
      <c r="K209" s="635" t="s">
        <v>16</v>
      </c>
      <c r="L209" s="634">
        <v>1</v>
      </c>
      <c r="M209" s="634">
        <v>8</v>
      </c>
      <c r="N209" s="636">
        <v>90</v>
      </c>
      <c r="O209" s="637">
        <v>90</v>
      </c>
      <c r="P209" s="638"/>
      <c r="Q209" s="639">
        <v>90</v>
      </c>
      <c r="R209" s="640" t="s">
        <v>4</v>
      </c>
      <c r="S209" s="641">
        <v>43620</v>
      </c>
    </row>
    <row r="210" spans="2:19" ht="30.95" hidden="1" customHeight="1" x14ac:dyDescent="0.25">
      <c r="B210" s="60">
        <f>B208</f>
        <v>30</v>
      </c>
      <c r="C210" s="102">
        <v>206</v>
      </c>
      <c r="D210" s="616" t="str">
        <f t="shared" si="3"/>
        <v>IV</v>
      </c>
      <c r="E210" s="632"/>
      <c r="F210" s="633"/>
      <c r="G210" s="633"/>
      <c r="H210" s="634"/>
      <c r="I210" s="634"/>
      <c r="J210" s="632"/>
      <c r="K210" s="635"/>
      <c r="L210" s="634"/>
      <c r="M210" s="634"/>
      <c r="N210" s="636"/>
      <c r="O210" s="637"/>
      <c r="P210" s="638"/>
      <c r="Q210" s="639"/>
      <c r="R210" s="640"/>
      <c r="S210" s="641"/>
    </row>
    <row r="211" spans="2:19" ht="30.95" hidden="1" customHeight="1" x14ac:dyDescent="0.25">
      <c r="B211" s="60">
        <f>B208</f>
        <v>30</v>
      </c>
      <c r="C211" s="102">
        <v>207</v>
      </c>
      <c r="D211" s="616" t="str">
        <f t="shared" si="3"/>
        <v>IV</v>
      </c>
      <c r="E211" s="632"/>
      <c r="F211" s="633"/>
      <c r="G211" s="633"/>
      <c r="H211" s="634"/>
      <c r="I211" s="634"/>
      <c r="J211" s="632"/>
      <c r="K211" s="635"/>
      <c r="L211" s="634"/>
      <c r="M211" s="634"/>
      <c r="N211" s="636"/>
      <c r="O211" s="637"/>
      <c r="P211" s="638"/>
      <c r="Q211" s="639"/>
      <c r="R211" s="640"/>
      <c r="S211" s="641"/>
    </row>
    <row r="212" spans="2:19" ht="30.95" hidden="1" customHeight="1" x14ac:dyDescent="0.25">
      <c r="B212" s="60">
        <f>B208</f>
        <v>30</v>
      </c>
      <c r="C212" s="102">
        <v>208</v>
      </c>
      <c r="D212" s="616" t="str">
        <f t="shared" si="3"/>
        <v>IV</v>
      </c>
      <c r="E212" s="632"/>
      <c r="F212" s="633"/>
      <c r="G212" s="633"/>
      <c r="H212" s="634"/>
      <c r="I212" s="634"/>
      <c r="J212" s="632"/>
      <c r="K212" s="635"/>
      <c r="L212" s="634"/>
      <c r="M212" s="634"/>
      <c r="N212" s="636"/>
      <c r="O212" s="637"/>
      <c r="P212" s="638"/>
      <c r="Q212" s="639"/>
      <c r="R212" s="640"/>
      <c r="S212" s="641"/>
    </row>
    <row r="213" spans="2:19" ht="30.95" hidden="1" customHeight="1" x14ac:dyDescent="0.25">
      <c r="B213" s="60">
        <f>B208</f>
        <v>30</v>
      </c>
      <c r="C213" s="102">
        <v>209</v>
      </c>
      <c r="D213" s="616" t="str">
        <f t="shared" si="3"/>
        <v>IV</v>
      </c>
      <c r="E213" s="632"/>
      <c r="F213" s="633"/>
      <c r="G213" s="633"/>
      <c r="H213" s="634"/>
      <c r="I213" s="634"/>
      <c r="J213" s="632"/>
      <c r="K213" s="635"/>
      <c r="L213" s="634"/>
      <c r="M213" s="634"/>
      <c r="N213" s="636"/>
      <c r="O213" s="637"/>
      <c r="P213" s="638"/>
      <c r="Q213" s="639"/>
      <c r="R213" s="640"/>
      <c r="S213" s="641"/>
    </row>
    <row r="214" spans="2:19" ht="30.95" customHeight="1" thickBot="1" x14ac:dyDescent="0.3">
      <c r="B214" s="141">
        <f>B208</f>
        <v>30</v>
      </c>
      <c r="C214" s="142">
        <v>210</v>
      </c>
      <c r="D214" s="618" t="str">
        <f t="shared" si="3"/>
        <v>IV</v>
      </c>
      <c r="E214" s="652"/>
      <c r="F214" s="653"/>
      <c r="G214" s="653"/>
      <c r="H214" s="654"/>
      <c r="I214" s="654"/>
      <c r="J214" s="619" t="s">
        <v>181</v>
      </c>
      <c r="K214" s="620"/>
      <c r="L214" s="621"/>
      <c r="M214" s="654"/>
      <c r="N214" s="655">
        <v>10</v>
      </c>
      <c r="O214" s="656">
        <v>10</v>
      </c>
      <c r="P214" s="657"/>
      <c r="Q214" s="658">
        <v>10</v>
      </c>
      <c r="R214" s="659" t="s">
        <v>4</v>
      </c>
      <c r="S214" s="660">
        <v>43620</v>
      </c>
    </row>
    <row r="215" spans="2:19" ht="30.95" customHeight="1" thickTop="1" x14ac:dyDescent="0.25">
      <c r="B215" s="129">
        <f>B213+1</f>
        <v>31</v>
      </c>
      <c r="C215" s="130">
        <v>211</v>
      </c>
      <c r="D215" s="196" t="str">
        <f t="shared" si="3"/>
        <v>IV</v>
      </c>
      <c r="E215" s="152">
        <v>10</v>
      </c>
      <c r="F215" s="153">
        <v>43664</v>
      </c>
      <c r="G215" s="153">
        <v>43673</v>
      </c>
      <c r="H215" s="154" t="s">
        <v>266</v>
      </c>
      <c r="I215" s="154">
        <v>1</v>
      </c>
      <c r="J215" s="152" t="s">
        <v>168</v>
      </c>
      <c r="K215" s="155" t="s">
        <v>16</v>
      </c>
      <c r="L215" s="154">
        <v>1</v>
      </c>
      <c r="M215" s="154">
        <v>8</v>
      </c>
      <c r="N215" s="156">
        <v>75</v>
      </c>
      <c r="O215" s="157">
        <v>75</v>
      </c>
      <c r="P215" s="158">
        <v>75</v>
      </c>
      <c r="Q215" s="159"/>
      <c r="R215" s="160" t="s">
        <v>4</v>
      </c>
      <c r="S215" s="161">
        <v>43650</v>
      </c>
    </row>
    <row r="216" spans="2:19" ht="30.95" customHeight="1" x14ac:dyDescent="0.25">
      <c r="B216" s="60">
        <f>B215</f>
        <v>31</v>
      </c>
      <c r="C216" s="102">
        <v>212</v>
      </c>
      <c r="D216" s="616" t="str">
        <f t="shared" si="3"/>
        <v>IV</v>
      </c>
      <c r="E216" s="162">
        <v>10</v>
      </c>
      <c r="F216" s="163">
        <v>43664</v>
      </c>
      <c r="G216" s="163">
        <v>43673</v>
      </c>
      <c r="H216" s="164" t="s">
        <v>267</v>
      </c>
      <c r="I216" s="164">
        <v>2</v>
      </c>
      <c r="J216" s="162" t="s">
        <v>167</v>
      </c>
      <c r="K216" s="165" t="s">
        <v>16</v>
      </c>
      <c r="L216" s="164">
        <v>1</v>
      </c>
      <c r="M216" s="164">
        <v>8</v>
      </c>
      <c r="N216" s="166">
        <v>90</v>
      </c>
      <c r="O216" s="167">
        <v>90</v>
      </c>
      <c r="P216" s="168"/>
      <c r="Q216" s="169">
        <v>90</v>
      </c>
      <c r="R216" s="170" t="s">
        <v>4</v>
      </c>
      <c r="S216" s="171">
        <v>43650</v>
      </c>
    </row>
    <row r="217" spans="2:19" ht="30.95" hidden="1" customHeight="1" x14ac:dyDescent="0.25">
      <c r="B217" s="60">
        <f>B215</f>
        <v>31</v>
      </c>
      <c r="C217" s="102">
        <v>213</v>
      </c>
      <c r="D217" s="616" t="str">
        <f t="shared" si="3"/>
        <v>IV</v>
      </c>
      <c r="E217" s="162"/>
      <c r="F217" s="163"/>
      <c r="G217" s="163"/>
      <c r="H217" s="164"/>
      <c r="I217" s="164"/>
      <c r="J217" s="162"/>
      <c r="K217" s="165"/>
      <c r="L217" s="164"/>
      <c r="M217" s="164"/>
      <c r="N217" s="166"/>
      <c r="O217" s="167"/>
      <c r="P217" s="168"/>
      <c r="Q217" s="169"/>
      <c r="R217" s="170"/>
      <c r="S217" s="171"/>
    </row>
    <row r="218" spans="2:19" ht="30.95" hidden="1" customHeight="1" x14ac:dyDescent="0.25">
      <c r="B218" s="60">
        <f>B215</f>
        <v>31</v>
      </c>
      <c r="C218" s="102">
        <v>214</v>
      </c>
      <c r="D218" s="616" t="str">
        <f t="shared" si="3"/>
        <v>IV</v>
      </c>
      <c r="E218" s="162"/>
      <c r="F218" s="163"/>
      <c r="G218" s="163"/>
      <c r="H218" s="164"/>
      <c r="I218" s="164"/>
      <c r="J218" s="162"/>
      <c r="K218" s="165"/>
      <c r="L218" s="164"/>
      <c r="M218" s="164"/>
      <c r="N218" s="166"/>
      <c r="O218" s="167"/>
      <c r="P218" s="168"/>
      <c r="Q218" s="169"/>
      <c r="R218" s="170"/>
      <c r="S218" s="171"/>
    </row>
    <row r="219" spans="2:19" ht="30.95" hidden="1" customHeight="1" x14ac:dyDescent="0.25">
      <c r="B219" s="60">
        <f>B215</f>
        <v>31</v>
      </c>
      <c r="C219" s="102">
        <v>215</v>
      </c>
      <c r="D219" s="616" t="str">
        <f t="shared" si="3"/>
        <v>IV</v>
      </c>
      <c r="E219" s="162"/>
      <c r="F219" s="163"/>
      <c r="G219" s="163"/>
      <c r="H219" s="164"/>
      <c r="I219" s="164"/>
      <c r="J219" s="162"/>
      <c r="K219" s="165"/>
      <c r="L219" s="164"/>
      <c r="M219" s="164"/>
      <c r="N219" s="166"/>
      <c r="O219" s="167"/>
      <c r="P219" s="168"/>
      <c r="Q219" s="169"/>
      <c r="R219" s="170"/>
      <c r="S219" s="171"/>
    </row>
    <row r="220" spans="2:19" ht="30.95" hidden="1" customHeight="1" x14ac:dyDescent="0.25">
      <c r="B220" s="60">
        <f>B215</f>
        <v>31</v>
      </c>
      <c r="C220" s="102">
        <v>216</v>
      </c>
      <c r="D220" s="616" t="str">
        <f t="shared" si="3"/>
        <v>IV</v>
      </c>
      <c r="E220" s="172"/>
      <c r="F220" s="173"/>
      <c r="G220" s="173"/>
      <c r="H220" s="174"/>
      <c r="I220" s="174"/>
      <c r="J220" s="172"/>
      <c r="K220" s="175"/>
      <c r="L220" s="174"/>
      <c r="M220" s="174"/>
      <c r="N220" s="176"/>
      <c r="O220" s="177"/>
      <c r="P220" s="178"/>
      <c r="Q220" s="179"/>
      <c r="R220" s="180"/>
      <c r="S220" s="181"/>
    </row>
    <row r="221" spans="2:19" ht="30.95" customHeight="1" thickBot="1" x14ac:dyDescent="0.3">
      <c r="B221" s="141">
        <f>B215</f>
        <v>31</v>
      </c>
      <c r="C221" s="142">
        <v>217</v>
      </c>
      <c r="D221" s="618" t="str">
        <f t="shared" si="3"/>
        <v>IV</v>
      </c>
      <c r="E221" s="189"/>
      <c r="F221" s="190"/>
      <c r="G221" s="190"/>
      <c r="H221" s="182"/>
      <c r="I221" s="182"/>
      <c r="J221" s="619" t="s">
        <v>181</v>
      </c>
      <c r="K221" s="620"/>
      <c r="L221" s="621"/>
      <c r="M221" s="182"/>
      <c r="N221" s="183">
        <v>10</v>
      </c>
      <c r="O221" s="184">
        <v>10</v>
      </c>
      <c r="P221" s="185"/>
      <c r="Q221" s="186">
        <v>10</v>
      </c>
      <c r="R221" s="187" t="s">
        <v>4</v>
      </c>
      <c r="S221" s="188">
        <v>43650</v>
      </c>
    </row>
    <row r="222" spans="2:19" ht="30.95" customHeight="1" thickTop="1" x14ac:dyDescent="0.25">
      <c r="B222" s="129">
        <f>B220+1</f>
        <v>32</v>
      </c>
      <c r="C222" s="130">
        <v>218</v>
      </c>
      <c r="D222" s="196" t="str">
        <f t="shared" si="3"/>
        <v>IV</v>
      </c>
      <c r="E222" s="661">
        <v>5</v>
      </c>
      <c r="F222" s="662">
        <v>43664</v>
      </c>
      <c r="G222" s="662">
        <v>43668</v>
      </c>
      <c r="H222" s="663" t="s">
        <v>268</v>
      </c>
      <c r="I222" s="663">
        <v>1</v>
      </c>
      <c r="J222" s="661" t="s">
        <v>168</v>
      </c>
      <c r="K222" s="664" t="s">
        <v>16</v>
      </c>
      <c r="L222" s="663">
        <v>1</v>
      </c>
      <c r="M222" s="663">
        <v>10</v>
      </c>
      <c r="N222" s="665">
        <v>11</v>
      </c>
      <c r="O222" s="666">
        <v>55</v>
      </c>
      <c r="P222" s="667">
        <v>55</v>
      </c>
      <c r="Q222" s="668"/>
      <c r="R222" s="669" t="s">
        <v>4</v>
      </c>
      <c r="S222" s="670">
        <v>43633</v>
      </c>
    </row>
    <row r="223" spans="2:19" ht="30.95" customHeight="1" x14ac:dyDescent="0.25">
      <c r="B223" s="60">
        <f>B222</f>
        <v>32</v>
      </c>
      <c r="C223" s="102">
        <v>219</v>
      </c>
      <c r="D223" s="616" t="str">
        <f t="shared" si="3"/>
        <v>IV</v>
      </c>
      <c r="E223" s="632">
        <v>5</v>
      </c>
      <c r="F223" s="633">
        <v>43664</v>
      </c>
      <c r="G223" s="633">
        <v>43668</v>
      </c>
      <c r="H223" s="634" t="s">
        <v>269</v>
      </c>
      <c r="I223" s="634">
        <v>2</v>
      </c>
      <c r="J223" s="632" t="s">
        <v>167</v>
      </c>
      <c r="K223" s="635" t="s">
        <v>16</v>
      </c>
      <c r="L223" s="634">
        <v>1</v>
      </c>
      <c r="M223" s="634">
        <v>10</v>
      </c>
      <c r="N223" s="636">
        <v>12</v>
      </c>
      <c r="O223" s="637">
        <v>60</v>
      </c>
      <c r="P223" s="638"/>
      <c r="Q223" s="639">
        <v>60</v>
      </c>
      <c r="R223" s="640" t="s">
        <v>4</v>
      </c>
      <c r="S223" s="641">
        <v>43633</v>
      </c>
    </row>
    <row r="224" spans="2:19" ht="30.95" customHeight="1" x14ac:dyDescent="0.25">
      <c r="B224" s="60">
        <f>B222</f>
        <v>32</v>
      </c>
      <c r="C224" s="102">
        <v>220</v>
      </c>
      <c r="D224" s="616" t="str">
        <f t="shared" si="3"/>
        <v>IV</v>
      </c>
      <c r="E224" s="632">
        <v>5</v>
      </c>
      <c r="F224" s="633">
        <v>43664</v>
      </c>
      <c r="G224" s="633">
        <v>43668</v>
      </c>
      <c r="H224" s="634" t="s">
        <v>270</v>
      </c>
      <c r="I224" s="634">
        <v>2</v>
      </c>
      <c r="J224" s="632" t="s">
        <v>167</v>
      </c>
      <c r="K224" s="635" t="s">
        <v>16</v>
      </c>
      <c r="L224" s="634">
        <v>1</v>
      </c>
      <c r="M224" s="634">
        <v>10</v>
      </c>
      <c r="N224" s="636">
        <v>12</v>
      </c>
      <c r="O224" s="637">
        <v>60</v>
      </c>
      <c r="P224" s="638"/>
      <c r="Q224" s="639">
        <v>60</v>
      </c>
      <c r="R224" s="640" t="s">
        <v>4</v>
      </c>
      <c r="S224" s="641">
        <v>43633</v>
      </c>
    </row>
    <row r="225" spans="2:19" ht="30.95" hidden="1" customHeight="1" x14ac:dyDescent="0.25">
      <c r="B225" s="60">
        <f>B222</f>
        <v>32</v>
      </c>
      <c r="C225" s="102">
        <v>221</v>
      </c>
      <c r="D225" s="616" t="str">
        <f t="shared" si="3"/>
        <v>IV</v>
      </c>
      <c r="E225" s="632"/>
      <c r="F225" s="633"/>
      <c r="G225" s="633"/>
      <c r="H225" s="634"/>
      <c r="I225" s="634"/>
      <c r="J225" s="632"/>
      <c r="K225" s="635"/>
      <c r="L225" s="634"/>
      <c r="M225" s="634"/>
      <c r="N225" s="636"/>
      <c r="O225" s="637"/>
      <c r="P225" s="638"/>
      <c r="Q225" s="639"/>
      <c r="R225" s="640"/>
      <c r="S225" s="641"/>
    </row>
    <row r="226" spans="2:19" ht="30.95" hidden="1" customHeight="1" x14ac:dyDescent="0.25">
      <c r="B226" s="60">
        <f>B222</f>
        <v>32</v>
      </c>
      <c r="C226" s="102">
        <v>222</v>
      </c>
      <c r="D226" s="616" t="str">
        <f t="shared" si="3"/>
        <v>IV</v>
      </c>
      <c r="E226" s="632"/>
      <c r="F226" s="633"/>
      <c r="G226" s="633"/>
      <c r="H226" s="634"/>
      <c r="I226" s="634"/>
      <c r="J226" s="632"/>
      <c r="K226" s="635"/>
      <c r="L226" s="634"/>
      <c r="M226" s="634"/>
      <c r="N226" s="636"/>
      <c r="O226" s="637"/>
      <c r="P226" s="638"/>
      <c r="Q226" s="639"/>
      <c r="R226" s="640"/>
      <c r="S226" s="641"/>
    </row>
    <row r="227" spans="2:19" ht="30.95" hidden="1" customHeight="1" x14ac:dyDescent="0.25">
      <c r="B227" s="60">
        <f>B222</f>
        <v>32</v>
      </c>
      <c r="C227" s="102">
        <v>223</v>
      </c>
      <c r="D227" s="616" t="str">
        <f t="shared" si="3"/>
        <v>IV</v>
      </c>
      <c r="E227" s="632"/>
      <c r="F227" s="633"/>
      <c r="G227" s="633"/>
      <c r="H227" s="634"/>
      <c r="I227" s="634"/>
      <c r="J227" s="632"/>
      <c r="K227" s="635"/>
      <c r="L227" s="634"/>
      <c r="M227" s="634"/>
      <c r="N227" s="636"/>
      <c r="O227" s="637"/>
      <c r="P227" s="638"/>
      <c r="Q227" s="639"/>
      <c r="R227" s="640"/>
      <c r="S227" s="641"/>
    </row>
    <row r="228" spans="2:19" ht="30.95" customHeight="1" thickBot="1" x14ac:dyDescent="0.3">
      <c r="B228" s="141">
        <f>B222</f>
        <v>32</v>
      </c>
      <c r="C228" s="142">
        <v>224</v>
      </c>
      <c r="D228" s="618" t="str">
        <f t="shared" si="3"/>
        <v>IV</v>
      </c>
      <c r="E228" s="652"/>
      <c r="F228" s="653"/>
      <c r="G228" s="653"/>
      <c r="H228" s="654"/>
      <c r="I228" s="654"/>
      <c r="J228" s="619" t="s">
        <v>181</v>
      </c>
      <c r="K228" s="620"/>
      <c r="L228" s="621"/>
      <c r="M228" s="654"/>
      <c r="N228" s="655">
        <v>10</v>
      </c>
      <c r="O228" s="656">
        <v>10</v>
      </c>
      <c r="P228" s="657"/>
      <c r="Q228" s="658">
        <v>10</v>
      </c>
      <c r="R228" s="659" t="s">
        <v>4</v>
      </c>
      <c r="S228" s="660">
        <v>43633</v>
      </c>
    </row>
    <row r="229" spans="2:19" ht="30.95" customHeight="1" thickTop="1" x14ac:dyDescent="0.25">
      <c r="B229" s="129">
        <f>B227+1</f>
        <v>33</v>
      </c>
      <c r="C229" s="130">
        <v>225</v>
      </c>
      <c r="D229" s="196" t="str">
        <f t="shared" si="3"/>
        <v>IV</v>
      </c>
      <c r="E229" s="152">
        <v>10</v>
      </c>
      <c r="F229" s="153">
        <v>43664</v>
      </c>
      <c r="G229" s="153">
        <v>43673</v>
      </c>
      <c r="H229" s="154" t="s">
        <v>271</v>
      </c>
      <c r="I229" s="154">
        <v>2</v>
      </c>
      <c r="J229" s="152" t="s">
        <v>167</v>
      </c>
      <c r="K229" s="155" t="s">
        <v>16</v>
      </c>
      <c r="L229" s="154">
        <v>1</v>
      </c>
      <c r="M229" s="154">
        <v>8</v>
      </c>
      <c r="N229" s="156">
        <v>90</v>
      </c>
      <c r="O229" s="157">
        <v>90</v>
      </c>
      <c r="P229" s="158"/>
      <c r="Q229" s="159">
        <v>90</v>
      </c>
      <c r="R229" s="160" t="s">
        <v>4</v>
      </c>
      <c r="S229" s="161">
        <v>43621</v>
      </c>
    </row>
    <row r="230" spans="2:19" ht="30.95" hidden="1" customHeight="1" x14ac:dyDescent="0.25">
      <c r="B230" s="60">
        <f>B229</f>
        <v>33</v>
      </c>
      <c r="C230" s="102">
        <v>226</v>
      </c>
      <c r="D230" s="616" t="str">
        <f t="shared" si="3"/>
        <v>IV</v>
      </c>
      <c r="E230" s="162">
        <v>10</v>
      </c>
      <c r="F230" s="163">
        <v>43664</v>
      </c>
      <c r="G230" s="163">
        <v>43673</v>
      </c>
      <c r="H230" s="164" t="s">
        <v>272</v>
      </c>
      <c r="I230" s="164">
        <v>3</v>
      </c>
      <c r="J230" s="162" t="s">
        <v>170</v>
      </c>
      <c r="K230" s="165"/>
      <c r="L230" s="164"/>
      <c r="M230" s="164"/>
      <c r="N230" s="166"/>
      <c r="O230" s="167"/>
      <c r="P230" s="168"/>
      <c r="Q230" s="169"/>
      <c r="R230" s="170" t="s">
        <v>4</v>
      </c>
      <c r="S230" s="171">
        <v>43621</v>
      </c>
    </row>
    <row r="231" spans="2:19" ht="30.95" hidden="1" customHeight="1" x14ac:dyDescent="0.25">
      <c r="B231" s="60">
        <f>B229</f>
        <v>33</v>
      </c>
      <c r="C231" s="102">
        <v>227</v>
      </c>
      <c r="D231" s="616" t="str">
        <f t="shared" si="3"/>
        <v>IV</v>
      </c>
      <c r="E231" s="162"/>
      <c r="F231" s="163"/>
      <c r="G231" s="163"/>
      <c r="H231" s="164"/>
      <c r="I231" s="164"/>
      <c r="J231" s="162"/>
      <c r="K231" s="165"/>
      <c r="L231" s="164"/>
      <c r="M231" s="164"/>
      <c r="N231" s="166"/>
      <c r="O231" s="167"/>
      <c r="P231" s="168"/>
      <c r="Q231" s="169"/>
      <c r="R231" s="170"/>
      <c r="S231" s="171"/>
    </row>
    <row r="232" spans="2:19" ht="30.95" hidden="1" customHeight="1" x14ac:dyDescent="0.25">
      <c r="B232" s="60">
        <f>B229</f>
        <v>33</v>
      </c>
      <c r="C232" s="102">
        <v>228</v>
      </c>
      <c r="D232" s="616" t="str">
        <f t="shared" si="3"/>
        <v>IV</v>
      </c>
      <c r="E232" s="162"/>
      <c r="F232" s="163"/>
      <c r="G232" s="163"/>
      <c r="H232" s="164"/>
      <c r="I232" s="164"/>
      <c r="J232" s="162"/>
      <c r="K232" s="165"/>
      <c r="L232" s="164"/>
      <c r="M232" s="164"/>
      <c r="N232" s="166"/>
      <c r="O232" s="167"/>
      <c r="P232" s="168"/>
      <c r="Q232" s="169"/>
      <c r="R232" s="170"/>
      <c r="S232" s="171"/>
    </row>
    <row r="233" spans="2:19" ht="30.95" hidden="1" customHeight="1" x14ac:dyDescent="0.25">
      <c r="B233" s="60">
        <f>B229</f>
        <v>33</v>
      </c>
      <c r="C233" s="102">
        <v>229</v>
      </c>
      <c r="D233" s="616" t="str">
        <f t="shared" si="3"/>
        <v>IV</v>
      </c>
      <c r="E233" s="162"/>
      <c r="F233" s="163"/>
      <c r="G233" s="163"/>
      <c r="H233" s="164"/>
      <c r="I233" s="164"/>
      <c r="J233" s="162"/>
      <c r="K233" s="165"/>
      <c r="L233" s="164"/>
      <c r="M233" s="164"/>
      <c r="N233" s="166"/>
      <c r="O233" s="167"/>
      <c r="P233" s="168"/>
      <c r="Q233" s="169"/>
      <c r="R233" s="170"/>
      <c r="S233" s="171"/>
    </row>
    <row r="234" spans="2:19" ht="30.95" hidden="1" customHeight="1" x14ac:dyDescent="0.25">
      <c r="B234" s="60">
        <f>B229</f>
        <v>33</v>
      </c>
      <c r="C234" s="102">
        <v>230</v>
      </c>
      <c r="D234" s="616" t="str">
        <f t="shared" si="3"/>
        <v>IV</v>
      </c>
      <c r="E234" s="172"/>
      <c r="F234" s="173"/>
      <c r="G234" s="173"/>
      <c r="H234" s="174"/>
      <c r="I234" s="174"/>
      <c r="J234" s="172"/>
      <c r="K234" s="175"/>
      <c r="L234" s="174"/>
      <c r="M234" s="174"/>
      <c r="N234" s="176"/>
      <c r="O234" s="177"/>
      <c r="P234" s="178"/>
      <c r="Q234" s="179"/>
      <c r="R234" s="180"/>
      <c r="S234" s="181"/>
    </row>
    <row r="235" spans="2:19" ht="30.95" customHeight="1" thickBot="1" x14ac:dyDescent="0.3">
      <c r="B235" s="141">
        <f>B229</f>
        <v>33</v>
      </c>
      <c r="C235" s="142">
        <v>231</v>
      </c>
      <c r="D235" s="618" t="str">
        <f t="shared" si="3"/>
        <v>IV</v>
      </c>
      <c r="E235" s="189"/>
      <c r="F235" s="190"/>
      <c r="G235" s="190"/>
      <c r="H235" s="182"/>
      <c r="I235" s="182"/>
      <c r="J235" s="619" t="s">
        <v>181</v>
      </c>
      <c r="K235" s="620"/>
      <c r="L235" s="621"/>
      <c r="M235" s="182"/>
      <c r="N235" s="183">
        <v>10</v>
      </c>
      <c r="O235" s="184">
        <v>10</v>
      </c>
      <c r="P235" s="185"/>
      <c r="Q235" s="186">
        <v>10</v>
      </c>
      <c r="R235" s="187" t="s">
        <v>4</v>
      </c>
      <c r="S235" s="188">
        <v>43621</v>
      </c>
    </row>
    <row r="236" spans="2:19" ht="30.95" customHeight="1" thickTop="1" x14ac:dyDescent="0.25">
      <c r="B236" s="129">
        <f>B234+1</f>
        <v>34</v>
      </c>
      <c r="C236" s="130">
        <v>232</v>
      </c>
      <c r="D236" s="196" t="str">
        <f t="shared" si="3"/>
        <v>IV</v>
      </c>
      <c r="E236" s="661">
        <v>10</v>
      </c>
      <c r="F236" s="662">
        <v>43664</v>
      </c>
      <c r="G236" s="662">
        <v>43673</v>
      </c>
      <c r="H236" s="663" t="s">
        <v>242</v>
      </c>
      <c r="I236" s="663">
        <v>1</v>
      </c>
      <c r="J236" s="661" t="s">
        <v>168</v>
      </c>
      <c r="K236" s="664" t="s">
        <v>61</v>
      </c>
      <c r="L236" s="663">
        <v>1.5</v>
      </c>
      <c r="M236" s="663">
        <v>8</v>
      </c>
      <c r="N236" s="665">
        <v>112.5</v>
      </c>
      <c r="O236" s="666">
        <v>112.5</v>
      </c>
      <c r="P236" s="667">
        <v>112.5</v>
      </c>
      <c r="Q236" s="668"/>
      <c r="R236" s="669" t="s">
        <v>4</v>
      </c>
      <c r="S236" s="670">
        <v>43620</v>
      </c>
    </row>
    <row r="237" spans="2:19" ht="30.95" hidden="1" customHeight="1" x14ac:dyDescent="0.25">
      <c r="B237" s="60">
        <f>B236</f>
        <v>34</v>
      </c>
      <c r="C237" s="102">
        <v>233</v>
      </c>
      <c r="D237" s="616" t="str">
        <f t="shared" si="3"/>
        <v>IV</v>
      </c>
      <c r="E237" s="632">
        <v>10</v>
      </c>
      <c r="F237" s="633">
        <v>43664</v>
      </c>
      <c r="G237" s="633">
        <v>43673</v>
      </c>
      <c r="H237" s="634" t="s">
        <v>243</v>
      </c>
      <c r="I237" s="634">
        <v>3</v>
      </c>
      <c r="J237" s="632" t="s">
        <v>170</v>
      </c>
      <c r="K237" s="635"/>
      <c r="L237" s="634"/>
      <c r="M237" s="634"/>
      <c r="N237" s="636"/>
      <c r="O237" s="637"/>
      <c r="P237" s="638"/>
      <c r="Q237" s="639"/>
      <c r="R237" s="640" t="s">
        <v>4</v>
      </c>
      <c r="S237" s="641">
        <v>43620</v>
      </c>
    </row>
    <row r="238" spans="2:19" ht="30.95" customHeight="1" x14ac:dyDescent="0.25">
      <c r="B238" s="60">
        <f>B236</f>
        <v>34</v>
      </c>
      <c r="C238" s="102">
        <v>234</v>
      </c>
      <c r="D238" s="616" t="str">
        <f t="shared" si="3"/>
        <v>IV</v>
      </c>
      <c r="E238" s="632">
        <v>10</v>
      </c>
      <c r="F238" s="633">
        <v>43664</v>
      </c>
      <c r="G238" s="633">
        <v>43673</v>
      </c>
      <c r="H238" s="634" t="s">
        <v>273</v>
      </c>
      <c r="I238" s="634">
        <v>2</v>
      </c>
      <c r="J238" s="632" t="s">
        <v>167</v>
      </c>
      <c r="K238" s="635" t="s">
        <v>61</v>
      </c>
      <c r="L238" s="634">
        <v>1.5</v>
      </c>
      <c r="M238" s="634">
        <v>8</v>
      </c>
      <c r="N238" s="636">
        <v>135</v>
      </c>
      <c r="O238" s="637">
        <v>135</v>
      </c>
      <c r="P238" s="638"/>
      <c r="Q238" s="639">
        <v>135</v>
      </c>
      <c r="R238" s="640" t="s">
        <v>4</v>
      </c>
      <c r="S238" s="641">
        <v>43620</v>
      </c>
    </row>
    <row r="239" spans="2:19" ht="30.95" hidden="1" customHeight="1" x14ac:dyDescent="0.25">
      <c r="B239" s="60">
        <f>B236</f>
        <v>34</v>
      </c>
      <c r="C239" s="102">
        <v>235</v>
      </c>
      <c r="D239" s="616" t="str">
        <f t="shared" si="3"/>
        <v>IV</v>
      </c>
      <c r="E239" s="632"/>
      <c r="F239" s="633"/>
      <c r="G239" s="633"/>
      <c r="H239" s="634"/>
      <c r="I239" s="634"/>
      <c r="J239" s="632"/>
      <c r="K239" s="635"/>
      <c r="L239" s="634"/>
      <c r="M239" s="634"/>
      <c r="N239" s="636"/>
      <c r="O239" s="637"/>
      <c r="P239" s="638"/>
      <c r="Q239" s="639"/>
      <c r="R239" s="640"/>
      <c r="S239" s="641"/>
    </row>
    <row r="240" spans="2:19" ht="30.95" hidden="1" customHeight="1" x14ac:dyDescent="0.25">
      <c r="B240" s="60">
        <f>B236</f>
        <v>34</v>
      </c>
      <c r="C240" s="102">
        <v>236</v>
      </c>
      <c r="D240" s="616" t="str">
        <f t="shared" si="3"/>
        <v>IV</v>
      </c>
      <c r="E240" s="632"/>
      <c r="F240" s="633"/>
      <c r="G240" s="633"/>
      <c r="H240" s="634"/>
      <c r="I240" s="634"/>
      <c r="J240" s="632"/>
      <c r="K240" s="635"/>
      <c r="L240" s="634"/>
      <c r="M240" s="634"/>
      <c r="N240" s="636"/>
      <c r="O240" s="637"/>
      <c r="P240" s="638"/>
      <c r="Q240" s="639"/>
      <c r="R240" s="640"/>
      <c r="S240" s="641"/>
    </row>
    <row r="241" spans="2:19" ht="30.95" hidden="1" customHeight="1" x14ac:dyDescent="0.25">
      <c r="B241" s="60">
        <f>B236</f>
        <v>34</v>
      </c>
      <c r="C241" s="102">
        <v>237</v>
      </c>
      <c r="D241" s="616" t="str">
        <f t="shared" si="3"/>
        <v>IV</v>
      </c>
      <c r="E241" s="632"/>
      <c r="F241" s="633"/>
      <c r="G241" s="633"/>
      <c r="H241" s="634"/>
      <c r="I241" s="634"/>
      <c r="J241" s="632"/>
      <c r="K241" s="635"/>
      <c r="L241" s="634"/>
      <c r="M241" s="634"/>
      <c r="N241" s="636"/>
      <c r="O241" s="637"/>
      <c r="P241" s="638"/>
      <c r="Q241" s="639"/>
      <c r="R241" s="640"/>
      <c r="S241" s="641"/>
    </row>
    <row r="242" spans="2:19" ht="30.95" customHeight="1" thickBot="1" x14ac:dyDescent="0.3">
      <c r="B242" s="141">
        <f>B236</f>
        <v>34</v>
      </c>
      <c r="C242" s="142">
        <v>238</v>
      </c>
      <c r="D242" s="618" t="str">
        <f t="shared" si="3"/>
        <v>IV</v>
      </c>
      <c r="E242" s="652"/>
      <c r="F242" s="653"/>
      <c r="G242" s="653"/>
      <c r="H242" s="654"/>
      <c r="I242" s="654"/>
      <c r="J242" s="619" t="s">
        <v>181</v>
      </c>
      <c r="K242" s="620"/>
      <c r="L242" s="621"/>
      <c r="M242" s="654"/>
      <c r="N242" s="655">
        <v>10</v>
      </c>
      <c r="O242" s="656">
        <v>10</v>
      </c>
      <c r="P242" s="657"/>
      <c r="Q242" s="658">
        <v>10</v>
      </c>
      <c r="R242" s="659" t="s">
        <v>4</v>
      </c>
      <c r="S242" s="660">
        <v>43620</v>
      </c>
    </row>
    <row r="243" spans="2:19" ht="30.95" customHeight="1" thickTop="1" x14ac:dyDescent="0.25">
      <c r="B243" s="129">
        <f>B241+1</f>
        <v>35</v>
      </c>
      <c r="C243" s="130">
        <v>239</v>
      </c>
      <c r="D243" s="196" t="str">
        <f t="shared" si="3"/>
        <v>IV</v>
      </c>
      <c r="E243" s="152">
        <v>10</v>
      </c>
      <c r="F243" s="153">
        <v>43664</v>
      </c>
      <c r="G243" s="153">
        <v>43673</v>
      </c>
      <c r="H243" s="154" t="s">
        <v>274</v>
      </c>
      <c r="I243" s="154">
        <v>1</v>
      </c>
      <c r="J243" s="152" t="s">
        <v>168</v>
      </c>
      <c r="K243" s="155" t="s">
        <v>16</v>
      </c>
      <c r="L243" s="154">
        <v>1</v>
      </c>
      <c r="M243" s="154">
        <v>8</v>
      </c>
      <c r="N243" s="156">
        <v>75</v>
      </c>
      <c r="O243" s="157">
        <v>75</v>
      </c>
      <c r="P243" s="158">
        <v>75</v>
      </c>
      <c r="Q243" s="159"/>
      <c r="R243" s="160" t="s">
        <v>4</v>
      </c>
      <c r="S243" s="161">
        <v>43620</v>
      </c>
    </row>
    <row r="244" spans="2:19" ht="30.95" hidden="1" customHeight="1" x14ac:dyDescent="0.25">
      <c r="B244" s="60">
        <f>B243</f>
        <v>35</v>
      </c>
      <c r="C244" s="102">
        <v>240</v>
      </c>
      <c r="D244" s="616" t="str">
        <f t="shared" si="3"/>
        <v>IV</v>
      </c>
      <c r="E244" s="162"/>
      <c r="F244" s="163"/>
      <c r="G244" s="163"/>
      <c r="H244" s="164"/>
      <c r="I244" s="164"/>
      <c r="J244" s="162"/>
      <c r="K244" s="165"/>
      <c r="L244" s="164"/>
      <c r="M244" s="164"/>
      <c r="N244" s="166"/>
      <c r="O244" s="167"/>
      <c r="P244" s="168"/>
      <c r="Q244" s="169"/>
      <c r="R244" s="170"/>
      <c r="S244" s="171"/>
    </row>
    <row r="245" spans="2:19" ht="30.95" hidden="1" customHeight="1" x14ac:dyDescent="0.25">
      <c r="B245" s="60">
        <f>B243</f>
        <v>35</v>
      </c>
      <c r="C245" s="102">
        <v>241</v>
      </c>
      <c r="D245" s="616" t="str">
        <f t="shared" si="3"/>
        <v>IV</v>
      </c>
      <c r="E245" s="162"/>
      <c r="F245" s="163"/>
      <c r="G245" s="163"/>
      <c r="H245" s="164"/>
      <c r="I245" s="164"/>
      <c r="J245" s="162"/>
      <c r="K245" s="165"/>
      <c r="L245" s="164"/>
      <c r="M245" s="164"/>
      <c r="N245" s="166"/>
      <c r="O245" s="167"/>
      <c r="P245" s="168"/>
      <c r="Q245" s="169"/>
      <c r="R245" s="170"/>
      <c r="S245" s="171"/>
    </row>
    <row r="246" spans="2:19" ht="30.95" hidden="1" customHeight="1" x14ac:dyDescent="0.25">
      <c r="B246" s="60">
        <f>B243</f>
        <v>35</v>
      </c>
      <c r="C246" s="102">
        <v>242</v>
      </c>
      <c r="D246" s="616" t="str">
        <f t="shared" si="3"/>
        <v>IV</v>
      </c>
      <c r="E246" s="162"/>
      <c r="F246" s="163"/>
      <c r="G246" s="163"/>
      <c r="H246" s="164"/>
      <c r="I246" s="164"/>
      <c r="J246" s="162"/>
      <c r="K246" s="165"/>
      <c r="L246" s="164"/>
      <c r="M246" s="164"/>
      <c r="N246" s="166"/>
      <c r="O246" s="167"/>
      <c r="P246" s="168"/>
      <c r="Q246" s="169"/>
      <c r="R246" s="170"/>
      <c r="S246" s="171"/>
    </row>
    <row r="247" spans="2:19" ht="30.95" hidden="1" customHeight="1" x14ac:dyDescent="0.25">
      <c r="B247" s="60">
        <f>B243</f>
        <v>35</v>
      </c>
      <c r="C247" s="102">
        <v>243</v>
      </c>
      <c r="D247" s="616" t="str">
        <f t="shared" si="3"/>
        <v>IV</v>
      </c>
      <c r="E247" s="162"/>
      <c r="F247" s="163"/>
      <c r="G247" s="163"/>
      <c r="H247" s="164"/>
      <c r="I247" s="164"/>
      <c r="J247" s="162"/>
      <c r="K247" s="165"/>
      <c r="L247" s="164"/>
      <c r="M247" s="164"/>
      <c r="N247" s="166"/>
      <c r="O247" s="167"/>
      <c r="P247" s="168"/>
      <c r="Q247" s="169"/>
      <c r="R247" s="170"/>
      <c r="S247" s="171"/>
    </row>
    <row r="248" spans="2:19" ht="30.95" hidden="1" customHeight="1" x14ac:dyDescent="0.25">
      <c r="B248" s="60">
        <f>B243</f>
        <v>35</v>
      </c>
      <c r="C248" s="102">
        <v>244</v>
      </c>
      <c r="D248" s="616" t="str">
        <f t="shared" si="3"/>
        <v>IV</v>
      </c>
      <c r="E248" s="172"/>
      <c r="F248" s="173"/>
      <c r="G248" s="173"/>
      <c r="H248" s="174"/>
      <c r="I248" s="174"/>
      <c r="J248" s="172"/>
      <c r="K248" s="175"/>
      <c r="L248" s="174"/>
      <c r="M248" s="174"/>
      <c r="N248" s="176"/>
      <c r="O248" s="177"/>
      <c r="P248" s="178"/>
      <c r="Q248" s="179"/>
      <c r="R248" s="180"/>
      <c r="S248" s="181"/>
    </row>
    <row r="249" spans="2:19" ht="30.95" customHeight="1" thickBot="1" x14ac:dyDescent="0.3">
      <c r="B249" s="141">
        <f>B243</f>
        <v>35</v>
      </c>
      <c r="C249" s="142">
        <v>245</v>
      </c>
      <c r="D249" s="618" t="str">
        <f t="shared" si="3"/>
        <v>IV</v>
      </c>
      <c r="E249" s="189"/>
      <c r="F249" s="190"/>
      <c r="G249" s="190"/>
      <c r="H249" s="182"/>
      <c r="I249" s="182"/>
      <c r="J249" s="619" t="s">
        <v>181</v>
      </c>
      <c r="K249" s="620"/>
      <c r="L249" s="621"/>
      <c r="M249" s="182"/>
      <c r="N249" s="183">
        <v>10</v>
      </c>
      <c r="O249" s="184">
        <v>10</v>
      </c>
      <c r="P249" s="185"/>
      <c r="Q249" s="186">
        <v>10</v>
      </c>
      <c r="R249" s="187" t="s">
        <v>4</v>
      </c>
      <c r="S249" s="188">
        <v>43620</v>
      </c>
    </row>
    <row r="250" spans="2:19" ht="30.95" customHeight="1" thickTop="1" x14ac:dyDescent="0.25">
      <c r="B250" s="129">
        <f>B248+1</f>
        <v>36</v>
      </c>
      <c r="C250" s="130">
        <v>246</v>
      </c>
      <c r="D250" s="196" t="str">
        <f t="shared" si="3"/>
        <v>IV</v>
      </c>
      <c r="E250" s="661">
        <v>10</v>
      </c>
      <c r="F250" s="662">
        <v>43664</v>
      </c>
      <c r="G250" s="662">
        <v>43673</v>
      </c>
      <c r="H250" s="663" t="s">
        <v>275</v>
      </c>
      <c r="I250" s="663">
        <v>1</v>
      </c>
      <c r="J250" s="661" t="s">
        <v>168</v>
      </c>
      <c r="K250" s="664" t="s">
        <v>61</v>
      </c>
      <c r="L250" s="663">
        <v>1.5</v>
      </c>
      <c r="M250" s="663">
        <v>8</v>
      </c>
      <c r="N250" s="665">
        <v>112.5</v>
      </c>
      <c r="O250" s="666">
        <v>112.5</v>
      </c>
      <c r="P250" s="667">
        <v>112.5</v>
      </c>
      <c r="Q250" s="668"/>
      <c r="R250" s="669" t="s">
        <v>4</v>
      </c>
      <c r="S250" s="670">
        <v>43621</v>
      </c>
    </row>
    <row r="251" spans="2:19" ht="30.95" hidden="1" customHeight="1" x14ac:dyDescent="0.25">
      <c r="B251" s="60">
        <f>B250</f>
        <v>36</v>
      </c>
      <c r="C251" s="102">
        <v>247</v>
      </c>
      <c r="D251" s="616" t="str">
        <f t="shared" si="3"/>
        <v>IV</v>
      </c>
      <c r="E251" s="632"/>
      <c r="F251" s="633"/>
      <c r="G251" s="633"/>
      <c r="H251" s="634"/>
      <c r="I251" s="634"/>
      <c r="J251" s="632"/>
      <c r="K251" s="635"/>
      <c r="L251" s="634"/>
      <c r="M251" s="634"/>
      <c r="N251" s="636"/>
      <c r="O251" s="637"/>
      <c r="P251" s="638"/>
      <c r="Q251" s="639"/>
      <c r="R251" s="640"/>
      <c r="S251" s="641"/>
    </row>
    <row r="252" spans="2:19" ht="30.95" hidden="1" customHeight="1" x14ac:dyDescent="0.25">
      <c r="B252" s="60">
        <f>B250</f>
        <v>36</v>
      </c>
      <c r="C252" s="102">
        <v>248</v>
      </c>
      <c r="D252" s="616" t="str">
        <f t="shared" si="3"/>
        <v>IV</v>
      </c>
      <c r="E252" s="632"/>
      <c r="F252" s="633"/>
      <c r="G252" s="633"/>
      <c r="H252" s="634"/>
      <c r="I252" s="634"/>
      <c r="J252" s="632"/>
      <c r="K252" s="635"/>
      <c r="L252" s="634"/>
      <c r="M252" s="634"/>
      <c r="N252" s="636"/>
      <c r="O252" s="637"/>
      <c r="P252" s="638"/>
      <c r="Q252" s="639"/>
      <c r="R252" s="640"/>
      <c r="S252" s="641"/>
    </row>
    <row r="253" spans="2:19" ht="30.95" hidden="1" customHeight="1" x14ac:dyDescent="0.25">
      <c r="B253" s="60">
        <f>B250</f>
        <v>36</v>
      </c>
      <c r="C253" s="102">
        <v>249</v>
      </c>
      <c r="D253" s="616" t="str">
        <f t="shared" si="3"/>
        <v>IV</v>
      </c>
      <c r="E253" s="632"/>
      <c r="F253" s="633"/>
      <c r="G253" s="633"/>
      <c r="H253" s="634"/>
      <c r="I253" s="634"/>
      <c r="J253" s="632"/>
      <c r="K253" s="635"/>
      <c r="L253" s="634"/>
      <c r="M253" s="634"/>
      <c r="N253" s="636"/>
      <c r="O253" s="637"/>
      <c r="P253" s="638"/>
      <c r="Q253" s="639"/>
      <c r="R253" s="640"/>
      <c r="S253" s="641"/>
    </row>
    <row r="254" spans="2:19" ht="30.95" hidden="1" customHeight="1" x14ac:dyDescent="0.25">
      <c r="B254" s="60">
        <f>B250</f>
        <v>36</v>
      </c>
      <c r="C254" s="102">
        <v>250</v>
      </c>
      <c r="D254" s="616" t="str">
        <f t="shared" si="3"/>
        <v>IV</v>
      </c>
      <c r="E254" s="632"/>
      <c r="F254" s="633"/>
      <c r="G254" s="633"/>
      <c r="H254" s="634"/>
      <c r="I254" s="634"/>
      <c r="J254" s="632"/>
      <c r="K254" s="635"/>
      <c r="L254" s="634"/>
      <c r="M254" s="634"/>
      <c r="N254" s="636"/>
      <c r="O254" s="637"/>
      <c r="P254" s="638"/>
      <c r="Q254" s="639"/>
      <c r="R254" s="640"/>
      <c r="S254" s="641"/>
    </row>
    <row r="255" spans="2:19" ht="30.95" hidden="1" customHeight="1" x14ac:dyDescent="0.25">
      <c r="B255" s="60">
        <f>B250</f>
        <v>36</v>
      </c>
      <c r="C255" s="102">
        <v>251</v>
      </c>
      <c r="D255" s="616" t="str">
        <f t="shared" si="3"/>
        <v>IV</v>
      </c>
      <c r="E255" s="632"/>
      <c r="F255" s="633"/>
      <c r="G255" s="633"/>
      <c r="H255" s="634"/>
      <c r="I255" s="634"/>
      <c r="J255" s="632"/>
      <c r="K255" s="635"/>
      <c r="L255" s="634"/>
      <c r="M255" s="634"/>
      <c r="N255" s="636"/>
      <c r="O255" s="637"/>
      <c r="P255" s="638"/>
      <c r="Q255" s="639"/>
      <c r="R255" s="640"/>
      <c r="S255" s="641"/>
    </row>
    <row r="256" spans="2:19" ht="30.95" customHeight="1" thickBot="1" x14ac:dyDescent="0.3">
      <c r="B256" s="141">
        <f>B250</f>
        <v>36</v>
      </c>
      <c r="C256" s="142">
        <v>252</v>
      </c>
      <c r="D256" s="618" t="str">
        <f t="shared" si="3"/>
        <v>IV</v>
      </c>
      <c r="E256" s="652"/>
      <c r="F256" s="653"/>
      <c r="G256" s="653"/>
      <c r="H256" s="654"/>
      <c r="I256" s="654"/>
      <c r="J256" s="619" t="s">
        <v>181</v>
      </c>
      <c r="K256" s="620"/>
      <c r="L256" s="621"/>
      <c r="M256" s="654"/>
      <c r="N256" s="655">
        <v>10</v>
      </c>
      <c r="O256" s="656">
        <v>10</v>
      </c>
      <c r="P256" s="657"/>
      <c r="Q256" s="658">
        <v>10</v>
      </c>
      <c r="R256" s="659" t="s">
        <v>4</v>
      </c>
      <c r="S256" s="660">
        <v>43621</v>
      </c>
    </row>
    <row r="257" spans="2:19" ht="30.95" customHeight="1" thickTop="1" x14ac:dyDescent="0.25">
      <c r="B257" s="129">
        <f>B255+1</f>
        <v>37</v>
      </c>
      <c r="C257" s="130">
        <v>253</v>
      </c>
      <c r="D257" s="196" t="str">
        <f t="shared" si="3"/>
        <v>IV</v>
      </c>
      <c r="E257" s="152">
        <v>10</v>
      </c>
      <c r="F257" s="153">
        <v>43664</v>
      </c>
      <c r="G257" s="153">
        <v>43673</v>
      </c>
      <c r="H257" s="154" t="s">
        <v>244</v>
      </c>
      <c r="I257" s="154">
        <v>1</v>
      </c>
      <c r="J257" s="152" t="s">
        <v>168</v>
      </c>
      <c r="K257" s="155" t="s">
        <v>16</v>
      </c>
      <c r="L257" s="154">
        <v>1</v>
      </c>
      <c r="M257" s="154">
        <v>8</v>
      </c>
      <c r="N257" s="156">
        <v>75</v>
      </c>
      <c r="O257" s="157">
        <v>75</v>
      </c>
      <c r="P257" s="158">
        <v>75</v>
      </c>
      <c r="Q257" s="159"/>
      <c r="R257" s="160" t="s">
        <v>4</v>
      </c>
      <c r="S257" s="161">
        <v>43620</v>
      </c>
    </row>
    <row r="258" spans="2:19" ht="30.95" customHeight="1" x14ac:dyDescent="0.25">
      <c r="B258" s="60">
        <f>B257</f>
        <v>37</v>
      </c>
      <c r="C258" s="102">
        <v>254</v>
      </c>
      <c r="D258" s="616" t="str">
        <f t="shared" si="3"/>
        <v>IV</v>
      </c>
      <c r="E258" s="162">
        <v>10</v>
      </c>
      <c r="F258" s="163">
        <v>43664</v>
      </c>
      <c r="G258" s="163">
        <v>43673</v>
      </c>
      <c r="H258" s="164" t="s">
        <v>245</v>
      </c>
      <c r="I258" s="164">
        <v>3</v>
      </c>
      <c r="J258" s="162" t="s">
        <v>170</v>
      </c>
      <c r="K258" s="165" t="s">
        <v>16</v>
      </c>
      <c r="L258" s="164">
        <v>1</v>
      </c>
      <c r="M258" s="164">
        <v>8</v>
      </c>
      <c r="N258" s="166">
        <v>0</v>
      </c>
      <c r="O258" s="167">
        <v>0</v>
      </c>
      <c r="P258" s="168"/>
      <c r="Q258" s="169">
        <v>0</v>
      </c>
      <c r="R258" s="170" t="s">
        <v>4</v>
      </c>
      <c r="S258" s="171">
        <v>43620</v>
      </c>
    </row>
    <row r="259" spans="2:19" ht="30.95" hidden="1" customHeight="1" x14ac:dyDescent="0.25">
      <c r="B259" s="60">
        <f>B257</f>
        <v>37</v>
      </c>
      <c r="C259" s="102">
        <v>255</v>
      </c>
      <c r="D259" s="616" t="str">
        <f t="shared" si="3"/>
        <v>IV</v>
      </c>
      <c r="E259" s="162"/>
      <c r="F259" s="163"/>
      <c r="G259" s="163"/>
      <c r="H259" s="164"/>
      <c r="I259" s="164"/>
      <c r="J259" s="162"/>
      <c r="K259" s="165"/>
      <c r="L259" s="164"/>
      <c r="M259" s="164"/>
      <c r="N259" s="166"/>
      <c r="O259" s="167"/>
      <c r="P259" s="168"/>
      <c r="Q259" s="169"/>
      <c r="R259" s="170"/>
      <c r="S259" s="171"/>
    </row>
    <row r="260" spans="2:19" ht="30.95" hidden="1" customHeight="1" x14ac:dyDescent="0.25">
      <c r="B260" s="60">
        <f>B257</f>
        <v>37</v>
      </c>
      <c r="C260" s="102">
        <v>256</v>
      </c>
      <c r="D260" s="616" t="str">
        <f t="shared" si="3"/>
        <v>IV</v>
      </c>
      <c r="E260" s="162"/>
      <c r="F260" s="163"/>
      <c r="G260" s="163"/>
      <c r="H260" s="164"/>
      <c r="I260" s="164"/>
      <c r="J260" s="162"/>
      <c r="K260" s="165"/>
      <c r="L260" s="164"/>
      <c r="M260" s="164"/>
      <c r="N260" s="166"/>
      <c r="O260" s="167"/>
      <c r="P260" s="168"/>
      <c r="Q260" s="169"/>
      <c r="R260" s="170"/>
      <c r="S260" s="171"/>
    </row>
    <row r="261" spans="2:19" ht="30.95" hidden="1" customHeight="1" x14ac:dyDescent="0.25">
      <c r="B261" s="60">
        <f>B257</f>
        <v>37</v>
      </c>
      <c r="C261" s="102">
        <v>257</v>
      </c>
      <c r="D261" s="616" t="str">
        <f t="shared" si="3"/>
        <v>IV</v>
      </c>
      <c r="E261" s="162"/>
      <c r="F261" s="163"/>
      <c r="G261" s="163"/>
      <c r="H261" s="164"/>
      <c r="I261" s="164"/>
      <c r="J261" s="162"/>
      <c r="K261" s="165"/>
      <c r="L261" s="164"/>
      <c r="M261" s="164"/>
      <c r="N261" s="166"/>
      <c r="O261" s="167"/>
      <c r="P261" s="168"/>
      <c r="Q261" s="169"/>
      <c r="R261" s="170"/>
      <c r="S261" s="171"/>
    </row>
    <row r="262" spans="2:19" ht="30.95" hidden="1" customHeight="1" x14ac:dyDescent="0.25">
      <c r="B262" s="60">
        <f>B257</f>
        <v>37</v>
      </c>
      <c r="C262" s="102">
        <v>258</v>
      </c>
      <c r="D262" s="616" t="str">
        <f t="shared" si="3"/>
        <v>IV</v>
      </c>
      <c r="E262" s="172"/>
      <c r="F262" s="173"/>
      <c r="G262" s="173"/>
      <c r="H262" s="174"/>
      <c r="I262" s="174"/>
      <c r="J262" s="172"/>
      <c r="K262" s="175"/>
      <c r="L262" s="174"/>
      <c r="M262" s="174"/>
      <c r="N262" s="176"/>
      <c r="O262" s="177"/>
      <c r="P262" s="178"/>
      <c r="Q262" s="179"/>
      <c r="R262" s="180"/>
      <c r="S262" s="181"/>
    </row>
    <row r="263" spans="2:19" ht="30.95" customHeight="1" thickBot="1" x14ac:dyDescent="0.3">
      <c r="B263" s="141">
        <f>B257</f>
        <v>37</v>
      </c>
      <c r="C263" s="142">
        <v>259</v>
      </c>
      <c r="D263" s="618" t="str">
        <f t="shared" ref="D263:D326" si="4">D262</f>
        <v>IV</v>
      </c>
      <c r="E263" s="189"/>
      <c r="F263" s="190"/>
      <c r="G263" s="190"/>
      <c r="H263" s="182"/>
      <c r="I263" s="182"/>
      <c r="J263" s="619" t="s">
        <v>181</v>
      </c>
      <c r="K263" s="620"/>
      <c r="L263" s="621"/>
      <c r="M263" s="182"/>
      <c r="N263" s="183">
        <v>10</v>
      </c>
      <c r="O263" s="184">
        <v>10</v>
      </c>
      <c r="P263" s="185"/>
      <c r="Q263" s="186">
        <v>10</v>
      </c>
      <c r="R263" s="187" t="s">
        <v>4</v>
      </c>
      <c r="S263" s="188">
        <v>43620</v>
      </c>
    </row>
    <row r="264" spans="2:19" ht="30.95" customHeight="1" thickTop="1" x14ac:dyDescent="0.25">
      <c r="B264" s="129">
        <f>B262+1</f>
        <v>38</v>
      </c>
      <c r="C264" s="130">
        <v>260</v>
      </c>
      <c r="D264" s="196" t="str">
        <f t="shared" si="4"/>
        <v>IV</v>
      </c>
      <c r="E264" s="661">
        <v>10</v>
      </c>
      <c r="F264" s="662">
        <v>43664</v>
      </c>
      <c r="G264" s="662">
        <v>43673</v>
      </c>
      <c r="H264" s="663" t="s">
        <v>276</v>
      </c>
      <c r="I264" s="663">
        <v>1</v>
      </c>
      <c r="J264" s="661" t="s">
        <v>168</v>
      </c>
      <c r="K264" s="664" t="s">
        <v>61</v>
      </c>
      <c r="L264" s="663">
        <v>1.5</v>
      </c>
      <c r="M264" s="663">
        <v>8</v>
      </c>
      <c r="N264" s="665">
        <v>112.5</v>
      </c>
      <c r="O264" s="666">
        <v>112.5</v>
      </c>
      <c r="P264" s="667">
        <v>112.5</v>
      </c>
      <c r="Q264" s="668"/>
      <c r="R264" s="669" t="s">
        <v>4</v>
      </c>
      <c r="S264" s="670">
        <v>43620</v>
      </c>
    </row>
    <row r="265" spans="2:19" ht="30.95" customHeight="1" x14ac:dyDescent="0.25">
      <c r="B265" s="60">
        <f>B264</f>
        <v>38</v>
      </c>
      <c r="C265" s="102">
        <v>261</v>
      </c>
      <c r="D265" s="616" t="str">
        <f t="shared" si="4"/>
        <v>IV</v>
      </c>
      <c r="E265" s="632">
        <v>10</v>
      </c>
      <c r="F265" s="633">
        <v>43664</v>
      </c>
      <c r="G265" s="633">
        <v>43673</v>
      </c>
      <c r="H265" s="634" t="s">
        <v>277</v>
      </c>
      <c r="I265" s="634">
        <v>2</v>
      </c>
      <c r="J265" s="632" t="s">
        <v>167</v>
      </c>
      <c r="K265" s="635" t="s">
        <v>61</v>
      </c>
      <c r="L265" s="634">
        <v>1.5</v>
      </c>
      <c r="M265" s="634">
        <v>8</v>
      </c>
      <c r="N265" s="636">
        <v>135</v>
      </c>
      <c r="O265" s="637">
        <v>135</v>
      </c>
      <c r="P265" s="638"/>
      <c r="Q265" s="639">
        <v>135</v>
      </c>
      <c r="R265" s="640" t="s">
        <v>4</v>
      </c>
      <c r="S265" s="641">
        <v>43620</v>
      </c>
    </row>
    <row r="266" spans="2:19" ht="30.95" hidden="1" customHeight="1" x14ac:dyDescent="0.25">
      <c r="B266" s="60">
        <f>B264</f>
        <v>38</v>
      </c>
      <c r="C266" s="102">
        <v>262</v>
      </c>
      <c r="D266" s="616" t="str">
        <f t="shared" si="4"/>
        <v>IV</v>
      </c>
      <c r="E266" s="632"/>
      <c r="F266" s="633"/>
      <c r="G266" s="633"/>
      <c r="H266" s="634"/>
      <c r="I266" s="634"/>
      <c r="J266" s="632"/>
      <c r="K266" s="635"/>
      <c r="L266" s="634"/>
      <c r="M266" s="634"/>
      <c r="N266" s="636"/>
      <c r="O266" s="637"/>
      <c r="P266" s="638"/>
      <c r="Q266" s="639"/>
      <c r="R266" s="640"/>
      <c r="S266" s="641"/>
    </row>
    <row r="267" spans="2:19" ht="30.95" hidden="1" customHeight="1" x14ac:dyDescent="0.25">
      <c r="B267" s="60">
        <f>B264</f>
        <v>38</v>
      </c>
      <c r="C267" s="102">
        <v>263</v>
      </c>
      <c r="D267" s="616" t="str">
        <f t="shared" si="4"/>
        <v>IV</v>
      </c>
      <c r="E267" s="632"/>
      <c r="F267" s="633"/>
      <c r="G267" s="633"/>
      <c r="H267" s="634"/>
      <c r="I267" s="634"/>
      <c r="J267" s="632"/>
      <c r="K267" s="635"/>
      <c r="L267" s="634"/>
      <c r="M267" s="634"/>
      <c r="N267" s="636"/>
      <c r="O267" s="637"/>
      <c r="P267" s="638"/>
      <c r="Q267" s="639"/>
      <c r="R267" s="640"/>
      <c r="S267" s="641"/>
    </row>
    <row r="268" spans="2:19" ht="30.95" hidden="1" customHeight="1" x14ac:dyDescent="0.25">
      <c r="B268" s="60">
        <f>B264</f>
        <v>38</v>
      </c>
      <c r="C268" s="102">
        <v>264</v>
      </c>
      <c r="D268" s="616" t="str">
        <f t="shared" si="4"/>
        <v>IV</v>
      </c>
      <c r="E268" s="632"/>
      <c r="F268" s="633"/>
      <c r="G268" s="633"/>
      <c r="H268" s="634"/>
      <c r="I268" s="634"/>
      <c r="J268" s="632"/>
      <c r="K268" s="635"/>
      <c r="L268" s="634"/>
      <c r="M268" s="634"/>
      <c r="N268" s="636"/>
      <c r="O268" s="637"/>
      <c r="P268" s="638"/>
      <c r="Q268" s="639"/>
      <c r="R268" s="640"/>
      <c r="S268" s="641"/>
    </row>
    <row r="269" spans="2:19" ht="30.95" hidden="1" customHeight="1" x14ac:dyDescent="0.25">
      <c r="B269" s="60">
        <f>B264</f>
        <v>38</v>
      </c>
      <c r="C269" s="102">
        <v>265</v>
      </c>
      <c r="D269" s="616" t="str">
        <f t="shared" si="4"/>
        <v>IV</v>
      </c>
      <c r="E269" s="632"/>
      <c r="F269" s="633"/>
      <c r="G269" s="633"/>
      <c r="H269" s="634"/>
      <c r="I269" s="634"/>
      <c r="J269" s="632"/>
      <c r="K269" s="635"/>
      <c r="L269" s="634"/>
      <c r="M269" s="634"/>
      <c r="N269" s="636"/>
      <c r="O269" s="637"/>
      <c r="P269" s="638"/>
      <c r="Q269" s="639"/>
      <c r="R269" s="640"/>
      <c r="S269" s="641"/>
    </row>
    <row r="270" spans="2:19" ht="30.95" customHeight="1" thickBot="1" x14ac:dyDescent="0.3">
      <c r="B270" s="141">
        <f>B264</f>
        <v>38</v>
      </c>
      <c r="C270" s="142">
        <v>266</v>
      </c>
      <c r="D270" s="618" t="str">
        <f t="shared" si="4"/>
        <v>IV</v>
      </c>
      <c r="E270" s="652"/>
      <c r="F270" s="653"/>
      <c r="G270" s="653"/>
      <c r="H270" s="654"/>
      <c r="I270" s="654"/>
      <c r="J270" s="619" t="s">
        <v>181</v>
      </c>
      <c r="K270" s="620"/>
      <c r="L270" s="621"/>
      <c r="M270" s="654"/>
      <c r="N270" s="655">
        <v>10</v>
      </c>
      <c r="O270" s="656">
        <v>10</v>
      </c>
      <c r="P270" s="657"/>
      <c r="Q270" s="658">
        <v>10</v>
      </c>
      <c r="R270" s="659" t="s">
        <v>4</v>
      </c>
      <c r="S270" s="660">
        <v>43620</v>
      </c>
    </row>
    <row r="271" spans="2:19" ht="30.95" customHeight="1" thickTop="1" x14ac:dyDescent="0.25">
      <c r="B271" s="129">
        <f>B269+1</f>
        <v>39</v>
      </c>
      <c r="C271" s="130">
        <v>267</v>
      </c>
      <c r="D271" s="196" t="str">
        <f t="shared" si="4"/>
        <v>IV</v>
      </c>
      <c r="E271" s="152">
        <v>10</v>
      </c>
      <c r="F271" s="153">
        <v>43664</v>
      </c>
      <c r="G271" s="153">
        <v>43673</v>
      </c>
      <c r="H271" s="154" t="s">
        <v>278</v>
      </c>
      <c r="I271" s="154">
        <v>2</v>
      </c>
      <c r="J271" s="152" t="s">
        <v>167</v>
      </c>
      <c r="K271" s="155" t="s">
        <v>16</v>
      </c>
      <c r="L271" s="154">
        <v>1</v>
      </c>
      <c r="M271" s="154">
        <v>8</v>
      </c>
      <c r="N271" s="156">
        <v>90</v>
      </c>
      <c r="O271" s="157">
        <v>90</v>
      </c>
      <c r="P271" s="158"/>
      <c r="Q271" s="159">
        <v>90</v>
      </c>
      <c r="R271" s="160" t="s">
        <v>4</v>
      </c>
      <c r="S271" s="161">
        <v>43620</v>
      </c>
    </row>
    <row r="272" spans="2:19" ht="30.95" customHeight="1" x14ac:dyDescent="0.25">
      <c r="B272" s="60">
        <f>B271</f>
        <v>39</v>
      </c>
      <c r="C272" s="102">
        <v>268</v>
      </c>
      <c r="D272" s="616" t="str">
        <f t="shared" si="4"/>
        <v>IV</v>
      </c>
      <c r="E272" s="162">
        <v>10</v>
      </c>
      <c r="F272" s="163">
        <v>43664</v>
      </c>
      <c r="G272" s="163">
        <v>43673</v>
      </c>
      <c r="H272" s="164" t="s">
        <v>279</v>
      </c>
      <c r="I272" s="164">
        <v>3</v>
      </c>
      <c r="J272" s="162" t="s">
        <v>170</v>
      </c>
      <c r="K272" s="165" t="s">
        <v>16</v>
      </c>
      <c r="L272" s="164">
        <v>1</v>
      </c>
      <c r="M272" s="164">
        <v>8</v>
      </c>
      <c r="N272" s="166">
        <v>0</v>
      </c>
      <c r="O272" s="167">
        <v>0</v>
      </c>
      <c r="P272" s="168"/>
      <c r="Q272" s="169">
        <v>0</v>
      </c>
      <c r="R272" s="170" t="s">
        <v>4</v>
      </c>
      <c r="S272" s="171">
        <v>43620</v>
      </c>
    </row>
    <row r="273" spans="2:19" ht="30.95" hidden="1" customHeight="1" x14ac:dyDescent="0.25">
      <c r="B273" s="60">
        <f>B271</f>
        <v>39</v>
      </c>
      <c r="C273" s="102">
        <v>269</v>
      </c>
      <c r="D273" s="616" t="str">
        <f t="shared" si="4"/>
        <v>IV</v>
      </c>
      <c r="E273" s="162"/>
      <c r="F273" s="163"/>
      <c r="G273" s="163"/>
      <c r="H273" s="164"/>
      <c r="I273" s="164"/>
      <c r="J273" s="162"/>
      <c r="K273" s="165"/>
      <c r="L273" s="164"/>
      <c r="M273" s="164"/>
      <c r="N273" s="166"/>
      <c r="O273" s="167"/>
      <c r="P273" s="168"/>
      <c r="Q273" s="169"/>
      <c r="R273" s="170"/>
      <c r="S273" s="171"/>
    </row>
    <row r="274" spans="2:19" ht="30.95" hidden="1" customHeight="1" x14ac:dyDescent="0.25">
      <c r="B274" s="60">
        <f>B271</f>
        <v>39</v>
      </c>
      <c r="C274" s="102">
        <v>270</v>
      </c>
      <c r="D274" s="616" t="str">
        <f t="shared" si="4"/>
        <v>IV</v>
      </c>
      <c r="E274" s="162"/>
      <c r="F274" s="163"/>
      <c r="G274" s="163"/>
      <c r="H274" s="164"/>
      <c r="I274" s="164"/>
      <c r="J274" s="162"/>
      <c r="K274" s="165"/>
      <c r="L274" s="164"/>
      <c r="M274" s="164"/>
      <c r="N274" s="166"/>
      <c r="O274" s="167"/>
      <c r="P274" s="168"/>
      <c r="Q274" s="169"/>
      <c r="R274" s="170"/>
      <c r="S274" s="171"/>
    </row>
    <row r="275" spans="2:19" ht="30.95" hidden="1" customHeight="1" x14ac:dyDescent="0.25">
      <c r="B275" s="60">
        <f>B271</f>
        <v>39</v>
      </c>
      <c r="C275" s="102">
        <v>271</v>
      </c>
      <c r="D275" s="616" t="str">
        <f t="shared" si="4"/>
        <v>IV</v>
      </c>
      <c r="E275" s="162"/>
      <c r="F275" s="163"/>
      <c r="G275" s="163"/>
      <c r="H275" s="164"/>
      <c r="I275" s="164"/>
      <c r="J275" s="162"/>
      <c r="K275" s="165"/>
      <c r="L275" s="164"/>
      <c r="M275" s="164"/>
      <c r="N275" s="166"/>
      <c r="O275" s="167"/>
      <c r="P275" s="168"/>
      <c r="Q275" s="169"/>
      <c r="R275" s="170"/>
      <c r="S275" s="171"/>
    </row>
    <row r="276" spans="2:19" ht="30.95" hidden="1" customHeight="1" x14ac:dyDescent="0.25">
      <c r="B276" s="60">
        <f>B271</f>
        <v>39</v>
      </c>
      <c r="C276" s="102">
        <v>272</v>
      </c>
      <c r="D276" s="616" t="str">
        <f t="shared" si="4"/>
        <v>IV</v>
      </c>
      <c r="E276" s="172"/>
      <c r="F276" s="173"/>
      <c r="G276" s="173"/>
      <c r="H276" s="174"/>
      <c r="I276" s="174"/>
      <c r="J276" s="172"/>
      <c r="K276" s="175"/>
      <c r="L276" s="174"/>
      <c r="M276" s="174"/>
      <c r="N276" s="176"/>
      <c r="O276" s="177"/>
      <c r="P276" s="178"/>
      <c r="Q276" s="179"/>
      <c r="R276" s="180"/>
      <c r="S276" s="181"/>
    </row>
    <row r="277" spans="2:19" ht="30.95" customHeight="1" thickBot="1" x14ac:dyDescent="0.3">
      <c r="B277" s="141">
        <f>B271</f>
        <v>39</v>
      </c>
      <c r="C277" s="142">
        <v>273</v>
      </c>
      <c r="D277" s="618" t="str">
        <f t="shared" si="4"/>
        <v>IV</v>
      </c>
      <c r="E277" s="189"/>
      <c r="F277" s="190"/>
      <c r="G277" s="190"/>
      <c r="H277" s="182"/>
      <c r="I277" s="182"/>
      <c r="J277" s="619" t="s">
        <v>181</v>
      </c>
      <c r="K277" s="620"/>
      <c r="L277" s="621"/>
      <c r="M277" s="182"/>
      <c r="N277" s="183">
        <v>10</v>
      </c>
      <c r="O277" s="184">
        <v>10</v>
      </c>
      <c r="P277" s="185"/>
      <c r="Q277" s="186">
        <v>10</v>
      </c>
      <c r="R277" s="187" t="s">
        <v>4</v>
      </c>
      <c r="S277" s="188">
        <v>43620</v>
      </c>
    </row>
    <row r="278" spans="2:19" ht="30.95" customHeight="1" thickTop="1" x14ac:dyDescent="0.25">
      <c r="B278" s="129">
        <f>B276+1</f>
        <v>40</v>
      </c>
      <c r="C278" s="130">
        <v>274</v>
      </c>
      <c r="D278" s="196" t="str">
        <f t="shared" si="4"/>
        <v>IV</v>
      </c>
      <c r="E278" s="661">
        <v>10</v>
      </c>
      <c r="F278" s="662">
        <v>43664</v>
      </c>
      <c r="G278" s="662">
        <v>43673</v>
      </c>
      <c r="H278" s="663" t="s">
        <v>280</v>
      </c>
      <c r="I278" s="663">
        <v>1</v>
      </c>
      <c r="J278" s="661" t="s">
        <v>168</v>
      </c>
      <c r="K278" s="664" t="s">
        <v>16</v>
      </c>
      <c r="L278" s="663">
        <v>1</v>
      </c>
      <c r="M278" s="663">
        <v>7</v>
      </c>
      <c r="N278" s="665">
        <v>44</v>
      </c>
      <c r="O278" s="666">
        <v>44</v>
      </c>
      <c r="P278" s="667">
        <v>44</v>
      </c>
      <c r="Q278" s="668"/>
      <c r="R278" s="669" t="s">
        <v>4</v>
      </c>
      <c r="S278" s="670">
        <v>43634</v>
      </c>
    </row>
    <row r="279" spans="2:19" ht="30.95" customHeight="1" x14ac:dyDescent="0.25">
      <c r="B279" s="60">
        <f>B278</f>
        <v>40</v>
      </c>
      <c r="C279" s="102">
        <v>275</v>
      </c>
      <c r="D279" s="616" t="str">
        <f t="shared" si="4"/>
        <v>IV</v>
      </c>
      <c r="E279" s="632">
        <v>10</v>
      </c>
      <c r="F279" s="633">
        <v>43664</v>
      </c>
      <c r="G279" s="633">
        <v>43673</v>
      </c>
      <c r="H279" s="634" t="s">
        <v>281</v>
      </c>
      <c r="I279" s="634">
        <v>6</v>
      </c>
      <c r="J279" s="632" t="s">
        <v>166</v>
      </c>
      <c r="K279" s="635" t="s">
        <v>16</v>
      </c>
      <c r="L279" s="634">
        <v>1</v>
      </c>
      <c r="M279" s="634">
        <v>7</v>
      </c>
      <c r="N279" s="636">
        <v>120</v>
      </c>
      <c r="O279" s="637">
        <v>120</v>
      </c>
      <c r="P279" s="638"/>
      <c r="Q279" s="639">
        <v>120</v>
      </c>
      <c r="R279" s="640" t="s">
        <v>4</v>
      </c>
      <c r="S279" s="641">
        <v>43634</v>
      </c>
    </row>
    <row r="280" spans="2:19" ht="30.95" hidden="1" customHeight="1" x14ac:dyDescent="0.25">
      <c r="B280" s="60">
        <f>B278</f>
        <v>40</v>
      </c>
      <c r="C280" s="102">
        <v>276</v>
      </c>
      <c r="D280" s="616" t="str">
        <f t="shared" si="4"/>
        <v>IV</v>
      </c>
      <c r="E280" s="632"/>
      <c r="F280" s="633"/>
      <c r="G280" s="633"/>
      <c r="H280" s="634"/>
      <c r="I280" s="634"/>
      <c r="J280" s="632"/>
      <c r="K280" s="635"/>
      <c r="L280" s="634"/>
      <c r="M280" s="634"/>
      <c r="N280" s="636"/>
      <c r="O280" s="637"/>
      <c r="P280" s="638"/>
      <c r="Q280" s="639"/>
      <c r="R280" s="640"/>
      <c r="S280" s="641"/>
    </row>
    <row r="281" spans="2:19" ht="30.95" hidden="1" customHeight="1" x14ac:dyDescent="0.25">
      <c r="B281" s="60">
        <f>B278</f>
        <v>40</v>
      </c>
      <c r="C281" s="102">
        <v>277</v>
      </c>
      <c r="D281" s="616" t="str">
        <f t="shared" si="4"/>
        <v>IV</v>
      </c>
      <c r="E281" s="632"/>
      <c r="F281" s="633"/>
      <c r="G281" s="633"/>
      <c r="H281" s="634"/>
      <c r="I281" s="634"/>
      <c r="J281" s="632"/>
      <c r="K281" s="635"/>
      <c r="L281" s="634"/>
      <c r="M281" s="634"/>
      <c r="N281" s="636"/>
      <c r="O281" s="637"/>
      <c r="P281" s="638"/>
      <c r="Q281" s="639"/>
      <c r="R281" s="640"/>
      <c r="S281" s="641"/>
    </row>
    <row r="282" spans="2:19" ht="30.95" hidden="1" customHeight="1" x14ac:dyDescent="0.25">
      <c r="B282" s="60">
        <f>B278</f>
        <v>40</v>
      </c>
      <c r="C282" s="102">
        <v>278</v>
      </c>
      <c r="D282" s="616" t="str">
        <f t="shared" si="4"/>
        <v>IV</v>
      </c>
      <c r="E282" s="632"/>
      <c r="F282" s="633"/>
      <c r="G282" s="633"/>
      <c r="H282" s="634"/>
      <c r="I282" s="634"/>
      <c r="J282" s="632"/>
      <c r="K282" s="635"/>
      <c r="L282" s="634"/>
      <c r="M282" s="634"/>
      <c r="N282" s="636"/>
      <c r="O282" s="637"/>
      <c r="P282" s="638"/>
      <c r="Q282" s="639"/>
      <c r="R282" s="640"/>
      <c r="S282" s="641"/>
    </row>
    <row r="283" spans="2:19" ht="30.95" hidden="1" customHeight="1" x14ac:dyDescent="0.25">
      <c r="B283" s="60">
        <f>B278</f>
        <v>40</v>
      </c>
      <c r="C283" s="102">
        <v>279</v>
      </c>
      <c r="D283" s="616" t="str">
        <f t="shared" si="4"/>
        <v>IV</v>
      </c>
      <c r="E283" s="632"/>
      <c r="F283" s="633"/>
      <c r="G283" s="633"/>
      <c r="H283" s="634"/>
      <c r="I283" s="634"/>
      <c r="J283" s="632"/>
      <c r="K283" s="635"/>
      <c r="L283" s="634"/>
      <c r="M283" s="634"/>
      <c r="N283" s="636"/>
      <c r="O283" s="637"/>
      <c r="P283" s="638"/>
      <c r="Q283" s="639"/>
      <c r="R283" s="640"/>
      <c r="S283" s="641"/>
    </row>
    <row r="284" spans="2:19" ht="30.95" customHeight="1" thickBot="1" x14ac:dyDescent="0.3">
      <c r="B284" s="141">
        <f>B278</f>
        <v>40</v>
      </c>
      <c r="C284" s="142">
        <v>280</v>
      </c>
      <c r="D284" s="618" t="str">
        <f t="shared" si="4"/>
        <v>IV</v>
      </c>
      <c r="E284" s="652"/>
      <c r="F284" s="653"/>
      <c r="G284" s="653"/>
      <c r="H284" s="654"/>
      <c r="I284" s="654"/>
      <c r="J284" s="619" t="s">
        <v>181</v>
      </c>
      <c r="K284" s="620"/>
      <c r="L284" s="621"/>
      <c r="M284" s="654"/>
      <c r="N284" s="655">
        <v>10</v>
      </c>
      <c r="O284" s="656">
        <v>10</v>
      </c>
      <c r="P284" s="657"/>
      <c r="Q284" s="658">
        <v>10</v>
      </c>
      <c r="R284" s="659" t="s">
        <v>4</v>
      </c>
      <c r="S284" s="660">
        <v>43634</v>
      </c>
    </row>
    <row r="285" spans="2:19" ht="30.95" customHeight="1" thickTop="1" x14ac:dyDescent="0.25">
      <c r="B285" s="129">
        <f>B283+1</f>
        <v>41</v>
      </c>
      <c r="C285" s="130">
        <v>281</v>
      </c>
      <c r="D285" s="196" t="str">
        <f t="shared" si="4"/>
        <v>IV</v>
      </c>
      <c r="E285" s="152">
        <v>10</v>
      </c>
      <c r="F285" s="153">
        <v>43664</v>
      </c>
      <c r="G285" s="153">
        <v>43673</v>
      </c>
      <c r="H285" s="154" t="s">
        <v>241</v>
      </c>
      <c r="I285" s="154">
        <v>1</v>
      </c>
      <c r="J285" s="152" t="s">
        <v>168</v>
      </c>
      <c r="K285" s="155" t="s">
        <v>16</v>
      </c>
      <c r="L285" s="154">
        <v>1</v>
      </c>
      <c r="M285" s="154">
        <v>8</v>
      </c>
      <c r="N285" s="156">
        <v>75</v>
      </c>
      <c r="O285" s="157">
        <v>75</v>
      </c>
      <c r="P285" s="158">
        <v>75</v>
      </c>
      <c r="Q285" s="159"/>
      <c r="R285" s="160" t="s">
        <v>4</v>
      </c>
      <c r="S285" s="161">
        <v>43620</v>
      </c>
    </row>
    <row r="286" spans="2:19" ht="30.95" hidden="1" customHeight="1" x14ac:dyDescent="0.25">
      <c r="B286" s="60">
        <f>B285</f>
        <v>41</v>
      </c>
      <c r="C286" s="102">
        <v>282</v>
      </c>
      <c r="D286" s="616" t="str">
        <f t="shared" si="4"/>
        <v>IV</v>
      </c>
      <c r="E286" s="162"/>
      <c r="F286" s="163"/>
      <c r="G286" s="163"/>
      <c r="H286" s="164"/>
      <c r="I286" s="164"/>
      <c r="J286" s="162"/>
      <c r="K286" s="165"/>
      <c r="L286" s="164"/>
      <c r="M286" s="164"/>
      <c r="N286" s="166"/>
      <c r="O286" s="167"/>
      <c r="P286" s="168"/>
      <c r="Q286" s="169"/>
      <c r="R286" s="170"/>
      <c r="S286" s="171"/>
    </row>
    <row r="287" spans="2:19" ht="30.95" hidden="1" customHeight="1" x14ac:dyDescent="0.25">
      <c r="B287" s="60">
        <f>B285</f>
        <v>41</v>
      </c>
      <c r="C287" s="102">
        <v>283</v>
      </c>
      <c r="D287" s="616" t="str">
        <f t="shared" si="4"/>
        <v>IV</v>
      </c>
      <c r="E287" s="162"/>
      <c r="F287" s="163"/>
      <c r="G287" s="163"/>
      <c r="H287" s="164"/>
      <c r="I287" s="164"/>
      <c r="J287" s="162"/>
      <c r="K287" s="165"/>
      <c r="L287" s="164"/>
      <c r="M287" s="164"/>
      <c r="N287" s="166"/>
      <c r="O287" s="167"/>
      <c r="P287" s="168"/>
      <c r="Q287" s="169"/>
      <c r="R287" s="170"/>
      <c r="S287" s="171"/>
    </row>
    <row r="288" spans="2:19" ht="30.95" hidden="1" customHeight="1" x14ac:dyDescent="0.25">
      <c r="B288" s="60">
        <f>B285</f>
        <v>41</v>
      </c>
      <c r="C288" s="102">
        <v>284</v>
      </c>
      <c r="D288" s="616" t="str">
        <f t="shared" si="4"/>
        <v>IV</v>
      </c>
      <c r="E288" s="162"/>
      <c r="F288" s="163"/>
      <c r="G288" s="163"/>
      <c r="H288" s="164"/>
      <c r="I288" s="164"/>
      <c r="J288" s="162"/>
      <c r="K288" s="165"/>
      <c r="L288" s="164"/>
      <c r="M288" s="164"/>
      <c r="N288" s="166"/>
      <c r="O288" s="167"/>
      <c r="P288" s="168"/>
      <c r="Q288" s="169"/>
      <c r="R288" s="170"/>
      <c r="S288" s="171"/>
    </row>
    <row r="289" spans="2:19" ht="30.95" hidden="1" customHeight="1" x14ac:dyDescent="0.25">
      <c r="B289" s="60">
        <f>B285</f>
        <v>41</v>
      </c>
      <c r="C289" s="102">
        <v>285</v>
      </c>
      <c r="D289" s="616" t="str">
        <f t="shared" si="4"/>
        <v>IV</v>
      </c>
      <c r="E289" s="162"/>
      <c r="F289" s="163"/>
      <c r="G289" s="163"/>
      <c r="H289" s="164"/>
      <c r="I289" s="164"/>
      <c r="J289" s="162"/>
      <c r="K289" s="165"/>
      <c r="L289" s="164"/>
      <c r="M289" s="164"/>
      <c r="N289" s="166"/>
      <c r="O289" s="167"/>
      <c r="P289" s="168"/>
      <c r="Q289" s="169"/>
      <c r="R289" s="170"/>
      <c r="S289" s="171"/>
    </row>
    <row r="290" spans="2:19" ht="30.95" hidden="1" customHeight="1" x14ac:dyDescent="0.25">
      <c r="B290" s="60">
        <f>B285</f>
        <v>41</v>
      </c>
      <c r="C290" s="102">
        <v>286</v>
      </c>
      <c r="D290" s="616" t="str">
        <f t="shared" si="4"/>
        <v>IV</v>
      </c>
      <c r="E290" s="172"/>
      <c r="F290" s="173"/>
      <c r="G290" s="173"/>
      <c r="H290" s="174"/>
      <c r="I290" s="174"/>
      <c r="J290" s="172"/>
      <c r="K290" s="175"/>
      <c r="L290" s="174"/>
      <c r="M290" s="174"/>
      <c r="N290" s="176"/>
      <c r="O290" s="177"/>
      <c r="P290" s="178"/>
      <c r="Q290" s="179"/>
      <c r="R290" s="180"/>
      <c r="S290" s="181"/>
    </row>
    <row r="291" spans="2:19" ht="30.95" customHeight="1" thickBot="1" x14ac:dyDescent="0.3">
      <c r="B291" s="141">
        <f>B285</f>
        <v>41</v>
      </c>
      <c r="C291" s="142">
        <v>287</v>
      </c>
      <c r="D291" s="618" t="str">
        <f t="shared" si="4"/>
        <v>IV</v>
      </c>
      <c r="E291" s="189"/>
      <c r="F291" s="190"/>
      <c r="G291" s="190"/>
      <c r="H291" s="182"/>
      <c r="I291" s="182"/>
      <c r="J291" s="619" t="s">
        <v>181</v>
      </c>
      <c r="K291" s="620"/>
      <c r="L291" s="621"/>
      <c r="M291" s="182"/>
      <c r="N291" s="183">
        <v>10</v>
      </c>
      <c r="O291" s="184">
        <v>10</v>
      </c>
      <c r="P291" s="185"/>
      <c r="Q291" s="186">
        <v>10</v>
      </c>
      <c r="R291" s="187" t="s">
        <v>4</v>
      </c>
      <c r="S291" s="188">
        <v>43620</v>
      </c>
    </row>
    <row r="292" spans="2:19" ht="30.95" customHeight="1" thickTop="1" x14ac:dyDescent="0.25">
      <c r="B292" s="129">
        <f>B290+1</f>
        <v>42</v>
      </c>
      <c r="C292" s="130">
        <v>288</v>
      </c>
      <c r="D292" s="196" t="str">
        <f t="shared" si="4"/>
        <v>IV</v>
      </c>
      <c r="E292" s="661">
        <v>10</v>
      </c>
      <c r="F292" s="662">
        <v>43664</v>
      </c>
      <c r="G292" s="662">
        <v>43673</v>
      </c>
      <c r="H292" s="663" t="s">
        <v>282</v>
      </c>
      <c r="I292" s="663">
        <v>6</v>
      </c>
      <c r="J292" s="661" t="s">
        <v>166</v>
      </c>
      <c r="K292" s="664" t="s">
        <v>16</v>
      </c>
      <c r="L292" s="663">
        <v>1</v>
      </c>
      <c r="M292" s="663">
        <v>8</v>
      </c>
      <c r="N292" s="665">
        <v>180</v>
      </c>
      <c r="O292" s="666">
        <v>180</v>
      </c>
      <c r="P292" s="667"/>
      <c r="Q292" s="668">
        <v>180</v>
      </c>
      <c r="R292" s="669" t="s">
        <v>4</v>
      </c>
      <c r="S292" s="670">
        <v>43621</v>
      </c>
    </row>
    <row r="293" spans="2:19" ht="30.95" hidden="1" customHeight="1" x14ac:dyDescent="0.25">
      <c r="B293" s="60">
        <f>B292</f>
        <v>42</v>
      </c>
      <c r="C293" s="102">
        <v>289</v>
      </c>
      <c r="D293" s="616" t="str">
        <f t="shared" si="4"/>
        <v>IV</v>
      </c>
      <c r="E293" s="632"/>
      <c r="F293" s="633"/>
      <c r="G293" s="633"/>
      <c r="H293" s="634"/>
      <c r="I293" s="634"/>
      <c r="J293" s="632"/>
      <c r="K293" s="635"/>
      <c r="L293" s="634"/>
      <c r="M293" s="634"/>
      <c r="N293" s="636"/>
      <c r="O293" s="637"/>
      <c r="P293" s="638"/>
      <c r="Q293" s="639"/>
      <c r="R293" s="640"/>
      <c r="S293" s="641"/>
    </row>
    <row r="294" spans="2:19" ht="30.95" hidden="1" customHeight="1" x14ac:dyDescent="0.25">
      <c r="B294" s="60">
        <f>B292</f>
        <v>42</v>
      </c>
      <c r="C294" s="102">
        <v>290</v>
      </c>
      <c r="D294" s="616" t="str">
        <f t="shared" si="4"/>
        <v>IV</v>
      </c>
      <c r="E294" s="632"/>
      <c r="F294" s="633"/>
      <c r="G294" s="633"/>
      <c r="H294" s="634"/>
      <c r="I294" s="634"/>
      <c r="J294" s="632"/>
      <c r="K294" s="635"/>
      <c r="L294" s="634"/>
      <c r="M294" s="634"/>
      <c r="N294" s="636"/>
      <c r="O294" s="637"/>
      <c r="P294" s="638"/>
      <c r="Q294" s="639"/>
      <c r="R294" s="640"/>
      <c r="S294" s="641"/>
    </row>
    <row r="295" spans="2:19" ht="30.95" hidden="1" customHeight="1" x14ac:dyDescent="0.25">
      <c r="B295" s="60">
        <f>B292</f>
        <v>42</v>
      </c>
      <c r="C295" s="102">
        <v>291</v>
      </c>
      <c r="D295" s="616" t="str">
        <f t="shared" si="4"/>
        <v>IV</v>
      </c>
      <c r="E295" s="632"/>
      <c r="F295" s="633"/>
      <c r="G295" s="633"/>
      <c r="H295" s="634"/>
      <c r="I295" s="634"/>
      <c r="J295" s="632"/>
      <c r="K295" s="635"/>
      <c r="L295" s="634"/>
      <c r="M295" s="634"/>
      <c r="N295" s="636"/>
      <c r="O295" s="637"/>
      <c r="P295" s="638"/>
      <c r="Q295" s="639"/>
      <c r="R295" s="640"/>
      <c r="S295" s="641"/>
    </row>
    <row r="296" spans="2:19" ht="30.95" hidden="1" customHeight="1" x14ac:dyDescent="0.25">
      <c r="B296" s="60">
        <f>B292</f>
        <v>42</v>
      </c>
      <c r="C296" s="102">
        <v>292</v>
      </c>
      <c r="D296" s="616" t="str">
        <f t="shared" si="4"/>
        <v>IV</v>
      </c>
      <c r="E296" s="632"/>
      <c r="F296" s="633"/>
      <c r="G296" s="633"/>
      <c r="H296" s="634"/>
      <c r="I296" s="634"/>
      <c r="J296" s="632"/>
      <c r="K296" s="635"/>
      <c r="L296" s="634"/>
      <c r="M296" s="634"/>
      <c r="N296" s="636"/>
      <c r="O296" s="637"/>
      <c r="P296" s="638"/>
      <c r="Q296" s="639"/>
      <c r="R296" s="640"/>
      <c r="S296" s="641"/>
    </row>
    <row r="297" spans="2:19" ht="30.95" hidden="1" customHeight="1" x14ac:dyDescent="0.25">
      <c r="B297" s="60">
        <f>B292</f>
        <v>42</v>
      </c>
      <c r="C297" s="102">
        <v>293</v>
      </c>
      <c r="D297" s="616" t="str">
        <f t="shared" si="4"/>
        <v>IV</v>
      </c>
      <c r="E297" s="632"/>
      <c r="F297" s="633"/>
      <c r="G297" s="633"/>
      <c r="H297" s="634"/>
      <c r="I297" s="634"/>
      <c r="J297" s="632"/>
      <c r="K297" s="635"/>
      <c r="L297" s="634"/>
      <c r="M297" s="634"/>
      <c r="N297" s="636"/>
      <c r="O297" s="637"/>
      <c r="P297" s="638"/>
      <c r="Q297" s="639"/>
      <c r="R297" s="640"/>
      <c r="S297" s="641"/>
    </row>
    <row r="298" spans="2:19" ht="30.95" customHeight="1" thickBot="1" x14ac:dyDescent="0.3">
      <c r="B298" s="141">
        <f>B292</f>
        <v>42</v>
      </c>
      <c r="C298" s="142">
        <v>294</v>
      </c>
      <c r="D298" s="618" t="str">
        <f t="shared" si="4"/>
        <v>IV</v>
      </c>
      <c r="E298" s="652"/>
      <c r="F298" s="653"/>
      <c r="G298" s="653"/>
      <c r="H298" s="654"/>
      <c r="I298" s="654"/>
      <c r="J298" s="619" t="s">
        <v>181</v>
      </c>
      <c r="K298" s="620"/>
      <c r="L298" s="621"/>
      <c r="M298" s="654"/>
      <c r="N298" s="655">
        <v>10</v>
      </c>
      <c r="O298" s="656">
        <v>10</v>
      </c>
      <c r="P298" s="657"/>
      <c r="Q298" s="658">
        <v>10</v>
      </c>
      <c r="R298" s="659" t="s">
        <v>4</v>
      </c>
      <c r="S298" s="660">
        <v>43621</v>
      </c>
    </row>
    <row r="299" spans="2:19" ht="30.95" hidden="1" customHeight="1" thickTop="1" x14ac:dyDescent="0.3">
      <c r="B299" s="129">
        <f>B297+1</f>
        <v>43</v>
      </c>
      <c r="C299" s="130">
        <v>295</v>
      </c>
      <c r="D299" s="196" t="str">
        <f t="shared" si="4"/>
        <v>IV</v>
      </c>
      <c r="E299" s="152"/>
      <c r="F299" s="153"/>
      <c r="G299" s="153"/>
      <c r="H299" s="154"/>
      <c r="I299" s="154"/>
      <c r="J299" s="152"/>
      <c r="K299" s="155"/>
      <c r="L299" s="154"/>
      <c r="M299" s="154"/>
      <c r="N299" s="156"/>
      <c r="O299" s="157"/>
      <c r="P299" s="158"/>
      <c r="Q299" s="159"/>
      <c r="R299" s="160"/>
      <c r="S299" s="161"/>
    </row>
    <row r="300" spans="2:19" ht="30.95" hidden="1" customHeight="1" x14ac:dyDescent="0.3">
      <c r="B300" s="60">
        <f>B299</f>
        <v>43</v>
      </c>
      <c r="C300" s="102">
        <v>296</v>
      </c>
      <c r="D300" s="616" t="str">
        <f t="shared" si="4"/>
        <v>IV</v>
      </c>
      <c r="E300" s="162"/>
      <c r="F300" s="163"/>
      <c r="G300" s="163"/>
      <c r="H300" s="164"/>
      <c r="I300" s="164"/>
      <c r="J300" s="162"/>
      <c r="K300" s="165"/>
      <c r="L300" s="164"/>
      <c r="M300" s="164"/>
      <c r="N300" s="166"/>
      <c r="O300" s="167"/>
      <c r="P300" s="168"/>
      <c r="Q300" s="169"/>
      <c r="R300" s="170"/>
      <c r="S300" s="171"/>
    </row>
    <row r="301" spans="2:19" ht="30.95" hidden="1" customHeight="1" x14ac:dyDescent="0.3">
      <c r="B301" s="60">
        <f>B299</f>
        <v>43</v>
      </c>
      <c r="C301" s="102">
        <v>297</v>
      </c>
      <c r="D301" s="616" t="str">
        <f t="shared" si="4"/>
        <v>IV</v>
      </c>
      <c r="E301" s="162"/>
      <c r="F301" s="163"/>
      <c r="G301" s="163"/>
      <c r="H301" s="164"/>
      <c r="I301" s="164"/>
      <c r="J301" s="162"/>
      <c r="K301" s="165"/>
      <c r="L301" s="164"/>
      <c r="M301" s="164"/>
      <c r="N301" s="166"/>
      <c r="O301" s="167"/>
      <c r="P301" s="168"/>
      <c r="Q301" s="169"/>
      <c r="R301" s="170"/>
      <c r="S301" s="171"/>
    </row>
    <row r="302" spans="2:19" ht="30.95" hidden="1" customHeight="1" x14ac:dyDescent="0.3">
      <c r="B302" s="60">
        <f>B299</f>
        <v>43</v>
      </c>
      <c r="C302" s="102">
        <v>298</v>
      </c>
      <c r="D302" s="616" t="str">
        <f t="shared" si="4"/>
        <v>IV</v>
      </c>
      <c r="E302" s="162"/>
      <c r="F302" s="163"/>
      <c r="G302" s="163"/>
      <c r="H302" s="164"/>
      <c r="I302" s="164"/>
      <c r="J302" s="162"/>
      <c r="K302" s="165"/>
      <c r="L302" s="164"/>
      <c r="M302" s="164"/>
      <c r="N302" s="166"/>
      <c r="O302" s="167"/>
      <c r="P302" s="168"/>
      <c r="Q302" s="169"/>
      <c r="R302" s="170"/>
      <c r="S302" s="171"/>
    </row>
    <row r="303" spans="2:19" ht="30.95" hidden="1" customHeight="1" x14ac:dyDescent="0.3">
      <c r="B303" s="60">
        <f>B299</f>
        <v>43</v>
      </c>
      <c r="C303" s="102">
        <v>299</v>
      </c>
      <c r="D303" s="616" t="str">
        <f t="shared" si="4"/>
        <v>IV</v>
      </c>
      <c r="E303" s="162"/>
      <c r="F303" s="163"/>
      <c r="G303" s="163"/>
      <c r="H303" s="164"/>
      <c r="I303" s="164"/>
      <c r="J303" s="162"/>
      <c r="K303" s="165"/>
      <c r="L303" s="164"/>
      <c r="M303" s="164"/>
      <c r="N303" s="166"/>
      <c r="O303" s="167"/>
      <c r="P303" s="168"/>
      <c r="Q303" s="169"/>
      <c r="R303" s="170"/>
      <c r="S303" s="171"/>
    </row>
    <row r="304" spans="2:19" ht="30.95" hidden="1" customHeight="1" x14ac:dyDescent="0.3">
      <c r="B304" s="60">
        <f>B299</f>
        <v>43</v>
      </c>
      <c r="C304" s="102">
        <v>300</v>
      </c>
      <c r="D304" s="616" t="str">
        <f t="shared" si="4"/>
        <v>IV</v>
      </c>
      <c r="E304" s="172"/>
      <c r="F304" s="173"/>
      <c r="G304" s="173"/>
      <c r="H304" s="174"/>
      <c r="I304" s="174"/>
      <c r="J304" s="172"/>
      <c r="K304" s="175"/>
      <c r="L304" s="174"/>
      <c r="M304" s="174"/>
      <c r="N304" s="176"/>
      <c r="O304" s="177"/>
      <c r="P304" s="178"/>
      <c r="Q304" s="179"/>
      <c r="R304" s="180"/>
      <c r="S304" s="181"/>
    </row>
    <row r="305" spans="2:19" ht="30.95" hidden="1" customHeight="1" thickBot="1" x14ac:dyDescent="0.3">
      <c r="B305" s="141">
        <f>B299</f>
        <v>43</v>
      </c>
      <c r="C305" s="142">
        <v>301</v>
      </c>
      <c r="D305" s="618" t="str">
        <f t="shared" si="4"/>
        <v>IV</v>
      </c>
      <c r="E305" s="189"/>
      <c r="F305" s="190"/>
      <c r="G305" s="190"/>
      <c r="H305" s="182"/>
      <c r="I305" s="182"/>
      <c r="J305" s="619" t="s">
        <v>181</v>
      </c>
      <c r="K305" s="620"/>
      <c r="L305" s="621"/>
      <c r="M305" s="182"/>
      <c r="N305" s="183"/>
      <c r="O305" s="184"/>
      <c r="P305" s="185"/>
      <c r="Q305" s="186"/>
      <c r="R305" s="187"/>
      <c r="S305" s="188"/>
    </row>
    <row r="306" spans="2:19" ht="30.95" hidden="1" customHeight="1" thickTop="1" x14ac:dyDescent="0.3">
      <c r="B306" s="129">
        <f>B304+1</f>
        <v>44</v>
      </c>
      <c r="C306" s="130">
        <v>302</v>
      </c>
      <c r="D306" s="196" t="str">
        <f t="shared" si="4"/>
        <v>IV</v>
      </c>
      <c r="E306" s="661"/>
      <c r="F306" s="662"/>
      <c r="G306" s="662"/>
      <c r="H306" s="663"/>
      <c r="I306" s="663"/>
      <c r="J306" s="661"/>
      <c r="K306" s="664"/>
      <c r="L306" s="663"/>
      <c r="M306" s="663"/>
      <c r="N306" s="665"/>
      <c r="O306" s="666"/>
      <c r="P306" s="667"/>
      <c r="Q306" s="668"/>
      <c r="R306" s="669"/>
      <c r="S306" s="670"/>
    </row>
    <row r="307" spans="2:19" ht="30.95" hidden="1" customHeight="1" x14ac:dyDescent="0.3">
      <c r="B307" s="60">
        <f>B306</f>
        <v>44</v>
      </c>
      <c r="C307" s="102">
        <v>303</v>
      </c>
      <c r="D307" s="616" t="str">
        <f t="shared" si="4"/>
        <v>IV</v>
      </c>
      <c r="E307" s="632"/>
      <c r="F307" s="633"/>
      <c r="G307" s="633"/>
      <c r="H307" s="634"/>
      <c r="I307" s="634"/>
      <c r="J307" s="632"/>
      <c r="K307" s="635"/>
      <c r="L307" s="634"/>
      <c r="M307" s="634"/>
      <c r="N307" s="636"/>
      <c r="O307" s="637"/>
      <c r="P307" s="638"/>
      <c r="Q307" s="639"/>
      <c r="R307" s="640"/>
      <c r="S307" s="641"/>
    </row>
    <row r="308" spans="2:19" ht="30.95" hidden="1" customHeight="1" x14ac:dyDescent="0.3">
      <c r="B308" s="60">
        <f>B306</f>
        <v>44</v>
      </c>
      <c r="C308" s="102">
        <v>304</v>
      </c>
      <c r="D308" s="616" t="str">
        <f t="shared" si="4"/>
        <v>IV</v>
      </c>
      <c r="E308" s="632"/>
      <c r="F308" s="633"/>
      <c r="G308" s="633"/>
      <c r="H308" s="634"/>
      <c r="I308" s="634"/>
      <c r="J308" s="632"/>
      <c r="K308" s="635"/>
      <c r="L308" s="634"/>
      <c r="M308" s="634"/>
      <c r="N308" s="636"/>
      <c r="O308" s="637"/>
      <c r="P308" s="638"/>
      <c r="Q308" s="639"/>
      <c r="R308" s="640"/>
      <c r="S308" s="641"/>
    </row>
    <row r="309" spans="2:19" ht="30.95" hidden="1" customHeight="1" x14ac:dyDescent="0.3">
      <c r="B309" s="60">
        <f>B306</f>
        <v>44</v>
      </c>
      <c r="C309" s="102">
        <v>305</v>
      </c>
      <c r="D309" s="616" t="str">
        <f t="shared" si="4"/>
        <v>IV</v>
      </c>
      <c r="E309" s="632"/>
      <c r="F309" s="633"/>
      <c r="G309" s="633"/>
      <c r="H309" s="634"/>
      <c r="I309" s="634"/>
      <c r="J309" s="632"/>
      <c r="K309" s="635"/>
      <c r="L309" s="634"/>
      <c r="M309" s="634"/>
      <c r="N309" s="636"/>
      <c r="O309" s="637"/>
      <c r="P309" s="638"/>
      <c r="Q309" s="639"/>
      <c r="R309" s="640"/>
      <c r="S309" s="641"/>
    </row>
    <row r="310" spans="2:19" ht="30.95" hidden="1" customHeight="1" x14ac:dyDescent="0.3">
      <c r="B310" s="60">
        <f>B306</f>
        <v>44</v>
      </c>
      <c r="C310" s="102">
        <v>306</v>
      </c>
      <c r="D310" s="616" t="str">
        <f t="shared" si="4"/>
        <v>IV</v>
      </c>
      <c r="E310" s="632"/>
      <c r="F310" s="633"/>
      <c r="G310" s="633"/>
      <c r="H310" s="634"/>
      <c r="I310" s="634"/>
      <c r="J310" s="632"/>
      <c r="K310" s="635"/>
      <c r="L310" s="634"/>
      <c r="M310" s="634"/>
      <c r="N310" s="636"/>
      <c r="O310" s="637"/>
      <c r="P310" s="638"/>
      <c r="Q310" s="639"/>
      <c r="R310" s="640"/>
      <c r="S310" s="641"/>
    </row>
    <row r="311" spans="2:19" ht="30.95" hidden="1" customHeight="1" x14ac:dyDescent="0.3">
      <c r="B311" s="60">
        <f>B306</f>
        <v>44</v>
      </c>
      <c r="C311" s="102">
        <v>307</v>
      </c>
      <c r="D311" s="616" t="str">
        <f t="shared" si="4"/>
        <v>IV</v>
      </c>
      <c r="E311" s="632"/>
      <c r="F311" s="633"/>
      <c r="G311" s="633"/>
      <c r="H311" s="634"/>
      <c r="I311" s="634"/>
      <c r="J311" s="632"/>
      <c r="K311" s="635"/>
      <c r="L311" s="634"/>
      <c r="M311" s="634"/>
      <c r="N311" s="636"/>
      <c r="O311" s="637"/>
      <c r="P311" s="638"/>
      <c r="Q311" s="639"/>
      <c r="R311" s="640"/>
      <c r="S311" s="641"/>
    </row>
    <row r="312" spans="2:19" ht="30.95" hidden="1" customHeight="1" thickBot="1" x14ac:dyDescent="0.3">
      <c r="B312" s="141">
        <f>B306</f>
        <v>44</v>
      </c>
      <c r="C312" s="142">
        <v>308</v>
      </c>
      <c r="D312" s="618" t="str">
        <f t="shared" si="4"/>
        <v>IV</v>
      </c>
      <c r="E312" s="652"/>
      <c r="F312" s="653"/>
      <c r="G312" s="653"/>
      <c r="H312" s="654"/>
      <c r="I312" s="654"/>
      <c r="J312" s="619" t="s">
        <v>181</v>
      </c>
      <c r="K312" s="620"/>
      <c r="L312" s="621"/>
      <c r="M312" s="654"/>
      <c r="N312" s="655"/>
      <c r="O312" s="656"/>
      <c r="P312" s="657"/>
      <c r="Q312" s="658"/>
      <c r="R312" s="659"/>
      <c r="S312" s="660"/>
    </row>
    <row r="313" spans="2:19" ht="30.95" customHeight="1" thickTop="1" x14ac:dyDescent="0.25">
      <c r="B313" s="129">
        <f>B311+1</f>
        <v>45</v>
      </c>
      <c r="C313" s="130">
        <v>309</v>
      </c>
      <c r="D313" s="196" t="str">
        <f t="shared" si="4"/>
        <v>IV</v>
      </c>
      <c r="E313" s="152">
        <v>10</v>
      </c>
      <c r="F313" s="153">
        <v>43664</v>
      </c>
      <c r="G313" s="153">
        <v>43673</v>
      </c>
      <c r="H313" s="154" t="s">
        <v>283</v>
      </c>
      <c r="I313" s="154">
        <v>2</v>
      </c>
      <c r="J313" s="152" t="s">
        <v>167</v>
      </c>
      <c r="K313" s="155" t="s">
        <v>16</v>
      </c>
      <c r="L313" s="154">
        <v>1</v>
      </c>
      <c r="M313" s="154">
        <v>8</v>
      </c>
      <c r="N313" s="156">
        <v>90</v>
      </c>
      <c r="O313" s="157">
        <v>90</v>
      </c>
      <c r="P313" s="158"/>
      <c r="Q313" s="159">
        <v>90</v>
      </c>
      <c r="R313" s="160" t="s">
        <v>4</v>
      </c>
      <c r="S313" s="161">
        <v>43620</v>
      </c>
    </row>
    <row r="314" spans="2:19" ht="30.95" customHeight="1" x14ac:dyDescent="0.25">
      <c r="B314" s="60">
        <f>B313</f>
        <v>45</v>
      </c>
      <c r="C314" s="102">
        <v>310</v>
      </c>
      <c r="D314" s="616" t="str">
        <f t="shared" si="4"/>
        <v>IV</v>
      </c>
      <c r="E314" s="162">
        <v>10</v>
      </c>
      <c r="F314" s="163">
        <v>43664</v>
      </c>
      <c r="G314" s="163">
        <v>43673</v>
      </c>
      <c r="H314" s="164" t="s">
        <v>284</v>
      </c>
      <c r="I314" s="164">
        <v>2</v>
      </c>
      <c r="J314" s="162" t="s">
        <v>167</v>
      </c>
      <c r="K314" s="165" t="s">
        <v>16</v>
      </c>
      <c r="L314" s="164">
        <v>1</v>
      </c>
      <c r="M314" s="164">
        <v>8</v>
      </c>
      <c r="N314" s="166">
        <v>90</v>
      </c>
      <c r="O314" s="167">
        <v>90</v>
      </c>
      <c r="P314" s="168"/>
      <c r="Q314" s="169">
        <v>90</v>
      </c>
      <c r="R314" s="170" t="s">
        <v>4</v>
      </c>
      <c r="S314" s="171">
        <v>43620</v>
      </c>
    </row>
    <row r="315" spans="2:19" ht="30.95" hidden="1" customHeight="1" x14ac:dyDescent="0.25">
      <c r="B315" s="60">
        <f>B313</f>
        <v>45</v>
      </c>
      <c r="C315" s="102">
        <v>311</v>
      </c>
      <c r="D315" s="616" t="str">
        <f t="shared" si="4"/>
        <v>IV</v>
      </c>
      <c r="E315" s="162"/>
      <c r="F315" s="163"/>
      <c r="G315" s="163"/>
      <c r="H315" s="164"/>
      <c r="I315" s="164"/>
      <c r="J315" s="162"/>
      <c r="K315" s="165"/>
      <c r="L315" s="164"/>
      <c r="M315" s="164"/>
      <c r="N315" s="166"/>
      <c r="O315" s="167"/>
      <c r="P315" s="168"/>
      <c r="Q315" s="169"/>
      <c r="R315" s="170"/>
      <c r="S315" s="171"/>
    </row>
    <row r="316" spans="2:19" ht="30.95" hidden="1" customHeight="1" x14ac:dyDescent="0.25">
      <c r="B316" s="60">
        <f>B313</f>
        <v>45</v>
      </c>
      <c r="C316" s="102">
        <v>312</v>
      </c>
      <c r="D316" s="616" t="str">
        <f t="shared" si="4"/>
        <v>IV</v>
      </c>
      <c r="E316" s="162"/>
      <c r="F316" s="163"/>
      <c r="G316" s="163"/>
      <c r="H316" s="164"/>
      <c r="I316" s="164"/>
      <c r="J316" s="162"/>
      <c r="K316" s="165"/>
      <c r="L316" s="164"/>
      <c r="M316" s="164"/>
      <c r="N316" s="166"/>
      <c r="O316" s="167"/>
      <c r="P316" s="168"/>
      <c r="Q316" s="169"/>
      <c r="R316" s="170"/>
      <c r="S316" s="171"/>
    </row>
    <row r="317" spans="2:19" ht="30.95" hidden="1" customHeight="1" x14ac:dyDescent="0.25">
      <c r="B317" s="60">
        <f>B313</f>
        <v>45</v>
      </c>
      <c r="C317" s="102">
        <v>313</v>
      </c>
      <c r="D317" s="616" t="str">
        <f t="shared" si="4"/>
        <v>IV</v>
      </c>
      <c r="E317" s="162"/>
      <c r="F317" s="163"/>
      <c r="G317" s="163"/>
      <c r="H317" s="164"/>
      <c r="I317" s="164"/>
      <c r="J317" s="162"/>
      <c r="K317" s="165"/>
      <c r="L317" s="164"/>
      <c r="M317" s="164"/>
      <c r="N317" s="166"/>
      <c r="O317" s="167"/>
      <c r="P317" s="168"/>
      <c r="Q317" s="169"/>
      <c r="R317" s="170"/>
      <c r="S317" s="171"/>
    </row>
    <row r="318" spans="2:19" ht="30.95" hidden="1" customHeight="1" x14ac:dyDescent="0.25">
      <c r="B318" s="60">
        <f>B313</f>
        <v>45</v>
      </c>
      <c r="C318" s="102">
        <v>314</v>
      </c>
      <c r="D318" s="616" t="str">
        <f t="shared" si="4"/>
        <v>IV</v>
      </c>
      <c r="E318" s="172"/>
      <c r="F318" s="173"/>
      <c r="G318" s="173"/>
      <c r="H318" s="174"/>
      <c r="I318" s="174"/>
      <c r="J318" s="172"/>
      <c r="K318" s="175"/>
      <c r="L318" s="174"/>
      <c r="M318" s="174"/>
      <c r="N318" s="176"/>
      <c r="O318" s="177"/>
      <c r="P318" s="178"/>
      <c r="Q318" s="179"/>
      <c r="R318" s="180"/>
      <c r="S318" s="181"/>
    </row>
    <row r="319" spans="2:19" ht="30.95" customHeight="1" thickBot="1" x14ac:dyDescent="0.3">
      <c r="B319" s="141">
        <f>B313</f>
        <v>45</v>
      </c>
      <c r="C319" s="142">
        <v>315</v>
      </c>
      <c r="D319" s="618" t="str">
        <f t="shared" si="4"/>
        <v>IV</v>
      </c>
      <c r="E319" s="189"/>
      <c r="F319" s="190"/>
      <c r="G319" s="190"/>
      <c r="H319" s="182"/>
      <c r="I319" s="182"/>
      <c r="J319" s="619" t="s">
        <v>181</v>
      </c>
      <c r="K319" s="620"/>
      <c r="L319" s="621"/>
      <c r="M319" s="182"/>
      <c r="N319" s="183">
        <v>10</v>
      </c>
      <c r="O319" s="184">
        <v>10</v>
      </c>
      <c r="P319" s="185"/>
      <c r="Q319" s="186">
        <v>10</v>
      </c>
      <c r="R319" s="187" t="s">
        <v>4</v>
      </c>
      <c r="S319" s="188">
        <v>43620</v>
      </c>
    </row>
    <row r="320" spans="2:19" ht="30.95" customHeight="1" thickTop="1" x14ac:dyDescent="0.25">
      <c r="B320" s="129">
        <f>B318+1</f>
        <v>46</v>
      </c>
      <c r="C320" s="130">
        <v>316</v>
      </c>
      <c r="D320" s="196" t="str">
        <f t="shared" si="4"/>
        <v>IV</v>
      </c>
      <c r="E320" s="661">
        <v>10</v>
      </c>
      <c r="F320" s="662">
        <v>43664</v>
      </c>
      <c r="G320" s="662">
        <v>43673</v>
      </c>
      <c r="H320" s="663" t="s">
        <v>285</v>
      </c>
      <c r="I320" s="663">
        <v>1</v>
      </c>
      <c r="J320" s="661" t="s">
        <v>168</v>
      </c>
      <c r="K320" s="664" t="s">
        <v>61</v>
      </c>
      <c r="L320" s="663">
        <v>1.5</v>
      </c>
      <c r="M320" s="663">
        <v>8</v>
      </c>
      <c r="N320" s="665">
        <v>112.5</v>
      </c>
      <c r="O320" s="666">
        <v>112.5</v>
      </c>
      <c r="P320" s="667">
        <v>112.5</v>
      </c>
      <c r="Q320" s="668"/>
      <c r="R320" s="669" t="s">
        <v>4</v>
      </c>
      <c r="S320" s="670">
        <v>43620</v>
      </c>
    </row>
    <row r="321" spans="2:19" ht="30.95" customHeight="1" x14ac:dyDescent="0.25">
      <c r="B321" s="60">
        <f>B320</f>
        <v>46</v>
      </c>
      <c r="C321" s="102">
        <v>317</v>
      </c>
      <c r="D321" s="616" t="str">
        <f t="shared" si="4"/>
        <v>IV</v>
      </c>
      <c r="E321" s="632">
        <v>10</v>
      </c>
      <c r="F321" s="633">
        <v>43664</v>
      </c>
      <c r="G321" s="633">
        <v>43673</v>
      </c>
      <c r="H321" s="634" t="s">
        <v>286</v>
      </c>
      <c r="I321" s="634">
        <v>1</v>
      </c>
      <c r="J321" s="632" t="s">
        <v>168</v>
      </c>
      <c r="K321" s="635" t="s">
        <v>61</v>
      </c>
      <c r="L321" s="634">
        <v>1.5</v>
      </c>
      <c r="M321" s="634">
        <v>8</v>
      </c>
      <c r="N321" s="636">
        <v>112.5</v>
      </c>
      <c r="O321" s="637">
        <v>112.5</v>
      </c>
      <c r="P321" s="638">
        <v>112.5</v>
      </c>
      <c r="Q321" s="639"/>
      <c r="R321" s="640" t="s">
        <v>4</v>
      </c>
      <c r="S321" s="641">
        <v>43620</v>
      </c>
    </row>
    <row r="322" spans="2:19" ht="30.95" hidden="1" customHeight="1" x14ac:dyDescent="0.25">
      <c r="B322" s="60">
        <f>B320</f>
        <v>46</v>
      </c>
      <c r="C322" s="102">
        <v>318</v>
      </c>
      <c r="D322" s="616" t="str">
        <f t="shared" si="4"/>
        <v>IV</v>
      </c>
      <c r="E322" s="632"/>
      <c r="F322" s="633"/>
      <c r="G322" s="633"/>
      <c r="H322" s="634"/>
      <c r="I322" s="634"/>
      <c r="J322" s="632"/>
      <c r="K322" s="635"/>
      <c r="L322" s="634"/>
      <c r="M322" s="634"/>
      <c r="N322" s="636"/>
      <c r="O322" s="637"/>
      <c r="P322" s="638"/>
      <c r="Q322" s="639"/>
      <c r="R322" s="640"/>
      <c r="S322" s="641"/>
    </row>
    <row r="323" spans="2:19" ht="30.95" hidden="1" customHeight="1" x14ac:dyDescent="0.25">
      <c r="B323" s="60">
        <f>B320</f>
        <v>46</v>
      </c>
      <c r="C323" s="102">
        <v>319</v>
      </c>
      <c r="D323" s="616" t="str">
        <f t="shared" si="4"/>
        <v>IV</v>
      </c>
      <c r="E323" s="632"/>
      <c r="F323" s="633"/>
      <c r="G323" s="633"/>
      <c r="H323" s="634"/>
      <c r="I323" s="634"/>
      <c r="J323" s="632"/>
      <c r="K323" s="635"/>
      <c r="L323" s="634"/>
      <c r="M323" s="634"/>
      <c r="N323" s="636"/>
      <c r="O323" s="637"/>
      <c r="P323" s="638"/>
      <c r="Q323" s="639"/>
      <c r="R323" s="640"/>
      <c r="S323" s="641"/>
    </row>
    <row r="324" spans="2:19" ht="30.95" hidden="1" customHeight="1" x14ac:dyDescent="0.25">
      <c r="B324" s="60">
        <f>B320</f>
        <v>46</v>
      </c>
      <c r="C324" s="102">
        <v>320</v>
      </c>
      <c r="D324" s="616" t="str">
        <f t="shared" si="4"/>
        <v>IV</v>
      </c>
      <c r="E324" s="632"/>
      <c r="F324" s="633"/>
      <c r="G324" s="633"/>
      <c r="H324" s="634"/>
      <c r="I324" s="634"/>
      <c r="J324" s="632"/>
      <c r="K324" s="635"/>
      <c r="L324" s="634"/>
      <c r="M324" s="634"/>
      <c r="N324" s="636"/>
      <c r="O324" s="637"/>
      <c r="P324" s="638"/>
      <c r="Q324" s="639"/>
      <c r="R324" s="640"/>
      <c r="S324" s="641"/>
    </row>
    <row r="325" spans="2:19" ht="30.95" hidden="1" customHeight="1" x14ac:dyDescent="0.25">
      <c r="B325" s="60">
        <f>B320</f>
        <v>46</v>
      </c>
      <c r="C325" s="102">
        <v>321</v>
      </c>
      <c r="D325" s="616" t="str">
        <f t="shared" si="4"/>
        <v>IV</v>
      </c>
      <c r="E325" s="632"/>
      <c r="F325" s="633"/>
      <c r="G325" s="633"/>
      <c r="H325" s="634"/>
      <c r="I325" s="634"/>
      <c r="J325" s="632"/>
      <c r="K325" s="635"/>
      <c r="L325" s="634"/>
      <c r="M325" s="634"/>
      <c r="N325" s="636"/>
      <c r="O325" s="637"/>
      <c r="P325" s="638"/>
      <c r="Q325" s="639"/>
      <c r="R325" s="640"/>
      <c r="S325" s="641"/>
    </row>
    <row r="326" spans="2:19" ht="30.95" customHeight="1" thickBot="1" x14ac:dyDescent="0.3">
      <c r="B326" s="141">
        <f>B320</f>
        <v>46</v>
      </c>
      <c r="C326" s="142">
        <v>322</v>
      </c>
      <c r="D326" s="618" t="str">
        <f t="shared" si="4"/>
        <v>IV</v>
      </c>
      <c r="E326" s="652"/>
      <c r="F326" s="653"/>
      <c r="G326" s="653"/>
      <c r="H326" s="654"/>
      <c r="I326" s="654"/>
      <c r="J326" s="619" t="s">
        <v>181</v>
      </c>
      <c r="K326" s="620"/>
      <c r="L326" s="621"/>
      <c r="M326" s="654"/>
      <c r="N326" s="655">
        <v>10</v>
      </c>
      <c r="O326" s="656">
        <v>10</v>
      </c>
      <c r="P326" s="657"/>
      <c r="Q326" s="658">
        <v>10</v>
      </c>
      <c r="R326" s="659" t="s">
        <v>4</v>
      </c>
      <c r="S326" s="660">
        <v>43620</v>
      </c>
    </row>
    <row r="327" spans="2:19" ht="30.95" customHeight="1" thickTop="1" x14ac:dyDescent="0.25">
      <c r="B327" s="129">
        <f>B325+1</f>
        <v>47</v>
      </c>
      <c r="C327" s="130">
        <v>323</v>
      </c>
      <c r="D327" s="196" t="str">
        <f t="shared" ref="D327:D333" si="5">D326</f>
        <v>IV</v>
      </c>
      <c r="E327" s="152">
        <v>10</v>
      </c>
      <c r="F327" s="153">
        <v>43664</v>
      </c>
      <c r="G327" s="153">
        <v>43673</v>
      </c>
      <c r="H327" s="154" t="s">
        <v>287</v>
      </c>
      <c r="I327" s="154">
        <v>1</v>
      </c>
      <c r="J327" s="152" t="s">
        <v>168</v>
      </c>
      <c r="K327" s="155" t="s">
        <v>16</v>
      </c>
      <c r="L327" s="154">
        <v>1</v>
      </c>
      <c r="M327" s="154">
        <v>8</v>
      </c>
      <c r="N327" s="156">
        <v>75</v>
      </c>
      <c r="O327" s="157">
        <v>75</v>
      </c>
      <c r="P327" s="158">
        <v>75</v>
      </c>
      <c r="Q327" s="159"/>
      <c r="R327" s="160" t="s">
        <v>4</v>
      </c>
      <c r="S327" s="161">
        <v>43620</v>
      </c>
    </row>
    <row r="328" spans="2:19" ht="30.95" customHeight="1" x14ac:dyDescent="0.25">
      <c r="B328" s="60">
        <f>B327</f>
        <v>47</v>
      </c>
      <c r="C328" s="102">
        <v>324</v>
      </c>
      <c r="D328" s="616" t="str">
        <f t="shared" si="5"/>
        <v>IV</v>
      </c>
      <c r="E328" s="162">
        <v>10</v>
      </c>
      <c r="F328" s="163">
        <v>43664</v>
      </c>
      <c r="G328" s="163">
        <v>43673</v>
      </c>
      <c r="H328" s="164" t="s">
        <v>288</v>
      </c>
      <c r="I328" s="164">
        <v>1</v>
      </c>
      <c r="J328" s="162" t="s">
        <v>168</v>
      </c>
      <c r="K328" s="165" t="s">
        <v>16</v>
      </c>
      <c r="L328" s="164">
        <v>1</v>
      </c>
      <c r="M328" s="164">
        <v>8</v>
      </c>
      <c r="N328" s="166">
        <v>75</v>
      </c>
      <c r="O328" s="167">
        <v>75</v>
      </c>
      <c r="P328" s="168">
        <v>75</v>
      </c>
      <c r="Q328" s="169"/>
      <c r="R328" s="170" t="s">
        <v>4</v>
      </c>
      <c r="S328" s="171">
        <v>43620</v>
      </c>
    </row>
    <row r="329" spans="2:19" ht="30.95" hidden="1" customHeight="1" x14ac:dyDescent="0.25">
      <c r="B329" s="60">
        <f>B327</f>
        <v>47</v>
      </c>
      <c r="C329" s="102">
        <v>325</v>
      </c>
      <c r="D329" s="616" t="str">
        <f t="shared" si="5"/>
        <v>IV</v>
      </c>
      <c r="E329" s="162"/>
      <c r="F329" s="163"/>
      <c r="G329" s="163"/>
      <c r="H329" s="164"/>
      <c r="I329" s="164"/>
      <c r="J329" s="162"/>
      <c r="K329" s="165"/>
      <c r="L329" s="164"/>
      <c r="M329" s="164"/>
      <c r="N329" s="166"/>
      <c r="O329" s="167"/>
      <c r="P329" s="168"/>
      <c r="Q329" s="169"/>
      <c r="R329" s="170"/>
      <c r="S329" s="171"/>
    </row>
    <row r="330" spans="2:19" ht="30.95" hidden="1" customHeight="1" x14ac:dyDescent="0.25">
      <c r="B330" s="60">
        <f>B327</f>
        <v>47</v>
      </c>
      <c r="C330" s="102">
        <v>326</v>
      </c>
      <c r="D330" s="616" t="str">
        <f t="shared" si="5"/>
        <v>IV</v>
      </c>
      <c r="E330" s="162"/>
      <c r="F330" s="163"/>
      <c r="G330" s="163"/>
      <c r="H330" s="164"/>
      <c r="I330" s="164"/>
      <c r="J330" s="162"/>
      <c r="K330" s="165"/>
      <c r="L330" s="164"/>
      <c r="M330" s="164"/>
      <c r="N330" s="166"/>
      <c r="O330" s="167"/>
      <c r="P330" s="168"/>
      <c r="Q330" s="169"/>
      <c r="R330" s="170"/>
      <c r="S330" s="171"/>
    </row>
    <row r="331" spans="2:19" ht="30.95" hidden="1" customHeight="1" x14ac:dyDescent="0.25">
      <c r="B331" s="60">
        <f>B327</f>
        <v>47</v>
      </c>
      <c r="C331" s="102">
        <v>327</v>
      </c>
      <c r="D331" s="616" t="str">
        <f t="shared" si="5"/>
        <v>IV</v>
      </c>
      <c r="E331" s="162"/>
      <c r="F331" s="163"/>
      <c r="G331" s="163"/>
      <c r="H331" s="164"/>
      <c r="I331" s="164"/>
      <c r="J331" s="162"/>
      <c r="K331" s="165"/>
      <c r="L331" s="164"/>
      <c r="M331" s="164"/>
      <c r="N331" s="166"/>
      <c r="O331" s="167"/>
      <c r="P331" s="168"/>
      <c r="Q331" s="169"/>
      <c r="R331" s="170"/>
      <c r="S331" s="171"/>
    </row>
    <row r="332" spans="2:19" ht="30.95" hidden="1" customHeight="1" x14ac:dyDescent="0.25">
      <c r="B332" s="60">
        <f>B327</f>
        <v>47</v>
      </c>
      <c r="C332" s="102">
        <v>328</v>
      </c>
      <c r="D332" s="616" t="str">
        <f t="shared" si="5"/>
        <v>IV</v>
      </c>
      <c r="E332" s="172"/>
      <c r="F332" s="173"/>
      <c r="G332" s="173"/>
      <c r="H332" s="174"/>
      <c r="I332" s="174"/>
      <c r="J332" s="172"/>
      <c r="K332" s="175"/>
      <c r="L332" s="174"/>
      <c r="M332" s="174"/>
      <c r="N332" s="176"/>
      <c r="O332" s="177"/>
      <c r="P332" s="178"/>
      <c r="Q332" s="179"/>
      <c r="R332" s="180"/>
      <c r="S332" s="181"/>
    </row>
    <row r="333" spans="2:19" ht="30.95" customHeight="1" thickBot="1" x14ac:dyDescent="0.3">
      <c r="B333" s="141">
        <f>B327</f>
        <v>47</v>
      </c>
      <c r="C333" s="142">
        <v>329</v>
      </c>
      <c r="D333" s="618" t="str">
        <f t="shared" si="5"/>
        <v>IV</v>
      </c>
      <c r="E333" s="189"/>
      <c r="F333" s="190"/>
      <c r="G333" s="190"/>
      <c r="H333" s="182"/>
      <c r="I333" s="182"/>
      <c r="J333" s="619" t="s">
        <v>181</v>
      </c>
      <c r="K333" s="620"/>
      <c r="L333" s="621"/>
      <c r="M333" s="182"/>
      <c r="N333" s="183">
        <v>10</v>
      </c>
      <c r="O333" s="184">
        <v>10</v>
      </c>
      <c r="P333" s="185"/>
      <c r="Q333" s="186">
        <v>10</v>
      </c>
      <c r="R333" s="187" t="s">
        <v>4</v>
      </c>
      <c r="S333" s="188">
        <v>43620</v>
      </c>
    </row>
    <row r="334" spans="2:19" ht="15.75" thickTop="1" x14ac:dyDescent="0.25"/>
  </sheetData>
  <sheetProtection sheet="1" objects="1" scenarios="1"/>
  <autoFilter ref="B4:R333" xr:uid="{00000000-0009-0000-0000-000004000000}">
    <filterColumn colId="13">
      <customFilters>
        <customFilter operator="notEqual" val=" "/>
      </customFilters>
    </filterColumn>
  </autoFilter>
  <mergeCells count="63">
    <mergeCell ref="I2:J2"/>
    <mergeCell ref="B2:B3"/>
    <mergeCell ref="D2:D3"/>
    <mergeCell ref="E2:E3"/>
    <mergeCell ref="C2:C3"/>
    <mergeCell ref="H2:H3"/>
    <mergeCell ref="F2:F3"/>
    <mergeCell ref="G2:G3"/>
    <mergeCell ref="S2:S3"/>
    <mergeCell ref="R2:R3"/>
    <mergeCell ref="K2:L2"/>
    <mergeCell ref="M2:M3"/>
    <mergeCell ref="N2:N3"/>
    <mergeCell ref="O2:O3"/>
    <mergeCell ref="P2:P3"/>
    <mergeCell ref="Q2:Q3"/>
    <mergeCell ref="J11:L11"/>
    <mergeCell ref="J18:L18"/>
    <mergeCell ref="J25:L25"/>
    <mergeCell ref="J32:L32"/>
    <mergeCell ref="J39:L39"/>
    <mergeCell ref="J46:L46"/>
    <mergeCell ref="J53:L53"/>
    <mergeCell ref="J60:L60"/>
    <mergeCell ref="J67:L67"/>
    <mergeCell ref="J74:L74"/>
    <mergeCell ref="J81:L81"/>
    <mergeCell ref="J88:L88"/>
    <mergeCell ref="J95:L95"/>
    <mergeCell ref="J102:L102"/>
    <mergeCell ref="J109:L109"/>
    <mergeCell ref="J116:L116"/>
    <mergeCell ref="J123:L123"/>
    <mergeCell ref="J130:L130"/>
    <mergeCell ref="J137:L137"/>
    <mergeCell ref="J144:L144"/>
    <mergeCell ref="J151:L151"/>
    <mergeCell ref="J158:L158"/>
    <mergeCell ref="J165:L165"/>
    <mergeCell ref="J172:L172"/>
    <mergeCell ref="J179:L179"/>
    <mergeCell ref="J186:L186"/>
    <mergeCell ref="J193:L193"/>
    <mergeCell ref="J200:L200"/>
    <mergeCell ref="J207:L207"/>
    <mergeCell ref="J214:L214"/>
    <mergeCell ref="J221:L221"/>
    <mergeCell ref="J228:L228"/>
    <mergeCell ref="J235:L235"/>
    <mergeCell ref="J242:L242"/>
    <mergeCell ref="J249:L249"/>
    <mergeCell ref="J256:L256"/>
    <mergeCell ref="J263:L263"/>
    <mergeCell ref="J270:L270"/>
    <mergeCell ref="J277:L277"/>
    <mergeCell ref="J284:L284"/>
    <mergeCell ref="J326:L326"/>
    <mergeCell ref="J333:L333"/>
    <mergeCell ref="J291:L291"/>
    <mergeCell ref="J298:L298"/>
    <mergeCell ref="J305:L305"/>
    <mergeCell ref="J312:L312"/>
    <mergeCell ref="J319:L319"/>
  </mergeCells>
  <printOptions horizontalCentered="1"/>
  <pageMargins left="0.23622047244094491" right="0.23622047244094491" top="0.15748031496062992" bottom="0.35433070866141736" header="0.31496062992125984" footer="0.11811023622047245"/>
  <pageSetup paperSize="9" scale="71" fitToHeight="0" orientation="landscape" blackAndWhite="1" r:id="rId1"/>
  <headerFooter>
    <oddFooter>&amp;CСтраница &amp;P от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90A3-5B78-49A7-8C62-BAC5198273E8}">
  <sheetPr codeName="Лист1"/>
  <dimension ref="A1"/>
  <sheetViews>
    <sheetView tabSelected="1" workbookViewId="0">
      <selection activeCell="D7" activeCellId="2" sqref="C3:Q3 D5 D7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Z45"/>
  <sheetViews>
    <sheetView showGridLines="0" showRowColHeaders="0" showZeros="0" tabSelected="1" workbookViewId="0">
      <selection activeCell="D7" activeCellId="2" sqref="C3:Q3 D5 D7"/>
    </sheetView>
  </sheetViews>
  <sheetFormatPr defaultColWidth="9.140625" defaultRowHeight="12.75" x14ac:dyDescent="0.2"/>
  <cols>
    <col min="1" max="1" width="1.140625" style="38" customWidth="1"/>
    <col min="2" max="2" width="0.7109375" style="38" customWidth="1"/>
    <col min="3" max="3" width="3.28515625" style="38" customWidth="1"/>
    <col min="4" max="4" width="6.140625" style="38" customWidth="1"/>
    <col min="5" max="5" width="13.5703125" style="38" customWidth="1"/>
    <col min="6" max="6" width="3.140625" style="38" customWidth="1"/>
    <col min="7" max="7" width="0.7109375" style="38" customWidth="1"/>
    <col min="8" max="8" width="4.7109375" style="38" customWidth="1"/>
    <col min="9" max="9" width="0.7109375" style="38" customWidth="1"/>
    <col min="10" max="10" width="7.140625" style="38" customWidth="1"/>
    <col min="11" max="11" width="7.7109375" style="38" customWidth="1"/>
    <col min="12" max="12" width="1.7109375" style="38" customWidth="1"/>
    <col min="13" max="13" width="0.7109375" style="38" customWidth="1"/>
    <col min="14" max="14" width="6" style="38" customWidth="1"/>
    <col min="15" max="15" width="8.7109375" style="38" customWidth="1"/>
    <col min="16" max="16" width="0.7109375" style="38" customWidth="1"/>
    <col min="17" max="17" width="17.7109375" style="38" customWidth="1"/>
    <col min="18" max="19" width="1" style="38" customWidth="1"/>
    <col min="20" max="20" width="0.7109375" style="38" customWidth="1"/>
    <col min="21" max="21" width="10" style="38" customWidth="1"/>
    <col min="22" max="22" width="7.85546875" style="38" customWidth="1"/>
    <col min="23" max="23" width="0.7109375" style="38" customWidth="1"/>
    <col min="24" max="24" width="2.85546875" style="38" customWidth="1"/>
    <col min="25" max="25" width="1.42578125" style="38" customWidth="1"/>
    <col min="26" max="26" width="13.5703125" style="38" customWidth="1"/>
    <col min="27" max="16384" width="9.140625" style="38"/>
  </cols>
  <sheetData>
    <row r="1" spans="2:26" s="31" customFormat="1" ht="5.2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2:26" s="31" customFormat="1" ht="12.75" customHeight="1" x14ac:dyDescent="0.2">
      <c r="B2" s="449" t="s">
        <v>73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1"/>
      <c r="P2" s="29"/>
      <c r="Q2" s="32" t="s">
        <v>74</v>
      </c>
      <c r="R2" s="30"/>
      <c r="T2" s="449" t="s">
        <v>73</v>
      </c>
      <c r="U2" s="450"/>
      <c r="V2" s="450"/>
      <c r="W2" s="450"/>
      <c r="X2" s="450"/>
      <c r="Y2" s="450"/>
      <c r="Z2" s="451"/>
    </row>
    <row r="3" spans="2:26" s="31" customFormat="1" ht="33" customHeight="1" x14ac:dyDescent="0.25">
      <c r="B3" s="452" t="s">
        <v>75</v>
      </c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4"/>
      <c r="P3" s="29"/>
      <c r="Q3" s="33">
        <v>522685</v>
      </c>
      <c r="R3" s="30"/>
      <c r="T3" s="455" t="s">
        <v>76</v>
      </c>
      <c r="U3" s="456"/>
      <c r="V3" s="456"/>
      <c r="W3" s="456"/>
      <c r="X3" s="456"/>
      <c r="Y3" s="456"/>
      <c r="Z3" s="457"/>
    </row>
    <row r="4" spans="2:26" s="31" customFormat="1" ht="5.0999999999999996" customHeight="1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</row>
    <row r="5" spans="2:26" s="31" customFormat="1" ht="12" x14ac:dyDescent="0.2">
      <c r="B5" s="458" t="s">
        <v>77</v>
      </c>
      <c r="C5" s="459"/>
      <c r="D5" s="459"/>
      <c r="E5" s="459"/>
      <c r="F5" s="459"/>
      <c r="G5" s="459"/>
      <c r="H5" s="459"/>
      <c r="I5" s="459"/>
      <c r="J5" s="459"/>
      <c r="K5" s="459"/>
      <c r="L5" s="460"/>
      <c r="M5" s="29"/>
      <c r="N5" s="464" t="s">
        <v>78</v>
      </c>
      <c r="O5" s="465"/>
      <c r="P5" s="29"/>
      <c r="Q5" s="32" t="s">
        <v>79</v>
      </c>
      <c r="R5" s="30"/>
      <c r="T5" s="458" t="s">
        <v>80</v>
      </c>
      <c r="U5" s="459"/>
      <c r="V5" s="459"/>
      <c r="W5" s="459"/>
      <c r="X5" s="459"/>
      <c r="Y5" s="459"/>
      <c r="Z5" s="460"/>
    </row>
    <row r="6" spans="2:26" s="31" customFormat="1" ht="12" x14ac:dyDescent="0.2">
      <c r="B6" s="461"/>
      <c r="C6" s="462"/>
      <c r="D6" s="462"/>
      <c r="E6" s="462"/>
      <c r="F6" s="462"/>
      <c r="G6" s="462"/>
      <c r="H6" s="462"/>
      <c r="I6" s="462"/>
      <c r="J6" s="462"/>
      <c r="K6" s="462"/>
      <c r="L6" s="463"/>
      <c r="M6" s="29"/>
      <c r="N6" s="466"/>
      <c r="O6" s="467"/>
      <c r="P6" s="29"/>
      <c r="Q6" s="65"/>
      <c r="R6" s="30"/>
      <c r="T6" s="461"/>
      <c r="U6" s="462"/>
      <c r="V6" s="462"/>
      <c r="W6" s="462"/>
      <c r="X6" s="462"/>
      <c r="Y6" s="462"/>
      <c r="Z6" s="463"/>
    </row>
    <row r="7" spans="2:26" s="31" customFormat="1" ht="5.0999999999999996" customHeight="1" x14ac:dyDescent="0.2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</row>
    <row r="8" spans="2:26" s="31" customFormat="1" ht="12" x14ac:dyDescent="0.2">
      <c r="B8" s="474" t="s">
        <v>81</v>
      </c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3"/>
      <c r="R8" s="30"/>
      <c r="Z8" s="475" t="s">
        <v>78</v>
      </c>
    </row>
    <row r="9" spans="2:26" s="31" customFormat="1" ht="19.5" customHeight="1" x14ac:dyDescent="0.25">
      <c r="B9" s="471" t="str">
        <f>Reg_forma!D19</f>
        <v>Светла Микова Великова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7"/>
      <c r="R9" s="30"/>
      <c r="T9" s="477" t="s">
        <v>82</v>
      </c>
      <c r="U9" s="477"/>
      <c r="V9" s="477"/>
      <c r="W9" s="477"/>
      <c r="X9" s="477"/>
      <c r="Y9" s="478"/>
      <c r="Z9" s="476"/>
    </row>
    <row r="10" spans="2:26" s="31" customFormat="1" ht="4.5" customHeight="1" x14ac:dyDescent="0.2">
      <c r="B10" s="474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73"/>
      <c r="R10" s="30"/>
    </row>
    <row r="11" spans="2:26" s="31" customFormat="1" ht="15" customHeight="1" x14ac:dyDescent="0.2">
      <c r="B11" s="479"/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1"/>
      <c r="R11" s="30"/>
      <c r="T11" s="34"/>
      <c r="U11" s="35" t="s">
        <v>83</v>
      </c>
      <c r="V11" s="482"/>
      <c r="W11" s="482"/>
      <c r="X11" s="482"/>
      <c r="Y11" s="482"/>
      <c r="Z11" s="483"/>
    </row>
    <row r="12" spans="2:26" s="31" customFormat="1" ht="5.0999999999999996" customHeight="1" x14ac:dyDescent="0.2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  <c r="T12" s="484" t="str">
        <f>B9</f>
        <v>Светла Микова Великова</v>
      </c>
      <c r="U12" s="485"/>
      <c r="V12" s="485"/>
      <c r="W12" s="485"/>
      <c r="X12" s="485"/>
      <c r="Y12" s="485"/>
      <c r="Z12" s="486"/>
    </row>
    <row r="13" spans="2:26" s="31" customFormat="1" ht="12" x14ac:dyDescent="0.2">
      <c r="B13" s="487" t="s">
        <v>84</v>
      </c>
      <c r="C13" s="488"/>
      <c r="D13" s="488"/>
      <c r="E13" s="469" t="s">
        <v>104</v>
      </c>
      <c r="F13" s="469"/>
      <c r="G13" s="469"/>
      <c r="H13" s="469"/>
      <c r="I13" s="469"/>
      <c r="J13" s="469"/>
      <c r="K13" s="469"/>
      <c r="L13" s="469"/>
      <c r="M13" s="469"/>
      <c r="N13" s="469"/>
      <c r="O13" s="469"/>
      <c r="P13" s="469"/>
      <c r="Q13" s="470"/>
      <c r="R13" s="30"/>
      <c r="T13" s="471"/>
      <c r="U13" s="456"/>
      <c r="V13" s="456"/>
      <c r="W13" s="456"/>
      <c r="X13" s="456"/>
      <c r="Y13" s="456"/>
      <c r="Z13" s="457"/>
    </row>
    <row r="14" spans="2:26" s="31" customFormat="1" ht="7.5" customHeight="1" x14ac:dyDescent="0.2">
      <c r="B14" s="489"/>
      <c r="C14" s="490"/>
      <c r="D14" s="490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7"/>
      <c r="R14" s="30"/>
      <c r="T14" s="484"/>
      <c r="U14" s="485"/>
      <c r="V14" s="485"/>
      <c r="W14" s="485"/>
      <c r="X14" s="485"/>
      <c r="Y14" s="485"/>
      <c r="Z14" s="486"/>
    </row>
    <row r="15" spans="2:26" s="31" customFormat="1" ht="19.5" customHeight="1" x14ac:dyDescent="0.25">
      <c r="B15" s="491" t="str">
        <f>Reg_forma!L11&amp;" смяна - бунгало "&amp;Reg_forma!F13</f>
        <v>IV смяна - бунгало 31</v>
      </c>
      <c r="C15" s="492"/>
      <c r="D15" s="492"/>
      <c r="E15" s="492"/>
      <c r="F15" s="492"/>
      <c r="G15" s="492"/>
      <c r="H15" s="492"/>
      <c r="I15" s="492"/>
      <c r="J15" s="492"/>
      <c r="K15" s="492"/>
      <c r="L15" s="492"/>
      <c r="M15" s="492"/>
      <c r="N15" s="492"/>
      <c r="O15" s="492"/>
      <c r="P15" s="492"/>
      <c r="Q15" s="493"/>
      <c r="R15" s="30"/>
      <c r="T15" s="471"/>
      <c r="U15" s="456"/>
      <c r="V15" s="456"/>
      <c r="W15" s="456"/>
      <c r="X15" s="456"/>
      <c r="Y15" s="456"/>
      <c r="Z15" s="457"/>
    </row>
    <row r="16" spans="2:26" s="31" customFormat="1" ht="5.0999999999999996" customHeight="1" x14ac:dyDescent="0.2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</row>
    <row r="17" spans="2:26" s="31" customFormat="1" ht="12" customHeight="1" x14ac:dyDescent="0.2">
      <c r="B17" s="468"/>
      <c r="C17" s="469"/>
      <c r="D17" s="469"/>
      <c r="E17" s="469"/>
      <c r="F17" s="469"/>
      <c r="G17" s="469"/>
      <c r="H17" s="469"/>
      <c r="I17" s="469"/>
      <c r="J17" s="469"/>
      <c r="K17" s="469"/>
      <c r="L17" s="469"/>
      <c r="M17" s="469"/>
      <c r="N17" s="469"/>
      <c r="O17" s="469"/>
      <c r="P17" s="469"/>
      <c r="Q17" s="470"/>
      <c r="R17" s="30"/>
      <c r="T17" s="34"/>
      <c r="U17" s="36" t="s">
        <v>85</v>
      </c>
      <c r="V17" s="472"/>
      <c r="W17" s="472"/>
      <c r="X17" s="472"/>
      <c r="Y17" s="472"/>
      <c r="Z17" s="473"/>
    </row>
    <row r="18" spans="2:26" s="31" customFormat="1" ht="16.5" customHeight="1" x14ac:dyDescent="0.25">
      <c r="B18" s="471"/>
      <c r="C18" s="456"/>
      <c r="D18" s="456"/>
      <c r="E18" s="456"/>
      <c r="F18" s="456"/>
      <c r="G18" s="456"/>
      <c r="H18" s="456"/>
      <c r="I18" s="456"/>
      <c r="J18" s="456"/>
      <c r="K18" s="456"/>
      <c r="L18" s="456"/>
      <c r="M18" s="456"/>
      <c r="N18" s="456"/>
      <c r="O18" s="456"/>
      <c r="P18" s="456"/>
      <c r="Q18" s="457"/>
      <c r="R18" s="30"/>
      <c r="T18" s="471" t="str">
        <f>E13</f>
        <v>Почивна карта - Шкорпиловци</v>
      </c>
      <c r="U18" s="456"/>
      <c r="V18" s="456"/>
      <c r="W18" s="456"/>
      <c r="X18" s="456"/>
      <c r="Y18" s="456"/>
      <c r="Z18" s="457"/>
    </row>
    <row r="19" spans="2:26" s="31" customFormat="1" ht="5.0999999999999996" customHeight="1" x14ac:dyDescent="0.2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0"/>
      <c r="T19" s="468" t="str">
        <f>B15</f>
        <v>IV смяна - бунгало 31</v>
      </c>
      <c r="U19" s="469"/>
      <c r="V19" s="469"/>
      <c r="W19" s="469"/>
      <c r="X19" s="469"/>
      <c r="Y19" s="469"/>
      <c r="Z19" s="470"/>
    </row>
    <row r="20" spans="2:26" ht="16.5" customHeight="1" x14ac:dyDescent="0.2">
      <c r="B20" s="494" t="s">
        <v>86</v>
      </c>
      <c r="C20" s="495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6"/>
      <c r="R20" s="37"/>
      <c r="T20" s="471"/>
      <c r="U20" s="456"/>
      <c r="V20" s="456"/>
      <c r="W20" s="456"/>
      <c r="X20" s="456"/>
      <c r="Y20" s="456"/>
      <c r="Z20" s="457"/>
    </row>
    <row r="21" spans="2:26" s="31" customFormat="1" ht="3.75" customHeight="1" x14ac:dyDescent="0.2">
      <c r="B21" s="39"/>
      <c r="C21" s="497" t="s">
        <v>87</v>
      </c>
      <c r="D21" s="498"/>
      <c r="E21" s="498"/>
      <c r="F21" s="498"/>
      <c r="G21" s="498"/>
      <c r="H21" s="501"/>
      <c r="I21" s="40"/>
      <c r="J21" s="503" t="s">
        <v>88</v>
      </c>
      <c r="K21" s="503"/>
      <c r="L21" s="503"/>
      <c r="M21" s="503"/>
      <c r="N21" s="503"/>
      <c r="O21" s="503"/>
      <c r="P21" s="503"/>
      <c r="Q21" s="504"/>
      <c r="R21" s="30"/>
    </row>
    <row r="22" spans="2:26" s="31" customFormat="1" ht="3.75" customHeight="1" x14ac:dyDescent="0.2">
      <c r="B22" s="39"/>
      <c r="C22" s="499"/>
      <c r="D22" s="500"/>
      <c r="E22" s="500"/>
      <c r="F22" s="500"/>
      <c r="G22" s="500"/>
      <c r="H22" s="502"/>
      <c r="I22" s="40"/>
      <c r="J22" s="503"/>
      <c r="K22" s="503"/>
      <c r="L22" s="503"/>
      <c r="M22" s="503"/>
      <c r="N22" s="503"/>
      <c r="O22" s="503"/>
      <c r="P22" s="503"/>
      <c r="Q22" s="504"/>
      <c r="R22" s="30"/>
      <c r="T22" s="34"/>
      <c r="U22" s="36"/>
      <c r="V22" s="36"/>
      <c r="W22" s="36"/>
      <c r="X22" s="36"/>
      <c r="Y22" s="36"/>
      <c r="Z22" s="41"/>
    </row>
    <row r="23" spans="2:26" s="31" customFormat="1" ht="4.5" customHeight="1" x14ac:dyDescent="0.2">
      <c r="B23" s="39"/>
      <c r="C23" s="499"/>
      <c r="D23" s="500"/>
      <c r="E23" s="500"/>
      <c r="F23" s="500"/>
      <c r="G23" s="500"/>
      <c r="H23" s="502"/>
      <c r="I23" s="40"/>
      <c r="J23" s="503"/>
      <c r="K23" s="503"/>
      <c r="L23" s="503"/>
      <c r="M23" s="503"/>
      <c r="N23" s="503"/>
      <c r="O23" s="503"/>
      <c r="P23" s="503"/>
      <c r="Q23" s="504"/>
      <c r="R23" s="30"/>
      <c r="T23" s="39"/>
      <c r="U23" s="505" t="s">
        <v>87</v>
      </c>
      <c r="V23" s="507"/>
      <c r="W23" s="507"/>
      <c r="X23" s="507"/>
      <c r="Y23" s="508"/>
      <c r="Z23" s="511"/>
    </row>
    <row r="24" spans="2:26" ht="7.5" customHeight="1" x14ac:dyDescent="0.2">
      <c r="B24" s="42"/>
      <c r="C24" s="512">
        <f>Reg_forma!Y14</f>
        <v>175</v>
      </c>
      <c r="D24" s="513"/>
      <c r="E24" s="513"/>
      <c r="F24" s="513"/>
      <c r="G24" s="513"/>
      <c r="H24" s="514"/>
      <c r="I24" s="43"/>
      <c r="J24" s="518"/>
      <c r="K24" s="519"/>
      <c r="L24" s="519"/>
      <c r="M24" s="519"/>
      <c r="N24" s="519"/>
      <c r="O24" s="519"/>
      <c r="P24" s="519"/>
      <c r="Q24" s="520"/>
      <c r="R24" s="37"/>
      <c r="T24" s="42"/>
      <c r="U24" s="506"/>
      <c r="V24" s="509"/>
      <c r="W24" s="509"/>
      <c r="X24" s="509"/>
      <c r="Y24" s="510"/>
      <c r="Z24" s="511"/>
    </row>
    <row r="25" spans="2:26" ht="9" customHeight="1" x14ac:dyDescent="0.2">
      <c r="B25" s="42"/>
      <c r="C25" s="515"/>
      <c r="D25" s="516"/>
      <c r="E25" s="516"/>
      <c r="F25" s="516"/>
      <c r="G25" s="516"/>
      <c r="H25" s="517"/>
      <c r="I25" s="43"/>
      <c r="J25" s="521"/>
      <c r="K25" s="521"/>
      <c r="L25" s="521"/>
      <c r="M25" s="521"/>
      <c r="N25" s="521"/>
      <c r="O25" s="521"/>
      <c r="P25" s="521"/>
      <c r="Q25" s="522"/>
      <c r="R25" s="37"/>
      <c r="T25" s="42"/>
      <c r="U25" s="526">
        <f>C24</f>
        <v>175</v>
      </c>
      <c r="V25" s="527"/>
      <c r="W25" s="527"/>
      <c r="X25" s="527"/>
      <c r="Y25" s="528"/>
      <c r="Z25" s="511"/>
    </row>
    <row r="26" spans="2:26" ht="7.5" customHeight="1" x14ac:dyDescent="0.2">
      <c r="B26" s="532" t="str">
        <f>leva(C24)</f>
        <v>сто седемдесет и пет лева</v>
      </c>
      <c r="C26" s="533"/>
      <c r="D26" s="533"/>
      <c r="E26" s="533"/>
      <c r="F26" s="533"/>
      <c r="G26" s="533"/>
      <c r="H26" s="533"/>
      <c r="I26" s="533"/>
      <c r="J26" s="533"/>
      <c r="K26" s="533"/>
      <c r="L26" s="533"/>
      <c r="M26" s="533"/>
      <c r="N26" s="533"/>
      <c r="O26" s="533"/>
      <c r="P26" s="533"/>
      <c r="Q26" s="534"/>
      <c r="R26" s="37"/>
      <c r="T26" s="42"/>
      <c r="U26" s="529"/>
      <c r="V26" s="530"/>
      <c r="W26" s="530"/>
      <c r="X26" s="530"/>
      <c r="Y26" s="531"/>
      <c r="Z26" s="511"/>
    </row>
    <row r="27" spans="2:26" ht="12" customHeight="1" x14ac:dyDescent="0.2">
      <c r="B27" s="535"/>
      <c r="C27" s="536"/>
      <c r="D27" s="536"/>
      <c r="E27" s="536"/>
      <c r="F27" s="536"/>
      <c r="G27" s="536"/>
      <c r="H27" s="536"/>
      <c r="I27" s="536"/>
      <c r="J27" s="536"/>
      <c r="K27" s="536"/>
      <c r="L27" s="536"/>
      <c r="M27" s="536"/>
      <c r="N27" s="536"/>
      <c r="O27" s="536"/>
      <c r="P27" s="536"/>
      <c r="Q27" s="537"/>
      <c r="R27" s="37"/>
      <c r="T27" s="42"/>
      <c r="U27" s="44" t="s">
        <v>88</v>
      </c>
      <c r="V27" s="519"/>
      <c r="W27" s="519"/>
      <c r="X27" s="519"/>
      <c r="Y27" s="519"/>
      <c r="Z27" s="520"/>
    </row>
    <row r="28" spans="2:26" ht="16.5" customHeight="1" x14ac:dyDescent="0.2">
      <c r="B28" s="538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40"/>
      <c r="R28" s="37"/>
      <c r="T28" s="541" t="str">
        <f>B26</f>
        <v>сто седемдесет и пет лева</v>
      </c>
      <c r="U28" s="542"/>
      <c r="V28" s="542"/>
      <c r="W28" s="542"/>
      <c r="X28" s="542"/>
      <c r="Y28" s="542"/>
      <c r="Z28" s="543"/>
    </row>
    <row r="29" spans="2:26" ht="3" customHeight="1" x14ac:dyDescent="0.2">
      <c r="B29" s="535"/>
      <c r="C29" s="536"/>
      <c r="D29" s="536"/>
      <c r="E29" s="536"/>
      <c r="F29" s="536"/>
      <c r="G29" s="536"/>
      <c r="H29" s="536"/>
      <c r="I29" s="536"/>
      <c r="J29" s="536"/>
      <c r="K29" s="536"/>
      <c r="L29" s="536"/>
      <c r="M29" s="536"/>
      <c r="N29" s="536"/>
      <c r="O29" s="536"/>
      <c r="P29" s="536"/>
      <c r="Q29" s="537"/>
      <c r="R29" s="37"/>
      <c r="T29" s="541"/>
      <c r="U29" s="542"/>
      <c r="V29" s="542"/>
      <c r="W29" s="542"/>
      <c r="X29" s="542"/>
      <c r="Y29" s="542"/>
      <c r="Z29" s="543"/>
    </row>
    <row r="30" spans="2:26" ht="5.0999999999999996" customHeight="1" x14ac:dyDescent="0.2"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37"/>
      <c r="T30" s="541"/>
      <c r="U30" s="542"/>
      <c r="V30" s="542"/>
      <c r="W30" s="542"/>
      <c r="X30" s="542"/>
      <c r="Y30" s="542"/>
      <c r="Z30" s="543"/>
    </row>
    <row r="31" spans="2:26" s="31" customFormat="1" ht="12.75" customHeight="1" x14ac:dyDescent="0.2">
      <c r="B31" s="547" t="s">
        <v>89</v>
      </c>
      <c r="C31" s="482"/>
      <c r="D31" s="482"/>
      <c r="E31" s="482"/>
      <c r="F31" s="483"/>
      <c r="G31" s="29"/>
      <c r="H31" s="547" t="s">
        <v>90</v>
      </c>
      <c r="I31" s="482"/>
      <c r="J31" s="482"/>
      <c r="K31" s="482"/>
      <c r="L31" s="483"/>
      <c r="M31" s="29"/>
      <c r="N31" s="547" t="s">
        <v>91</v>
      </c>
      <c r="O31" s="482"/>
      <c r="P31" s="482"/>
      <c r="Q31" s="483"/>
      <c r="R31" s="30"/>
      <c r="T31" s="541"/>
      <c r="U31" s="542"/>
      <c r="V31" s="542"/>
      <c r="W31" s="542"/>
      <c r="X31" s="542"/>
      <c r="Y31" s="542"/>
      <c r="Z31" s="543"/>
    </row>
    <row r="32" spans="2:26" ht="16.5" customHeight="1" x14ac:dyDescent="0.2">
      <c r="B32" s="548"/>
      <c r="C32" s="519"/>
      <c r="D32" s="519"/>
      <c r="E32" s="519"/>
      <c r="F32" s="520"/>
      <c r="G32" s="43"/>
      <c r="H32" s="548"/>
      <c r="I32" s="519"/>
      <c r="J32" s="519"/>
      <c r="K32" s="519"/>
      <c r="L32" s="520"/>
      <c r="M32" s="43"/>
      <c r="N32" s="548"/>
      <c r="O32" s="519"/>
      <c r="P32" s="519"/>
      <c r="Q32" s="520"/>
      <c r="R32" s="37"/>
      <c r="T32" s="544"/>
      <c r="U32" s="545"/>
      <c r="V32" s="545"/>
      <c r="W32" s="545"/>
      <c r="X32" s="545"/>
      <c r="Y32" s="545"/>
      <c r="Z32" s="546"/>
    </row>
    <row r="33" spans="1:26" s="31" customFormat="1" ht="3.75" customHeight="1" x14ac:dyDescent="0.2">
      <c r="B33" s="549" t="s">
        <v>92</v>
      </c>
      <c r="C33" s="550"/>
      <c r="D33" s="550"/>
      <c r="E33" s="550"/>
      <c r="F33" s="551"/>
      <c r="G33" s="45"/>
      <c r="H33" s="549" t="s">
        <v>92</v>
      </c>
      <c r="I33" s="550"/>
      <c r="J33" s="550"/>
      <c r="K33" s="550"/>
      <c r="L33" s="551"/>
      <c r="M33" s="29"/>
      <c r="N33" s="549" t="s">
        <v>92</v>
      </c>
      <c r="O33" s="550"/>
      <c r="P33" s="550"/>
      <c r="Q33" s="551"/>
      <c r="R33" s="30"/>
    </row>
    <row r="34" spans="1:26" s="31" customFormat="1" ht="8.25" customHeight="1" x14ac:dyDescent="0.2">
      <c r="B34" s="552"/>
      <c r="C34" s="553"/>
      <c r="D34" s="553"/>
      <c r="E34" s="553"/>
      <c r="F34" s="554"/>
      <c r="G34" s="45"/>
      <c r="H34" s="552"/>
      <c r="I34" s="553"/>
      <c r="J34" s="553"/>
      <c r="K34" s="553"/>
      <c r="L34" s="554"/>
      <c r="M34" s="29"/>
      <c r="N34" s="552"/>
      <c r="O34" s="553"/>
      <c r="P34" s="553"/>
      <c r="Q34" s="554"/>
      <c r="R34" s="30"/>
      <c r="T34" s="474" t="s">
        <v>79</v>
      </c>
      <c r="U34" s="472"/>
      <c r="V34" s="473"/>
      <c r="X34" s="474" t="s">
        <v>91</v>
      </c>
      <c r="Y34" s="472"/>
      <c r="Z34" s="473"/>
    </row>
    <row r="35" spans="1:26" ht="3.75" customHeight="1" x14ac:dyDescent="0.2"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37"/>
      <c r="T35" s="523"/>
      <c r="U35" s="524"/>
      <c r="V35" s="525"/>
      <c r="X35" s="523"/>
      <c r="Y35" s="524"/>
      <c r="Z35" s="525"/>
    </row>
    <row r="36" spans="1:26" ht="19.5" customHeight="1" x14ac:dyDescent="0.2">
      <c r="B36" s="582" t="s">
        <v>93</v>
      </c>
      <c r="C36" s="583"/>
      <c r="D36" s="555" t="s">
        <v>94</v>
      </c>
      <c r="E36" s="555"/>
      <c r="F36" s="577" t="s">
        <v>95</v>
      </c>
      <c r="G36" s="578"/>
      <c r="H36" s="579"/>
      <c r="I36" s="577"/>
      <c r="J36" s="578"/>
      <c r="K36" s="578"/>
      <c r="L36" s="578"/>
      <c r="M36" s="578"/>
      <c r="N36" s="578"/>
      <c r="O36" s="579"/>
      <c r="P36" s="555" t="s">
        <v>96</v>
      </c>
      <c r="Q36" s="555"/>
      <c r="R36" s="37"/>
      <c r="T36" s="556"/>
      <c r="U36" s="557"/>
      <c r="V36" s="558"/>
      <c r="X36" s="548"/>
      <c r="Y36" s="519"/>
      <c r="Z36" s="520"/>
    </row>
    <row r="37" spans="1:26" ht="19.5" customHeight="1" x14ac:dyDescent="0.2">
      <c r="B37" s="584"/>
      <c r="C37" s="585"/>
      <c r="D37" s="46" t="s">
        <v>78</v>
      </c>
      <c r="E37" s="46" t="s">
        <v>79</v>
      </c>
      <c r="F37" s="577" t="s">
        <v>97</v>
      </c>
      <c r="G37" s="578"/>
      <c r="H37" s="579"/>
      <c r="I37" s="577" t="s">
        <v>97</v>
      </c>
      <c r="J37" s="579"/>
      <c r="K37" s="46" t="s">
        <v>98</v>
      </c>
      <c r="L37" s="555" t="s">
        <v>99</v>
      </c>
      <c r="M37" s="555"/>
      <c r="N37" s="555"/>
      <c r="O37" s="46" t="s">
        <v>100</v>
      </c>
      <c r="P37" s="555"/>
      <c r="Q37" s="555"/>
      <c r="R37" s="37"/>
      <c r="T37" s="559"/>
      <c r="U37" s="557"/>
      <c r="V37" s="558"/>
      <c r="X37" s="548"/>
      <c r="Y37" s="519"/>
      <c r="Z37" s="520"/>
    </row>
    <row r="38" spans="1:26" ht="15.75" customHeight="1" x14ac:dyDescent="0.2">
      <c r="B38" s="563"/>
      <c r="C38" s="565"/>
      <c r="D38" s="569"/>
      <c r="E38" s="580"/>
      <c r="F38" s="563"/>
      <c r="G38" s="564"/>
      <c r="H38" s="565"/>
      <c r="I38" s="563"/>
      <c r="J38" s="565"/>
      <c r="K38" s="569"/>
      <c r="L38" s="563"/>
      <c r="M38" s="564"/>
      <c r="N38" s="565"/>
      <c r="O38" s="569"/>
      <c r="P38" s="571"/>
      <c r="Q38" s="572"/>
      <c r="R38" s="37"/>
      <c r="T38" s="560"/>
      <c r="U38" s="561"/>
      <c r="V38" s="562"/>
      <c r="X38" s="576"/>
      <c r="Y38" s="521"/>
      <c r="Z38" s="522"/>
    </row>
    <row r="39" spans="1:26" ht="3.75" customHeight="1" x14ac:dyDescent="0.2">
      <c r="B39" s="566"/>
      <c r="C39" s="568"/>
      <c r="D39" s="570"/>
      <c r="E39" s="581"/>
      <c r="F39" s="566"/>
      <c r="G39" s="567"/>
      <c r="H39" s="568"/>
      <c r="I39" s="566"/>
      <c r="J39" s="568"/>
      <c r="K39" s="570"/>
      <c r="L39" s="566"/>
      <c r="M39" s="567"/>
      <c r="N39" s="568"/>
      <c r="O39" s="570"/>
      <c r="P39" s="573"/>
      <c r="Q39" s="574"/>
      <c r="R39" s="37"/>
    </row>
    <row r="40" spans="1:26" ht="12" customHeight="1" x14ac:dyDescent="0.2">
      <c r="B40" s="563"/>
      <c r="C40" s="565"/>
      <c r="D40" s="569"/>
      <c r="E40" s="580"/>
      <c r="F40" s="563"/>
      <c r="G40" s="564"/>
      <c r="H40" s="565"/>
      <c r="I40" s="563"/>
      <c r="J40" s="565"/>
      <c r="K40" s="569"/>
      <c r="L40" s="563"/>
      <c r="M40" s="564"/>
      <c r="N40" s="565"/>
      <c r="O40" s="569"/>
      <c r="P40" s="571"/>
      <c r="Q40" s="572"/>
      <c r="R40" s="37"/>
      <c r="T40" s="589" t="s">
        <v>101</v>
      </c>
      <c r="U40" s="590"/>
      <c r="V40" s="591"/>
      <c r="X40" s="589" t="s">
        <v>89</v>
      </c>
      <c r="Y40" s="590"/>
      <c r="Z40" s="591"/>
    </row>
    <row r="41" spans="1:26" ht="6.75" customHeight="1" x14ac:dyDescent="0.2">
      <c r="B41" s="566"/>
      <c r="C41" s="568"/>
      <c r="D41" s="570"/>
      <c r="E41" s="581"/>
      <c r="F41" s="566"/>
      <c r="G41" s="567"/>
      <c r="H41" s="568"/>
      <c r="I41" s="566"/>
      <c r="J41" s="568"/>
      <c r="K41" s="570"/>
      <c r="L41" s="566"/>
      <c r="M41" s="567"/>
      <c r="N41" s="568"/>
      <c r="O41" s="570"/>
      <c r="P41" s="573"/>
      <c r="Q41" s="574"/>
      <c r="R41" s="37"/>
      <c r="T41" s="548"/>
      <c r="U41" s="519"/>
      <c r="V41" s="520"/>
      <c r="X41" s="548"/>
      <c r="Y41" s="519"/>
      <c r="Z41" s="520"/>
    </row>
    <row r="42" spans="1:26" ht="19.5" customHeight="1" x14ac:dyDescent="0.25">
      <c r="B42" s="575"/>
      <c r="C42" s="575"/>
      <c r="D42" s="47"/>
      <c r="E42" s="47"/>
      <c r="F42" s="575"/>
      <c r="G42" s="575"/>
      <c r="H42" s="575"/>
      <c r="I42" s="586"/>
      <c r="J42" s="587"/>
      <c r="K42" s="47"/>
      <c r="L42" s="575"/>
      <c r="M42" s="575"/>
      <c r="N42" s="575"/>
      <c r="O42" s="47"/>
      <c r="P42" s="588"/>
      <c r="Q42" s="588"/>
      <c r="R42" s="37"/>
      <c r="T42" s="548"/>
      <c r="U42" s="519"/>
      <c r="V42" s="520"/>
      <c r="X42" s="548"/>
      <c r="Y42" s="519"/>
      <c r="Z42" s="520"/>
    </row>
    <row r="43" spans="1:26" s="31" customFormat="1" ht="19.5" customHeight="1" x14ac:dyDescent="0.2">
      <c r="B43" s="34"/>
      <c r="C43" s="36"/>
      <c r="D43" s="36"/>
      <c r="E43" s="48" t="s">
        <v>102</v>
      </c>
      <c r="F43" s="592"/>
      <c r="G43" s="592"/>
      <c r="H43" s="592"/>
      <c r="I43" s="592"/>
      <c r="J43" s="592"/>
      <c r="K43" s="592"/>
      <c r="L43" s="592"/>
      <c r="M43" s="592"/>
      <c r="N43" s="36"/>
      <c r="O43" s="49" t="s">
        <v>103</v>
      </c>
      <c r="P43" s="593">
        <f>SUM(P38:Q42)</f>
        <v>0</v>
      </c>
      <c r="Q43" s="594"/>
      <c r="R43" s="30"/>
      <c r="T43" s="548"/>
      <c r="U43" s="519"/>
      <c r="V43" s="520"/>
      <c r="X43" s="548"/>
      <c r="Y43" s="519"/>
      <c r="Z43" s="520"/>
    </row>
    <row r="44" spans="1:26" ht="8.25" customHeight="1" x14ac:dyDescent="0.2">
      <c r="B44" s="50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95"/>
      <c r="Q44" s="596"/>
      <c r="R44" s="37"/>
      <c r="T44" s="576"/>
      <c r="U44" s="521"/>
      <c r="V44" s="522"/>
      <c r="X44" s="576"/>
      <c r="Y44" s="521"/>
      <c r="Z44" s="522"/>
    </row>
    <row r="45" spans="1:26" ht="5.25" customHeight="1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3"/>
      <c r="S45" s="52"/>
      <c r="T45" s="52"/>
      <c r="U45" s="52"/>
      <c r="V45" s="52"/>
      <c r="W45" s="52"/>
      <c r="X45" s="52"/>
      <c r="Y45" s="52"/>
      <c r="Z45" s="52"/>
    </row>
  </sheetData>
  <sheetProtection sheet="1" objects="1" scenarios="1" selectLockedCells="1" selectUnlockedCells="1"/>
  <mergeCells count="86">
    <mergeCell ref="I42:J42"/>
    <mergeCell ref="L42:N42"/>
    <mergeCell ref="P42:Q42"/>
    <mergeCell ref="T40:V40"/>
    <mergeCell ref="X40:Z40"/>
    <mergeCell ref="T41:V44"/>
    <mergeCell ref="X41:Z44"/>
    <mergeCell ref="K40:K41"/>
    <mergeCell ref="F43:M43"/>
    <mergeCell ref="P43:Q44"/>
    <mergeCell ref="L40:N41"/>
    <mergeCell ref="O40:O41"/>
    <mergeCell ref="P40:Q41"/>
    <mergeCell ref="B40:C41"/>
    <mergeCell ref="D40:D41"/>
    <mergeCell ref="E40:E41"/>
    <mergeCell ref="F40:H41"/>
    <mergeCell ref="I40:J41"/>
    <mergeCell ref="B42:C42"/>
    <mergeCell ref="F42:H42"/>
    <mergeCell ref="X36:Z38"/>
    <mergeCell ref="F37:H37"/>
    <mergeCell ref="I37:J37"/>
    <mergeCell ref="L37:N37"/>
    <mergeCell ref="B38:C39"/>
    <mergeCell ref="D38:D39"/>
    <mergeCell ref="E38:E39"/>
    <mergeCell ref="F38:H39"/>
    <mergeCell ref="I38:J39"/>
    <mergeCell ref="K38:K39"/>
    <mergeCell ref="B36:C37"/>
    <mergeCell ref="D36:E36"/>
    <mergeCell ref="F36:H36"/>
    <mergeCell ref="I36:O36"/>
    <mergeCell ref="P36:Q37"/>
    <mergeCell ref="T36:V38"/>
    <mergeCell ref="L38:N39"/>
    <mergeCell ref="O38:O39"/>
    <mergeCell ref="P38:Q39"/>
    <mergeCell ref="X34:Z35"/>
    <mergeCell ref="U25:Y26"/>
    <mergeCell ref="B26:Q27"/>
    <mergeCell ref="V27:Z27"/>
    <mergeCell ref="B28:Q29"/>
    <mergeCell ref="T28:Z32"/>
    <mergeCell ref="B31:F31"/>
    <mergeCell ref="H31:L31"/>
    <mergeCell ref="N31:Q31"/>
    <mergeCell ref="B32:F32"/>
    <mergeCell ref="H32:L32"/>
    <mergeCell ref="N32:Q32"/>
    <mergeCell ref="B33:F34"/>
    <mergeCell ref="H33:L34"/>
    <mergeCell ref="N33:Q34"/>
    <mergeCell ref="T34:V35"/>
    <mergeCell ref="T19:Z20"/>
    <mergeCell ref="B20:Q20"/>
    <mergeCell ref="C21:D23"/>
    <mergeCell ref="E21:H23"/>
    <mergeCell ref="J21:Q23"/>
    <mergeCell ref="U23:U24"/>
    <mergeCell ref="V23:Y24"/>
    <mergeCell ref="Z23:Z26"/>
    <mergeCell ref="C24:H25"/>
    <mergeCell ref="J24:Q25"/>
    <mergeCell ref="B17:Q18"/>
    <mergeCell ref="V17:Z17"/>
    <mergeCell ref="T18:Z18"/>
    <mergeCell ref="B8:Q8"/>
    <mergeCell ref="Z8:Z9"/>
    <mergeCell ref="B9:Q9"/>
    <mergeCell ref="T9:Y9"/>
    <mergeCell ref="B10:Q11"/>
    <mergeCell ref="V11:Z11"/>
    <mergeCell ref="T12:Z13"/>
    <mergeCell ref="B13:D14"/>
    <mergeCell ref="E13:Q14"/>
    <mergeCell ref="T14:Z15"/>
    <mergeCell ref="B15:Q15"/>
    <mergeCell ref="B2:O2"/>
    <mergeCell ref="T2:Z2"/>
    <mergeCell ref="B3:O3"/>
    <mergeCell ref="T3:Z3"/>
    <mergeCell ref="B5:L6"/>
    <mergeCell ref="N5:O6"/>
    <mergeCell ref="T5:Z6"/>
  </mergeCells>
  <pageMargins left="0.41" right="0.21" top="0.33" bottom="1" header="0.26" footer="0.5"/>
  <pageSetup paperSize="9" scale="8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B1:J53"/>
  <sheetViews>
    <sheetView showGridLines="0" tabSelected="1" topLeftCell="A4" workbookViewId="0">
      <selection activeCell="D7" activeCellId="2" sqref="C3:Q3 D5 D7"/>
    </sheetView>
  </sheetViews>
  <sheetFormatPr defaultRowHeight="15" x14ac:dyDescent="0.25"/>
  <cols>
    <col min="1" max="1" width="0.85546875" customWidth="1"/>
    <col min="2" max="2" width="1" customWidth="1"/>
    <col min="3" max="3" width="1.5703125" customWidth="1"/>
    <col min="4" max="4" width="9.7109375" bestFit="1" customWidth="1"/>
    <col min="5" max="5" width="18" bestFit="1" customWidth="1"/>
    <col min="6" max="6" width="19" bestFit="1" customWidth="1"/>
    <col min="7" max="7" width="21.7109375" customWidth="1"/>
    <col min="8" max="8" width="11.85546875" bestFit="1" customWidth="1"/>
    <col min="9" max="9" width="12.42578125" bestFit="1" customWidth="1"/>
    <col min="10" max="10" width="4" customWidth="1"/>
  </cols>
  <sheetData>
    <row r="1" spans="2:10" ht="19.5" x14ac:dyDescent="0.3">
      <c r="B1" s="597" t="s">
        <v>226</v>
      </c>
      <c r="C1" s="597"/>
      <c r="D1" s="597"/>
      <c r="E1" s="597"/>
      <c r="F1" s="597"/>
      <c r="G1" s="597"/>
      <c r="H1" s="597"/>
      <c r="I1" s="597"/>
      <c r="J1" s="597"/>
    </row>
    <row r="2" spans="2:10" ht="20.25" thickBot="1" x14ac:dyDescent="0.35">
      <c r="B2" s="598" t="s">
        <v>232</v>
      </c>
      <c r="C2" s="598"/>
      <c r="D2" s="598"/>
      <c r="E2" s="598"/>
      <c r="F2" s="598"/>
      <c r="G2" s="598"/>
      <c r="H2" s="598"/>
      <c r="I2" s="598"/>
      <c r="J2" s="598"/>
    </row>
    <row r="3" spans="2:10" x14ac:dyDescent="0.25">
      <c r="B3" s="224"/>
      <c r="C3" s="225"/>
      <c r="D3" s="225"/>
      <c r="E3" s="225"/>
      <c r="F3" s="225"/>
      <c r="G3" s="225"/>
      <c r="H3" s="225"/>
      <c r="I3" s="225"/>
      <c r="J3" s="226"/>
    </row>
    <row r="4" spans="2:10" x14ac:dyDescent="0.25">
      <c r="B4" s="227"/>
      <c r="C4" s="228"/>
      <c r="D4" s="255" t="s">
        <v>231</v>
      </c>
      <c r="E4" s="255" t="s">
        <v>105</v>
      </c>
      <c r="F4" s="255" t="s">
        <v>18</v>
      </c>
      <c r="G4" s="255" t="s">
        <v>17</v>
      </c>
      <c r="H4" s="255" t="s">
        <v>0</v>
      </c>
      <c r="I4" s="255" t="s">
        <v>1</v>
      </c>
      <c r="J4" s="229"/>
    </row>
    <row r="5" spans="2:10" x14ac:dyDescent="0.25">
      <c r="B5" s="227"/>
      <c r="C5" s="228"/>
      <c r="D5" s="255">
        <v>1</v>
      </c>
      <c r="E5" s="257" t="s">
        <v>2</v>
      </c>
      <c r="F5" s="257">
        <v>3</v>
      </c>
      <c r="G5" s="257">
        <f>1*1.5+2*1</f>
        <v>3.5</v>
      </c>
      <c r="H5" s="257" t="s">
        <v>3</v>
      </c>
      <c r="I5" s="257" t="s">
        <v>4</v>
      </c>
      <c r="J5" s="229"/>
    </row>
    <row r="6" spans="2:10" x14ac:dyDescent="0.25">
      <c r="B6" s="227"/>
      <c r="C6" s="228"/>
      <c r="D6" s="255">
        <v>2</v>
      </c>
      <c r="E6" s="257" t="s">
        <v>2</v>
      </c>
      <c r="F6" s="257">
        <v>3</v>
      </c>
      <c r="G6" s="257">
        <f>1*1.5+2*1</f>
        <v>3.5</v>
      </c>
      <c r="H6" s="257" t="s">
        <v>3</v>
      </c>
      <c r="I6" s="257" t="s">
        <v>4</v>
      </c>
      <c r="J6" s="229"/>
    </row>
    <row r="7" spans="2:10" x14ac:dyDescent="0.25">
      <c r="B7" s="227"/>
      <c r="C7" s="228"/>
      <c r="D7" s="255">
        <v>3</v>
      </c>
      <c r="E7" s="257" t="s">
        <v>5</v>
      </c>
      <c r="F7" s="257">
        <v>3</v>
      </c>
      <c r="G7" s="257">
        <f>2*1+1*1.5</f>
        <v>3.5</v>
      </c>
      <c r="H7" s="257" t="s">
        <v>3</v>
      </c>
      <c r="I7" s="257" t="s">
        <v>3</v>
      </c>
      <c r="J7" s="229"/>
    </row>
    <row r="8" spans="2:10" x14ac:dyDescent="0.25">
      <c r="B8" s="227"/>
      <c r="C8" s="228"/>
      <c r="D8" s="255">
        <v>4</v>
      </c>
      <c r="E8" s="257" t="s">
        <v>6</v>
      </c>
      <c r="F8" s="257">
        <v>5</v>
      </c>
      <c r="G8" s="257">
        <f>1*1+2*1+1*1.5+0.5</f>
        <v>5</v>
      </c>
      <c r="H8" s="257" t="s">
        <v>3</v>
      </c>
      <c r="I8" s="257" t="s">
        <v>4</v>
      </c>
      <c r="J8" s="229"/>
    </row>
    <row r="9" spans="2:10" x14ac:dyDescent="0.25">
      <c r="B9" s="227"/>
      <c r="C9" s="228"/>
      <c r="D9" s="255">
        <v>5</v>
      </c>
      <c r="E9" s="257" t="s">
        <v>7</v>
      </c>
      <c r="F9" s="257">
        <v>4</v>
      </c>
      <c r="G9" s="257">
        <f>1*1+2*1+1*1.5</f>
        <v>4.5</v>
      </c>
      <c r="H9" s="257" t="s">
        <v>3</v>
      </c>
      <c r="I9" s="257" t="s">
        <v>4</v>
      </c>
      <c r="J9" s="229"/>
    </row>
    <row r="10" spans="2:10" x14ac:dyDescent="0.25">
      <c r="B10" s="227"/>
      <c r="C10" s="228"/>
      <c r="D10" s="255">
        <v>6</v>
      </c>
      <c r="E10" s="257" t="s">
        <v>7</v>
      </c>
      <c r="F10" s="257">
        <v>4</v>
      </c>
      <c r="G10" s="257">
        <f>1*1+2*1+1*1.5</f>
        <v>4.5</v>
      </c>
      <c r="H10" s="257" t="s">
        <v>3</v>
      </c>
      <c r="I10" s="257" t="s">
        <v>4</v>
      </c>
      <c r="J10" s="229"/>
    </row>
    <row r="11" spans="2:10" x14ac:dyDescent="0.25">
      <c r="B11" s="227"/>
      <c r="C11" s="228"/>
      <c r="D11" s="255">
        <v>7</v>
      </c>
      <c r="E11" s="257" t="s">
        <v>5</v>
      </c>
      <c r="F11" s="257">
        <v>3</v>
      </c>
      <c r="G11" s="257">
        <f>2*1+1*1.5</f>
        <v>3.5</v>
      </c>
      <c r="H11" s="257" t="s">
        <v>3</v>
      </c>
      <c r="I11" s="257" t="s">
        <v>3</v>
      </c>
      <c r="J11" s="229"/>
    </row>
    <row r="12" spans="2:10" x14ac:dyDescent="0.25">
      <c r="B12" s="227"/>
      <c r="C12" s="228"/>
      <c r="D12" s="255">
        <v>8</v>
      </c>
      <c r="E12" s="257" t="s">
        <v>8</v>
      </c>
      <c r="F12" s="257">
        <v>4</v>
      </c>
      <c r="G12" s="257">
        <f>1*1.5+2*1+1*1.5</f>
        <v>5</v>
      </c>
      <c r="H12" s="257" t="s">
        <v>3</v>
      </c>
      <c r="I12" s="257" t="s">
        <v>4</v>
      </c>
      <c r="J12" s="229"/>
    </row>
    <row r="13" spans="2:10" x14ac:dyDescent="0.25">
      <c r="B13" s="227"/>
      <c r="C13" s="228"/>
      <c r="D13" s="255">
        <v>9</v>
      </c>
      <c r="E13" s="257" t="s">
        <v>9</v>
      </c>
      <c r="F13" s="257">
        <v>6</v>
      </c>
      <c r="G13" s="257">
        <f>1*1+0.5+3*1+0.5</f>
        <v>5</v>
      </c>
      <c r="H13" s="257" t="s">
        <v>3</v>
      </c>
      <c r="I13" s="257" t="s">
        <v>4</v>
      </c>
      <c r="J13" s="229"/>
    </row>
    <row r="14" spans="2:10" x14ac:dyDescent="0.25">
      <c r="B14" s="227"/>
      <c r="C14" s="228"/>
      <c r="D14" s="255">
        <v>10</v>
      </c>
      <c r="E14" s="257" t="s">
        <v>5</v>
      </c>
      <c r="F14" s="257">
        <v>3</v>
      </c>
      <c r="G14" s="257">
        <f>2*1+1*1.5</f>
        <v>3.5</v>
      </c>
      <c r="H14" s="257" t="s">
        <v>3</v>
      </c>
      <c r="I14" s="257" t="s">
        <v>4</v>
      </c>
      <c r="J14" s="229"/>
    </row>
    <row r="15" spans="2:10" x14ac:dyDescent="0.25">
      <c r="B15" s="227"/>
      <c r="C15" s="228"/>
      <c r="D15" s="255">
        <v>11</v>
      </c>
      <c r="E15" s="257" t="s">
        <v>10</v>
      </c>
      <c r="F15" s="257">
        <v>2</v>
      </c>
      <c r="G15" s="257">
        <f>1*1+1*1.5</f>
        <v>2.5</v>
      </c>
      <c r="H15" s="257" t="s">
        <v>3</v>
      </c>
      <c r="I15" s="257" t="s">
        <v>3</v>
      </c>
      <c r="J15" s="229"/>
    </row>
    <row r="16" spans="2:10" x14ac:dyDescent="0.25">
      <c r="B16" s="227"/>
      <c r="C16" s="228"/>
      <c r="D16" s="255">
        <v>12</v>
      </c>
      <c r="E16" s="257" t="s">
        <v>8</v>
      </c>
      <c r="F16" s="257">
        <v>4</v>
      </c>
      <c r="G16" s="257">
        <f>1*1.5+2*1+1*1.5</f>
        <v>5</v>
      </c>
      <c r="H16" s="257" t="s">
        <v>3</v>
      </c>
      <c r="I16" s="257" t="s">
        <v>4</v>
      </c>
      <c r="J16" s="229"/>
    </row>
    <row r="17" spans="2:10" x14ac:dyDescent="0.25">
      <c r="B17" s="227"/>
      <c r="C17" s="228"/>
      <c r="D17" s="255">
        <v>13</v>
      </c>
      <c r="E17" s="257" t="s">
        <v>11</v>
      </c>
      <c r="F17" s="257">
        <v>3</v>
      </c>
      <c r="G17" s="257">
        <f>3*1</f>
        <v>3</v>
      </c>
      <c r="H17" s="257" t="s">
        <v>3</v>
      </c>
      <c r="I17" s="257" t="s">
        <v>4</v>
      </c>
      <c r="J17" s="229"/>
    </row>
    <row r="18" spans="2:10" x14ac:dyDescent="0.25">
      <c r="B18" s="227"/>
      <c r="C18" s="228"/>
      <c r="D18" s="255">
        <v>14</v>
      </c>
      <c r="E18" s="257" t="s">
        <v>12</v>
      </c>
      <c r="F18" s="257">
        <v>3</v>
      </c>
      <c r="G18" s="257">
        <f>2*1+0.5</f>
        <v>2.5</v>
      </c>
      <c r="H18" s="257" t="s">
        <v>3</v>
      </c>
      <c r="I18" s="257" t="s">
        <v>3</v>
      </c>
      <c r="J18" s="229"/>
    </row>
    <row r="19" spans="2:10" x14ac:dyDescent="0.25">
      <c r="B19" s="227"/>
      <c r="C19" s="228"/>
      <c r="D19" s="255">
        <v>15</v>
      </c>
      <c r="E19" s="257" t="s">
        <v>11</v>
      </c>
      <c r="F19" s="257">
        <v>3</v>
      </c>
      <c r="G19" s="257">
        <f t="shared" ref="G19:G24" si="0">3*1</f>
        <v>3</v>
      </c>
      <c r="H19" s="257" t="s">
        <v>3</v>
      </c>
      <c r="I19" s="257" t="s">
        <v>3</v>
      </c>
      <c r="J19" s="229"/>
    </row>
    <row r="20" spans="2:10" x14ac:dyDescent="0.25">
      <c r="B20" s="227"/>
      <c r="C20" s="228"/>
      <c r="D20" s="255">
        <v>16</v>
      </c>
      <c r="E20" s="257" t="s">
        <v>11</v>
      </c>
      <c r="F20" s="257">
        <v>3</v>
      </c>
      <c r="G20" s="257">
        <f t="shared" si="0"/>
        <v>3</v>
      </c>
      <c r="H20" s="257" t="s">
        <v>3</v>
      </c>
      <c r="I20" s="257" t="s">
        <v>4</v>
      </c>
      <c r="J20" s="229"/>
    </row>
    <row r="21" spans="2:10" x14ac:dyDescent="0.25">
      <c r="B21" s="227"/>
      <c r="C21" s="228"/>
      <c r="D21" s="255">
        <v>17</v>
      </c>
      <c r="E21" s="257" t="s">
        <v>11</v>
      </c>
      <c r="F21" s="257">
        <v>3</v>
      </c>
      <c r="G21" s="257">
        <f t="shared" si="0"/>
        <v>3</v>
      </c>
      <c r="H21" s="257" t="s">
        <v>3</v>
      </c>
      <c r="I21" s="257" t="s">
        <v>3</v>
      </c>
      <c r="J21" s="229"/>
    </row>
    <row r="22" spans="2:10" x14ac:dyDescent="0.25">
      <c r="B22" s="227"/>
      <c r="C22" s="228"/>
      <c r="D22" s="255">
        <v>18</v>
      </c>
      <c r="E22" s="257" t="s">
        <v>11</v>
      </c>
      <c r="F22" s="257">
        <v>3</v>
      </c>
      <c r="G22" s="257">
        <f t="shared" si="0"/>
        <v>3</v>
      </c>
      <c r="H22" s="257" t="s">
        <v>3</v>
      </c>
      <c r="I22" s="257" t="s">
        <v>3</v>
      </c>
      <c r="J22" s="229"/>
    </row>
    <row r="23" spans="2:10" x14ac:dyDescent="0.25">
      <c r="B23" s="227"/>
      <c r="C23" s="228"/>
      <c r="D23" s="255">
        <v>19</v>
      </c>
      <c r="E23" s="257" t="s">
        <v>11</v>
      </c>
      <c r="F23" s="257">
        <v>3</v>
      </c>
      <c r="G23" s="257">
        <f t="shared" si="0"/>
        <v>3</v>
      </c>
      <c r="H23" s="257" t="s">
        <v>3</v>
      </c>
      <c r="I23" s="257" t="s">
        <v>3</v>
      </c>
      <c r="J23" s="229"/>
    </row>
    <row r="24" spans="2:10" x14ac:dyDescent="0.25">
      <c r="B24" s="227"/>
      <c r="C24" s="228"/>
      <c r="D24" s="255">
        <v>20</v>
      </c>
      <c r="E24" s="257" t="s">
        <v>11</v>
      </c>
      <c r="F24" s="257">
        <v>3</v>
      </c>
      <c r="G24" s="257">
        <f t="shared" si="0"/>
        <v>3</v>
      </c>
      <c r="H24" s="257" t="s">
        <v>3</v>
      </c>
      <c r="I24" s="257" t="s">
        <v>3</v>
      </c>
      <c r="J24" s="229"/>
    </row>
    <row r="25" spans="2:10" hidden="1" x14ac:dyDescent="0.25">
      <c r="B25" s="227"/>
      <c r="C25" s="228"/>
      <c r="D25" s="256">
        <v>21</v>
      </c>
      <c r="E25" s="258">
        <v>0</v>
      </c>
      <c r="F25" s="258"/>
      <c r="G25" s="258"/>
      <c r="H25" s="258">
        <v>0</v>
      </c>
      <c r="I25" s="258">
        <v>0</v>
      </c>
      <c r="J25" s="229"/>
    </row>
    <row r="26" spans="2:10" hidden="1" x14ac:dyDescent="0.25">
      <c r="B26" s="227"/>
      <c r="C26" s="228"/>
      <c r="D26" s="256">
        <v>22</v>
      </c>
      <c r="E26" s="258">
        <v>0</v>
      </c>
      <c r="F26" s="258"/>
      <c r="G26" s="258"/>
      <c r="H26" s="258">
        <v>0</v>
      </c>
      <c r="I26" s="258">
        <v>0</v>
      </c>
      <c r="J26" s="229"/>
    </row>
    <row r="27" spans="2:10" hidden="1" x14ac:dyDescent="0.25">
      <c r="B27" s="227"/>
      <c r="C27" s="228"/>
      <c r="D27" s="256">
        <v>23</v>
      </c>
      <c r="E27" s="258">
        <v>0</v>
      </c>
      <c r="F27" s="258"/>
      <c r="G27" s="258"/>
      <c r="H27" s="258">
        <v>0</v>
      </c>
      <c r="I27" s="258">
        <v>0</v>
      </c>
      <c r="J27" s="229"/>
    </row>
    <row r="28" spans="2:10" x14ac:dyDescent="0.25">
      <c r="B28" s="227"/>
      <c r="C28" s="228"/>
      <c r="D28" s="255">
        <v>48</v>
      </c>
      <c r="E28" s="257" t="s">
        <v>13</v>
      </c>
      <c r="F28" s="257">
        <v>2</v>
      </c>
      <c r="G28" s="257">
        <f>2*1</f>
        <v>2</v>
      </c>
      <c r="H28" s="257" t="s">
        <v>4</v>
      </c>
      <c r="I28" s="257" t="s">
        <v>4</v>
      </c>
      <c r="J28" s="229"/>
    </row>
    <row r="29" spans="2:10" x14ac:dyDescent="0.25">
      <c r="B29" s="227"/>
      <c r="C29" s="228"/>
      <c r="D29" s="255">
        <v>25</v>
      </c>
      <c r="E29" s="257" t="s">
        <v>11</v>
      </c>
      <c r="F29" s="257">
        <v>3</v>
      </c>
      <c r="G29" s="257">
        <f>3*1</f>
        <v>3</v>
      </c>
      <c r="H29" s="257" t="s">
        <v>3</v>
      </c>
      <c r="I29" s="257" t="s">
        <v>3</v>
      </c>
      <c r="J29" s="229"/>
    </row>
    <row r="30" spans="2:10" x14ac:dyDescent="0.25">
      <c r="B30" s="227"/>
      <c r="C30" s="228"/>
      <c r="D30" s="255">
        <v>26</v>
      </c>
      <c r="E30" s="257" t="s">
        <v>5</v>
      </c>
      <c r="F30" s="257">
        <v>3</v>
      </c>
      <c r="G30" s="257">
        <f>2*1+1*1.5</f>
        <v>3.5</v>
      </c>
      <c r="H30" s="257" t="s">
        <v>3</v>
      </c>
      <c r="I30" s="257" t="s">
        <v>4</v>
      </c>
      <c r="J30" s="229"/>
    </row>
    <row r="31" spans="2:10" x14ac:dyDescent="0.25">
      <c r="B31" s="227"/>
      <c r="C31" s="228"/>
      <c r="D31" s="255">
        <v>27</v>
      </c>
      <c r="E31" s="257" t="s">
        <v>13</v>
      </c>
      <c r="F31" s="257">
        <v>2</v>
      </c>
      <c r="G31" s="257">
        <f>2*1</f>
        <v>2</v>
      </c>
      <c r="H31" s="257" t="s">
        <v>4</v>
      </c>
      <c r="I31" s="257" t="s">
        <v>4</v>
      </c>
      <c r="J31" s="229"/>
    </row>
    <row r="32" spans="2:10" x14ac:dyDescent="0.25">
      <c r="B32" s="227"/>
      <c r="C32" s="228"/>
      <c r="D32" s="255">
        <v>28</v>
      </c>
      <c r="E32" s="257" t="s">
        <v>237</v>
      </c>
      <c r="F32" s="257">
        <v>2</v>
      </c>
      <c r="G32" s="257">
        <v>3</v>
      </c>
      <c r="H32" s="257" t="s">
        <v>4</v>
      </c>
      <c r="I32" s="257" t="s">
        <v>4</v>
      </c>
      <c r="J32" s="229"/>
    </row>
    <row r="33" spans="2:10" x14ac:dyDescent="0.25">
      <c r="B33" s="227"/>
      <c r="C33" s="228"/>
      <c r="D33" s="255">
        <v>29</v>
      </c>
      <c r="E33" s="257" t="s">
        <v>14</v>
      </c>
      <c r="F33" s="257">
        <v>5</v>
      </c>
      <c r="G33" s="257">
        <f>2*1+3*1</f>
        <v>5</v>
      </c>
      <c r="H33" s="257" t="s">
        <v>4</v>
      </c>
      <c r="I33" s="257" t="s">
        <v>4</v>
      </c>
      <c r="J33" s="229"/>
    </row>
    <row r="34" spans="2:10" x14ac:dyDescent="0.25">
      <c r="B34" s="227"/>
      <c r="C34" s="228"/>
      <c r="D34" s="255">
        <v>30</v>
      </c>
      <c r="E34" s="257" t="s">
        <v>14</v>
      </c>
      <c r="F34" s="257">
        <v>5</v>
      </c>
      <c r="G34" s="257">
        <f>2*1+3*1</f>
        <v>5</v>
      </c>
      <c r="H34" s="257" t="s">
        <v>4</v>
      </c>
      <c r="I34" s="257" t="s">
        <v>4</v>
      </c>
      <c r="J34" s="229"/>
    </row>
    <row r="35" spans="2:10" x14ac:dyDescent="0.25">
      <c r="B35" s="227"/>
      <c r="C35" s="228"/>
      <c r="D35" s="255">
        <v>31</v>
      </c>
      <c r="E35" s="257" t="s">
        <v>14</v>
      </c>
      <c r="F35" s="257">
        <v>5</v>
      </c>
      <c r="G35" s="257">
        <f>2*1+3*1</f>
        <v>5</v>
      </c>
      <c r="H35" s="257" t="s">
        <v>4</v>
      </c>
      <c r="I35" s="257" t="s">
        <v>4</v>
      </c>
      <c r="J35" s="229"/>
    </row>
    <row r="36" spans="2:10" x14ac:dyDescent="0.25">
      <c r="B36" s="227"/>
      <c r="C36" s="228"/>
      <c r="D36" s="255">
        <v>32</v>
      </c>
      <c r="E36" s="257" t="s">
        <v>14</v>
      </c>
      <c r="F36" s="257">
        <v>5</v>
      </c>
      <c r="G36" s="257">
        <f>2*1+3*1</f>
        <v>5</v>
      </c>
      <c r="H36" s="257" t="s">
        <v>4</v>
      </c>
      <c r="I36" s="257" t="s">
        <v>4</v>
      </c>
      <c r="J36" s="229"/>
    </row>
    <row r="37" spans="2:10" x14ac:dyDescent="0.25">
      <c r="B37" s="227"/>
      <c r="C37" s="228"/>
      <c r="D37" s="255">
        <v>33</v>
      </c>
      <c r="E37" s="257" t="s">
        <v>14</v>
      </c>
      <c r="F37" s="257">
        <v>5</v>
      </c>
      <c r="G37" s="257">
        <f>2*1+3*1</f>
        <v>5</v>
      </c>
      <c r="H37" s="257" t="s">
        <v>4</v>
      </c>
      <c r="I37" s="257" t="s">
        <v>4</v>
      </c>
      <c r="J37" s="229"/>
    </row>
    <row r="38" spans="2:10" x14ac:dyDescent="0.25">
      <c r="B38" s="227"/>
      <c r="C38" s="228"/>
      <c r="D38" s="255">
        <v>34</v>
      </c>
      <c r="E38" s="257" t="s">
        <v>237</v>
      </c>
      <c r="F38" s="257">
        <v>2</v>
      </c>
      <c r="G38" s="257">
        <v>3</v>
      </c>
      <c r="H38" s="257" t="s">
        <v>4</v>
      </c>
      <c r="I38" s="257" t="s">
        <v>4</v>
      </c>
      <c r="J38" s="229"/>
    </row>
    <row r="39" spans="2:10" x14ac:dyDescent="0.25">
      <c r="B39" s="227"/>
      <c r="C39" s="228"/>
      <c r="D39" s="255">
        <v>35</v>
      </c>
      <c r="E39" s="257" t="s">
        <v>13</v>
      </c>
      <c r="F39" s="257">
        <v>2</v>
      </c>
      <c r="G39" s="257">
        <v>2</v>
      </c>
      <c r="H39" s="257" t="s">
        <v>4</v>
      </c>
      <c r="I39" s="257" t="s">
        <v>4</v>
      </c>
      <c r="J39" s="229"/>
    </row>
    <row r="40" spans="2:10" x14ac:dyDescent="0.25">
      <c r="B40" s="227"/>
      <c r="C40" s="228"/>
      <c r="D40" s="255">
        <v>36</v>
      </c>
      <c r="E40" s="257" t="s">
        <v>237</v>
      </c>
      <c r="F40" s="257">
        <v>2</v>
      </c>
      <c r="G40" s="257">
        <v>3</v>
      </c>
      <c r="H40" s="257" t="s">
        <v>4</v>
      </c>
      <c r="I40" s="257" t="s">
        <v>4</v>
      </c>
      <c r="J40" s="229"/>
    </row>
    <row r="41" spans="2:10" x14ac:dyDescent="0.25">
      <c r="B41" s="227"/>
      <c r="C41" s="228"/>
      <c r="D41" s="255">
        <v>37</v>
      </c>
      <c r="E41" s="257" t="s">
        <v>13</v>
      </c>
      <c r="F41" s="257">
        <v>2</v>
      </c>
      <c r="G41" s="257">
        <v>2</v>
      </c>
      <c r="H41" s="257" t="s">
        <v>4</v>
      </c>
      <c r="I41" s="257" t="s">
        <v>4</v>
      </c>
      <c r="J41" s="229"/>
    </row>
    <row r="42" spans="2:10" x14ac:dyDescent="0.25">
      <c r="B42" s="227"/>
      <c r="C42" s="228"/>
      <c r="D42" s="255">
        <v>38</v>
      </c>
      <c r="E42" s="257" t="s">
        <v>237</v>
      </c>
      <c r="F42" s="257">
        <v>2</v>
      </c>
      <c r="G42" s="257">
        <v>3</v>
      </c>
      <c r="H42" s="257" t="s">
        <v>4</v>
      </c>
      <c r="I42" s="257" t="s">
        <v>4</v>
      </c>
      <c r="J42" s="229"/>
    </row>
    <row r="43" spans="2:10" x14ac:dyDescent="0.25">
      <c r="B43" s="227"/>
      <c r="C43" s="228"/>
      <c r="D43" s="255">
        <v>39</v>
      </c>
      <c r="E43" s="257" t="s">
        <v>13</v>
      </c>
      <c r="F43" s="257">
        <v>2</v>
      </c>
      <c r="G43" s="257">
        <f>2*1</f>
        <v>2</v>
      </c>
      <c r="H43" s="257" t="s">
        <v>4</v>
      </c>
      <c r="I43" s="257" t="s">
        <v>4</v>
      </c>
      <c r="J43" s="229"/>
    </row>
    <row r="44" spans="2:10" x14ac:dyDescent="0.25">
      <c r="B44" s="227"/>
      <c r="C44" s="228"/>
      <c r="D44" s="255">
        <v>40</v>
      </c>
      <c r="E44" s="257" t="s">
        <v>5</v>
      </c>
      <c r="F44" s="257">
        <v>3</v>
      </c>
      <c r="G44" s="257">
        <f>2*1+1*1.5</f>
        <v>3.5</v>
      </c>
      <c r="H44" s="257" t="s">
        <v>3</v>
      </c>
      <c r="I44" s="257" t="s">
        <v>4</v>
      </c>
      <c r="J44" s="229"/>
    </row>
    <row r="45" spans="2:10" x14ac:dyDescent="0.25">
      <c r="B45" s="227"/>
      <c r="C45" s="228"/>
      <c r="D45" s="255">
        <v>41</v>
      </c>
      <c r="E45" s="257" t="s">
        <v>13</v>
      </c>
      <c r="F45" s="257">
        <v>2</v>
      </c>
      <c r="G45" s="257">
        <f>2*1</f>
        <v>2</v>
      </c>
      <c r="H45" s="257" t="s">
        <v>4</v>
      </c>
      <c r="I45" s="257" t="s">
        <v>4</v>
      </c>
      <c r="J45" s="229"/>
    </row>
    <row r="46" spans="2:10" x14ac:dyDescent="0.25">
      <c r="B46" s="227"/>
      <c r="C46" s="228"/>
      <c r="D46" s="255">
        <v>42</v>
      </c>
      <c r="E46" s="257" t="s">
        <v>237</v>
      </c>
      <c r="F46" s="257">
        <v>2</v>
      </c>
      <c r="G46" s="257">
        <v>3</v>
      </c>
      <c r="H46" s="257" t="s">
        <v>4</v>
      </c>
      <c r="I46" s="257" t="s">
        <v>4</v>
      </c>
      <c r="J46" s="229"/>
    </row>
    <row r="47" spans="2:10" x14ac:dyDescent="0.25">
      <c r="B47" s="227"/>
      <c r="C47" s="228"/>
      <c r="D47" s="255">
        <v>43</v>
      </c>
      <c r="E47" s="257" t="s">
        <v>5</v>
      </c>
      <c r="F47" s="257">
        <v>3</v>
      </c>
      <c r="G47" s="257">
        <f>2*1+1*1.5</f>
        <v>3.5</v>
      </c>
      <c r="H47" s="257" t="s">
        <v>3</v>
      </c>
      <c r="I47" s="257" t="s">
        <v>3</v>
      </c>
      <c r="J47" s="229"/>
    </row>
    <row r="48" spans="2:10" x14ac:dyDescent="0.25">
      <c r="B48" s="227"/>
      <c r="C48" s="228"/>
      <c r="D48" s="255">
        <v>44</v>
      </c>
      <c r="E48" s="257" t="s">
        <v>5</v>
      </c>
      <c r="F48" s="257">
        <v>3</v>
      </c>
      <c r="G48" s="257">
        <f>2*1+1*1.5</f>
        <v>3.5</v>
      </c>
      <c r="H48" s="257" t="s">
        <v>3</v>
      </c>
      <c r="I48" s="257" t="s">
        <v>3</v>
      </c>
      <c r="J48" s="229"/>
    </row>
    <row r="49" spans="2:10" x14ac:dyDescent="0.25">
      <c r="B49" s="227"/>
      <c r="C49" s="228"/>
      <c r="D49" s="255">
        <v>45</v>
      </c>
      <c r="E49" s="257" t="s">
        <v>13</v>
      </c>
      <c r="F49" s="257">
        <v>2</v>
      </c>
      <c r="G49" s="257">
        <f>2*1</f>
        <v>2</v>
      </c>
      <c r="H49" s="257" t="s">
        <v>4</v>
      </c>
      <c r="I49" s="257" t="s">
        <v>4</v>
      </c>
      <c r="J49" s="229"/>
    </row>
    <row r="50" spans="2:10" x14ac:dyDescent="0.25">
      <c r="B50" s="227"/>
      <c r="C50" s="228"/>
      <c r="D50" s="255">
        <v>46</v>
      </c>
      <c r="E50" s="257" t="s">
        <v>237</v>
      </c>
      <c r="F50" s="257">
        <v>2</v>
      </c>
      <c r="G50" s="257">
        <v>3</v>
      </c>
      <c r="H50" s="257" t="s">
        <v>4</v>
      </c>
      <c r="I50" s="257" t="s">
        <v>4</v>
      </c>
      <c r="J50" s="229"/>
    </row>
    <row r="51" spans="2:10" hidden="1" x14ac:dyDescent="0.25">
      <c r="B51" s="227"/>
      <c r="C51" s="256" t="s">
        <v>230</v>
      </c>
      <c r="D51" s="256">
        <v>47</v>
      </c>
      <c r="E51" s="258" t="s">
        <v>57</v>
      </c>
      <c r="F51" s="258">
        <v>5</v>
      </c>
      <c r="G51" s="257">
        <f>2*1+3*1</f>
        <v>5</v>
      </c>
      <c r="H51" s="258" t="s">
        <v>4</v>
      </c>
      <c r="I51" s="258" t="s">
        <v>4</v>
      </c>
      <c r="J51" s="229"/>
    </row>
    <row r="52" spans="2:10" x14ac:dyDescent="0.25">
      <c r="B52" s="227"/>
      <c r="C52" s="228"/>
      <c r="D52" s="255"/>
      <c r="E52" s="255"/>
      <c r="F52" s="255"/>
      <c r="G52" s="255"/>
      <c r="H52" s="255"/>
      <c r="I52" s="255"/>
      <c r="J52" s="229"/>
    </row>
    <row r="53" spans="2:10" ht="15.75" thickBot="1" x14ac:dyDescent="0.3">
      <c r="B53" s="232"/>
      <c r="C53" s="233"/>
      <c r="D53" s="233"/>
      <c r="E53" s="233"/>
      <c r="F53" s="233"/>
      <c r="G53" s="233"/>
      <c r="H53" s="233"/>
      <c r="I53" s="233"/>
      <c r="J53" s="235"/>
    </row>
  </sheetData>
  <sheetProtection sheet="1" objects="1" scenarios="1" selectLockedCells="1"/>
  <mergeCells count="2">
    <mergeCell ref="B1:J1"/>
    <mergeCell ref="B2:J2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B1:R25"/>
  <sheetViews>
    <sheetView showGridLines="0" showRowColHeaders="0" tabSelected="1" zoomScale="64" zoomScaleNormal="64" workbookViewId="0">
      <selection activeCell="D7" activeCellId="2" sqref="C3:Q3 D5 D7"/>
    </sheetView>
  </sheetViews>
  <sheetFormatPr defaultRowHeight="15" x14ac:dyDescent="0.25"/>
  <cols>
    <col min="1" max="1" width="4.42578125" customWidth="1"/>
    <col min="2" max="2" width="5.140625" customWidth="1"/>
    <col min="3" max="3" width="2.7109375" bestFit="1" customWidth="1"/>
    <col min="4" max="4" width="33" bestFit="1" customWidth="1"/>
    <col min="5" max="5" width="9.5703125" bestFit="1" customWidth="1"/>
    <col min="6" max="6" width="9.5703125" customWidth="1"/>
    <col min="7" max="7" width="7" bestFit="1" customWidth="1"/>
    <col min="8" max="8" width="7" customWidth="1"/>
    <col min="9" max="9" width="9.42578125" bestFit="1" customWidth="1"/>
    <col min="10" max="10" width="9.42578125" customWidth="1"/>
    <col min="11" max="11" width="7.5703125" bestFit="1" customWidth="1"/>
    <col min="12" max="12" width="7.5703125" customWidth="1"/>
    <col min="13" max="13" width="18.140625" bestFit="1" customWidth="1"/>
    <col min="14" max="14" width="1.28515625" customWidth="1"/>
    <col min="15" max="16" width="8.140625" customWidth="1"/>
    <col min="17" max="17" width="16.5703125" bestFit="1" customWidth="1"/>
    <col min="18" max="18" width="6" customWidth="1"/>
  </cols>
  <sheetData>
    <row r="1" spans="2:18" ht="15.75" thickBot="1" x14ac:dyDescent="0.3"/>
    <row r="2" spans="2:18" x14ac:dyDescent="0.25">
      <c r="B2" s="308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10"/>
    </row>
    <row r="3" spans="2:18" ht="22.5" x14ac:dyDescent="0.3">
      <c r="B3" s="275"/>
      <c r="C3" s="607" t="s">
        <v>45</v>
      </c>
      <c r="D3" s="607"/>
      <c r="E3" s="607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305"/>
    </row>
    <row r="4" spans="2:18" ht="11.25" customHeight="1" thickBot="1" x14ac:dyDescent="0.3">
      <c r="B4" s="275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305"/>
    </row>
    <row r="5" spans="2:18" ht="21" thickBot="1" x14ac:dyDescent="0.35">
      <c r="B5" s="275"/>
      <c r="C5" s="276"/>
      <c r="D5" s="276"/>
      <c r="E5" s="602" t="s">
        <v>226</v>
      </c>
      <c r="F5" s="603"/>
      <c r="G5" s="603"/>
      <c r="H5" s="603"/>
      <c r="I5" s="603"/>
      <c r="J5" s="603"/>
      <c r="K5" s="603"/>
      <c r="L5" s="603"/>
      <c r="M5" s="604"/>
      <c r="N5" s="277"/>
      <c r="O5" s="602" t="s">
        <v>227</v>
      </c>
      <c r="P5" s="603"/>
      <c r="Q5" s="604"/>
      <c r="R5" s="305"/>
    </row>
    <row r="6" spans="2:18" ht="19.5" customHeight="1" x14ac:dyDescent="0.25">
      <c r="B6" s="275"/>
      <c r="C6" s="608"/>
      <c r="D6" s="278" t="s">
        <v>19</v>
      </c>
      <c r="E6" s="610" t="s">
        <v>20</v>
      </c>
      <c r="F6" s="611"/>
      <c r="G6" s="611"/>
      <c r="H6" s="612"/>
      <c r="I6" s="610" t="s">
        <v>21</v>
      </c>
      <c r="J6" s="611"/>
      <c r="K6" s="611"/>
      <c r="L6" s="612"/>
      <c r="M6" s="279" t="s">
        <v>22</v>
      </c>
      <c r="N6" s="280"/>
      <c r="O6" s="605" t="s">
        <v>228</v>
      </c>
      <c r="P6" s="606"/>
      <c r="Q6" s="279" t="s">
        <v>229</v>
      </c>
      <c r="R6" s="305"/>
    </row>
    <row r="7" spans="2:18" ht="37.5" x14ac:dyDescent="0.25">
      <c r="B7" s="275"/>
      <c r="C7" s="609"/>
      <c r="D7" s="281" t="s">
        <v>23</v>
      </c>
      <c r="E7" s="613" t="s">
        <v>24</v>
      </c>
      <c r="F7" s="614"/>
      <c r="G7" s="614" t="s">
        <v>25</v>
      </c>
      <c r="H7" s="615"/>
      <c r="I7" s="613" t="s">
        <v>24</v>
      </c>
      <c r="J7" s="614"/>
      <c r="K7" s="614" t="s">
        <v>25</v>
      </c>
      <c r="L7" s="615"/>
      <c r="M7" s="282" t="s">
        <v>26</v>
      </c>
      <c r="N7" s="280"/>
      <c r="O7" s="283" t="s">
        <v>24</v>
      </c>
      <c r="P7" s="284" t="s">
        <v>26</v>
      </c>
      <c r="Q7" s="282" t="s">
        <v>26</v>
      </c>
      <c r="R7" s="305"/>
    </row>
    <row r="8" spans="2:18" ht="19.5" thickBot="1" x14ac:dyDescent="0.3">
      <c r="B8" s="275"/>
      <c r="C8" s="609"/>
      <c r="D8" s="285" t="s">
        <v>27</v>
      </c>
      <c r="E8" s="286" t="s">
        <v>235</v>
      </c>
      <c r="F8" s="287" t="s">
        <v>234</v>
      </c>
      <c r="G8" s="287" t="s">
        <v>233</v>
      </c>
      <c r="H8" s="288" t="s">
        <v>234</v>
      </c>
      <c r="I8" s="286" t="s">
        <v>235</v>
      </c>
      <c r="J8" s="287" t="s">
        <v>234</v>
      </c>
      <c r="K8" s="287" t="s">
        <v>233</v>
      </c>
      <c r="L8" s="288" t="s">
        <v>234</v>
      </c>
      <c r="M8" s="289" t="s">
        <v>28</v>
      </c>
      <c r="N8" s="290"/>
      <c r="O8" s="286" t="s">
        <v>234</v>
      </c>
      <c r="P8" s="288" t="s">
        <v>234</v>
      </c>
      <c r="Q8" s="289" t="s">
        <v>234</v>
      </c>
      <c r="R8" s="305"/>
    </row>
    <row r="9" spans="2:18" s="1" customFormat="1" ht="11.25" customHeight="1" thickBot="1" x14ac:dyDescent="0.25">
      <c r="B9" s="291"/>
      <c r="C9" s="292">
        <v>1</v>
      </c>
      <c r="D9" s="293">
        <v>2</v>
      </c>
      <c r="E9" s="239">
        <v>3</v>
      </c>
      <c r="F9" s="240">
        <v>4</v>
      </c>
      <c r="G9" s="240">
        <v>5</v>
      </c>
      <c r="H9" s="241">
        <v>6</v>
      </c>
      <c r="I9" s="239">
        <v>7</v>
      </c>
      <c r="J9" s="240">
        <v>8</v>
      </c>
      <c r="K9" s="240">
        <v>9</v>
      </c>
      <c r="L9" s="241">
        <v>10</v>
      </c>
      <c r="M9" s="242">
        <v>11</v>
      </c>
      <c r="N9" s="271"/>
      <c r="O9" s="239">
        <v>12</v>
      </c>
      <c r="P9" s="241">
        <v>13</v>
      </c>
      <c r="Q9" s="242">
        <v>14</v>
      </c>
      <c r="R9" s="306"/>
    </row>
    <row r="10" spans="2:18" ht="37.5" x14ac:dyDescent="0.25">
      <c r="B10" s="275"/>
      <c r="C10" s="294">
        <v>1</v>
      </c>
      <c r="D10" s="295" t="s">
        <v>168</v>
      </c>
      <c r="E10" s="243">
        <f>16*1.5</f>
        <v>24</v>
      </c>
      <c r="F10" s="244">
        <f>30*1.5</f>
        <v>45</v>
      </c>
      <c r="G10" s="244">
        <f>4*1.5</f>
        <v>6</v>
      </c>
      <c r="H10" s="245">
        <f>6*1.5</f>
        <v>9</v>
      </c>
      <c r="I10" s="243">
        <v>44</v>
      </c>
      <c r="J10" s="244">
        <f>50*1.5</f>
        <v>75</v>
      </c>
      <c r="K10" s="244">
        <v>8</v>
      </c>
      <c r="L10" s="245">
        <v>11</v>
      </c>
      <c r="M10" s="246">
        <f>4*1.5</f>
        <v>6</v>
      </c>
      <c r="N10" s="271"/>
      <c r="O10" s="243">
        <f>30*1.5</f>
        <v>45</v>
      </c>
      <c r="P10" s="245">
        <f>6*1.5</f>
        <v>9</v>
      </c>
      <c r="Q10" s="246">
        <f>4*1.5</f>
        <v>6</v>
      </c>
      <c r="R10" s="305"/>
    </row>
    <row r="11" spans="2:18" ht="56.25" x14ac:dyDescent="0.25">
      <c r="B11" s="275"/>
      <c r="C11" s="296">
        <v>2</v>
      </c>
      <c r="D11" s="297" t="s">
        <v>167</v>
      </c>
      <c r="E11" s="247">
        <f>22*1.5</f>
        <v>33</v>
      </c>
      <c r="F11" s="248">
        <f>36*1.5</f>
        <v>54</v>
      </c>
      <c r="G11" s="248">
        <v>8</v>
      </c>
      <c r="H11" s="249">
        <v>11</v>
      </c>
      <c r="I11" s="247">
        <v>53</v>
      </c>
      <c r="J11" s="248">
        <f>60*1.5</f>
        <v>90</v>
      </c>
      <c r="K11" s="248">
        <f>6*1.5</f>
        <v>9</v>
      </c>
      <c r="L11" s="249">
        <f>8*1.5</f>
        <v>12</v>
      </c>
      <c r="M11" s="250">
        <v>8</v>
      </c>
      <c r="N11" s="271"/>
      <c r="O11" s="247">
        <f>36*1.5</f>
        <v>54</v>
      </c>
      <c r="P11" s="249">
        <v>11</v>
      </c>
      <c r="Q11" s="250">
        <v>8</v>
      </c>
      <c r="R11" s="305"/>
    </row>
    <row r="12" spans="2:18" ht="18.75" x14ac:dyDescent="0.25">
      <c r="B12" s="275"/>
      <c r="C12" s="296">
        <v>3</v>
      </c>
      <c r="D12" s="297" t="s">
        <v>170</v>
      </c>
      <c r="E12" s="247">
        <v>0</v>
      </c>
      <c r="F12" s="248">
        <v>0</v>
      </c>
      <c r="G12" s="248">
        <v>0</v>
      </c>
      <c r="H12" s="249">
        <v>0</v>
      </c>
      <c r="I12" s="247">
        <v>0</v>
      </c>
      <c r="J12" s="248">
        <v>0</v>
      </c>
      <c r="K12" s="248">
        <v>0</v>
      </c>
      <c r="L12" s="249">
        <v>0</v>
      </c>
      <c r="M12" s="250">
        <v>0</v>
      </c>
      <c r="N12" s="271"/>
      <c r="O12" s="247">
        <v>0</v>
      </c>
      <c r="P12" s="249">
        <v>0</v>
      </c>
      <c r="Q12" s="250">
        <v>0</v>
      </c>
      <c r="R12" s="305"/>
    </row>
    <row r="13" spans="2:18" ht="37.5" x14ac:dyDescent="0.25">
      <c r="B13" s="275"/>
      <c r="C13" s="296">
        <v>4</v>
      </c>
      <c r="D13" s="297" t="s">
        <v>171</v>
      </c>
      <c r="E13" s="247">
        <v>17</v>
      </c>
      <c r="F13" s="248">
        <f>18*1.5</f>
        <v>27</v>
      </c>
      <c r="G13" s="248">
        <v>4</v>
      </c>
      <c r="H13" s="249">
        <v>5</v>
      </c>
      <c r="I13" s="247">
        <v>26</v>
      </c>
      <c r="J13" s="248">
        <f>30*1.5</f>
        <v>45</v>
      </c>
      <c r="K13" s="248">
        <v>5</v>
      </c>
      <c r="L13" s="249">
        <f>4*1.5</f>
        <v>6</v>
      </c>
      <c r="M13" s="250">
        <v>4</v>
      </c>
      <c r="N13" s="271"/>
      <c r="O13" s="247">
        <f t="shared" ref="O13:O14" si="0">36*1.5</f>
        <v>54</v>
      </c>
      <c r="P13" s="249">
        <v>11</v>
      </c>
      <c r="Q13" s="250">
        <v>8</v>
      </c>
      <c r="R13" s="305"/>
    </row>
    <row r="14" spans="2:18" ht="18.75" x14ac:dyDescent="0.25">
      <c r="B14" s="275"/>
      <c r="C14" s="296">
        <v>5</v>
      </c>
      <c r="D14" s="297" t="s">
        <v>172</v>
      </c>
      <c r="E14" s="247">
        <f>22*1.5</f>
        <v>33</v>
      </c>
      <c r="F14" s="248">
        <f>36*1.5</f>
        <v>54</v>
      </c>
      <c r="G14" s="248">
        <v>8</v>
      </c>
      <c r="H14" s="249">
        <v>11</v>
      </c>
      <c r="I14" s="247">
        <v>53</v>
      </c>
      <c r="J14" s="248">
        <f>60*1.5</f>
        <v>90</v>
      </c>
      <c r="K14" s="248">
        <f>6*1.5</f>
        <v>9</v>
      </c>
      <c r="L14" s="249">
        <f>8*1.5</f>
        <v>12</v>
      </c>
      <c r="M14" s="250">
        <v>8</v>
      </c>
      <c r="N14" s="271"/>
      <c r="O14" s="247">
        <f t="shared" si="0"/>
        <v>54</v>
      </c>
      <c r="P14" s="249">
        <v>11</v>
      </c>
      <c r="Q14" s="250">
        <v>8</v>
      </c>
      <c r="R14" s="305"/>
    </row>
    <row r="15" spans="2:18" ht="19.5" thickBot="1" x14ac:dyDescent="0.3">
      <c r="B15" s="275"/>
      <c r="C15" s="298">
        <v>6</v>
      </c>
      <c r="D15" s="299" t="s">
        <v>166</v>
      </c>
      <c r="E15" s="251">
        <f>45*2</f>
        <v>90</v>
      </c>
      <c r="F15" s="252">
        <f>75*2</f>
        <v>150</v>
      </c>
      <c r="G15" s="252">
        <f>6*2</f>
        <v>12</v>
      </c>
      <c r="H15" s="253">
        <f>8*2</f>
        <v>16</v>
      </c>
      <c r="I15" s="251">
        <f>60*2</f>
        <v>120</v>
      </c>
      <c r="J15" s="252">
        <f>90*2</f>
        <v>180</v>
      </c>
      <c r="K15" s="252">
        <f>8*2</f>
        <v>16</v>
      </c>
      <c r="L15" s="253">
        <f>10*2</f>
        <v>20</v>
      </c>
      <c r="M15" s="254">
        <f>6*2</f>
        <v>12</v>
      </c>
      <c r="N15" s="271"/>
      <c r="O15" s="272">
        <f>75*2</f>
        <v>150</v>
      </c>
      <c r="P15" s="273">
        <f>8*2</f>
        <v>16</v>
      </c>
      <c r="Q15" s="274">
        <f>6*2</f>
        <v>12</v>
      </c>
      <c r="R15" s="305"/>
    </row>
    <row r="16" spans="2:18" ht="19.5" thickBot="1" x14ac:dyDescent="0.3">
      <c r="B16" s="275"/>
      <c r="C16" s="298">
        <v>7</v>
      </c>
      <c r="D16" s="299" t="s">
        <v>165</v>
      </c>
      <c r="E16" s="599">
        <v>10</v>
      </c>
      <c r="F16" s="600"/>
      <c r="G16" s="600"/>
      <c r="H16" s="600"/>
      <c r="I16" s="600"/>
      <c r="J16" s="600"/>
      <c r="K16" s="600"/>
      <c r="L16" s="600"/>
      <c r="M16" s="601"/>
      <c r="N16" s="271"/>
      <c r="O16" s="599">
        <v>10</v>
      </c>
      <c r="P16" s="600"/>
      <c r="Q16" s="601"/>
      <c r="R16" s="305"/>
    </row>
    <row r="17" spans="2:18" x14ac:dyDescent="0.25">
      <c r="B17" s="275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305"/>
    </row>
    <row r="18" spans="2:18" ht="15.75" x14ac:dyDescent="0.25">
      <c r="B18" s="275"/>
      <c r="C18" s="276"/>
      <c r="D18" s="300" t="s">
        <v>46</v>
      </c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305"/>
    </row>
    <row r="19" spans="2:18" ht="15.75" x14ac:dyDescent="0.25">
      <c r="B19" s="275"/>
      <c r="C19" s="276"/>
      <c r="D19" s="301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305"/>
    </row>
    <row r="20" spans="2:18" ht="15.75" x14ac:dyDescent="0.25">
      <c r="B20" s="275"/>
      <c r="C20" s="276"/>
      <c r="D20" s="301" t="s">
        <v>47</v>
      </c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305"/>
    </row>
    <row r="21" spans="2:18" ht="15.75" x14ac:dyDescent="0.25">
      <c r="B21" s="275"/>
      <c r="C21" s="276"/>
      <c r="D21" s="301" t="s">
        <v>48</v>
      </c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305"/>
    </row>
    <row r="22" spans="2:18" ht="15.75" x14ac:dyDescent="0.25">
      <c r="B22" s="275"/>
      <c r="C22" s="276"/>
      <c r="D22" s="301" t="s">
        <v>49</v>
      </c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305"/>
    </row>
    <row r="23" spans="2:18" ht="15.75" x14ac:dyDescent="0.25">
      <c r="B23" s="275"/>
      <c r="C23" s="276"/>
      <c r="D23" s="301" t="s">
        <v>50</v>
      </c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305"/>
    </row>
    <row r="24" spans="2:18" ht="15.75" x14ac:dyDescent="0.25">
      <c r="B24" s="275"/>
      <c r="C24" s="276"/>
      <c r="D24" s="301" t="s">
        <v>51</v>
      </c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305"/>
    </row>
    <row r="25" spans="2:18" ht="15.75" thickBot="1" x14ac:dyDescent="0.3">
      <c r="B25" s="302"/>
      <c r="C25" s="303"/>
      <c r="D25" s="304"/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7"/>
    </row>
  </sheetData>
  <sheetProtection selectLockedCells="1"/>
  <mergeCells count="13">
    <mergeCell ref="O16:Q16"/>
    <mergeCell ref="E5:M5"/>
    <mergeCell ref="O5:Q5"/>
    <mergeCell ref="O6:P6"/>
    <mergeCell ref="C3:Q3"/>
    <mergeCell ref="E16:M16"/>
    <mergeCell ref="C6:C8"/>
    <mergeCell ref="E6:H6"/>
    <mergeCell ref="I6:L6"/>
    <mergeCell ref="E7:F7"/>
    <mergeCell ref="G7:H7"/>
    <mergeCell ref="I7:J7"/>
    <mergeCell ref="K7:L7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1:K14"/>
  <sheetViews>
    <sheetView showGridLines="0" showRowColHeaders="0" tabSelected="1" workbookViewId="0">
      <selection activeCell="D7" activeCellId="2" sqref="C3:Q3 D5 D7"/>
    </sheetView>
  </sheetViews>
  <sheetFormatPr defaultRowHeight="15" x14ac:dyDescent="0.25"/>
  <cols>
    <col min="2" max="2" width="5.42578125" customWidth="1"/>
    <col min="3" max="3" width="27" bestFit="1" customWidth="1"/>
    <col min="5" max="5" width="4.28515625" customWidth="1"/>
    <col min="6" max="6" width="13.28515625" bestFit="1" customWidth="1"/>
    <col min="7" max="7" width="11.28515625" customWidth="1"/>
    <col min="8" max="8" width="10.140625" bestFit="1" customWidth="1"/>
    <col min="9" max="9" width="4.28515625" customWidth="1"/>
    <col min="11" max="11" width="5.42578125" customWidth="1"/>
  </cols>
  <sheetData>
    <row r="1" spans="2:11" ht="15.75" thickBot="1" x14ac:dyDescent="0.3"/>
    <row r="2" spans="2:11" x14ac:dyDescent="0.25">
      <c r="B2" s="224"/>
      <c r="C2" s="225"/>
      <c r="D2" s="225"/>
      <c r="E2" s="225"/>
      <c r="F2" s="225"/>
      <c r="G2" s="225"/>
      <c r="H2" s="225"/>
      <c r="I2" s="225"/>
      <c r="J2" s="225"/>
      <c r="K2" s="226"/>
    </row>
    <row r="3" spans="2:11" x14ac:dyDescent="0.25">
      <c r="B3" s="227"/>
      <c r="C3" s="236" t="s">
        <v>15</v>
      </c>
      <c r="D3" s="236"/>
      <c r="E3" s="228"/>
      <c r="F3" s="206" t="s">
        <v>173</v>
      </c>
      <c r="G3" s="206" t="s">
        <v>174</v>
      </c>
      <c r="H3" s="206" t="s">
        <v>175</v>
      </c>
      <c r="I3" s="228"/>
      <c r="J3" s="206" t="s">
        <v>43</v>
      </c>
      <c r="K3" s="229"/>
    </row>
    <row r="4" spans="2:11" x14ac:dyDescent="0.25">
      <c r="B4" s="227"/>
      <c r="C4" s="206" t="s">
        <v>16</v>
      </c>
      <c r="D4" s="206">
        <v>1</v>
      </c>
      <c r="E4" s="228"/>
      <c r="F4" s="206" t="s">
        <v>30</v>
      </c>
      <c r="G4" s="237">
        <v>43631</v>
      </c>
      <c r="H4" s="238">
        <f>G4+9</f>
        <v>43640</v>
      </c>
      <c r="I4" s="228"/>
      <c r="J4" s="206">
        <v>10</v>
      </c>
      <c r="K4" s="229"/>
    </row>
    <row r="5" spans="2:11" x14ac:dyDescent="0.25">
      <c r="B5" s="227"/>
      <c r="C5" s="206" t="s">
        <v>61</v>
      </c>
      <c r="D5" s="206">
        <v>1.5</v>
      </c>
      <c r="E5" s="228"/>
      <c r="F5" s="206" t="s">
        <v>31</v>
      </c>
      <c r="G5" s="238">
        <f t="shared" ref="G5:G11" si="0">H4+2</f>
        <v>43642</v>
      </c>
      <c r="H5" s="238">
        <f>G5+9</f>
        <v>43651</v>
      </c>
      <c r="I5" s="228"/>
      <c r="J5" s="206">
        <v>1</v>
      </c>
      <c r="K5" s="229"/>
    </row>
    <row r="6" spans="2:11" x14ac:dyDescent="0.25">
      <c r="B6" s="227"/>
      <c r="C6" s="206" t="s">
        <v>60</v>
      </c>
      <c r="D6" s="206">
        <v>0.5</v>
      </c>
      <c r="E6" s="228"/>
      <c r="F6" s="206" t="s">
        <v>37</v>
      </c>
      <c r="G6" s="238">
        <f t="shared" si="0"/>
        <v>43653</v>
      </c>
      <c r="H6" s="238">
        <f t="shared" ref="H6:H11" si="1">G6+9</f>
        <v>43662</v>
      </c>
      <c r="I6" s="228"/>
      <c r="J6" s="206">
        <v>2</v>
      </c>
      <c r="K6" s="229"/>
    </row>
    <row r="7" spans="2:11" x14ac:dyDescent="0.25">
      <c r="B7" s="227"/>
      <c r="C7" s="228"/>
      <c r="D7" s="228"/>
      <c r="E7" s="228"/>
      <c r="F7" s="206" t="s">
        <v>38</v>
      </c>
      <c r="G7" s="238">
        <f t="shared" si="0"/>
        <v>43664</v>
      </c>
      <c r="H7" s="238">
        <f t="shared" si="1"/>
        <v>43673</v>
      </c>
      <c r="I7" s="228"/>
      <c r="J7" s="206">
        <v>3</v>
      </c>
      <c r="K7" s="229"/>
    </row>
    <row r="8" spans="2:11" x14ac:dyDescent="0.25">
      <c r="B8" s="227"/>
      <c r="C8" s="231" t="s">
        <v>72</v>
      </c>
      <c r="D8" s="206">
        <f>IF(OR(Smiana=DATA!F4,Smiana=DATA!F5,Smiana=DATA!F11),3,IF(OR(Smiana=DATA!F6,Smiana=DATA!F7,Smiana=DATA!F8,Smiana=DATA!F9,Smiana=DATA!F10),7,11))</f>
        <v>7</v>
      </c>
      <c r="E8" s="228"/>
      <c r="F8" s="206" t="s">
        <v>39</v>
      </c>
      <c r="G8" s="238">
        <f t="shared" si="0"/>
        <v>43675</v>
      </c>
      <c r="H8" s="238">
        <f t="shared" si="1"/>
        <v>43684</v>
      </c>
      <c r="I8" s="228"/>
      <c r="J8" s="206">
        <v>4</v>
      </c>
      <c r="K8" s="229"/>
    </row>
    <row r="9" spans="2:11" x14ac:dyDescent="0.25">
      <c r="B9" s="227"/>
      <c r="C9" s="228"/>
      <c r="D9" s="228"/>
      <c r="E9" s="228"/>
      <c r="F9" s="206" t="s">
        <v>40</v>
      </c>
      <c r="G9" s="238">
        <f t="shared" si="0"/>
        <v>43686</v>
      </c>
      <c r="H9" s="238">
        <f t="shared" si="1"/>
        <v>43695</v>
      </c>
      <c r="I9" s="228"/>
      <c r="J9" s="206">
        <v>5</v>
      </c>
      <c r="K9" s="229"/>
    </row>
    <row r="10" spans="2:11" x14ac:dyDescent="0.25">
      <c r="B10" s="227"/>
      <c r="C10" s="228"/>
      <c r="D10" s="228"/>
      <c r="E10" s="228"/>
      <c r="F10" s="206" t="s">
        <v>41</v>
      </c>
      <c r="G10" s="238">
        <f t="shared" si="0"/>
        <v>43697</v>
      </c>
      <c r="H10" s="238">
        <f t="shared" si="1"/>
        <v>43706</v>
      </c>
      <c r="I10" s="228"/>
      <c r="J10" s="206">
        <v>6</v>
      </c>
      <c r="K10" s="229"/>
    </row>
    <row r="11" spans="2:11" x14ac:dyDescent="0.25">
      <c r="B11" s="227"/>
      <c r="C11" s="228"/>
      <c r="D11" s="228"/>
      <c r="E11" s="228"/>
      <c r="F11" s="206" t="s">
        <v>63</v>
      </c>
      <c r="G11" s="238">
        <f t="shared" si="0"/>
        <v>43708</v>
      </c>
      <c r="H11" s="238">
        <f t="shared" si="1"/>
        <v>43717</v>
      </c>
      <c r="I11" s="228"/>
      <c r="J11" s="206">
        <v>7</v>
      </c>
      <c r="K11" s="229"/>
    </row>
    <row r="12" spans="2:11" x14ac:dyDescent="0.25">
      <c r="B12" s="227"/>
      <c r="C12" s="228"/>
      <c r="D12" s="228"/>
      <c r="E12" s="228"/>
      <c r="F12" s="206" t="s">
        <v>22</v>
      </c>
      <c r="G12" s="206"/>
      <c r="H12" s="206"/>
      <c r="I12" s="228"/>
      <c r="J12" s="206">
        <v>8</v>
      </c>
      <c r="K12" s="229"/>
    </row>
    <row r="13" spans="2:11" x14ac:dyDescent="0.25">
      <c r="B13" s="227"/>
      <c r="C13" s="228"/>
      <c r="D13" s="228"/>
      <c r="E13" s="228"/>
      <c r="F13" s="228"/>
      <c r="G13" s="228"/>
      <c r="H13" s="228"/>
      <c r="I13" s="228"/>
      <c r="J13" s="206">
        <v>9</v>
      </c>
      <c r="K13" s="229"/>
    </row>
    <row r="14" spans="2:11" ht="15.75" thickBot="1" x14ac:dyDescent="0.3">
      <c r="B14" s="232"/>
      <c r="C14" s="233"/>
      <c r="D14" s="233"/>
      <c r="E14" s="233"/>
      <c r="F14" s="233"/>
      <c r="G14" s="233"/>
      <c r="H14" s="233"/>
      <c r="I14" s="233"/>
      <c r="J14" s="233"/>
      <c r="K14" s="235"/>
    </row>
  </sheetData>
  <sheetProtection sheet="1" objects="1" scenarios="1" selectLockedCells="1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10</vt:i4>
      </vt:variant>
      <vt:variant>
        <vt:lpstr>Наименувани диапазони</vt:lpstr>
      </vt:variant>
      <vt:variant>
        <vt:i4>58</vt:i4>
      </vt:variant>
    </vt:vector>
  </HeadingPairs>
  <TitlesOfParts>
    <vt:vector size="68" baseType="lpstr">
      <vt:lpstr>Reg_forma</vt:lpstr>
      <vt:lpstr>Karta</vt:lpstr>
      <vt:lpstr>Spravka</vt:lpstr>
      <vt:lpstr>Zaetost_smeni</vt:lpstr>
      <vt:lpstr>Registyr</vt:lpstr>
      <vt:lpstr>Лист1</vt:lpstr>
      <vt:lpstr>Kasov_order</vt:lpstr>
      <vt:lpstr>Bungala</vt:lpstr>
      <vt:lpstr>Cenorazpis</vt:lpstr>
      <vt:lpstr>DATA</vt:lpstr>
      <vt:lpstr>br_dni</vt:lpstr>
      <vt:lpstr>Bungalo</vt:lpstr>
      <vt:lpstr>Cena_hladilnik</vt:lpstr>
      <vt:lpstr>Data_begin</vt:lpstr>
      <vt:lpstr>Data_end</vt:lpstr>
      <vt:lpstr>Data_Plashtane</vt:lpstr>
      <vt:lpstr>hladilnik</vt:lpstr>
      <vt:lpstr>List_br_dni</vt:lpstr>
      <vt:lpstr>List_bungala</vt:lpstr>
      <vt:lpstr>List_legla</vt:lpstr>
      <vt:lpstr>List_Smiana</vt:lpstr>
      <vt:lpstr>List_vid_leglo</vt:lpstr>
      <vt:lpstr>Mejdinen_kod</vt:lpstr>
      <vt:lpstr>Obsht_priveden_broi</vt:lpstr>
      <vt:lpstr>Obshta_suma</vt:lpstr>
      <vt:lpstr>Plateno</vt:lpstr>
      <vt:lpstr>Priveden_br_legla</vt:lpstr>
      <vt:lpstr>Priveden_broi</vt:lpstr>
      <vt:lpstr>Range_legla</vt:lpstr>
      <vt:lpstr>Range_legla_razmer</vt:lpstr>
      <vt:lpstr>Registyr_Smiana</vt:lpstr>
      <vt:lpstr>Smiana</vt:lpstr>
      <vt:lpstr>SpravkaBeginData</vt:lpstr>
      <vt:lpstr>SpravkaEndData</vt:lpstr>
      <vt:lpstr>SV</vt:lpstr>
      <vt:lpstr>Tabl_bungala</vt:lpstr>
      <vt:lpstr>Tabl_cenorazpis</vt:lpstr>
      <vt:lpstr>Tabl_kategoria</vt:lpstr>
      <vt:lpstr>Tabl_Names_Cut</vt:lpstr>
      <vt:lpstr>Tabl_Names_Period</vt:lpstr>
      <vt:lpstr>Registyr!Tabl_Reg_Autofilter</vt:lpstr>
      <vt:lpstr>Tabl_Reg_forma</vt:lpstr>
      <vt:lpstr>Registyr!Tabl_registyr</vt:lpstr>
      <vt:lpstr>Tabl_Smeni</vt:lpstr>
      <vt:lpstr>Tabl_SprReg1</vt:lpstr>
      <vt:lpstr>Tabl_SprReg2</vt:lpstr>
      <vt:lpstr>Tabl_SprReg3</vt:lpstr>
      <vt:lpstr>Tabl_SprReg4</vt:lpstr>
      <vt:lpstr>Tabl_SprReg5</vt:lpstr>
      <vt:lpstr>Tabl_SprReg6</vt:lpstr>
      <vt:lpstr>Tabl_SprReg7</vt:lpstr>
      <vt:lpstr>Tabl_SprReg8</vt:lpstr>
      <vt:lpstr>Tabl_SprReg9</vt:lpstr>
      <vt:lpstr>Tabl_SprRegAll_Autofilter</vt:lpstr>
      <vt:lpstr>Tabl_vid_leglo</vt:lpstr>
      <vt:lpstr>TagReg1</vt:lpstr>
      <vt:lpstr>TagReg2</vt:lpstr>
      <vt:lpstr>TagReg3</vt:lpstr>
      <vt:lpstr>TagReg4</vt:lpstr>
      <vt:lpstr>TagReg5</vt:lpstr>
      <vt:lpstr>TagReg6</vt:lpstr>
      <vt:lpstr>TagReg7</vt:lpstr>
      <vt:lpstr>TagReg8</vt:lpstr>
      <vt:lpstr>TagReg9</vt:lpstr>
      <vt:lpstr>Registyr!Област_печат</vt:lpstr>
      <vt:lpstr>Spravka!Област_печат</vt:lpstr>
      <vt:lpstr>Registyr!Печат_заглавия</vt:lpstr>
      <vt:lpstr>Spravka!Печат_заглавия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nikolaev</dc:creator>
  <cp:lastModifiedBy>Dell</cp:lastModifiedBy>
  <cp:lastPrinted>2019-06-10T12:20:39Z</cp:lastPrinted>
  <dcterms:created xsi:type="dcterms:W3CDTF">2017-05-03T20:41:26Z</dcterms:created>
  <dcterms:modified xsi:type="dcterms:W3CDTF">2021-05-18T16:48:10Z</dcterms:modified>
</cp:coreProperties>
</file>